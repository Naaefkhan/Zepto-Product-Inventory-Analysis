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53A1DF70-E410-4DFE-A144-321698E07AF1}" xr6:coauthVersionLast="47" xr6:coauthVersionMax="47" xr10:uidLastSave="{00000000-0000-0000-0000-000000000000}"/>
  <bookViews>
    <workbookView xWindow="-120" yWindow="-120" windowWidth="20730" windowHeight="11040" tabRatio="682" activeTab="3" xr2:uid="{00000000-000D-0000-FFFF-FFFF00000000}"/>
  </bookViews>
  <sheets>
    <sheet name="Full_Data" sheetId="19" r:id="rId1"/>
    <sheet name="Analysis" sheetId="23" r:id="rId2"/>
    <sheet name="Data Findings" sheetId="24" r:id="rId3"/>
    <sheet name="Dashboard" sheetId="22" r:id="rId4"/>
    <sheet name="Cooking Essentials" sheetId="2" state="hidden" r:id="rId5"/>
    <sheet name="Munchies" sheetId="3" state="hidden" r:id="rId6"/>
    <sheet name="Fruits &amp; Vegetables" sheetId="1" state="hidden" r:id="rId7"/>
    <sheet name="Dairy, Bread &amp; Batter" sheetId="4" state="hidden" r:id="rId8"/>
    <sheet name="Beverages" sheetId="5" state="hidden" r:id="rId9"/>
    <sheet name="Packaged Food" sheetId="6" state="hidden" r:id="rId10"/>
    <sheet name="Ice Cream &amp; Desserts" sheetId="7" state="hidden" r:id="rId11"/>
    <sheet name="Chocolates &amp; Candies" sheetId="8" state="hidden" r:id="rId12"/>
    <sheet name="Meats, Fish &amp; Eggs" sheetId="9" state="hidden" r:id="rId13"/>
    <sheet name="Biscuits" sheetId="10" state="hidden" r:id="rId14"/>
    <sheet name="Personal Care" sheetId="11" state="hidden" r:id="rId15"/>
    <sheet name="Paan Corner" sheetId="12" state="hidden" r:id="rId16"/>
    <sheet name="Home &amp; Cleaning" sheetId="13" state="hidden" r:id="rId17"/>
    <sheet name="Health &amp; Hygiene" sheetId="14" state="hidden" r:id="rId18"/>
    <sheet name="Curated For You" sheetId="15" state="hidden" r:id="rId19"/>
  </sheets>
  <definedNames>
    <definedName name="Slicer_Discount_Band1">#N/A</definedName>
    <definedName name="Slicer_Out_Of_Stock">#N/A</definedName>
    <definedName name="Slicer_Price_Band1">#N/A</definedName>
  </definedNames>
  <calcPr calcId="191029"/>
  <pivotCaches>
    <pivotCache cacheId="0"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 i="19" l="1"/>
  <c r="J6" i="24"/>
  <c r="J5" i="24"/>
  <c r="J2" i="24"/>
  <c r="F11" i="24"/>
  <c r="F10" i="24"/>
  <c r="F9" i="24"/>
  <c r="S2" i="19"/>
  <c r="S3" i="19"/>
  <c r="S4" i="19"/>
  <c r="S5" i="19"/>
  <c r="S6" i="19"/>
  <c r="S7" i="19"/>
  <c r="S8" i="19"/>
  <c r="S9" i="19"/>
  <c r="S10" i="19"/>
  <c r="S11" i="19"/>
  <c r="S12" i="19"/>
  <c r="S13" i="19"/>
  <c r="S14" i="19"/>
  <c r="S15" i="19"/>
  <c r="S16" i="19"/>
  <c r="S17" i="19"/>
  <c r="S18" i="19"/>
  <c r="S19" i="19"/>
  <c r="S20" i="19"/>
  <c r="S21" i="19"/>
  <c r="S22" i="19"/>
  <c r="S23" i="19"/>
  <c r="S24" i="19"/>
  <c r="S25" i="19"/>
  <c r="S26" i="19"/>
  <c r="S27" i="19"/>
  <c r="S28" i="19"/>
  <c r="S29" i="19"/>
  <c r="S30" i="19"/>
  <c r="S31" i="19"/>
  <c r="S32" i="19"/>
  <c r="S33" i="19"/>
  <c r="S34" i="19"/>
  <c r="S35" i="19"/>
  <c r="S36" i="19"/>
  <c r="S37" i="19"/>
  <c r="S38" i="19"/>
  <c r="S39" i="19"/>
  <c r="S40" i="19"/>
  <c r="S41" i="19"/>
  <c r="S42" i="19"/>
  <c r="S43" i="19"/>
  <c r="S44" i="19"/>
  <c r="S45" i="19"/>
  <c r="S46" i="19"/>
  <c r="S47" i="19"/>
  <c r="S48" i="19"/>
  <c r="S49" i="19"/>
  <c r="S50" i="19"/>
  <c r="S51" i="19"/>
  <c r="S52" i="19"/>
  <c r="S53" i="19"/>
  <c r="S54" i="19"/>
  <c r="S55" i="19"/>
  <c r="S56" i="19"/>
  <c r="S57" i="19"/>
  <c r="S58" i="19"/>
  <c r="S59" i="19"/>
  <c r="S60" i="19"/>
  <c r="S61" i="19"/>
  <c r="S62" i="19"/>
  <c r="S63" i="19"/>
  <c r="S64" i="19"/>
  <c r="S65" i="19"/>
  <c r="S66" i="19"/>
  <c r="S67" i="19"/>
  <c r="S68" i="19"/>
  <c r="S69" i="19"/>
  <c r="S70" i="19"/>
  <c r="S71" i="19"/>
  <c r="S72" i="19"/>
  <c r="S73" i="19"/>
  <c r="S74" i="19"/>
  <c r="S75" i="19"/>
  <c r="S76" i="19"/>
  <c r="S77" i="19"/>
  <c r="S78" i="19"/>
  <c r="S79" i="19"/>
  <c r="S80" i="19"/>
  <c r="S81" i="19"/>
  <c r="S82" i="19"/>
  <c r="S83" i="19"/>
  <c r="S84" i="19"/>
  <c r="S85" i="19"/>
  <c r="S86" i="19"/>
  <c r="S87" i="19"/>
  <c r="S88" i="19"/>
  <c r="S89" i="19"/>
  <c r="S90" i="19"/>
  <c r="S91" i="19"/>
  <c r="S92" i="19"/>
  <c r="S93" i="19"/>
  <c r="S94" i="19"/>
  <c r="S95" i="19"/>
  <c r="S96" i="19"/>
  <c r="S97" i="19"/>
  <c r="S98" i="19"/>
  <c r="S99" i="19"/>
  <c r="S100" i="19"/>
  <c r="S101" i="19"/>
  <c r="S102" i="19"/>
  <c r="S103" i="19"/>
  <c r="S104" i="19"/>
  <c r="S105" i="19"/>
  <c r="S106" i="19"/>
  <c r="S107" i="19"/>
  <c r="S108" i="19"/>
  <c r="S109" i="19"/>
  <c r="S110" i="19"/>
  <c r="S111" i="19"/>
  <c r="S112" i="19"/>
  <c r="S113" i="19"/>
  <c r="S114" i="19"/>
  <c r="S115" i="19"/>
  <c r="S116" i="19"/>
  <c r="S117" i="19"/>
  <c r="S118" i="19"/>
  <c r="S119" i="19"/>
  <c r="S120" i="19"/>
  <c r="S121" i="19"/>
  <c r="S122" i="19"/>
  <c r="S123" i="19"/>
  <c r="S124" i="19"/>
  <c r="S125" i="19"/>
  <c r="S126" i="19"/>
  <c r="S127" i="19"/>
  <c r="S128" i="19"/>
  <c r="S129" i="19"/>
  <c r="S130" i="19"/>
  <c r="S131" i="19"/>
  <c r="S132" i="19"/>
  <c r="S133" i="19"/>
  <c r="S134" i="19"/>
  <c r="S135" i="19"/>
  <c r="S136" i="19"/>
  <c r="S137" i="19"/>
  <c r="S138" i="19"/>
  <c r="S139" i="19"/>
  <c r="S140" i="19"/>
  <c r="S141" i="19"/>
  <c r="S142" i="19"/>
  <c r="S143" i="19"/>
  <c r="S144" i="19"/>
  <c r="S145" i="19"/>
  <c r="S146" i="19"/>
  <c r="S147" i="19"/>
  <c r="S148" i="19"/>
  <c r="S149" i="19"/>
  <c r="S150" i="19"/>
  <c r="S151" i="19"/>
  <c r="S152" i="19"/>
  <c r="S153" i="19"/>
  <c r="S154" i="19"/>
  <c r="S155" i="19"/>
  <c r="S156" i="19"/>
  <c r="S157" i="19"/>
  <c r="S158" i="19"/>
  <c r="S159" i="19"/>
  <c r="S160" i="19"/>
  <c r="S161" i="19"/>
  <c r="S162" i="19"/>
  <c r="S163" i="19"/>
  <c r="S164" i="19"/>
  <c r="S165" i="19"/>
  <c r="S166" i="19"/>
  <c r="S167" i="19"/>
  <c r="S168" i="19"/>
  <c r="S169" i="19"/>
  <c r="S170" i="19"/>
  <c r="S171" i="19"/>
  <c r="S172" i="19"/>
  <c r="S173" i="19"/>
  <c r="S174" i="19"/>
  <c r="S175" i="19"/>
  <c r="S176" i="19"/>
  <c r="S177" i="19"/>
  <c r="S178" i="19"/>
  <c r="S179" i="19"/>
  <c r="S180" i="19"/>
  <c r="S181" i="19"/>
  <c r="S182" i="19"/>
  <c r="S183" i="19"/>
  <c r="S184" i="19"/>
  <c r="S185" i="19"/>
  <c r="S186" i="19"/>
  <c r="S187" i="19"/>
  <c r="S188" i="19"/>
  <c r="S189" i="19"/>
  <c r="S190" i="19"/>
  <c r="S191" i="19"/>
  <c r="S192" i="19"/>
  <c r="S193" i="19"/>
  <c r="S194" i="19"/>
  <c r="S195" i="19"/>
  <c r="S196" i="19"/>
  <c r="S197" i="19"/>
  <c r="S198" i="19"/>
  <c r="S199" i="19"/>
  <c r="S200" i="19"/>
  <c r="S201" i="19"/>
  <c r="S202" i="19"/>
  <c r="S203" i="19"/>
  <c r="S204" i="19"/>
  <c r="S205" i="19"/>
  <c r="S206" i="19"/>
  <c r="S207" i="19"/>
  <c r="S208" i="19"/>
  <c r="S209" i="19"/>
  <c r="S210" i="19"/>
  <c r="S211" i="19"/>
  <c r="S212" i="19"/>
  <c r="S213" i="19"/>
  <c r="S214" i="19"/>
  <c r="S215" i="19"/>
  <c r="S216" i="19"/>
  <c r="S217" i="19"/>
  <c r="S218" i="19"/>
  <c r="S219" i="19"/>
  <c r="S220" i="19"/>
  <c r="S221" i="19"/>
  <c r="S222" i="19"/>
  <c r="S223" i="19"/>
  <c r="S224" i="19"/>
  <c r="S225" i="19"/>
  <c r="S226" i="19"/>
  <c r="S227" i="19"/>
  <c r="S228" i="19"/>
  <c r="S229" i="19"/>
  <c r="S230" i="19"/>
  <c r="S231" i="19"/>
  <c r="S232" i="19"/>
  <c r="S233" i="19"/>
  <c r="S234" i="19"/>
  <c r="S235" i="19"/>
  <c r="S236" i="19"/>
  <c r="S237" i="19"/>
  <c r="S238" i="19"/>
  <c r="S239" i="19"/>
  <c r="S240" i="19"/>
  <c r="S241" i="19"/>
  <c r="S242" i="19"/>
  <c r="S243" i="19"/>
  <c r="S244" i="19"/>
  <c r="S245" i="19"/>
  <c r="S246" i="19"/>
  <c r="S247" i="19"/>
  <c r="S248" i="19"/>
  <c r="S249" i="19"/>
  <c r="S250" i="19"/>
  <c r="S251" i="19"/>
  <c r="S252" i="19"/>
  <c r="S253" i="19"/>
  <c r="S254" i="19"/>
  <c r="S255" i="19"/>
  <c r="S256" i="19"/>
  <c r="S257" i="19"/>
  <c r="S258" i="19"/>
  <c r="S259" i="19"/>
  <c r="S260" i="19"/>
  <c r="S261" i="19"/>
  <c r="S262" i="19"/>
  <c r="S263" i="19"/>
  <c r="S264" i="19"/>
  <c r="S265" i="19"/>
  <c r="S266" i="19"/>
  <c r="S267" i="19"/>
  <c r="S268" i="19"/>
  <c r="S269" i="19"/>
  <c r="S270" i="19"/>
  <c r="S271" i="19"/>
  <c r="S272" i="19"/>
  <c r="S273" i="19"/>
  <c r="S274" i="19"/>
  <c r="S275" i="19"/>
  <c r="S276" i="19"/>
  <c r="S277" i="19"/>
  <c r="S278" i="19"/>
  <c r="S279" i="19"/>
  <c r="S280" i="19"/>
  <c r="S281" i="19"/>
  <c r="S282" i="19"/>
  <c r="S283" i="19"/>
  <c r="S284" i="19"/>
  <c r="S285" i="19"/>
  <c r="S286" i="19"/>
  <c r="S287" i="19"/>
  <c r="S288" i="19"/>
  <c r="S289" i="19"/>
  <c r="S290" i="19"/>
  <c r="S291" i="19"/>
  <c r="S292" i="19"/>
  <c r="S293" i="19"/>
  <c r="S294" i="19"/>
  <c r="S295" i="19"/>
  <c r="S296" i="19"/>
  <c r="S297" i="19"/>
  <c r="S298" i="19"/>
  <c r="S299" i="19"/>
  <c r="S300" i="19"/>
  <c r="S301" i="19"/>
  <c r="S302" i="19"/>
  <c r="S303" i="19"/>
  <c r="S304" i="19"/>
  <c r="S305" i="19"/>
  <c r="S306" i="19"/>
  <c r="S307" i="19"/>
  <c r="S308" i="19"/>
  <c r="S309" i="19"/>
  <c r="S310" i="19"/>
  <c r="S311" i="19"/>
  <c r="S312" i="19"/>
  <c r="S313" i="19"/>
  <c r="S314" i="19"/>
  <c r="S315" i="19"/>
  <c r="S316" i="19"/>
  <c r="S317" i="19"/>
  <c r="S318" i="19"/>
  <c r="S319" i="19"/>
  <c r="S320" i="19"/>
  <c r="S321" i="19"/>
  <c r="S322" i="19"/>
  <c r="S323" i="19"/>
  <c r="S324" i="19"/>
  <c r="S325" i="19"/>
  <c r="S326" i="19"/>
  <c r="S327" i="19"/>
  <c r="S328" i="19"/>
  <c r="S329" i="19"/>
  <c r="S330" i="19"/>
  <c r="S331" i="19"/>
  <c r="S332" i="19"/>
  <c r="S333" i="19"/>
  <c r="S334" i="19"/>
  <c r="S335" i="19"/>
  <c r="S336" i="19"/>
  <c r="S337" i="19"/>
  <c r="S338" i="19"/>
  <c r="S339" i="19"/>
  <c r="S340" i="19"/>
  <c r="S341" i="19"/>
  <c r="S342" i="19"/>
  <c r="S343" i="19"/>
  <c r="S344" i="19"/>
  <c r="S345" i="19"/>
  <c r="S346" i="19"/>
  <c r="S347" i="19"/>
  <c r="S348" i="19"/>
  <c r="S349" i="19"/>
  <c r="S350" i="19"/>
  <c r="S351" i="19"/>
  <c r="S352" i="19"/>
  <c r="S353" i="19"/>
  <c r="S354" i="19"/>
  <c r="S355" i="19"/>
  <c r="S356" i="19"/>
  <c r="S357" i="19"/>
  <c r="S358" i="19"/>
  <c r="S359" i="19"/>
  <c r="S360" i="19"/>
  <c r="S361" i="19"/>
  <c r="S362" i="19"/>
  <c r="S363" i="19"/>
  <c r="S364" i="19"/>
  <c r="S365" i="19"/>
  <c r="S366" i="19"/>
  <c r="S367" i="19"/>
  <c r="S368" i="19"/>
  <c r="S369" i="19"/>
  <c r="S370" i="19"/>
  <c r="S371" i="19"/>
  <c r="S372" i="19"/>
  <c r="S373" i="19"/>
  <c r="S374" i="19"/>
  <c r="S375" i="19"/>
  <c r="S376" i="19"/>
  <c r="S377" i="19"/>
  <c r="S378" i="19"/>
  <c r="S379" i="19"/>
  <c r="S380" i="19"/>
  <c r="S381" i="19"/>
  <c r="S382" i="19"/>
  <c r="S383" i="19"/>
  <c r="S384" i="19"/>
  <c r="S385" i="19"/>
  <c r="S386" i="19"/>
  <c r="S387" i="19"/>
  <c r="S388" i="19"/>
  <c r="S389" i="19"/>
  <c r="S390" i="19"/>
  <c r="S391" i="19"/>
  <c r="S392" i="19"/>
  <c r="S393" i="19"/>
  <c r="S394" i="19"/>
  <c r="S395" i="19"/>
  <c r="S396" i="19"/>
  <c r="S397" i="19"/>
  <c r="S398" i="19"/>
  <c r="S399" i="19"/>
  <c r="S400" i="19"/>
  <c r="S401" i="19"/>
  <c r="S402" i="19"/>
  <c r="S403" i="19"/>
  <c r="S404" i="19"/>
  <c r="S405" i="19"/>
  <c r="S406" i="19"/>
  <c r="S407" i="19"/>
  <c r="S408" i="19"/>
  <c r="S409" i="19"/>
  <c r="S410" i="19"/>
  <c r="S411" i="19"/>
  <c r="S412" i="19"/>
  <c r="S413" i="19"/>
  <c r="S414" i="19"/>
  <c r="S415" i="19"/>
  <c r="S416" i="19"/>
  <c r="S417" i="19"/>
  <c r="S418" i="19"/>
  <c r="S419" i="19"/>
  <c r="S420" i="19"/>
  <c r="S421" i="19"/>
  <c r="S422" i="19"/>
  <c r="S423" i="19"/>
  <c r="S424" i="19"/>
  <c r="S425" i="19"/>
  <c r="S426" i="19"/>
  <c r="S427" i="19"/>
  <c r="S428" i="19"/>
  <c r="S429" i="19"/>
  <c r="S430" i="19"/>
  <c r="S431" i="19"/>
  <c r="S432" i="19"/>
  <c r="S433" i="19"/>
  <c r="S434" i="19"/>
  <c r="S435" i="19"/>
  <c r="S436" i="19"/>
  <c r="S437" i="19"/>
  <c r="S438" i="19"/>
  <c r="S439" i="19"/>
  <c r="S440" i="19"/>
  <c r="S441" i="19"/>
  <c r="S442" i="19"/>
  <c r="S443" i="19"/>
  <c r="S444" i="19"/>
  <c r="S445" i="19"/>
  <c r="S446" i="19"/>
  <c r="S447" i="19"/>
  <c r="S448" i="19"/>
  <c r="S449" i="19"/>
  <c r="S450" i="19"/>
  <c r="S451" i="19"/>
  <c r="S452" i="19"/>
  <c r="S453" i="19"/>
  <c r="S454" i="19"/>
  <c r="S455" i="19"/>
  <c r="S456" i="19"/>
  <c r="S457" i="19"/>
  <c r="S458" i="19"/>
  <c r="S459" i="19"/>
  <c r="S460" i="19"/>
  <c r="S461" i="19"/>
  <c r="S462" i="19"/>
  <c r="S463" i="19"/>
  <c r="S464" i="19"/>
  <c r="S465" i="19"/>
  <c r="S466" i="19"/>
  <c r="S467" i="19"/>
  <c r="S468" i="19"/>
  <c r="S469" i="19"/>
  <c r="S470" i="19"/>
  <c r="S471" i="19"/>
  <c r="S472" i="19"/>
  <c r="S473" i="19"/>
  <c r="S474" i="19"/>
  <c r="S475" i="19"/>
  <c r="S476" i="19"/>
  <c r="S477" i="19"/>
  <c r="S478" i="19"/>
  <c r="S479" i="19"/>
  <c r="S480" i="19"/>
  <c r="S481" i="19"/>
  <c r="S482" i="19"/>
  <c r="S483" i="19"/>
  <c r="S484" i="19"/>
  <c r="S485" i="19"/>
  <c r="S486" i="19"/>
  <c r="S487" i="19"/>
  <c r="S488" i="19"/>
  <c r="S489" i="19"/>
  <c r="S490" i="19"/>
  <c r="S491" i="19"/>
  <c r="S492" i="19"/>
  <c r="S493" i="19"/>
  <c r="S494" i="19"/>
  <c r="S495" i="19"/>
  <c r="S496" i="19"/>
  <c r="S497" i="19"/>
  <c r="S498" i="19"/>
  <c r="S499" i="19"/>
  <c r="S500" i="19"/>
  <c r="S501" i="19"/>
  <c r="S502" i="19"/>
  <c r="S503" i="19"/>
  <c r="S504" i="19"/>
  <c r="S505" i="19"/>
  <c r="S506" i="19"/>
  <c r="S507" i="19"/>
  <c r="S508" i="19"/>
  <c r="S509" i="19"/>
  <c r="S510" i="19"/>
  <c r="S511" i="19"/>
  <c r="S512" i="19"/>
  <c r="S513" i="19"/>
  <c r="S514" i="19"/>
  <c r="S515" i="19"/>
  <c r="S516" i="19"/>
  <c r="S517" i="19"/>
  <c r="S518" i="19"/>
  <c r="S519" i="19"/>
  <c r="S520" i="19"/>
  <c r="S521" i="19"/>
  <c r="S522" i="19"/>
  <c r="S523" i="19"/>
  <c r="S524" i="19"/>
  <c r="S525" i="19"/>
  <c r="S526" i="19"/>
  <c r="S527" i="19"/>
  <c r="S528" i="19"/>
  <c r="S529" i="19"/>
  <c r="S530" i="19"/>
  <c r="S531" i="19"/>
  <c r="S532" i="19"/>
  <c r="S533" i="19"/>
  <c r="S534" i="19"/>
  <c r="S535" i="19"/>
  <c r="S536" i="19"/>
  <c r="S537" i="19"/>
  <c r="S538" i="19"/>
  <c r="S539" i="19"/>
  <c r="S540" i="19"/>
  <c r="S541" i="19"/>
  <c r="S542" i="19"/>
  <c r="S543" i="19"/>
  <c r="S544" i="19"/>
  <c r="S545" i="19"/>
  <c r="S546" i="19"/>
  <c r="S547" i="19"/>
  <c r="S548" i="19"/>
  <c r="S549" i="19"/>
  <c r="S550" i="19"/>
  <c r="S551" i="19"/>
  <c r="S552" i="19"/>
  <c r="S553" i="19"/>
  <c r="S554" i="19"/>
  <c r="S555" i="19"/>
  <c r="S556" i="19"/>
  <c r="S557" i="19"/>
  <c r="S558" i="19"/>
  <c r="S559" i="19"/>
  <c r="S560" i="19"/>
  <c r="S561" i="19"/>
  <c r="S562" i="19"/>
  <c r="S563" i="19"/>
  <c r="S564" i="19"/>
  <c r="S565" i="19"/>
  <c r="S566" i="19"/>
  <c r="S567" i="19"/>
  <c r="S568" i="19"/>
  <c r="S569" i="19"/>
  <c r="S570" i="19"/>
  <c r="S571" i="19"/>
  <c r="S572" i="19"/>
  <c r="S573" i="19"/>
  <c r="S574" i="19"/>
  <c r="S575" i="19"/>
  <c r="S576" i="19"/>
  <c r="S577" i="19"/>
  <c r="S578" i="19"/>
  <c r="S579" i="19"/>
  <c r="S580" i="19"/>
  <c r="S581" i="19"/>
  <c r="S582" i="19"/>
  <c r="S583" i="19"/>
  <c r="S584" i="19"/>
  <c r="S585" i="19"/>
  <c r="S586" i="19"/>
  <c r="S587" i="19"/>
  <c r="S588" i="19"/>
  <c r="S589" i="19"/>
  <c r="S590" i="19"/>
  <c r="S591" i="19"/>
  <c r="S592" i="19"/>
  <c r="S593" i="19"/>
  <c r="S594" i="19"/>
  <c r="S595" i="19"/>
  <c r="S596" i="19"/>
  <c r="S597" i="19"/>
  <c r="S598" i="19"/>
  <c r="S599" i="19"/>
  <c r="S600" i="19"/>
  <c r="S601" i="19"/>
  <c r="S602" i="19"/>
  <c r="S603" i="19"/>
  <c r="S604" i="19"/>
  <c r="S605" i="19"/>
  <c r="S606" i="19"/>
  <c r="S607" i="19"/>
  <c r="S608" i="19"/>
  <c r="S609" i="19"/>
  <c r="S610" i="19"/>
  <c r="S611" i="19"/>
  <c r="S612" i="19"/>
  <c r="S613" i="19"/>
  <c r="S614" i="19"/>
  <c r="S615" i="19"/>
  <c r="S616" i="19"/>
  <c r="S617" i="19"/>
  <c r="S618" i="19"/>
  <c r="S619" i="19"/>
  <c r="S620" i="19"/>
  <c r="S621" i="19"/>
  <c r="S622" i="19"/>
  <c r="S623" i="19"/>
  <c r="S624" i="19"/>
  <c r="S625" i="19"/>
  <c r="S626" i="19"/>
  <c r="S627" i="19"/>
  <c r="S628" i="19"/>
  <c r="S629" i="19"/>
  <c r="S630" i="19"/>
  <c r="S631" i="19"/>
  <c r="S632" i="19"/>
  <c r="S633" i="19"/>
  <c r="S634" i="19"/>
  <c r="S635" i="19"/>
  <c r="S636" i="19"/>
  <c r="S637" i="19"/>
  <c r="S638" i="19"/>
  <c r="S639" i="19"/>
  <c r="S640" i="19"/>
  <c r="S641" i="19"/>
  <c r="S642" i="19"/>
  <c r="S643" i="19"/>
  <c r="S644" i="19"/>
  <c r="S645" i="19"/>
  <c r="S646" i="19"/>
  <c r="S647" i="19"/>
  <c r="S648" i="19"/>
  <c r="S649" i="19"/>
  <c r="S650" i="19"/>
  <c r="S651" i="19"/>
  <c r="S652" i="19"/>
  <c r="S653" i="19"/>
  <c r="S654" i="19"/>
  <c r="S655" i="19"/>
  <c r="S656" i="19"/>
  <c r="S657" i="19"/>
  <c r="S658" i="19"/>
  <c r="S659" i="19"/>
  <c r="S660" i="19"/>
  <c r="S661" i="19"/>
  <c r="S662" i="19"/>
  <c r="S663" i="19"/>
  <c r="S664" i="19"/>
  <c r="S665" i="19"/>
  <c r="S666" i="19"/>
  <c r="S667" i="19"/>
  <c r="S668" i="19"/>
  <c r="S669" i="19"/>
  <c r="S670" i="19"/>
  <c r="S671" i="19"/>
  <c r="S672" i="19"/>
  <c r="S673" i="19"/>
  <c r="S674" i="19"/>
  <c r="S675" i="19"/>
  <c r="S676" i="19"/>
  <c r="S677" i="19"/>
  <c r="S678" i="19"/>
  <c r="S679" i="19"/>
  <c r="S680" i="19"/>
  <c r="S681" i="19"/>
  <c r="S682" i="19"/>
  <c r="S683" i="19"/>
  <c r="S684" i="19"/>
  <c r="S685" i="19"/>
  <c r="S686" i="19"/>
  <c r="S687" i="19"/>
  <c r="S688" i="19"/>
  <c r="S689" i="19"/>
  <c r="S690" i="19"/>
  <c r="S691" i="19"/>
  <c r="S692" i="19"/>
  <c r="S693" i="19"/>
  <c r="S694" i="19"/>
  <c r="S695" i="19"/>
  <c r="S696" i="19"/>
  <c r="S697" i="19"/>
  <c r="S698" i="19"/>
  <c r="S699" i="19"/>
  <c r="S700" i="19"/>
  <c r="S701" i="19"/>
  <c r="S702" i="19"/>
  <c r="S703" i="19"/>
  <c r="S704" i="19"/>
  <c r="S705" i="19"/>
  <c r="S706" i="19"/>
  <c r="S707" i="19"/>
  <c r="S708" i="19"/>
  <c r="S709" i="19"/>
  <c r="S710" i="19"/>
  <c r="S711" i="19"/>
  <c r="S712" i="19"/>
  <c r="S713" i="19"/>
  <c r="S714" i="19"/>
  <c r="S715" i="19"/>
  <c r="S716" i="19"/>
  <c r="S717" i="19"/>
  <c r="S718" i="19"/>
  <c r="S719" i="19"/>
  <c r="S720" i="19"/>
  <c r="S721" i="19"/>
  <c r="S722" i="19"/>
  <c r="S723" i="19"/>
  <c r="S724" i="19"/>
  <c r="S725" i="19"/>
  <c r="S726" i="19"/>
  <c r="S727" i="19"/>
  <c r="S728" i="19"/>
  <c r="S729" i="19"/>
  <c r="S730" i="19"/>
  <c r="S731" i="19"/>
  <c r="S732" i="19"/>
  <c r="S733" i="19"/>
  <c r="S734" i="19"/>
  <c r="S735" i="19"/>
  <c r="S736" i="19"/>
  <c r="S737" i="19"/>
  <c r="S738" i="19"/>
  <c r="S739" i="19"/>
  <c r="S740" i="19"/>
  <c r="S741" i="19"/>
  <c r="S742" i="19"/>
  <c r="S743" i="19"/>
  <c r="S744" i="19"/>
  <c r="S745" i="19"/>
  <c r="S746" i="19"/>
  <c r="S747" i="19"/>
  <c r="S748" i="19"/>
  <c r="S749" i="19"/>
  <c r="S750" i="19"/>
  <c r="S751" i="19"/>
  <c r="S752" i="19"/>
  <c r="S753" i="19"/>
  <c r="S754" i="19"/>
  <c r="S755" i="19"/>
  <c r="S756" i="19"/>
  <c r="S757" i="19"/>
  <c r="S758" i="19"/>
  <c r="S759" i="19"/>
  <c r="S760" i="19"/>
  <c r="S761" i="19"/>
  <c r="S762" i="19"/>
  <c r="S763" i="19"/>
  <c r="S764" i="19"/>
  <c r="S765" i="19"/>
  <c r="S766" i="19"/>
  <c r="S767" i="19"/>
  <c r="S768" i="19"/>
  <c r="S769" i="19"/>
  <c r="S770" i="19"/>
  <c r="S771" i="19"/>
  <c r="S772" i="19"/>
  <c r="S773" i="19"/>
  <c r="S774" i="19"/>
  <c r="S775" i="19"/>
  <c r="S776" i="19"/>
  <c r="S777" i="19"/>
  <c r="S778" i="19"/>
  <c r="S779" i="19"/>
  <c r="S780" i="19"/>
  <c r="S781" i="19"/>
  <c r="S782" i="19"/>
  <c r="S783" i="19"/>
  <c r="S784" i="19"/>
  <c r="S785" i="19"/>
  <c r="S786" i="19"/>
  <c r="S787" i="19"/>
  <c r="S788" i="19"/>
  <c r="S789" i="19"/>
  <c r="S790" i="19"/>
  <c r="S791" i="19"/>
  <c r="S792" i="19"/>
  <c r="S793" i="19"/>
  <c r="S794" i="19"/>
  <c r="S795" i="19"/>
  <c r="S796" i="19"/>
  <c r="S797" i="19"/>
  <c r="S798" i="19"/>
  <c r="S799" i="19"/>
  <c r="S800" i="19"/>
  <c r="S801" i="19"/>
  <c r="S802" i="19"/>
  <c r="S803" i="19"/>
  <c r="S804" i="19"/>
  <c r="S805" i="19"/>
  <c r="S806" i="19"/>
  <c r="S807" i="19"/>
  <c r="S808" i="19"/>
  <c r="S809" i="19"/>
  <c r="S810" i="19"/>
  <c r="S811" i="19"/>
  <c r="S812" i="19"/>
  <c r="S813" i="19"/>
  <c r="S814" i="19"/>
  <c r="S815" i="19"/>
  <c r="S816" i="19"/>
  <c r="S817" i="19"/>
  <c r="S818" i="19"/>
  <c r="S819" i="19"/>
  <c r="S820" i="19"/>
  <c r="S821" i="19"/>
  <c r="S822" i="19"/>
  <c r="S823" i="19"/>
  <c r="S824" i="19"/>
  <c r="S825" i="19"/>
  <c r="S826" i="19"/>
  <c r="S827" i="19"/>
  <c r="S828" i="19"/>
  <c r="S829" i="19"/>
  <c r="S830" i="19"/>
  <c r="S831" i="19"/>
  <c r="S832" i="19"/>
  <c r="S833" i="19"/>
  <c r="S834" i="19"/>
  <c r="S835" i="19"/>
  <c r="S836" i="19"/>
  <c r="S837" i="19"/>
  <c r="S838" i="19"/>
  <c r="S839" i="19"/>
  <c r="S840" i="19"/>
  <c r="S841" i="19"/>
  <c r="S842" i="19"/>
  <c r="S843" i="19"/>
  <c r="S844" i="19"/>
  <c r="S845" i="19"/>
  <c r="S846" i="19"/>
  <c r="S847" i="19"/>
  <c r="S848" i="19"/>
  <c r="S849" i="19"/>
  <c r="S850" i="19"/>
  <c r="S851" i="19"/>
  <c r="S852" i="19"/>
  <c r="S853" i="19"/>
  <c r="S854" i="19"/>
  <c r="S855" i="19"/>
  <c r="S856" i="19"/>
  <c r="S857" i="19"/>
  <c r="S858" i="19"/>
  <c r="S859" i="19"/>
  <c r="S860" i="19"/>
  <c r="S861" i="19"/>
  <c r="S862" i="19"/>
  <c r="S863" i="19"/>
  <c r="S864" i="19"/>
  <c r="S865" i="19"/>
  <c r="S866" i="19"/>
  <c r="S867" i="19"/>
  <c r="S868" i="19"/>
  <c r="S869" i="19"/>
  <c r="S870" i="19"/>
  <c r="S871" i="19"/>
  <c r="S872" i="19"/>
  <c r="S873" i="19"/>
  <c r="S874" i="19"/>
  <c r="S875" i="19"/>
  <c r="S876" i="19"/>
  <c r="S877" i="19"/>
  <c r="S878" i="19"/>
  <c r="S879" i="19"/>
  <c r="S880" i="19"/>
  <c r="S881" i="19"/>
  <c r="S882" i="19"/>
  <c r="S883" i="19"/>
  <c r="S884" i="19"/>
  <c r="S885" i="19"/>
  <c r="S886" i="19"/>
  <c r="S887" i="19"/>
  <c r="S888" i="19"/>
  <c r="S889" i="19"/>
  <c r="S890" i="19"/>
  <c r="S891" i="19"/>
  <c r="S892" i="19"/>
  <c r="S893" i="19"/>
  <c r="S894" i="19"/>
  <c r="S895" i="19"/>
  <c r="S896" i="19"/>
  <c r="S897" i="19"/>
  <c r="S898" i="19"/>
  <c r="S899" i="19"/>
  <c r="S900" i="19"/>
  <c r="S901" i="19"/>
  <c r="S902" i="19"/>
  <c r="S903" i="19"/>
  <c r="S904" i="19"/>
  <c r="S905" i="19"/>
  <c r="S906" i="19"/>
  <c r="S907" i="19"/>
  <c r="S908" i="19"/>
  <c r="S909" i="19"/>
  <c r="S910" i="19"/>
  <c r="S911" i="19"/>
  <c r="S912" i="19"/>
  <c r="S913" i="19"/>
  <c r="S914" i="19"/>
  <c r="S915" i="19"/>
  <c r="S916" i="19"/>
  <c r="S917" i="19"/>
  <c r="S918" i="19"/>
  <c r="S919" i="19"/>
  <c r="S920" i="19"/>
  <c r="S921" i="19"/>
  <c r="S922" i="19"/>
  <c r="S923" i="19"/>
  <c r="S924" i="19"/>
  <c r="S925" i="19"/>
  <c r="S926" i="19"/>
  <c r="S927" i="19"/>
  <c r="S928" i="19"/>
  <c r="S929" i="19"/>
  <c r="S930" i="19"/>
  <c r="S931" i="19"/>
  <c r="S932" i="19"/>
  <c r="S933" i="19"/>
  <c r="S934" i="19"/>
  <c r="S935" i="19"/>
  <c r="S936" i="19"/>
  <c r="S937" i="19"/>
  <c r="S938" i="19"/>
  <c r="S939" i="19"/>
  <c r="S940" i="19"/>
  <c r="S941" i="19"/>
  <c r="S942" i="19"/>
  <c r="S943" i="19"/>
  <c r="S944" i="19"/>
  <c r="S945" i="19"/>
  <c r="S946" i="19"/>
  <c r="S947" i="19"/>
  <c r="S948" i="19"/>
  <c r="S949" i="19"/>
  <c r="S950" i="19"/>
  <c r="S951" i="19"/>
  <c r="S952" i="19"/>
  <c r="S953" i="19"/>
  <c r="S954" i="19"/>
  <c r="S955" i="19"/>
  <c r="S956" i="19"/>
  <c r="S957" i="19"/>
  <c r="S958" i="19"/>
  <c r="S959" i="19"/>
  <c r="S960" i="19"/>
  <c r="S961" i="19"/>
  <c r="S962" i="19"/>
  <c r="S963" i="19"/>
  <c r="S964" i="19"/>
  <c r="S965" i="19"/>
  <c r="S966" i="19"/>
  <c r="S967" i="19"/>
  <c r="S968" i="19"/>
  <c r="S969" i="19"/>
  <c r="S970" i="19"/>
  <c r="S971" i="19"/>
  <c r="S972" i="19"/>
  <c r="S973" i="19"/>
  <c r="S974" i="19"/>
  <c r="S975" i="19"/>
  <c r="S976" i="19"/>
  <c r="S977" i="19"/>
  <c r="S978" i="19"/>
  <c r="S979" i="19"/>
  <c r="S980" i="19"/>
  <c r="S981" i="19"/>
  <c r="S982" i="19"/>
  <c r="S983" i="19"/>
  <c r="S984" i="19"/>
  <c r="S985" i="19"/>
  <c r="S986" i="19"/>
  <c r="S987" i="19"/>
  <c r="S988" i="19"/>
  <c r="S989" i="19"/>
  <c r="S990" i="19"/>
  <c r="S991" i="19"/>
  <c r="S992" i="19"/>
  <c r="S993" i="19"/>
  <c r="S994" i="19"/>
  <c r="S995" i="19"/>
  <c r="S996" i="19"/>
  <c r="S997" i="19"/>
  <c r="S998" i="19"/>
  <c r="S999" i="19"/>
  <c r="S1000" i="19"/>
  <c r="S1001" i="19"/>
  <c r="S1002" i="19"/>
  <c r="S1003" i="19"/>
  <c r="S1004" i="19"/>
  <c r="S1005" i="19"/>
  <c r="S1006" i="19"/>
  <c r="S1007" i="19"/>
  <c r="S1008" i="19"/>
  <c r="S1009" i="19"/>
  <c r="S1010" i="19"/>
  <c r="S1011" i="19"/>
  <c r="S1012" i="19"/>
  <c r="S1013" i="19"/>
  <c r="S1014" i="19"/>
  <c r="S1015" i="19"/>
  <c r="S1016" i="19"/>
  <c r="S1017" i="19"/>
  <c r="S1018" i="19"/>
  <c r="S1019" i="19"/>
  <c r="S1020" i="19"/>
  <c r="S1021" i="19"/>
  <c r="S1022" i="19"/>
  <c r="S1023" i="19"/>
  <c r="S1024" i="19"/>
  <c r="S1025" i="19"/>
  <c r="S1026" i="19"/>
  <c r="S1027" i="19"/>
  <c r="S1028" i="19"/>
  <c r="S1029" i="19"/>
  <c r="S1030" i="19"/>
  <c r="S1031" i="19"/>
  <c r="S1032" i="19"/>
  <c r="S1033" i="19"/>
  <c r="S1034" i="19"/>
  <c r="S1035" i="19"/>
  <c r="S1036" i="19"/>
  <c r="S1037" i="19"/>
  <c r="S1038" i="19"/>
  <c r="S1039" i="19"/>
  <c r="S1040" i="19"/>
  <c r="S1041" i="19"/>
  <c r="S1042" i="19"/>
  <c r="S1043" i="19"/>
  <c r="S1044" i="19"/>
  <c r="S1045" i="19"/>
  <c r="S1046" i="19"/>
  <c r="S1047" i="19"/>
  <c r="S1048" i="19"/>
  <c r="S1049" i="19"/>
  <c r="S1050" i="19"/>
  <c r="S1051" i="19"/>
  <c r="S1052" i="19"/>
  <c r="S1053" i="19"/>
  <c r="S1054" i="19"/>
  <c r="S1055" i="19"/>
  <c r="S1056" i="19"/>
  <c r="S1057" i="19"/>
  <c r="S1058" i="19"/>
  <c r="S1059" i="19"/>
  <c r="S1060" i="19"/>
  <c r="S1061" i="19"/>
  <c r="S1062" i="19"/>
  <c r="S1063" i="19"/>
  <c r="S1064" i="19"/>
  <c r="S1065" i="19"/>
  <c r="S1066" i="19"/>
  <c r="S1067" i="19"/>
  <c r="S1068" i="19"/>
  <c r="S1069" i="19"/>
  <c r="S1070" i="19"/>
  <c r="S1071" i="19"/>
  <c r="S1072" i="19"/>
  <c r="S1073" i="19"/>
  <c r="S1074" i="19"/>
  <c r="S1075" i="19"/>
  <c r="S1076" i="19"/>
  <c r="S1077" i="19"/>
  <c r="S1078" i="19"/>
  <c r="S1079" i="19"/>
  <c r="S1080" i="19"/>
  <c r="S1081" i="19"/>
  <c r="S1082" i="19"/>
  <c r="S1083" i="19"/>
  <c r="S1084" i="19"/>
  <c r="S1085" i="19"/>
  <c r="S1086" i="19"/>
  <c r="S1087" i="19"/>
  <c r="S1088" i="19"/>
  <c r="S1089" i="19"/>
  <c r="S1090" i="19"/>
  <c r="S1091" i="19"/>
  <c r="S1092" i="19"/>
  <c r="S1093" i="19"/>
  <c r="S1094" i="19"/>
  <c r="S1095" i="19"/>
  <c r="S1096" i="19"/>
  <c r="S1097" i="19"/>
  <c r="S1098" i="19"/>
  <c r="S1099" i="19"/>
  <c r="S1100" i="19"/>
  <c r="S1101" i="19"/>
  <c r="S1102" i="19"/>
  <c r="S1103" i="19"/>
  <c r="S1104" i="19"/>
  <c r="S1105" i="19"/>
  <c r="S1106" i="19"/>
  <c r="S1107" i="19"/>
  <c r="S1108" i="19"/>
  <c r="S1109" i="19"/>
  <c r="S1110" i="19"/>
  <c r="S1111" i="19"/>
  <c r="S1112" i="19"/>
  <c r="S1113" i="19"/>
  <c r="S1114" i="19"/>
  <c r="S1115" i="19"/>
  <c r="S1116" i="19"/>
  <c r="S1117" i="19"/>
  <c r="S1118" i="19"/>
  <c r="S1119" i="19"/>
  <c r="S1120" i="19"/>
  <c r="S1121" i="19"/>
  <c r="S1122" i="19"/>
  <c r="S1123" i="19"/>
  <c r="S1124" i="19"/>
  <c r="S1125" i="19"/>
  <c r="S1126" i="19"/>
  <c r="S1127" i="19"/>
  <c r="S1128" i="19"/>
  <c r="S1129" i="19"/>
  <c r="S1130" i="19"/>
  <c r="S1131" i="19"/>
  <c r="S1132" i="19"/>
  <c r="S1133" i="19"/>
  <c r="S1134" i="19"/>
  <c r="S1135" i="19"/>
  <c r="S1136" i="19"/>
  <c r="S1137" i="19"/>
  <c r="S1138" i="19"/>
  <c r="S1139" i="19"/>
  <c r="S1140" i="19"/>
  <c r="S1141" i="19"/>
  <c r="S1142" i="19"/>
  <c r="S1143" i="19"/>
  <c r="S1144" i="19"/>
  <c r="S1145" i="19"/>
  <c r="S1146" i="19"/>
  <c r="S1147" i="19"/>
  <c r="S1148" i="19"/>
  <c r="S1149" i="19"/>
  <c r="S1150" i="19"/>
  <c r="S1151" i="19"/>
  <c r="S1152" i="19"/>
  <c r="S1153" i="19"/>
  <c r="S1154" i="19"/>
  <c r="S1155" i="19"/>
  <c r="S1156" i="19"/>
  <c r="S1157" i="19"/>
  <c r="S1158" i="19"/>
  <c r="S1159" i="19"/>
  <c r="S1160" i="19"/>
  <c r="S1161" i="19"/>
  <c r="S1162" i="19"/>
  <c r="S1163" i="19"/>
  <c r="S1164" i="19"/>
  <c r="S1165" i="19"/>
  <c r="S1166" i="19"/>
  <c r="S1167" i="19"/>
  <c r="S1168" i="19"/>
  <c r="S1169" i="19"/>
  <c r="S1170" i="19"/>
  <c r="S1171" i="19"/>
  <c r="S1172" i="19"/>
  <c r="S1173" i="19"/>
  <c r="S1174" i="19"/>
  <c r="S1175" i="19"/>
  <c r="S1176" i="19"/>
  <c r="S1177" i="19"/>
  <c r="S1178" i="19"/>
  <c r="S1179" i="19"/>
  <c r="S1180" i="19"/>
  <c r="S1181" i="19"/>
  <c r="S1182" i="19"/>
  <c r="S1183" i="19"/>
  <c r="S1184" i="19"/>
  <c r="S1185" i="19"/>
  <c r="S1186" i="19"/>
  <c r="S1187" i="19"/>
  <c r="S1188" i="19"/>
  <c r="S1189" i="19"/>
  <c r="S1190" i="19"/>
  <c r="S1191" i="19"/>
  <c r="S1192" i="19"/>
  <c r="S1193" i="19"/>
  <c r="S1194" i="19"/>
  <c r="S1195" i="19"/>
  <c r="S1196" i="19"/>
  <c r="S1197" i="19"/>
  <c r="S1198" i="19"/>
  <c r="S1199" i="19"/>
  <c r="S1200" i="19"/>
  <c r="S1201" i="19"/>
  <c r="S1202" i="19"/>
  <c r="S1203" i="19"/>
  <c r="S1204" i="19"/>
  <c r="S1205" i="19"/>
  <c r="S1206" i="19"/>
  <c r="S1207" i="19"/>
  <c r="S1208" i="19"/>
  <c r="S1209" i="19"/>
  <c r="S1210" i="19"/>
  <c r="S1211" i="19"/>
  <c r="S1212" i="19"/>
  <c r="S1213" i="19"/>
  <c r="S1214" i="19"/>
  <c r="S1215" i="19"/>
  <c r="S1216" i="19"/>
  <c r="S1217" i="19"/>
  <c r="S1218" i="19"/>
  <c r="S1219" i="19"/>
  <c r="S1220" i="19"/>
  <c r="S1221" i="19"/>
  <c r="S1222" i="19"/>
  <c r="S1223" i="19"/>
  <c r="S1224" i="19"/>
  <c r="S1225" i="19"/>
  <c r="S1226" i="19"/>
  <c r="S1227" i="19"/>
  <c r="S1228" i="19"/>
  <c r="S1229" i="19"/>
  <c r="S1230" i="19"/>
  <c r="S1231" i="19"/>
  <c r="S1232" i="19"/>
  <c r="S1233" i="19"/>
  <c r="S1234" i="19"/>
  <c r="S1235" i="19"/>
  <c r="S1236" i="19"/>
  <c r="S1237" i="19"/>
  <c r="S1238" i="19"/>
  <c r="S1239" i="19"/>
  <c r="S1240" i="19"/>
  <c r="S1241" i="19"/>
  <c r="S1242" i="19"/>
  <c r="S1243" i="19"/>
  <c r="S1244" i="19"/>
  <c r="S1245" i="19"/>
  <c r="S1246" i="19"/>
  <c r="S1247" i="19"/>
  <c r="S1248" i="19"/>
  <c r="S1249" i="19"/>
  <c r="S1250" i="19"/>
  <c r="S1251" i="19"/>
  <c r="S1252" i="19"/>
  <c r="S1253" i="19"/>
  <c r="S1254" i="19"/>
  <c r="S1255" i="19"/>
  <c r="S1256" i="19"/>
  <c r="S1257" i="19"/>
  <c r="S1258" i="19"/>
  <c r="S1259" i="19"/>
  <c r="S1260" i="19"/>
  <c r="S1261" i="19"/>
  <c r="S1262" i="19"/>
  <c r="S1263" i="19"/>
  <c r="S1264" i="19"/>
  <c r="S1265" i="19"/>
  <c r="S1266" i="19"/>
  <c r="S1267" i="19"/>
  <c r="S1268" i="19"/>
  <c r="S1269" i="19"/>
  <c r="S1270" i="19"/>
  <c r="S1271" i="19"/>
  <c r="S1272" i="19"/>
  <c r="S1273" i="19"/>
  <c r="S1274" i="19"/>
  <c r="S1275" i="19"/>
  <c r="S1276" i="19"/>
  <c r="S1277" i="19"/>
  <c r="S1278" i="19"/>
  <c r="S1279" i="19"/>
  <c r="S1280" i="19"/>
  <c r="S1281" i="19"/>
  <c r="S1282" i="19"/>
  <c r="S1283" i="19"/>
  <c r="S1284" i="19"/>
  <c r="S1285" i="19"/>
  <c r="S1286" i="19"/>
  <c r="S1287" i="19"/>
  <c r="S1288" i="19"/>
  <c r="S1289" i="19"/>
  <c r="S1290" i="19"/>
  <c r="S1291" i="19"/>
  <c r="S1292" i="19"/>
  <c r="S1293" i="19"/>
  <c r="S1294" i="19"/>
  <c r="S1295" i="19"/>
  <c r="S1296" i="19"/>
  <c r="S1297" i="19"/>
  <c r="S1298" i="19"/>
  <c r="S1299" i="19"/>
  <c r="S1300" i="19"/>
  <c r="S1301" i="19"/>
  <c r="S1302" i="19"/>
  <c r="S1303" i="19"/>
  <c r="S1304" i="19"/>
  <c r="S1305" i="19"/>
  <c r="S1306" i="19"/>
  <c r="S1307" i="19"/>
  <c r="S1308" i="19"/>
  <c r="S1309" i="19"/>
  <c r="S1310" i="19"/>
  <c r="S1311" i="19"/>
  <c r="S1312" i="19"/>
  <c r="S1313" i="19"/>
  <c r="S1314" i="19"/>
  <c r="S1315" i="19"/>
  <c r="S1316" i="19"/>
  <c r="S1317" i="19"/>
  <c r="S1318" i="19"/>
  <c r="S1319" i="19"/>
  <c r="S1320" i="19"/>
  <c r="S1321" i="19"/>
  <c r="S1322" i="19"/>
  <c r="S1323" i="19"/>
  <c r="S1324" i="19"/>
  <c r="S1325" i="19"/>
  <c r="S1326" i="19"/>
  <c r="S1327" i="19"/>
  <c r="S1328" i="19"/>
  <c r="S1329" i="19"/>
  <c r="S1330" i="19"/>
  <c r="S1331" i="19"/>
  <c r="S1332" i="19"/>
  <c r="S1333" i="19"/>
  <c r="S1334" i="19"/>
  <c r="S1335" i="19"/>
  <c r="S1336" i="19"/>
  <c r="S1337" i="19"/>
  <c r="S1338" i="19"/>
  <c r="S1339" i="19"/>
  <c r="S1340" i="19"/>
  <c r="S1341" i="19"/>
  <c r="S1342" i="19"/>
  <c r="S1343" i="19"/>
  <c r="S1344" i="19"/>
  <c r="S1345" i="19"/>
  <c r="S1346" i="19"/>
  <c r="S1347" i="19"/>
  <c r="S1348" i="19"/>
  <c r="S1349" i="19"/>
  <c r="S1350" i="19"/>
  <c r="S1351" i="19"/>
  <c r="S1352" i="19"/>
  <c r="S1353" i="19"/>
  <c r="S1354" i="19"/>
  <c r="S1355" i="19"/>
  <c r="S1356" i="19"/>
  <c r="S1357" i="19"/>
  <c r="S1358" i="19"/>
  <c r="S1359" i="19"/>
  <c r="S1360" i="19"/>
  <c r="S1361" i="19"/>
  <c r="S1362" i="19"/>
  <c r="S1363" i="19"/>
  <c r="S1364" i="19"/>
  <c r="S1365" i="19"/>
  <c r="S1366" i="19"/>
  <c r="S1367" i="19"/>
  <c r="S1368" i="19"/>
  <c r="S1369" i="19"/>
  <c r="S1370" i="19"/>
  <c r="S1371" i="19"/>
  <c r="S1372" i="19"/>
  <c r="S1373" i="19"/>
  <c r="S1374" i="19"/>
  <c r="S1375" i="19"/>
  <c r="S1376" i="19"/>
  <c r="S1377" i="19"/>
  <c r="S1378" i="19"/>
  <c r="S1379" i="19"/>
  <c r="S1380" i="19"/>
  <c r="S1381" i="19"/>
  <c r="S1382" i="19"/>
  <c r="S1383" i="19"/>
  <c r="S1384" i="19"/>
  <c r="S1385" i="19"/>
  <c r="S1386" i="19"/>
  <c r="S1387" i="19"/>
  <c r="S1388" i="19"/>
  <c r="S1389" i="19"/>
  <c r="S1390" i="19"/>
  <c r="S1391" i="19"/>
  <c r="S1392" i="19"/>
  <c r="S1393" i="19"/>
  <c r="S1394" i="19"/>
  <c r="S1395" i="19"/>
  <c r="S1396" i="19"/>
  <c r="S1397" i="19"/>
  <c r="S1398" i="19"/>
  <c r="S1399" i="19"/>
  <c r="S1400" i="19"/>
  <c r="S1401" i="19"/>
  <c r="S1402" i="19"/>
  <c r="S1403" i="19"/>
  <c r="S1404" i="19"/>
  <c r="S1405" i="19"/>
  <c r="S1406" i="19"/>
  <c r="S1407" i="19"/>
  <c r="S1408" i="19"/>
  <c r="S1409" i="19"/>
  <c r="S1410" i="19"/>
  <c r="S1411" i="19"/>
  <c r="S1412" i="19"/>
  <c r="S1413" i="19"/>
  <c r="S1414" i="19"/>
  <c r="S1415" i="19"/>
  <c r="S1416" i="19"/>
  <c r="S1417" i="19"/>
  <c r="S1418" i="19"/>
  <c r="S1419" i="19"/>
  <c r="S1420" i="19"/>
  <c r="S1421" i="19"/>
  <c r="S1422" i="19"/>
  <c r="S1423" i="19"/>
  <c r="S1424" i="19"/>
  <c r="S1425" i="19"/>
  <c r="S1426" i="19"/>
  <c r="S1427" i="19"/>
  <c r="S1428" i="19"/>
  <c r="S1429" i="19"/>
  <c r="S1430" i="19"/>
  <c r="S1431" i="19"/>
  <c r="S1432" i="19"/>
  <c r="S1433" i="19"/>
  <c r="S1434" i="19"/>
  <c r="S1435" i="19"/>
  <c r="S1436" i="19"/>
  <c r="S1437" i="19"/>
  <c r="S1438" i="19"/>
  <c r="S1439" i="19"/>
  <c r="S1440" i="19"/>
  <c r="S1441" i="19"/>
  <c r="S1442" i="19"/>
  <c r="S1443" i="19"/>
  <c r="S1444" i="19"/>
  <c r="S1445" i="19"/>
  <c r="S1446" i="19"/>
  <c r="S1447" i="19"/>
  <c r="S1448" i="19"/>
  <c r="S1449" i="19"/>
  <c r="S1450" i="19"/>
  <c r="S1451" i="19"/>
  <c r="S1452" i="19"/>
  <c r="S1453" i="19"/>
  <c r="S1454" i="19"/>
  <c r="S1455" i="19"/>
  <c r="S1456" i="19"/>
  <c r="S1457" i="19"/>
  <c r="S1458" i="19"/>
  <c r="S1459" i="19"/>
  <c r="S1460" i="19"/>
  <c r="S1461" i="19"/>
  <c r="S1462" i="19"/>
  <c r="S1463" i="19"/>
  <c r="S1464" i="19"/>
  <c r="S1465" i="19"/>
  <c r="S1466" i="19"/>
  <c r="S1467" i="19"/>
  <c r="S1468" i="19"/>
  <c r="S1469" i="19"/>
  <c r="S1470" i="19"/>
  <c r="S1471" i="19"/>
  <c r="S1472" i="19"/>
  <c r="S1473" i="19"/>
  <c r="S1474" i="19"/>
  <c r="S1475" i="19"/>
  <c r="S1476" i="19"/>
  <c r="S1477" i="19"/>
  <c r="S1478" i="19"/>
  <c r="S1479" i="19"/>
  <c r="S1480" i="19"/>
  <c r="S1481" i="19"/>
  <c r="S1482" i="19"/>
  <c r="S1483" i="19"/>
  <c r="S1484" i="19"/>
  <c r="S1485" i="19"/>
  <c r="S1486" i="19"/>
  <c r="S1487" i="19"/>
  <c r="S1488" i="19"/>
  <c r="S1489" i="19"/>
  <c r="S1490" i="19"/>
  <c r="S1491" i="19"/>
  <c r="S1492" i="19"/>
  <c r="S1493" i="19"/>
  <c r="S1494" i="19"/>
  <c r="S1495" i="19"/>
  <c r="S1496" i="19"/>
  <c r="S1497" i="19"/>
  <c r="S1498" i="19"/>
  <c r="S1499" i="19"/>
  <c r="S1500" i="19"/>
  <c r="S1501" i="19"/>
  <c r="S1502" i="19"/>
  <c r="S1503" i="19"/>
  <c r="S1504" i="19"/>
  <c r="S1505" i="19"/>
  <c r="S1506" i="19"/>
  <c r="S1507" i="19"/>
  <c r="S1508" i="19"/>
  <c r="S1509" i="19"/>
  <c r="S1510" i="19"/>
  <c r="S1511" i="19"/>
  <c r="S1512" i="19"/>
  <c r="S1513" i="19"/>
  <c r="S1514" i="19"/>
  <c r="S1515" i="19"/>
  <c r="S1516" i="19"/>
  <c r="S1517" i="19"/>
  <c r="S1518" i="19"/>
  <c r="S1519" i="19"/>
  <c r="S1520" i="19"/>
  <c r="S1521" i="19"/>
  <c r="S1522" i="19"/>
  <c r="S1523" i="19"/>
  <c r="S1524" i="19"/>
  <c r="S1525" i="19"/>
  <c r="S1526" i="19"/>
  <c r="S1527" i="19"/>
  <c r="S1528" i="19"/>
  <c r="S1529" i="19"/>
  <c r="S1530" i="19"/>
  <c r="S1531" i="19"/>
  <c r="S1532" i="19"/>
  <c r="S1533" i="19"/>
  <c r="S1534" i="19"/>
  <c r="S1535" i="19"/>
  <c r="S1536" i="19"/>
  <c r="S1537" i="19"/>
  <c r="S1538" i="19"/>
  <c r="S1539" i="19"/>
  <c r="S1540" i="19"/>
  <c r="S1541" i="19"/>
  <c r="S1542" i="19"/>
  <c r="S1543" i="19"/>
  <c r="S1544" i="19"/>
  <c r="S1545" i="19"/>
  <c r="S1546" i="19"/>
  <c r="S1547" i="19"/>
  <c r="S1548" i="19"/>
  <c r="S1549" i="19"/>
  <c r="S1550" i="19"/>
  <c r="S1551" i="19"/>
  <c r="S1552" i="19"/>
  <c r="S1553" i="19"/>
  <c r="S1554" i="19"/>
  <c r="S1555" i="19"/>
  <c r="S1556" i="19"/>
  <c r="S1557" i="19"/>
  <c r="S1558" i="19"/>
  <c r="S1559" i="19"/>
  <c r="S1560" i="19"/>
  <c r="S1561" i="19"/>
  <c r="S1562" i="19"/>
  <c r="S1563" i="19"/>
  <c r="S1564" i="19"/>
  <c r="S1565" i="19"/>
  <c r="S1566" i="19"/>
  <c r="S1567" i="19"/>
  <c r="S1568" i="19"/>
  <c r="S1569" i="19"/>
  <c r="S1570" i="19"/>
  <c r="S1571" i="19"/>
  <c r="S1572" i="19"/>
  <c r="S1573" i="19"/>
  <c r="S1574" i="19"/>
  <c r="S1575" i="19"/>
  <c r="S1576" i="19"/>
  <c r="S1577" i="19"/>
  <c r="S1578" i="19"/>
  <c r="S1579" i="19"/>
  <c r="S1580" i="19"/>
  <c r="S1581" i="19"/>
  <c r="S1582" i="19"/>
  <c r="S1583" i="19"/>
  <c r="S1584" i="19"/>
  <c r="S1585" i="19"/>
  <c r="S1586" i="19"/>
  <c r="S1587" i="19"/>
  <c r="S1588" i="19"/>
  <c r="S1589" i="19"/>
  <c r="S1590" i="19"/>
  <c r="S1591" i="19"/>
  <c r="S1592" i="19"/>
  <c r="S1593" i="19"/>
  <c r="S1594" i="19"/>
  <c r="S1595" i="19"/>
  <c r="S1596" i="19"/>
  <c r="S1597" i="19"/>
  <c r="S1598" i="19"/>
  <c r="S1599" i="19"/>
  <c r="S1600" i="19"/>
  <c r="S1601" i="19"/>
  <c r="S1602" i="19"/>
  <c r="S1603" i="19"/>
  <c r="S1604" i="19"/>
  <c r="S1605" i="19"/>
  <c r="S1606" i="19"/>
  <c r="S1607" i="19"/>
  <c r="S1608" i="19"/>
  <c r="S1609" i="19"/>
  <c r="S1610" i="19"/>
  <c r="S1611" i="19"/>
  <c r="S1612" i="19"/>
  <c r="S1613" i="19"/>
  <c r="S1614" i="19"/>
  <c r="S1615" i="19"/>
  <c r="S1616" i="19"/>
  <c r="S1617" i="19"/>
  <c r="S1618" i="19"/>
  <c r="S1619" i="19"/>
  <c r="S1620" i="19"/>
  <c r="S1621" i="19"/>
  <c r="S1622" i="19"/>
  <c r="S1623" i="19"/>
  <c r="S1624" i="19"/>
  <c r="S1625" i="19"/>
  <c r="S1626" i="19"/>
  <c r="S1627" i="19"/>
  <c r="S1628" i="19"/>
  <c r="S1629" i="19"/>
  <c r="S1630" i="19"/>
  <c r="S1631" i="19"/>
  <c r="S1632" i="19"/>
  <c r="S1633" i="19"/>
  <c r="S1634" i="19"/>
  <c r="S1635" i="19"/>
  <c r="S1636" i="19"/>
  <c r="S1637" i="19"/>
  <c r="S1638" i="19"/>
  <c r="S1639" i="19"/>
  <c r="S1640" i="19"/>
  <c r="S1641" i="19"/>
  <c r="S1642" i="19"/>
  <c r="S1643" i="19"/>
  <c r="S1644" i="19"/>
  <c r="S1645" i="19"/>
  <c r="S1646" i="19"/>
  <c r="S1647" i="19"/>
  <c r="S1648" i="19"/>
  <c r="S1649" i="19"/>
  <c r="S1650" i="19"/>
  <c r="S1651" i="19"/>
  <c r="S1652" i="19"/>
  <c r="S1653" i="19"/>
  <c r="S1654" i="19"/>
  <c r="S1655" i="19"/>
  <c r="S1656" i="19"/>
  <c r="S1657" i="19"/>
  <c r="S1658" i="19"/>
  <c r="S1659" i="19"/>
  <c r="S1660" i="19"/>
  <c r="S1661" i="19"/>
  <c r="S1662" i="19"/>
  <c r="S1663" i="19"/>
  <c r="S1664" i="19"/>
  <c r="S1665" i="19"/>
  <c r="S1666" i="19"/>
  <c r="S1667" i="19"/>
  <c r="S1668" i="19"/>
  <c r="S1669" i="19"/>
  <c r="S1670" i="19"/>
  <c r="S1671" i="19"/>
  <c r="S1672" i="19"/>
  <c r="S1673" i="19"/>
  <c r="S1674" i="19"/>
  <c r="S1675" i="19"/>
  <c r="S1676" i="19"/>
  <c r="S1677" i="19"/>
  <c r="S1678" i="19"/>
  <c r="S1679" i="19"/>
  <c r="S1680" i="19"/>
  <c r="S1681" i="19"/>
  <c r="S1682" i="19"/>
  <c r="S1683" i="19"/>
  <c r="S1684" i="19"/>
  <c r="S1685" i="19"/>
  <c r="S1686" i="19"/>
  <c r="S1687" i="19"/>
  <c r="S1688" i="19"/>
  <c r="S1689" i="19"/>
  <c r="S1690" i="19"/>
  <c r="S1691" i="19"/>
  <c r="S1692" i="19"/>
  <c r="S1693" i="19"/>
  <c r="S1694" i="19"/>
  <c r="S1695" i="19"/>
  <c r="S1696" i="19"/>
  <c r="S1697" i="19"/>
  <c r="S1698" i="19"/>
  <c r="S1699" i="19"/>
  <c r="S1700" i="19"/>
  <c r="S1701" i="19"/>
  <c r="S1702" i="19"/>
  <c r="S1703" i="19"/>
  <c r="S1704" i="19"/>
  <c r="S1705" i="19"/>
  <c r="S1706" i="19"/>
  <c r="S1707" i="19"/>
  <c r="S1708" i="19"/>
  <c r="S1709" i="19"/>
  <c r="S1710" i="19"/>
  <c r="S1711" i="19"/>
  <c r="S1712" i="19"/>
  <c r="S1713" i="19"/>
  <c r="S1714" i="19"/>
  <c r="S1715" i="19"/>
  <c r="S1716" i="19"/>
  <c r="S1717" i="19"/>
  <c r="S1718" i="19"/>
  <c r="S1719" i="19"/>
  <c r="S1720" i="19"/>
  <c r="S1721" i="19"/>
  <c r="S1722" i="19"/>
  <c r="S1723" i="19"/>
  <c r="S1724" i="19"/>
  <c r="S1725" i="19"/>
  <c r="S1726" i="19"/>
  <c r="S1727" i="19"/>
  <c r="S1728" i="19"/>
  <c r="S1729" i="19"/>
  <c r="S1730" i="19"/>
  <c r="S1731" i="19"/>
  <c r="S1732" i="19"/>
  <c r="S1733" i="19"/>
  <c r="S1734" i="19"/>
  <c r="S1735" i="19"/>
  <c r="S1736" i="19"/>
  <c r="S1737" i="19"/>
  <c r="S1738" i="19"/>
  <c r="S1739" i="19"/>
  <c r="S1740" i="19"/>
  <c r="S1741" i="19"/>
  <c r="S1742" i="19"/>
  <c r="S1743" i="19"/>
  <c r="S1744" i="19"/>
  <c r="S1745" i="19"/>
  <c r="S1746" i="19"/>
  <c r="S1747" i="19"/>
  <c r="S1748" i="19"/>
  <c r="S1749" i="19"/>
  <c r="S1750" i="19"/>
  <c r="S1751" i="19"/>
  <c r="S1752" i="19"/>
  <c r="S1753" i="19"/>
  <c r="S1754" i="19"/>
  <c r="S1755" i="19"/>
  <c r="S1756" i="19"/>
  <c r="S1757" i="19"/>
  <c r="S1758" i="19"/>
  <c r="S1759" i="19"/>
  <c r="S1760" i="19"/>
  <c r="S1761" i="19"/>
  <c r="S1762" i="19"/>
  <c r="S1763" i="19"/>
  <c r="S1764" i="19"/>
  <c r="S1765" i="19"/>
  <c r="S1766" i="19"/>
  <c r="S1767" i="19"/>
  <c r="S1768" i="19"/>
  <c r="S1769" i="19"/>
  <c r="S1770" i="19"/>
  <c r="S1771" i="19"/>
  <c r="S1772" i="19"/>
  <c r="S1773" i="19"/>
  <c r="S1774" i="19"/>
  <c r="S1775" i="19"/>
  <c r="S1776" i="19"/>
  <c r="S1777" i="19"/>
  <c r="S1778" i="19"/>
  <c r="S1779" i="19"/>
  <c r="S1780" i="19"/>
  <c r="S1781" i="19"/>
  <c r="S1782" i="19"/>
  <c r="S1783" i="19"/>
  <c r="S1784" i="19"/>
  <c r="S1785" i="19"/>
  <c r="S1786" i="19"/>
  <c r="S1787" i="19"/>
  <c r="S1788" i="19"/>
  <c r="S1789" i="19"/>
  <c r="S1790" i="19"/>
  <c r="S1791" i="19"/>
  <c r="S1792" i="19"/>
  <c r="S1793" i="19"/>
  <c r="S1794" i="19"/>
  <c r="S1795" i="19"/>
  <c r="S1796" i="19"/>
  <c r="S1797" i="19"/>
  <c r="S1798" i="19"/>
  <c r="S1799" i="19"/>
  <c r="S1800" i="19"/>
  <c r="S1801" i="19"/>
  <c r="S1802" i="19"/>
  <c r="S1803" i="19"/>
  <c r="S1804" i="19"/>
  <c r="S1805" i="19"/>
  <c r="S1806" i="19"/>
  <c r="S1807" i="19"/>
  <c r="S1808" i="19"/>
  <c r="S1809" i="19"/>
  <c r="S1810" i="19"/>
  <c r="S1811" i="19"/>
  <c r="S1812" i="19"/>
  <c r="S1813" i="19"/>
  <c r="S1814" i="19"/>
  <c r="S1815" i="19"/>
  <c r="S1816" i="19"/>
  <c r="S1817" i="19"/>
  <c r="S1818" i="19"/>
  <c r="S1819" i="19"/>
  <c r="S1820" i="19"/>
  <c r="S1821" i="19"/>
  <c r="S1822" i="19"/>
  <c r="S1823" i="19"/>
  <c r="S1824" i="19"/>
  <c r="S1825" i="19"/>
  <c r="S1826" i="19"/>
  <c r="S1827" i="19"/>
  <c r="S1828" i="19"/>
  <c r="S1829" i="19"/>
  <c r="S1830" i="19"/>
  <c r="S1831" i="19"/>
  <c r="I2" i="24"/>
  <c r="Q1291" i="19"/>
  <c r="Q1380" i="19"/>
  <c r="B20" i="24"/>
  <c r="P1230" i="19"/>
  <c r="P1231" i="19"/>
  <c r="P1232" i="19"/>
  <c r="P1233" i="19"/>
  <c r="P1234" i="19"/>
  <c r="P1235" i="19"/>
  <c r="P1236" i="19"/>
  <c r="P1237" i="19"/>
  <c r="P1238" i="19"/>
  <c r="P1239" i="19"/>
  <c r="P1240" i="19"/>
  <c r="P1241" i="19"/>
  <c r="P1242" i="19"/>
  <c r="P1243" i="19"/>
  <c r="P1244" i="19"/>
  <c r="P1245" i="19"/>
  <c r="P1246" i="19"/>
  <c r="P1247" i="19"/>
  <c r="P1248" i="19"/>
  <c r="P1249" i="19"/>
  <c r="P1250" i="19"/>
  <c r="P1251" i="19"/>
  <c r="P1252" i="19"/>
  <c r="P1253" i="19"/>
  <c r="P1254" i="19"/>
  <c r="P1255" i="19"/>
  <c r="P1256" i="19"/>
  <c r="P1257" i="19"/>
  <c r="P1258" i="19"/>
  <c r="P1259" i="19"/>
  <c r="P1260" i="19"/>
  <c r="P1261" i="19"/>
  <c r="P1262" i="19"/>
  <c r="P1263" i="19"/>
  <c r="P1264" i="19"/>
  <c r="P1265" i="19"/>
  <c r="P1266" i="19"/>
  <c r="P1267" i="19"/>
  <c r="P1268" i="19"/>
  <c r="P1269" i="19"/>
  <c r="P1270" i="19"/>
  <c r="P1271" i="19"/>
  <c r="P1272" i="19"/>
  <c r="P1273" i="19"/>
  <c r="P1274" i="19"/>
  <c r="P1275" i="19"/>
  <c r="P1276" i="19"/>
  <c r="P1277" i="19"/>
  <c r="P1278" i="19"/>
  <c r="P1279" i="19"/>
  <c r="P1280" i="19"/>
  <c r="P1281" i="19"/>
  <c r="P1282" i="19"/>
  <c r="P1283" i="19"/>
  <c r="P1284" i="19"/>
  <c r="P1285" i="19"/>
  <c r="P1286" i="19"/>
  <c r="P1287" i="19"/>
  <c r="P1288" i="19"/>
  <c r="P1289" i="19"/>
  <c r="P1290" i="19"/>
  <c r="P1291" i="19"/>
  <c r="P1292" i="19"/>
  <c r="P1293" i="19"/>
  <c r="P1294" i="19"/>
  <c r="P1295" i="19"/>
  <c r="P1296" i="19"/>
  <c r="P1297" i="19"/>
  <c r="P1298" i="19"/>
  <c r="P1299" i="19"/>
  <c r="P1300" i="19"/>
  <c r="P1301" i="19"/>
  <c r="P1302" i="19"/>
  <c r="P1303" i="19"/>
  <c r="P1304" i="19"/>
  <c r="P1305" i="19"/>
  <c r="P1306" i="19"/>
  <c r="P1307" i="19"/>
  <c r="P1308" i="19"/>
  <c r="P1309" i="19"/>
  <c r="P1310" i="19"/>
  <c r="P1311" i="19"/>
  <c r="P1312" i="19"/>
  <c r="P1313" i="19"/>
  <c r="P1314" i="19"/>
  <c r="P1315" i="19"/>
  <c r="P1316" i="19"/>
  <c r="P1317" i="19"/>
  <c r="P1318" i="19"/>
  <c r="P1319" i="19"/>
  <c r="P1320" i="19"/>
  <c r="P1321" i="19"/>
  <c r="P1322" i="19"/>
  <c r="P1323" i="19"/>
  <c r="P1324" i="19"/>
  <c r="P1325" i="19"/>
  <c r="P1326" i="19"/>
  <c r="P1327" i="19"/>
  <c r="P1328" i="19"/>
  <c r="P1329" i="19"/>
  <c r="P1330" i="19"/>
  <c r="P1331" i="19"/>
  <c r="P1332" i="19"/>
  <c r="P1333" i="19"/>
  <c r="P1334" i="19"/>
  <c r="P1335" i="19"/>
  <c r="P1336" i="19"/>
  <c r="P1337" i="19"/>
  <c r="P1338" i="19"/>
  <c r="P1339" i="19"/>
  <c r="P1340" i="19"/>
  <c r="P1341" i="19"/>
  <c r="P1342" i="19"/>
  <c r="P1343" i="19"/>
  <c r="P1344" i="19"/>
  <c r="P1345" i="19"/>
  <c r="P1346" i="19"/>
  <c r="P1347" i="19"/>
  <c r="P1348" i="19"/>
  <c r="P1349" i="19"/>
  <c r="P1350" i="19"/>
  <c r="P1351" i="19"/>
  <c r="P1352" i="19"/>
  <c r="P1353" i="19"/>
  <c r="P1354" i="19"/>
  <c r="P1355" i="19"/>
  <c r="P1356" i="19"/>
  <c r="P1357" i="19"/>
  <c r="P1358" i="19"/>
  <c r="P1359" i="19"/>
  <c r="P1360" i="19"/>
  <c r="P1361" i="19"/>
  <c r="P1362" i="19"/>
  <c r="P1363" i="19"/>
  <c r="P1364" i="19"/>
  <c r="P1365" i="19"/>
  <c r="P1366" i="19"/>
  <c r="P1367" i="19"/>
  <c r="P1368" i="19"/>
  <c r="P1369" i="19"/>
  <c r="P1370" i="19"/>
  <c r="P1371" i="19"/>
  <c r="P1372" i="19"/>
  <c r="P1373" i="19"/>
  <c r="P1374" i="19"/>
  <c r="P1375" i="19"/>
  <c r="P1376" i="19"/>
  <c r="P1377" i="19"/>
  <c r="P1378" i="19"/>
  <c r="P1379" i="19"/>
  <c r="P1380" i="19"/>
  <c r="P1381" i="19"/>
  <c r="P1382" i="19"/>
  <c r="P1383" i="19"/>
  <c r="P1384" i="19"/>
  <c r="P1385" i="19"/>
  <c r="P1386" i="19"/>
  <c r="P1387" i="19"/>
  <c r="P1388" i="19"/>
  <c r="P1389" i="19"/>
  <c r="P1390" i="19"/>
  <c r="P1391" i="19"/>
  <c r="P1392" i="19"/>
  <c r="P1393" i="19"/>
  <c r="P1394" i="19"/>
  <c r="P1395" i="19"/>
  <c r="P1396" i="19"/>
  <c r="P1397" i="19"/>
  <c r="P1398" i="19"/>
  <c r="P1399" i="19"/>
  <c r="B11" i="24"/>
  <c r="B10" i="24"/>
  <c r="B16" i="24"/>
  <c r="B9" i="24"/>
  <c r="B8" i="24"/>
  <c r="B6" i="24"/>
  <c r="B5" i="24"/>
  <c r="B4" i="24"/>
  <c r="N104" i="19"/>
  <c r="B12" i="23"/>
  <c r="B15" i="23"/>
  <c r="B14" i="23"/>
  <c r="G2" i="19"/>
  <c r="G3" i="19"/>
  <c r="G4" i="19"/>
  <c r="G5" i="19"/>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P38" i="19" s="1"/>
  <c r="G39" i="19"/>
  <c r="P39" i="19" s="1"/>
  <c r="G40" i="19"/>
  <c r="P40" i="19" s="1"/>
  <c r="G41" i="19"/>
  <c r="P41" i="19" s="1"/>
  <c r="G42" i="19"/>
  <c r="P42" i="19" s="1"/>
  <c r="G43" i="19"/>
  <c r="P43" i="19" s="1"/>
  <c r="G44" i="19"/>
  <c r="P44" i="19" s="1"/>
  <c r="G45" i="19"/>
  <c r="P45" i="19" s="1"/>
  <c r="G46" i="19"/>
  <c r="P46" i="19" s="1"/>
  <c r="G47" i="19"/>
  <c r="P47" i="19" s="1"/>
  <c r="G48" i="19"/>
  <c r="P48" i="19" s="1"/>
  <c r="G49" i="19"/>
  <c r="P49" i="19" s="1"/>
  <c r="G50" i="19"/>
  <c r="P50" i="19" s="1"/>
  <c r="G51" i="19"/>
  <c r="P51" i="19" s="1"/>
  <c r="G52" i="19"/>
  <c r="P52" i="19" s="1"/>
  <c r="G53" i="19"/>
  <c r="P53" i="19" s="1"/>
  <c r="G54" i="19"/>
  <c r="P54" i="19" s="1"/>
  <c r="G55" i="19"/>
  <c r="P55" i="19" s="1"/>
  <c r="G56" i="19"/>
  <c r="P56" i="19" s="1"/>
  <c r="G57" i="19"/>
  <c r="P57" i="19" s="1"/>
  <c r="G58" i="19"/>
  <c r="P58" i="19" s="1"/>
  <c r="G59" i="19"/>
  <c r="P59" i="19" s="1"/>
  <c r="G60" i="19"/>
  <c r="P60" i="19" s="1"/>
  <c r="G61" i="19"/>
  <c r="P61" i="19" s="1"/>
  <c r="G62" i="19"/>
  <c r="P62" i="19" s="1"/>
  <c r="G63" i="19"/>
  <c r="P63" i="19" s="1"/>
  <c r="G64" i="19"/>
  <c r="P64" i="19" s="1"/>
  <c r="G65" i="19"/>
  <c r="P65" i="19" s="1"/>
  <c r="G66" i="19"/>
  <c r="P66" i="19" s="1"/>
  <c r="G67" i="19"/>
  <c r="P67" i="19" s="1"/>
  <c r="G68" i="19"/>
  <c r="P68" i="19" s="1"/>
  <c r="G69" i="19"/>
  <c r="P69" i="19" s="1"/>
  <c r="G70" i="19"/>
  <c r="P70" i="19" s="1"/>
  <c r="G71" i="19"/>
  <c r="P71" i="19" s="1"/>
  <c r="G72" i="19"/>
  <c r="P72" i="19" s="1"/>
  <c r="G73" i="19"/>
  <c r="P73" i="19" s="1"/>
  <c r="G74" i="19"/>
  <c r="P74" i="19" s="1"/>
  <c r="G75" i="19"/>
  <c r="P75" i="19" s="1"/>
  <c r="G76" i="19"/>
  <c r="P76" i="19" s="1"/>
  <c r="G77" i="19"/>
  <c r="P77" i="19" s="1"/>
  <c r="G78" i="19"/>
  <c r="P78" i="19" s="1"/>
  <c r="G79" i="19"/>
  <c r="P79" i="19" s="1"/>
  <c r="G80" i="19"/>
  <c r="P80" i="19" s="1"/>
  <c r="G81" i="19"/>
  <c r="P81" i="19" s="1"/>
  <c r="G82" i="19"/>
  <c r="P82" i="19" s="1"/>
  <c r="G83" i="19"/>
  <c r="P83" i="19" s="1"/>
  <c r="G84" i="19"/>
  <c r="P84" i="19" s="1"/>
  <c r="G85" i="19"/>
  <c r="P85" i="19" s="1"/>
  <c r="G86" i="19"/>
  <c r="P86" i="19" s="1"/>
  <c r="G87" i="19"/>
  <c r="P87" i="19" s="1"/>
  <c r="G88" i="19"/>
  <c r="P88" i="19" s="1"/>
  <c r="G89" i="19"/>
  <c r="P89" i="19" s="1"/>
  <c r="G90" i="19"/>
  <c r="P90" i="19" s="1"/>
  <c r="G91" i="19"/>
  <c r="P91" i="19" s="1"/>
  <c r="G92" i="19"/>
  <c r="P92" i="19" s="1"/>
  <c r="G93" i="19"/>
  <c r="P93" i="19" s="1"/>
  <c r="G94" i="19"/>
  <c r="P94" i="19" s="1"/>
  <c r="G95" i="19"/>
  <c r="P95" i="19" s="1"/>
  <c r="G96" i="19"/>
  <c r="P96" i="19" s="1"/>
  <c r="G97" i="19"/>
  <c r="P97" i="19" s="1"/>
  <c r="G98" i="19"/>
  <c r="P98" i="19" s="1"/>
  <c r="G99" i="19"/>
  <c r="P99" i="19" s="1"/>
  <c r="G100" i="19"/>
  <c r="P100" i="19" s="1"/>
  <c r="G101" i="19"/>
  <c r="P101" i="19" s="1"/>
  <c r="G102" i="19"/>
  <c r="P102" i="19" s="1"/>
  <c r="G103" i="19"/>
  <c r="P103" i="19" s="1"/>
  <c r="G104" i="19"/>
  <c r="P104" i="19" s="1"/>
  <c r="G105" i="19"/>
  <c r="P105" i="19" s="1"/>
  <c r="G106" i="19"/>
  <c r="P106" i="19" s="1"/>
  <c r="G107" i="19"/>
  <c r="P107" i="19" s="1"/>
  <c r="G108" i="19"/>
  <c r="P108" i="19" s="1"/>
  <c r="G109" i="19"/>
  <c r="P109" i="19" s="1"/>
  <c r="G110" i="19"/>
  <c r="P110" i="19" s="1"/>
  <c r="G111" i="19"/>
  <c r="P111" i="19" s="1"/>
  <c r="G112" i="19"/>
  <c r="P112" i="19" s="1"/>
  <c r="G113" i="19"/>
  <c r="P113" i="19" s="1"/>
  <c r="G114" i="19"/>
  <c r="P114" i="19" s="1"/>
  <c r="G115" i="19"/>
  <c r="P115" i="19" s="1"/>
  <c r="G116" i="19"/>
  <c r="P116" i="19" s="1"/>
  <c r="G117" i="19"/>
  <c r="P117" i="19" s="1"/>
  <c r="G118" i="19"/>
  <c r="P118" i="19" s="1"/>
  <c r="G119" i="19"/>
  <c r="P119" i="19" s="1"/>
  <c r="G120" i="19"/>
  <c r="P120" i="19" s="1"/>
  <c r="G121" i="19"/>
  <c r="P121" i="19" s="1"/>
  <c r="G122" i="19"/>
  <c r="P122" i="19" s="1"/>
  <c r="G123" i="19"/>
  <c r="P123" i="19" s="1"/>
  <c r="G124" i="19"/>
  <c r="P124" i="19" s="1"/>
  <c r="G125" i="19"/>
  <c r="P125" i="19" s="1"/>
  <c r="G126" i="19"/>
  <c r="P126" i="19" s="1"/>
  <c r="G127" i="19"/>
  <c r="P127" i="19" s="1"/>
  <c r="G128" i="19"/>
  <c r="P128" i="19" s="1"/>
  <c r="G129" i="19"/>
  <c r="P129" i="19" s="1"/>
  <c r="G130" i="19"/>
  <c r="P130" i="19" s="1"/>
  <c r="G131" i="19"/>
  <c r="P131" i="19" s="1"/>
  <c r="G132" i="19"/>
  <c r="P132" i="19" s="1"/>
  <c r="G133" i="19"/>
  <c r="P133" i="19" s="1"/>
  <c r="G134" i="19"/>
  <c r="P134" i="19" s="1"/>
  <c r="G135" i="19"/>
  <c r="P135" i="19" s="1"/>
  <c r="G136" i="19"/>
  <c r="P136" i="19" s="1"/>
  <c r="G137" i="19"/>
  <c r="P137" i="19" s="1"/>
  <c r="G138" i="19"/>
  <c r="P138" i="19" s="1"/>
  <c r="G139" i="19"/>
  <c r="P139" i="19" s="1"/>
  <c r="G140" i="19"/>
  <c r="P140" i="19" s="1"/>
  <c r="G141" i="19"/>
  <c r="P141" i="19" s="1"/>
  <c r="G142" i="19"/>
  <c r="P142" i="19" s="1"/>
  <c r="G143" i="19"/>
  <c r="P143" i="19" s="1"/>
  <c r="G144" i="19"/>
  <c r="P144" i="19" s="1"/>
  <c r="G145" i="19"/>
  <c r="P145" i="19" s="1"/>
  <c r="G146" i="19"/>
  <c r="P146" i="19" s="1"/>
  <c r="G147" i="19"/>
  <c r="P147" i="19" s="1"/>
  <c r="G148" i="19"/>
  <c r="P148" i="19" s="1"/>
  <c r="G149" i="19"/>
  <c r="P149" i="19" s="1"/>
  <c r="G150" i="19"/>
  <c r="P150" i="19" s="1"/>
  <c r="G151" i="19"/>
  <c r="P151" i="19" s="1"/>
  <c r="G152" i="19"/>
  <c r="P152" i="19" s="1"/>
  <c r="G153" i="19"/>
  <c r="P153" i="19" s="1"/>
  <c r="G154" i="19"/>
  <c r="P154" i="19" s="1"/>
  <c r="G155" i="19"/>
  <c r="P155" i="19" s="1"/>
  <c r="G156" i="19"/>
  <c r="P156" i="19" s="1"/>
  <c r="G157" i="19"/>
  <c r="P157" i="19" s="1"/>
  <c r="G158" i="19"/>
  <c r="P158" i="19" s="1"/>
  <c r="G159" i="19"/>
  <c r="P159" i="19" s="1"/>
  <c r="G160" i="19"/>
  <c r="P160" i="19" s="1"/>
  <c r="G161" i="19"/>
  <c r="P161" i="19" s="1"/>
  <c r="G162" i="19"/>
  <c r="P162" i="19" s="1"/>
  <c r="G163" i="19"/>
  <c r="P163" i="19" s="1"/>
  <c r="G164" i="19"/>
  <c r="P164" i="19" s="1"/>
  <c r="G165" i="19"/>
  <c r="P165" i="19" s="1"/>
  <c r="G166" i="19"/>
  <c r="P166" i="19" s="1"/>
  <c r="G167" i="19"/>
  <c r="P167" i="19" s="1"/>
  <c r="G168" i="19"/>
  <c r="P168" i="19" s="1"/>
  <c r="G169" i="19"/>
  <c r="P169" i="19" s="1"/>
  <c r="G170" i="19"/>
  <c r="P170" i="19" s="1"/>
  <c r="G171" i="19"/>
  <c r="P171" i="19" s="1"/>
  <c r="G172" i="19"/>
  <c r="P172" i="19" s="1"/>
  <c r="G173" i="19"/>
  <c r="P173" i="19" s="1"/>
  <c r="G174" i="19"/>
  <c r="P174" i="19" s="1"/>
  <c r="G175" i="19"/>
  <c r="P175" i="19" s="1"/>
  <c r="G176" i="19"/>
  <c r="P176" i="19" s="1"/>
  <c r="G177" i="19"/>
  <c r="P177" i="19" s="1"/>
  <c r="G178" i="19"/>
  <c r="P178" i="19" s="1"/>
  <c r="G179" i="19"/>
  <c r="P179" i="19" s="1"/>
  <c r="G180" i="19"/>
  <c r="P180" i="19" s="1"/>
  <c r="G181" i="19"/>
  <c r="P181" i="19" s="1"/>
  <c r="G182" i="19"/>
  <c r="P182" i="19" s="1"/>
  <c r="G183" i="19"/>
  <c r="P183" i="19" s="1"/>
  <c r="G184" i="19"/>
  <c r="P184" i="19" s="1"/>
  <c r="G185" i="19"/>
  <c r="P185" i="19" s="1"/>
  <c r="G186" i="19"/>
  <c r="P186" i="19" s="1"/>
  <c r="G187" i="19"/>
  <c r="P187" i="19" s="1"/>
  <c r="G188" i="19"/>
  <c r="P188" i="19" s="1"/>
  <c r="G189" i="19"/>
  <c r="P189" i="19" s="1"/>
  <c r="G190" i="19"/>
  <c r="P190" i="19" s="1"/>
  <c r="G191" i="19"/>
  <c r="P191" i="19" s="1"/>
  <c r="G192" i="19"/>
  <c r="P192" i="19" s="1"/>
  <c r="G193" i="19"/>
  <c r="P193" i="19" s="1"/>
  <c r="G194" i="19"/>
  <c r="P194" i="19" s="1"/>
  <c r="G195" i="19"/>
  <c r="P195" i="19" s="1"/>
  <c r="G196" i="19"/>
  <c r="P196" i="19" s="1"/>
  <c r="G197" i="19"/>
  <c r="P197" i="19" s="1"/>
  <c r="G198" i="19"/>
  <c r="P198" i="19" s="1"/>
  <c r="G199" i="19"/>
  <c r="P199" i="19" s="1"/>
  <c r="G200" i="19"/>
  <c r="P200" i="19" s="1"/>
  <c r="G201" i="19"/>
  <c r="P201" i="19" s="1"/>
  <c r="G202" i="19"/>
  <c r="P202" i="19" s="1"/>
  <c r="G203" i="19"/>
  <c r="P203" i="19" s="1"/>
  <c r="G204" i="19"/>
  <c r="P204" i="19" s="1"/>
  <c r="G205" i="19"/>
  <c r="P205" i="19" s="1"/>
  <c r="G206" i="19"/>
  <c r="P206" i="19" s="1"/>
  <c r="G207" i="19"/>
  <c r="P207" i="19" s="1"/>
  <c r="G208" i="19"/>
  <c r="P208" i="19" s="1"/>
  <c r="G209" i="19"/>
  <c r="P209" i="19" s="1"/>
  <c r="G210" i="19"/>
  <c r="P210" i="19" s="1"/>
  <c r="G211" i="19"/>
  <c r="P211" i="19" s="1"/>
  <c r="G212" i="19"/>
  <c r="P212" i="19" s="1"/>
  <c r="G213" i="19"/>
  <c r="P213" i="19" s="1"/>
  <c r="G214" i="19"/>
  <c r="P214" i="19" s="1"/>
  <c r="G215" i="19"/>
  <c r="P215" i="19" s="1"/>
  <c r="G216" i="19"/>
  <c r="P216" i="19" s="1"/>
  <c r="G217" i="19"/>
  <c r="P217" i="19" s="1"/>
  <c r="G218" i="19"/>
  <c r="P218" i="19" s="1"/>
  <c r="G219" i="19"/>
  <c r="P219" i="19" s="1"/>
  <c r="G220" i="19"/>
  <c r="P220" i="19" s="1"/>
  <c r="G221" i="19"/>
  <c r="P221" i="19" s="1"/>
  <c r="G222" i="19"/>
  <c r="P222" i="19" s="1"/>
  <c r="G223" i="19"/>
  <c r="P223" i="19" s="1"/>
  <c r="G224" i="19"/>
  <c r="P224" i="19" s="1"/>
  <c r="G225" i="19"/>
  <c r="P225" i="19" s="1"/>
  <c r="G226" i="19"/>
  <c r="P226" i="19" s="1"/>
  <c r="G227" i="19"/>
  <c r="P227" i="19" s="1"/>
  <c r="G228" i="19"/>
  <c r="P228" i="19" s="1"/>
  <c r="G229" i="19"/>
  <c r="P229" i="19" s="1"/>
  <c r="G230" i="19"/>
  <c r="P230" i="19" s="1"/>
  <c r="G231" i="19"/>
  <c r="P231" i="19" s="1"/>
  <c r="G232" i="19"/>
  <c r="P232" i="19" s="1"/>
  <c r="G233" i="19"/>
  <c r="P233" i="19" s="1"/>
  <c r="G234" i="19"/>
  <c r="P234" i="19" s="1"/>
  <c r="G235" i="19"/>
  <c r="P235" i="19" s="1"/>
  <c r="G236" i="19"/>
  <c r="P236" i="19" s="1"/>
  <c r="G237" i="19"/>
  <c r="P237" i="19" s="1"/>
  <c r="G238" i="19"/>
  <c r="P238" i="19" s="1"/>
  <c r="G239" i="19"/>
  <c r="P239" i="19" s="1"/>
  <c r="G240" i="19"/>
  <c r="P240" i="19" s="1"/>
  <c r="G241" i="19"/>
  <c r="P241" i="19" s="1"/>
  <c r="G242" i="19"/>
  <c r="P242" i="19" s="1"/>
  <c r="G243" i="19"/>
  <c r="P243" i="19" s="1"/>
  <c r="G244" i="19"/>
  <c r="P244" i="19" s="1"/>
  <c r="G245" i="19"/>
  <c r="P245" i="19" s="1"/>
  <c r="G246" i="19"/>
  <c r="P246" i="19" s="1"/>
  <c r="G247" i="19"/>
  <c r="P247" i="19" s="1"/>
  <c r="G248" i="19"/>
  <c r="P248" i="19" s="1"/>
  <c r="G249" i="19"/>
  <c r="P249" i="19" s="1"/>
  <c r="G250" i="19"/>
  <c r="P250" i="19" s="1"/>
  <c r="G251" i="19"/>
  <c r="P251" i="19" s="1"/>
  <c r="G252" i="19"/>
  <c r="P252" i="19" s="1"/>
  <c r="G253" i="19"/>
  <c r="P253" i="19" s="1"/>
  <c r="G254" i="19"/>
  <c r="P254" i="19" s="1"/>
  <c r="G255" i="19"/>
  <c r="P255" i="19" s="1"/>
  <c r="G256" i="19"/>
  <c r="P256" i="19" s="1"/>
  <c r="G257" i="19"/>
  <c r="P257" i="19" s="1"/>
  <c r="G258" i="19"/>
  <c r="P258" i="19" s="1"/>
  <c r="G259" i="19"/>
  <c r="P259" i="19" s="1"/>
  <c r="G260" i="19"/>
  <c r="P260" i="19" s="1"/>
  <c r="G261" i="19"/>
  <c r="P261" i="19" s="1"/>
  <c r="G262" i="19"/>
  <c r="P262" i="19" s="1"/>
  <c r="G263" i="19"/>
  <c r="P263" i="19" s="1"/>
  <c r="G264" i="19"/>
  <c r="P264" i="19" s="1"/>
  <c r="G265" i="19"/>
  <c r="P265" i="19" s="1"/>
  <c r="G266" i="19"/>
  <c r="P266" i="19" s="1"/>
  <c r="G267" i="19"/>
  <c r="P267" i="19" s="1"/>
  <c r="G268" i="19"/>
  <c r="P268" i="19" s="1"/>
  <c r="G269" i="19"/>
  <c r="P269" i="19" s="1"/>
  <c r="G270" i="19"/>
  <c r="P270" i="19" s="1"/>
  <c r="G271" i="19"/>
  <c r="P271" i="19" s="1"/>
  <c r="G272" i="19"/>
  <c r="P272" i="19" s="1"/>
  <c r="G273" i="19"/>
  <c r="P273" i="19" s="1"/>
  <c r="G274" i="19"/>
  <c r="P274" i="19" s="1"/>
  <c r="G275" i="19"/>
  <c r="P275" i="19" s="1"/>
  <c r="G276" i="19"/>
  <c r="P276" i="19" s="1"/>
  <c r="G277" i="19"/>
  <c r="P277" i="19" s="1"/>
  <c r="G278" i="19"/>
  <c r="P278" i="19" s="1"/>
  <c r="G279" i="19"/>
  <c r="P279" i="19" s="1"/>
  <c r="G280" i="19"/>
  <c r="P280" i="19" s="1"/>
  <c r="G281" i="19"/>
  <c r="P281" i="19" s="1"/>
  <c r="G282" i="19"/>
  <c r="P282" i="19" s="1"/>
  <c r="G283" i="19"/>
  <c r="P283" i="19" s="1"/>
  <c r="G284" i="19"/>
  <c r="P284" i="19" s="1"/>
  <c r="G285" i="19"/>
  <c r="P285" i="19" s="1"/>
  <c r="G286" i="19"/>
  <c r="P286" i="19" s="1"/>
  <c r="G287" i="19"/>
  <c r="P287" i="19" s="1"/>
  <c r="G288" i="19"/>
  <c r="P288" i="19" s="1"/>
  <c r="G289" i="19"/>
  <c r="P289" i="19" s="1"/>
  <c r="G290" i="19"/>
  <c r="P290" i="19" s="1"/>
  <c r="G291" i="19"/>
  <c r="P291" i="19" s="1"/>
  <c r="G292" i="19"/>
  <c r="P292" i="19" s="1"/>
  <c r="G293" i="19"/>
  <c r="P293" i="19" s="1"/>
  <c r="G294" i="19"/>
  <c r="P294" i="19" s="1"/>
  <c r="G295" i="19"/>
  <c r="P295" i="19" s="1"/>
  <c r="G296" i="19"/>
  <c r="P296" i="19" s="1"/>
  <c r="G297" i="19"/>
  <c r="P297" i="19" s="1"/>
  <c r="G298" i="19"/>
  <c r="P298" i="19" s="1"/>
  <c r="G299" i="19"/>
  <c r="P299" i="19" s="1"/>
  <c r="G300" i="19"/>
  <c r="P300" i="19" s="1"/>
  <c r="G301" i="19"/>
  <c r="P301" i="19" s="1"/>
  <c r="G302" i="19"/>
  <c r="P302" i="19" s="1"/>
  <c r="G303" i="19"/>
  <c r="P303" i="19" s="1"/>
  <c r="G304" i="19"/>
  <c r="P304" i="19" s="1"/>
  <c r="G305" i="19"/>
  <c r="P305" i="19" s="1"/>
  <c r="G306" i="19"/>
  <c r="P306" i="19" s="1"/>
  <c r="G307" i="19"/>
  <c r="P307" i="19" s="1"/>
  <c r="G308" i="19"/>
  <c r="P308" i="19" s="1"/>
  <c r="G309" i="19"/>
  <c r="P309" i="19" s="1"/>
  <c r="G310" i="19"/>
  <c r="P310" i="19" s="1"/>
  <c r="G311" i="19"/>
  <c r="P311" i="19" s="1"/>
  <c r="G312" i="19"/>
  <c r="P312" i="19" s="1"/>
  <c r="G313" i="19"/>
  <c r="P313" i="19" s="1"/>
  <c r="G314" i="19"/>
  <c r="P314" i="19" s="1"/>
  <c r="G315" i="19"/>
  <c r="P315" i="19" s="1"/>
  <c r="G316" i="19"/>
  <c r="P316" i="19" s="1"/>
  <c r="G317" i="19"/>
  <c r="P317" i="19" s="1"/>
  <c r="G318" i="19"/>
  <c r="P318" i="19" s="1"/>
  <c r="G319" i="19"/>
  <c r="P319" i="19" s="1"/>
  <c r="G320" i="19"/>
  <c r="P320" i="19" s="1"/>
  <c r="G321" i="19"/>
  <c r="P321" i="19" s="1"/>
  <c r="G322" i="19"/>
  <c r="P322" i="19" s="1"/>
  <c r="G323" i="19"/>
  <c r="P323" i="19" s="1"/>
  <c r="G324" i="19"/>
  <c r="P324" i="19" s="1"/>
  <c r="G325" i="19"/>
  <c r="P325" i="19" s="1"/>
  <c r="G326" i="19"/>
  <c r="P326" i="19" s="1"/>
  <c r="G327" i="19"/>
  <c r="P327" i="19" s="1"/>
  <c r="G328" i="19"/>
  <c r="P328" i="19" s="1"/>
  <c r="G329" i="19"/>
  <c r="P329" i="19" s="1"/>
  <c r="G330" i="19"/>
  <c r="P330" i="19" s="1"/>
  <c r="G331" i="19"/>
  <c r="P331" i="19" s="1"/>
  <c r="G332" i="19"/>
  <c r="P332" i="19" s="1"/>
  <c r="G333" i="19"/>
  <c r="P333" i="19" s="1"/>
  <c r="G334" i="19"/>
  <c r="P334" i="19" s="1"/>
  <c r="G335" i="19"/>
  <c r="P335" i="19" s="1"/>
  <c r="G336" i="19"/>
  <c r="P336" i="19" s="1"/>
  <c r="G337" i="19"/>
  <c r="P337" i="19" s="1"/>
  <c r="G338" i="19"/>
  <c r="P338" i="19" s="1"/>
  <c r="G339" i="19"/>
  <c r="P339" i="19" s="1"/>
  <c r="G340" i="19"/>
  <c r="P340" i="19" s="1"/>
  <c r="G341" i="19"/>
  <c r="P341" i="19" s="1"/>
  <c r="G342" i="19"/>
  <c r="P342" i="19" s="1"/>
  <c r="G343" i="19"/>
  <c r="P343" i="19" s="1"/>
  <c r="G344" i="19"/>
  <c r="P344" i="19" s="1"/>
  <c r="G345" i="19"/>
  <c r="P345" i="19" s="1"/>
  <c r="G346" i="19"/>
  <c r="P346" i="19" s="1"/>
  <c r="G347" i="19"/>
  <c r="P347" i="19" s="1"/>
  <c r="G348" i="19"/>
  <c r="P348" i="19" s="1"/>
  <c r="G349" i="19"/>
  <c r="P349" i="19" s="1"/>
  <c r="G350" i="19"/>
  <c r="P350" i="19" s="1"/>
  <c r="G351" i="19"/>
  <c r="P351" i="19" s="1"/>
  <c r="G352" i="19"/>
  <c r="P352" i="19" s="1"/>
  <c r="G353" i="19"/>
  <c r="P353" i="19" s="1"/>
  <c r="G354" i="19"/>
  <c r="P354" i="19" s="1"/>
  <c r="G355" i="19"/>
  <c r="P355" i="19" s="1"/>
  <c r="G356" i="19"/>
  <c r="P356" i="19" s="1"/>
  <c r="G357" i="19"/>
  <c r="P357" i="19" s="1"/>
  <c r="G358" i="19"/>
  <c r="P358" i="19" s="1"/>
  <c r="G359" i="19"/>
  <c r="P359" i="19" s="1"/>
  <c r="G360" i="19"/>
  <c r="P360" i="19" s="1"/>
  <c r="G361" i="19"/>
  <c r="P361" i="19" s="1"/>
  <c r="G362" i="19"/>
  <c r="P362" i="19" s="1"/>
  <c r="G363" i="19"/>
  <c r="P363" i="19" s="1"/>
  <c r="G364" i="19"/>
  <c r="P364" i="19" s="1"/>
  <c r="G365" i="19"/>
  <c r="P365" i="19" s="1"/>
  <c r="G366" i="19"/>
  <c r="P366" i="19" s="1"/>
  <c r="G367" i="19"/>
  <c r="P367" i="19" s="1"/>
  <c r="G368" i="19"/>
  <c r="P368" i="19" s="1"/>
  <c r="G369" i="19"/>
  <c r="P369" i="19" s="1"/>
  <c r="G370" i="19"/>
  <c r="P370" i="19" s="1"/>
  <c r="G371" i="19"/>
  <c r="P371" i="19" s="1"/>
  <c r="G372" i="19"/>
  <c r="P372" i="19" s="1"/>
  <c r="G373" i="19"/>
  <c r="P373" i="19" s="1"/>
  <c r="G374" i="19"/>
  <c r="P374" i="19" s="1"/>
  <c r="G375" i="19"/>
  <c r="P375" i="19" s="1"/>
  <c r="G376" i="19"/>
  <c r="P376" i="19" s="1"/>
  <c r="G377" i="19"/>
  <c r="P377" i="19" s="1"/>
  <c r="G378" i="19"/>
  <c r="P378" i="19" s="1"/>
  <c r="G379" i="19"/>
  <c r="P379" i="19" s="1"/>
  <c r="G380" i="19"/>
  <c r="P380" i="19" s="1"/>
  <c r="G381" i="19"/>
  <c r="P381" i="19" s="1"/>
  <c r="G382" i="19"/>
  <c r="P382" i="19" s="1"/>
  <c r="G383" i="19"/>
  <c r="P383" i="19" s="1"/>
  <c r="G384" i="19"/>
  <c r="P384" i="19" s="1"/>
  <c r="G385" i="19"/>
  <c r="P385" i="19" s="1"/>
  <c r="G386" i="19"/>
  <c r="P386" i="19" s="1"/>
  <c r="G387" i="19"/>
  <c r="P387" i="19" s="1"/>
  <c r="G388" i="19"/>
  <c r="P388" i="19" s="1"/>
  <c r="G389" i="19"/>
  <c r="P389" i="19" s="1"/>
  <c r="G390" i="19"/>
  <c r="P390" i="19" s="1"/>
  <c r="G391" i="19"/>
  <c r="P391" i="19" s="1"/>
  <c r="G392" i="19"/>
  <c r="P392" i="19" s="1"/>
  <c r="G393" i="19"/>
  <c r="P393" i="19" s="1"/>
  <c r="G394" i="19"/>
  <c r="P394" i="19" s="1"/>
  <c r="G395" i="19"/>
  <c r="P395" i="19" s="1"/>
  <c r="G396" i="19"/>
  <c r="P396" i="19" s="1"/>
  <c r="G397" i="19"/>
  <c r="P397" i="19" s="1"/>
  <c r="G398" i="19"/>
  <c r="P398" i="19" s="1"/>
  <c r="G399" i="19"/>
  <c r="P399" i="19" s="1"/>
  <c r="G400" i="19"/>
  <c r="P400" i="19" s="1"/>
  <c r="G401" i="19"/>
  <c r="P401" i="19" s="1"/>
  <c r="G402" i="19"/>
  <c r="P402" i="19" s="1"/>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0"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24" i="19"/>
  <c r="G525" i="19"/>
  <c r="G526" i="19"/>
  <c r="G527" i="19"/>
  <c r="G528" i="19"/>
  <c r="G529" i="19"/>
  <c r="G530" i="19"/>
  <c r="G531" i="19"/>
  <c r="G532" i="19"/>
  <c r="G533" i="19"/>
  <c r="G534" i="19"/>
  <c r="G535" i="19"/>
  <c r="G536" i="19"/>
  <c r="G537" i="19"/>
  <c r="G538" i="19"/>
  <c r="G539" i="19"/>
  <c r="G540" i="19"/>
  <c r="G541" i="19"/>
  <c r="G542" i="19"/>
  <c r="G543" i="19"/>
  <c r="G544" i="19"/>
  <c r="G545" i="19"/>
  <c r="G546" i="19"/>
  <c r="G547" i="19"/>
  <c r="G548" i="19"/>
  <c r="G549" i="19"/>
  <c r="G550" i="19"/>
  <c r="G551" i="19"/>
  <c r="G552" i="19"/>
  <c r="G553" i="19"/>
  <c r="G554" i="19"/>
  <c r="G555" i="19"/>
  <c r="G556" i="19"/>
  <c r="G557" i="19"/>
  <c r="G558" i="19"/>
  <c r="G559" i="19"/>
  <c r="G560" i="19"/>
  <c r="G561" i="19"/>
  <c r="G562" i="19"/>
  <c r="G563" i="19"/>
  <c r="G564" i="19"/>
  <c r="G565" i="19"/>
  <c r="G566" i="19"/>
  <c r="G567" i="19"/>
  <c r="G568" i="19"/>
  <c r="G569" i="19"/>
  <c r="G570" i="19"/>
  <c r="G571" i="19"/>
  <c r="G572" i="19"/>
  <c r="G573" i="19"/>
  <c r="G574" i="19"/>
  <c r="G575" i="19"/>
  <c r="G576" i="19"/>
  <c r="G577" i="19"/>
  <c r="G578" i="19"/>
  <c r="G579" i="19"/>
  <c r="G580" i="19"/>
  <c r="G581" i="19"/>
  <c r="G582" i="19"/>
  <c r="G583" i="19"/>
  <c r="G584" i="19"/>
  <c r="G585" i="19"/>
  <c r="G586" i="19"/>
  <c r="G587" i="19"/>
  <c r="G588" i="19"/>
  <c r="G589" i="19"/>
  <c r="G590" i="19"/>
  <c r="G591" i="19"/>
  <c r="G592" i="19"/>
  <c r="G593" i="19"/>
  <c r="G594" i="19"/>
  <c r="G595" i="19"/>
  <c r="G596" i="19"/>
  <c r="G597" i="19"/>
  <c r="G598" i="19"/>
  <c r="G599" i="19"/>
  <c r="G600" i="19"/>
  <c r="G601" i="19"/>
  <c r="G602" i="19"/>
  <c r="G603" i="19"/>
  <c r="G604" i="19"/>
  <c r="G605" i="19"/>
  <c r="G606" i="19"/>
  <c r="G607" i="19"/>
  <c r="G608" i="19"/>
  <c r="G609" i="19"/>
  <c r="G610" i="19"/>
  <c r="G611" i="19"/>
  <c r="G612" i="19"/>
  <c r="G613" i="19"/>
  <c r="G614" i="19"/>
  <c r="G615" i="19"/>
  <c r="G616" i="19"/>
  <c r="G617" i="19"/>
  <c r="G618" i="19"/>
  <c r="G619" i="19"/>
  <c r="G620" i="19"/>
  <c r="G621" i="19"/>
  <c r="G622" i="19"/>
  <c r="G623" i="19"/>
  <c r="G624" i="19"/>
  <c r="G625" i="19"/>
  <c r="G626" i="19"/>
  <c r="G627" i="19"/>
  <c r="G628" i="19"/>
  <c r="G629" i="19"/>
  <c r="G630" i="19"/>
  <c r="G631" i="19"/>
  <c r="G632" i="19"/>
  <c r="G633" i="19"/>
  <c r="G634" i="19"/>
  <c r="G635" i="19"/>
  <c r="G636" i="19"/>
  <c r="G637" i="19"/>
  <c r="G638" i="19"/>
  <c r="G639" i="19"/>
  <c r="G640" i="19"/>
  <c r="G641" i="19"/>
  <c r="G642" i="19"/>
  <c r="G643" i="19"/>
  <c r="G644" i="19"/>
  <c r="G645" i="19"/>
  <c r="G646" i="19"/>
  <c r="G647" i="19"/>
  <c r="G648" i="19"/>
  <c r="G649" i="19"/>
  <c r="G650" i="19"/>
  <c r="G651" i="19"/>
  <c r="G652" i="19"/>
  <c r="G653" i="19"/>
  <c r="G654" i="19"/>
  <c r="G655" i="19"/>
  <c r="G656" i="19"/>
  <c r="G657" i="19"/>
  <c r="G658" i="19"/>
  <c r="G659" i="19"/>
  <c r="G660" i="19"/>
  <c r="G661" i="19"/>
  <c r="G662" i="19"/>
  <c r="G663" i="19"/>
  <c r="G664" i="19"/>
  <c r="G665" i="19"/>
  <c r="G666" i="19"/>
  <c r="G667" i="19"/>
  <c r="G668" i="19"/>
  <c r="G669" i="19"/>
  <c r="G670" i="19"/>
  <c r="G671" i="19"/>
  <c r="G672" i="19"/>
  <c r="G673" i="19"/>
  <c r="G674" i="19"/>
  <c r="G675" i="19"/>
  <c r="G676" i="19"/>
  <c r="G677" i="19"/>
  <c r="G678" i="19"/>
  <c r="G679" i="19"/>
  <c r="G680" i="19"/>
  <c r="G681" i="19"/>
  <c r="G682" i="19"/>
  <c r="G683" i="19"/>
  <c r="G684" i="19"/>
  <c r="G685" i="19"/>
  <c r="G686" i="19"/>
  <c r="G687" i="19"/>
  <c r="G688" i="19"/>
  <c r="G689" i="19"/>
  <c r="G690" i="19"/>
  <c r="G691" i="19"/>
  <c r="G692" i="19"/>
  <c r="G693" i="19"/>
  <c r="G694" i="19"/>
  <c r="G695" i="19"/>
  <c r="G696" i="19"/>
  <c r="G697" i="19"/>
  <c r="G698" i="19"/>
  <c r="G699" i="19"/>
  <c r="G700" i="19"/>
  <c r="G701" i="19"/>
  <c r="G702" i="19"/>
  <c r="G703" i="19"/>
  <c r="G704" i="19"/>
  <c r="G705" i="19"/>
  <c r="G706" i="19"/>
  <c r="G707" i="19"/>
  <c r="G708" i="19"/>
  <c r="G709" i="19"/>
  <c r="G710" i="19"/>
  <c r="G711" i="19"/>
  <c r="G712" i="19"/>
  <c r="G713" i="19"/>
  <c r="G714" i="19"/>
  <c r="G715" i="19"/>
  <c r="G716" i="19"/>
  <c r="G717" i="19"/>
  <c r="G718" i="19"/>
  <c r="G719" i="19"/>
  <c r="G720" i="19"/>
  <c r="G721" i="19"/>
  <c r="G722" i="19"/>
  <c r="G723" i="19"/>
  <c r="G724" i="19"/>
  <c r="G725" i="19"/>
  <c r="G726" i="19"/>
  <c r="G727" i="19"/>
  <c r="G728" i="19"/>
  <c r="G729" i="19"/>
  <c r="G730" i="19"/>
  <c r="G731" i="19"/>
  <c r="G732" i="19"/>
  <c r="G733" i="19"/>
  <c r="G734" i="19"/>
  <c r="G735" i="19"/>
  <c r="G736" i="19"/>
  <c r="G737" i="19"/>
  <c r="G738" i="19"/>
  <c r="G739" i="19"/>
  <c r="G740" i="19"/>
  <c r="G741" i="19"/>
  <c r="G742" i="19"/>
  <c r="G743" i="19"/>
  <c r="G744" i="19"/>
  <c r="G745" i="19"/>
  <c r="G746" i="19"/>
  <c r="G747" i="19"/>
  <c r="G748" i="19"/>
  <c r="G749" i="19"/>
  <c r="G750" i="19"/>
  <c r="G751" i="19"/>
  <c r="G752" i="19"/>
  <c r="G753" i="19"/>
  <c r="G754" i="19"/>
  <c r="G755" i="19"/>
  <c r="G756" i="19"/>
  <c r="G757" i="19"/>
  <c r="G758" i="19"/>
  <c r="G759" i="19"/>
  <c r="G760" i="19"/>
  <c r="G761" i="19"/>
  <c r="G762" i="19"/>
  <c r="G763" i="19"/>
  <c r="G764" i="19"/>
  <c r="G765" i="19"/>
  <c r="G766" i="19"/>
  <c r="G767" i="19"/>
  <c r="G768" i="19"/>
  <c r="G769" i="19"/>
  <c r="G770" i="19"/>
  <c r="G771" i="19"/>
  <c r="G772" i="19"/>
  <c r="G773" i="19"/>
  <c r="G774" i="19"/>
  <c r="G775" i="19"/>
  <c r="G776" i="19"/>
  <c r="G777" i="19"/>
  <c r="G778" i="19"/>
  <c r="G779" i="19"/>
  <c r="G780" i="19"/>
  <c r="G781" i="19"/>
  <c r="G782" i="19"/>
  <c r="G783" i="19"/>
  <c r="G784" i="19"/>
  <c r="G785" i="19"/>
  <c r="G786" i="19"/>
  <c r="G787" i="19"/>
  <c r="G788" i="19"/>
  <c r="G789" i="19"/>
  <c r="G790" i="19"/>
  <c r="G791" i="19"/>
  <c r="G792" i="19"/>
  <c r="G793" i="19"/>
  <c r="G794" i="19"/>
  <c r="G795" i="19"/>
  <c r="G796" i="19"/>
  <c r="G797" i="19"/>
  <c r="G798" i="19"/>
  <c r="G799" i="19"/>
  <c r="G800" i="19"/>
  <c r="G801" i="19"/>
  <c r="G802" i="19"/>
  <c r="G803" i="19"/>
  <c r="G804" i="19"/>
  <c r="G805" i="19"/>
  <c r="G806" i="19"/>
  <c r="G807" i="19"/>
  <c r="G808" i="19"/>
  <c r="G809" i="19"/>
  <c r="G810" i="19"/>
  <c r="G811" i="19"/>
  <c r="G812" i="19"/>
  <c r="G813" i="19"/>
  <c r="G814" i="19"/>
  <c r="G815" i="19"/>
  <c r="G816" i="19"/>
  <c r="G817" i="19"/>
  <c r="G818" i="19"/>
  <c r="G819" i="19"/>
  <c r="G820" i="19"/>
  <c r="G821" i="19"/>
  <c r="G822" i="19"/>
  <c r="G823" i="19"/>
  <c r="G824" i="19"/>
  <c r="G825" i="19"/>
  <c r="G826" i="19"/>
  <c r="G827" i="19"/>
  <c r="G828" i="19"/>
  <c r="G829" i="19"/>
  <c r="G830" i="19"/>
  <c r="G831" i="19"/>
  <c r="G832" i="19"/>
  <c r="G833" i="19"/>
  <c r="G834" i="19"/>
  <c r="G835" i="19"/>
  <c r="G836" i="19"/>
  <c r="G837" i="19"/>
  <c r="G838" i="19"/>
  <c r="G839" i="19"/>
  <c r="G840" i="19"/>
  <c r="G841" i="19"/>
  <c r="G842" i="19"/>
  <c r="G843" i="19"/>
  <c r="G844" i="19"/>
  <c r="G845" i="19"/>
  <c r="G846" i="19"/>
  <c r="G847" i="19"/>
  <c r="G848" i="19"/>
  <c r="G849" i="19"/>
  <c r="G850" i="19"/>
  <c r="G851" i="19"/>
  <c r="G852" i="19"/>
  <c r="G853" i="19"/>
  <c r="G854" i="19"/>
  <c r="G855" i="19"/>
  <c r="G856" i="19"/>
  <c r="G857" i="19"/>
  <c r="G858" i="19"/>
  <c r="G859" i="19"/>
  <c r="G860" i="19"/>
  <c r="G861" i="19"/>
  <c r="G862" i="19"/>
  <c r="G863" i="19"/>
  <c r="G864" i="19"/>
  <c r="G865" i="19"/>
  <c r="G866" i="19"/>
  <c r="G867" i="19"/>
  <c r="G868" i="19"/>
  <c r="G869" i="19"/>
  <c r="G870" i="19"/>
  <c r="G871" i="19"/>
  <c r="G872" i="19"/>
  <c r="G873" i="19"/>
  <c r="G874" i="19"/>
  <c r="G875" i="19"/>
  <c r="G876" i="19"/>
  <c r="G877" i="19"/>
  <c r="G878" i="19"/>
  <c r="G879" i="19"/>
  <c r="G880" i="19"/>
  <c r="G881" i="19"/>
  <c r="G882" i="19"/>
  <c r="G883" i="19"/>
  <c r="G884" i="19"/>
  <c r="G885" i="19"/>
  <c r="G886" i="19"/>
  <c r="G887" i="19"/>
  <c r="G888" i="19"/>
  <c r="G889" i="19"/>
  <c r="G890" i="19"/>
  <c r="G891" i="19"/>
  <c r="G892" i="19"/>
  <c r="G893" i="19"/>
  <c r="G894" i="19"/>
  <c r="G895" i="19"/>
  <c r="G896" i="19"/>
  <c r="G897" i="19"/>
  <c r="G898" i="19"/>
  <c r="G899" i="19"/>
  <c r="G900" i="19"/>
  <c r="G901" i="19"/>
  <c r="G902" i="19"/>
  <c r="G903" i="19"/>
  <c r="G904" i="19"/>
  <c r="G905" i="19"/>
  <c r="G906" i="19"/>
  <c r="G907" i="19"/>
  <c r="G908" i="19"/>
  <c r="G909" i="19"/>
  <c r="G910" i="19"/>
  <c r="G911" i="19"/>
  <c r="G912" i="19"/>
  <c r="G913" i="19"/>
  <c r="G914" i="19"/>
  <c r="G915" i="19"/>
  <c r="G916" i="19"/>
  <c r="G917" i="19"/>
  <c r="G918" i="19"/>
  <c r="G919" i="19"/>
  <c r="G920" i="19"/>
  <c r="G921" i="19"/>
  <c r="G922" i="19"/>
  <c r="G923" i="19"/>
  <c r="G924" i="19"/>
  <c r="G925" i="19"/>
  <c r="G926" i="19"/>
  <c r="G927" i="19"/>
  <c r="G928" i="19"/>
  <c r="G929" i="19"/>
  <c r="G930" i="19"/>
  <c r="G931" i="19"/>
  <c r="G932" i="19"/>
  <c r="G933" i="19"/>
  <c r="G934" i="19"/>
  <c r="G935" i="19"/>
  <c r="G936" i="19"/>
  <c r="G937" i="19"/>
  <c r="G938" i="19"/>
  <c r="G939" i="19"/>
  <c r="G940" i="19"/>
  <c r="G941" i="19"/>
  <c r="G942" i="19"/>
  <c r="G943" i="19"/>
  <c r="G944" i="19"/>
  <c r="G945" i="19"/>
  <c r="G946" i="19"/>
  <c r="G947" i="19"/>
  <c r="G948" i="19"/>
  <c r="G949" i="19"/>
  <c r="G950" i="19"/>
  <c r="G951" i="19"/>
  <c r="G952" i="19"/>
  <c r="G953" i="19"/>
  <c r="G954" i="19"/>
  <c r="G955" i="19"/>
  <c r="G956" i="19"/>
  <c r="G957" i="19"/>
  <c r="G958" i="19"/>
  <c r="G959" i="19"/>
  <c r="G960" i="19"/>
  <c r="G961" i="19"/>
  <c r="G962" i="19"/>
  <c r="G963" i="19"/>
  <c r="G964" i="19"/>
  <c r="G965" i="19"/>
  <c r="G966" i="19"/>
  <c r="G967" i="19"/>
  <c r="G968" i="19"/>
  <c r="G969" i="19"/>
  <c r="G970" i="19"/>
  <c r="G971" i="19"/>
  <c r="G972" i="19"/>
  <c r="G973" i="19"/>
  <c r="G974" i="19"/>
  <c r="G975" i="19"/>
  <c r="G976" i="19"/>
  <c r="G977" i="19"/>
  <c r="G978" i="19"/>
  <c r="G979" i="19"/>
  <c r="G980" i="19"/>
  <c r="G981" i="19"/>
  <c r="G982" i="19"/>
  <c r="G983" i="19"/>
  <c r="G984" i="19"/>
  <c r="G985" i="19"/>
  <c r="G986" i="19"/>
  <c r="G987" i="19"/>
  <c r="G988" i="19"/>
  <c r="G989" i="19"/>
  <c r="G990" i="19"/>
  <c r="G991" i="19"/>
  <c r="G992" i="19"/>
  <c r="G993" i="19"/>
  <c r="G994" i="19"/>
  <c r="G995" i="19"/>
  <c r="G996" i="19"/>
  <c r="G997" i="19"/>
  <c r="G998" i="19"/>
  <c r="G999" i="19"/>
  <c r="G1000" i="19"/>
  <c r="G1001" i="19"/>
  <c r="G1002" i="19"/>
  <c r="G1003" i="19"/>
  <c r="G1004" i="19"/>
  <c r="G1005" i="19"/>
  <c r="G1006" i="19"/>
  <c r="G1007" i="19"/>
  <c r="G1008" i="19"/>
  <c r="G1009" i="19"/>
  <c r="G1010" i="19"/>
  <c r="G1011" i="19"/>
  <c r="G1012" i="19"/>
  <c r="G1013" i="19"/>
  <c r="G1014" i="19"/>
  <c r="G1015" i="19"/>
  <c r="G1016" i="19"/>
  <c r="G1017" i="19"/>
  <c r="G1018" i="19"/>
  <c r="G1019" i="19"/>
  <c r="G1020" i="19"/>
  <c r="G1021" i="19"/>
  <c r="G1022" i="19"/>
  <c r="G1023" i="19"/>
  <c r="G1024" i="19"/>
  <c r="G1025" i="19"/>
  <c r="G1026" i="19"/>
  <c r="G1027" i="19"/>
  <c r="G1028" i="19"/>
  <c r="G1029" i="19"/>
  <c r="G1030" i="19"/>
  <c r="G1031" i="19"/>
  <c r="G1032" i="19"/>
  <c r="G1033" i="19"/>
  <c r="G1034" i="19"/>
  <c r="G1035" i="19"/>
  <c r="G1036" i="19"/>
  <c r="G1037" i="19"/>
  <c r="G1038" i="19"/>
  <c r="G1039" i="19"/>
  <c r="G1040" i="19"/>
  <c r="G1041" i="19"/>
  <c r="G1042" i="19"/>
  <c r="G1043" i="19"/>
  <c r="G1044" i="19"/>
  <c r="G1045" i="19"/>
  <c r="G1046" i="19"/>
  <c r="G1047" i="19"/>
  <c r="G1048" i="19"/>
  <c r="G1049" i="19"/>
  <c r="G1050" i="19"/>
  <c r="G1051" i="19"/>
  <c r="G1052" i="19"/>
  <c r="G1053" i="19"/>
  <c r="G1054" i="19"/>
  <c r="G1055" i="19"/>
  <c r="G1056" i="19"/>
  <c r="G1057" i="19"/>
  <c r="G1058" i="19"/>
  <c r="G1059" i="19"/>
  <c r="G1060" i="19"/>
  <c r="G1061" i="19"/>
  <c r="G1062" i="19"/>
  <c r="G1063" i="19"/>
  <c r="G1064" i="19"/>
  <c r="G1065" i="19"/>
  <c r="G1066" i="19"/>
  <c r="G1067" i="19"/>
  <c r="G1068" i="19"/>
  <c r="G1069" i="19"/>
  <c r="G1070" i="19"/>
  <c r="G1071" i="19"/>
  <c r="G1072" i="19"/>
  <c r="G1073" i="19"/>
  <c r="G1074" i="19"/>
  <c r="G1075" i="19"/>
  <c r="G1076" i="19"/>
  <c r="G1077" i="19"/>
  <c r="G1078" i="19"/>
  <c r="G1079" i="19"/>
  <c r="G1080" i="19"/>
  <c r="G1081" i="19"/>
  <c r="G1082" i="19"/>
  <c r="G1083" i="19"/>
  <c r="G1084" i="19"/>
  <c r="G1085" i="19"/>
  <c r="G1086" i="19"/>
  <c r="G1087" i="19"/>
  <c r="G1088" i="19"/>
  <c r="G1089" i="19"/>
  <c r="G1090" i="19"/>
  <c r="G1091" i="19"/>
  <c r="G1092" i="19"/>
  <c r="G1093" i="19"/>
  <c r="G1094" i="19"/>
  <c r="G1095" i="19"/>
  <c r="G1096" i="19"/>
  <c r="G1097" i="19"/>
  <c r="G1098" i="19"/>
  <c r="G1099" i="19"/>
  <c r="G1100" i="19"/>
  <c r="G1101" i="19"/>
  <c r="G1102" i="19"/>
  <c r="G1103" i="19"/>
  <c r="G1104" i="19"/>
  <c r="G1105" i="19"/>
  <c r="G1106" i="19"/>
  <c r="G1107" i="19"/>
  <c r="G1108" i="19"/>
  <c r="G1109" i="19"/>
  <c r="G1110" i="19"/>
  <c r="G1111" i="19"/>
  <c r="G1112" i="19"/>
  <c r="G1113" i="19"/>
  <c r="G1114" i="19"/>
  <c r="G1115" i="19"/>
  <c r="G1116" i="19"/>
  <c r="G1117" i="19"/>
  <c r="G1118" i="19"/>
  <c r="G1119" i="19"/>
  <c r="G1120" i="19"/>
  <c r="G1121" i="19"/>
  <c r="G1122" i="19"/>
  <c r="G1123" i="19"/>
  <c r="G1124" i="19"/>
  <c r="G1125" i="19"/>
  <c r="G1126" i="19"/>
  <c r="G1127" i="19"/>
  <c r="G1128" i="19"/>
  <c r="G1129" i="19"/>
  <c r="G1130" i="19"/>
  <c r="G1131" i="19"/>
  <c r="G1132" i="19"/>
  <c r="G1133" i="19"/>
  <c r="G1134" i="19"/>
  <c r="G1135" i="19"/>
  <c r="G1136" i="19"/>
  <c r="G1137" i="19"/>
  <c r="G1138" i="19"/>
  <c r="G1139" i="19"/>
  <c r="G1140" i="19"/>
  <c r="G1141" i="19"/>
  <c r="G1142" i="19"/>
  <c r="G1143" i="19"/>
  <c r="G1144" i="19"/>
  <c r="G1145" i="19"/>
  <c r="G1146" i="19"/>
  <c r="G1147" i="19"/>
  <c r="G1148" i="19"/>
  <c r="G1149" i="19"/>
  <c r="G1150" i="19"/>
  <c r="G1151" i="19"/>
  <c r="G1152" i="19"/>
  <c r="G1153" i="19"/>
  <c r="G1154" i="19"/>
  <c r="G1155" i="19"/>
  <c r="G1156" i="19"/>
  <c r="G1157" i="19"/>
  <c r="G1158" i="19"/>
  <c r="G1159" i="19"/>
  <c r="G1160" i="19"/>
  <c r="G1161" i="19"/>
  <c r="G1162" i="19"/>
  <c r="G1163" i="19"/>
  <c r="G1164" i="19"/>
  <c r="G1165" i="19"/>
  <c r="G1166" i="19"/>
  <c r="G1167" i="19"/>
  <c r="G1168" i="19"/>
  <c r="G1169" i="19"/>
  <c r="G1170" i="19"/>
  <c r="G1171" i="19"/>
  <c r="G1172" i="19"/>
  <c r="G1173" i="19"/>
  <c r="G1174" i="19"/>
  <c r="G1175" i="19"/>
  <c r="G1176" i="19"/>
  <c r="G1177" i="19"/>
  <c r="G1178" i="19"/>
  <c r="G1179" i="19"/>
  <c r="G1180" i="19"/>
  <c r="G1181" i="19"/>
  <c r="G1182" i="19"/>
  <c r="G1183" i="19"/>
  <c r="G1184" i="19"/>
  <c r="G1185" i="19"/>
  <c r="G1186" i="19"/>
  <c r="G1187" i="19"/>
  <c r="G1188" i="19"/>
  <c r="G1189" i="19"/>
  <c r="G1190" i="19"/>
  <c r="G1191" i="19"/>
  <c r="G1192" i="19"/>
  <c r="G1193" i="19"/>
  <c r="G1194" i="19"/>
  <c r="G1195" i="19"/>
  <c r="G1196" i="19"/>
  <c r="G1197" i="19"/>
  <c r="G1198" i="19"/>
  <c r="G1199" i="19"/>
  <c r="G1200" i="19"/>
  <c r="G1201" i="19"/>
  <c r="G1202" i="19"/>
  <c r="G1203" i="19"/>
  <c r="G1204" i="19"/>
  <c r="G1205" i="19"/>
  <c r="G1206" i="19"/>
  <c r="G1207" i="19"/>
  <c r="G1208" i="19"/>
  <c r="G1209" i="19"/>
  <c r="G1210" i="19"/>
  <c r="G1211" i="19"/>
  <c r="G1212" i="19"/>
  <c r="G1213" i="19"/>
  <c r="G1214" i="19"/>
  <c r="G1215" i="19"/>
  <c r="G1216" i="19"/>
  <c r="G1217" i="19"/>
  <c r="G1218" i="19"/>
  <c r="G1219" i="19"/>
  <c r="G1220" i="19"/>
  <c r="G1221" i="19"/>
  <c r="G1222" i="19"/>
  <c r="G1223" i="19"/>
  <c r="G1224" i="19"/>
  <c r="G1225" i="19"/>
  <c r="G1226" i="19"/>
  <c r="G1227" i="19"/>
  <c r="G1228" i="19"/>
  <c r="G1229" i="19"/>
  <c r="P1229" i="19" s="1"/>
  <c r="G1230" i="19"/>
  <c r="G1231" i="19"/>
  <c r="G1232" i="19"/>
  <c r="G1233" i="19"/>
  <c r="G1234" i="19"/>
  <c r="G1235" i="19"/>
  <c r="G1236" i="19"/>
  <c r="G1237" i="19"/>
  <c r="G1238" i="19"/>
  <c r="G1239" i="19"/>
  <c r="G1240" i="19"/>
  <c r="G1241" i="19"/>
  <c r="G1242" i="19"/>
  <c r="G1243" i="19"/>
  <c r="G1244" i="19"/>
  <c r="G1245" i="19"/>
  <c r="G1246" i="19"/>
  <c r="G1247" i="19"/>
  <c r="G1248" i="19"/>
  <c r="G1249" i="19"/>
  <c r="G1250" i="19"/>
  <c r="G1251" i="19"/>
  <c r="G1252" i="19"/>
  <c r="G1253" i="19"/>
  <c r="G1254" i="19"/>
  <c r="G1255" i="19"/>
  <c r="G1256" i="19"/>
  <c r="G1257" i="19"/>
  <c r="G1258" i="19"/>
  <c r="G1259" i="19"/>
  <c r="G1260" i="19"/>
  <c r="G1261" i="19"/>
  <c r="G1262" i="19"/>
  <c r="G1263" i="19"/>
  <c r="G1264" i="19"/>
  <c r="G1265" i="19"/>
  <c r="G1266" i="19"/>
  <c r="G1267" i="19"/>
  <c r="G1268" i="19"/>
  <c r="G1269" i="19"/>
  <c r="G1270" i="19"/>
  <c r="G1271" i="19"/>
  <c r="G1272" i="19"/>
  <c r="G1273" i="19"/>
  <c r="G1274" i="19"/>
  <c r="G1275" i="19"/>
  <c r="G1276" i="19"/>
  <c r="G1277" i="19"/>
  <c r="G1278" i="19"/>
  <c r="G1279" i="19"/>
  <c r="G1280" i="19"/>
  <c r="G1281" i="19"/>
  <c r="G1282" i="19"/>
  <c r="G1283" i="19"/>
  <c r="G1284" i="19"/>
  <c r="G1285" i="19"/>
  <c r="G1286" i="19"/>
  <c r="G1287" i="19"/>
  <c r="G1288" i="19"/>
  <c r="G1289" i="19"/>
  <c r="G1290" i="19"/>
  <c r="M1290" i="19" s="1"/>
  <c r="G1291" i="19"/>
  <c r="G1292" i="19"/>
  <c r="G1293" i="19"/>
  <c r="G1294" i="19"/>
  <c r="M1294" i="19" s="1"/>
  <c r="G1295" i="19"/>
  <c r="G1296" i="19"/>
  <c r="G1297" i="19"/>
  <c r="G1298" i="19"/>
  <c r="G1299" i="19"/>
  <c r="G1300" i="19"/>
  <c r="G1301" i="19"/>
  <c r="G1302" i="19"/>
  <c r="G1303" i="19"/>
  <c r="G1304" i="19"/>
  <c r="G1305" i="19"/>
  <c r="G1306" i="19"/>
  <c r="M1306" i="19" s="1"/>
  <c r="G1307" i="19"/>
  <c r="G1308" i="19"/>
  <c r="G1309" i="19"/>
  <c r="G1310" i="19"/>
  <c r="M1310" i="19" s="1"/>
  <c r="G1311" i="19"/>
  <c r="G1312" i="19"/>
  <c r="G1313" i="19"/>
  <c r="G1314" i="19"/>
  <c r="M1314" i="19" s="1"/>
  <c r="G1315" i="19"/>
  <c r="G1316" i="19"/>
  <c r="G1317" i="19"/>
  <c r="G1318" i="19"/>
  <c r="G1319" i="19"/>
  <c r="G1320" i="19"/>
  <c r="G1321" i="19"/>
  <c r="G1322" i="19"/>
  <c r="G1323" i="19"/>
  <c r="G1324" i="19"/>
  <c r="G1325" i="19"/>
  <c r="G1326" i="19"/>
  <c r="M1326" i="19" s="1"/>
  <c r="G1327" i="19"/>
  <c r="G1328" i="19"/>
  <c r="G1329" i="19"/>
  <c r="G1330" i="19"/>
  <c r="M1330" i="19" s="1"/>
  <c r="G1331" i="19"/>
  <c r="G1332" i="19"/>
  <c r="G1333" i="19"/>
  <c r="G1334" i="19"/>
  <c r="G1335" i="19"/>
  <c r="G1336" i="19"/>
  <c r="G1337" i="19"/>
  <c r="G1338" i="19"/>
  <c r="M1338" i="19" s="1"/>
  <c r="G1339" i="19"/>
  <c r="G1340" i="19"/>
  <c r="G1341" i="19"/>
  <c r="G1342" i="19"/>
  <c r="M1342" i="19" s="1"/>
  <c r="G1343" i="19"/>
  <c r="G1344" i="19"/>
  <c r="G1345" i="19"/>
  <c r="G1346" i="19"/>
  <c r="M1346" i="19" s="1"/>
  <c r="G1347" i="19"/>
  <c r="G1348" i="19"/>
  <c r="G1349" i="19"/>
  <c r="G1350" i="19"/>
  <c r="G1351" i="19"/>
  <c r="G1352" i="19"/>
  <c r="G1353" i="19"/>
  <c r="G1354" i="19"/>
  <c r="G1355" i="19"/>
  <c r="G1356" i="19"/>
  <c r="G1357" i="19"/>
  <c r="G1358" i="19"/>
  <c r="M1358" i="19" s="1"/>
  <c r="G1359" i="19"/>
  <c r="G1360" i="19"/>
  <c r="G1361" i="19"/>
  <c r="G1362" i="19"/>
  <c r="M1362" i="19" s="1"/>
  <c r="G1363" i="19"/>
  <c r="G1364" i="19"/>
  <c r="G1365" i="19"/>
  <c r="M1365" i="19" s="1"/>
  <c r="G1366" i="19"/>
  <c r="G1367" i="19"/>
  <c r="G1368" i="19"/>
  <c r="G1369" i="19"/>
  <c r="G1370" i="19"/>
  <c r="M1370" i="19" s="1"/>
  <c r="G1371" i="19"/>
  <c r="G1372" i="19"/>
  <c r="G1373" i="19"/>
  <c r="G1374" i="19"/>
  <c r="M1374" i="19" s="1"/>
  <c r="G1375" i="19"/>
  <c r="G1376" i="19"/>
  <c r="G1377" i="19"/>
  <c r="G1378" i="19"/>
  <c r="M1378" i="19" s="1"/>
  <c r="G1379" i="19"/>
  <c r="G1380" i="19"/>
  <c r="G1381" i="19"/>
  <c r="G1382" i="19"/>
  <c r="G1383" i="19"/>
  <c r="G1384" i="19"/>
  <c r="G1385" i="19"/>
  <c r="G1386" i="19"/>
  <c r="M1386" i="19" s="1"/>
  <c r="G1387" i="19"/>
  <c r="G1388" i="19"/>
  <c r="G1389" i="19"/>
  <c r="G1390" i="19"/>
  <c r="M1390" i="19" s="1"/>
  <c r="G1391" i="19"/>
  <c r="G1392" i="19"/>
  <c r="G1393" i="19"/>
  <c r="G1394" i="19"/>
  <c r="M1394" i="19" s="1"/>
  <c r="G1395" i="19"/>
  <c r="G1396" i="19"/>
  <c r="G1397" i="19"/>
  <c r="G1398" i="19"/>
  <c r="G1399" i="19"/>
  <c r="G1400" i="19"/>
  <c r="P1400" i="19" s="1"/>
  <c r="G1401" i="19"/>
  <c r="P1401" i="19" s="1"/>
  <c r="G1402" i="19"/>
  <c r="G1403" i="19"/>
  <c r="P1403" i="19" s="1"/>
  <c r="G1404" i="19"/>
  <c r="P1404" i="19" s="1"/>
  <c r="G1405" i="19"/>
  <c r="P1405" i="19" s="1"/>
  <c r="G1406" i="19"/>
  <c r="G1407" i="19"/>
  <c r="P1407" i="19" s="1"/>
  <c r="G1408" i="19"/>
  <c r="P1408" i="19" s="1"/>
  <c r="G1409" i="19"/>
  <c r="P1409" i="19" s="1"/>
  <c r="G1410" i="19"/>
  <c r="G1411" i="19"/>
  <c r="P1411" i="19" s="1"/>
  <c r="G1412" i="19"/>
  <c r="P1412" i="19" s="1"/>
  <c r="G1413" i="19"/>
  <c r="P1413" i="19" s="1"/>
  <c r="G1414" i="19"/>
  <c r="P1414" i="19" s="1"/>
  <c r="G1415" i="19"/>
  <c r="P1415" i="19" s="1"/>
  <c r="G1416" i="19"/>
  <c r="P1416" i="19" s="1"/>
  <c r="G1417" i="19"/>
  <c r="G1418" i="19"/>
  <c r="G1419" i="19"/>
  <c r="P1419" i="19" s="1"/>
  <c r="G1420" i="19"/>
  <c r="P1420" i="19" s="1"/>
  <c r="G1421" i="19"/>
  <c r="P1421" i="19" s="1"/>
  <c r="G1422" i="19"/>
  <c r="G1423" i="19"/>
  <c r="P1423" i="19" s="1"/>
  <c r="G1424" i="19"/>
  <c r="P1424" i="19" s="1"/>
  <c r="G1425" i="19"/>
  <c r="P1425" i="19" s="1"/>
  <c r="G1426" i="19"/>
  <c r="G1427" i="19"/>
  <c r="P1427" i="19" s="1"/>
  <c r="G1428" i="19"/>
  <c r="G1429" i="19"/>
  <c r="P1429" i="19" s="1"/>
  <c r="G1430" i="19"/>
  <c r="P1430" i="19" s="1"/>
  <c r="G1431" i="19"/>
  <c r="P1431" i="19" s="1"/>
  <c r="G1432" i="19"/>
  <c r="P1432" i="19" s="1"/>
  <c r="G1433" i="19"/>
  <c r="P1433" i="19" s="1"/>
  <c r="G1434" i="19"/>
  <c r="G1435" i="19"/>
  <c r="P1435" i="19" s="1"/>
  <c r="G1436" i="19"/>
  <c r="P1436" i="19" s="1"/>
  <c r="G1437" i="19"/>
  <c r="P1437" i="19" s="1"/>
  <c r="G1438" i="19"/>
  <c r="G1439" i="19"/>
  <c r="P1439" i="19" s="1"/>
  <c r="G1440" i="19"/>
  <c r="P1440" i="19" s="1"/>
  <c r="G1441" i="19"/>
  <c r="P1441" i="19" s="1"/>
  <c r="G1442" i="19"/>
  <c r="G1443" i="19"/>
  <c r="P1443" i="19" s="1"/>
  <c r="G1444" i="19"/>
  <c r="P1444" i="19" s="1"/>
  <c r="G1445" i="19"/>
  <c r="P1445" i="19" s="1"/>
  <c r="G1446" i="19"/>
  <c r="P1446" i="19" s="1"/>
  <c r="G1447" i="19"/>
  <c r="P1447" i="19" s="1"/>
  <c r="G1448" i="19"/>
  <c r="P1448" i="19" s="1"/>
  <c r="G1449" i="19"/>
  <c r="G1450" i="19"/>
  <c r="G1451" i="19"/>
  <c r="P1451" i="19" s="1"/>
  <c r="G1452" i="19"/>
  <c r="P1452" i="19" s="1"/>
  <c r="G1453" i="19"/>
  <c r="P1453" i="19" s="1"/>
  <c r="G1454" i="19"/>
  <c r="G1455" i="19"/>
  <c r="P1455" i="19" s="1"/>
  <c r="G1456" i="19"/>
  <c r="P1456" i="19" s="1"/>
  <c r="G1457" i="19"/>
  <c r="P1457" i="19" s="1"/>
  <c r="G1458" i="19"/>
  <c r="G1459" i="19"/>
  <c r="P1459" i="19" s="1"/>
  <c r="G1460" i="19"/>
  <c r="G1461" i="19"/>
  <c r="P1461" i="19" s="1"/>
  <c r="G1462" i="19"/>
  <c r="P1462" i="19" s="1"/>
  <c r="G1463" i="19"/>
  <c r="P1463" i="19" s="1"/>
  <c r="G1464" i="19"/>
  <c r="P1464" i="19" s="1"/>
  <c r="G1465" i="19"/>
  <c r="P1465" i="19" s="1"/>
  <c r="G1466" i="19"/>
  <c r="G1467" i="19"/>
  <c r="P1467" i="19" s="1"/>
  <c r="G1468" i="19"/>
  <c r="P1468" i="19" s="1"/>
  <c r="G1469" i="19"/>
  <c r="P1469" i="19" s="1"/>
  <c r="G1470" i="19"/>
  <c r="G1471" i="19"/>
  <c r="P1471" i="19" s="1"/>
  <c r="G1472" i="19"/>
  <c r="P1472" i="19" s="1"/>
  <c r="G1473" i="19"/>
  <c r="P1473" i="19" s="1"/>
  <c r="G1474" i="19"/>
  <c r="G1475" i="19"/>
  <c r="P1475" i="19" s="1"/>
  <c r="G1476" i="19"/>
  <c r="P1476" i="19" s="1"/>
  <c r="G1477" i="19"/>
  <c r="P1477" i="19" s="1"/>
  <c r="G1478" i="19"/>
  <c r="P1478" i="19" s="1"/>
  <c r="G1479" i="19"/>
  <c r="P1479" i="19" s="1"/>
  <c r="G1480" i="19"/>
  <c r="P1480" i="19" s="1"/>
  <c r="G1481" i="19"/>
  <c r="G1482" i="19"/>
  <c r="G1483" i="19"/>
  <c r="P1483" i="19" s="1"/>
  <c r="G1484" i="19"/>
  <c r="P1484" i="19" s="1"/>
  <c r="G1485" i="19"/>
  <c r="P1485" i="19" s="1"/>
  <c r="G1486" i="19"/>
  <c r="G1487" i="19"/>
  <c r="P1487" i="19" s="1"/>
  <c r="G1488" i="19"/>
  <c r="P1488" i="19" s="1"/>
  <c r="G1489" i="19"/>
  <c r="P1489" i="19" s="1"/>
  <c r="G1490" i="19"/>
  <c r="G1491" i="19"/>
  <c r="P1491" i="19" s="1"/>
  <c r="G1492" i="19"/>
  <c r="G1493" i="19"/>
  <c r="P1493" i="19" s="1"/>
  <c r="G1494" i="19"/>
  <c r="P1494" i="19" s="1"/>
  <c r="G1495" i="19"/>
  <c r="P1495" i="19" s="1"/>
  <c r="G1496" i="19"/>
  <c r="P1496" i="19" s="1"/>
  <c r="G1497" i="19"/>
  <c r="P1497" i="19" s="1"/>
  <c r="G1498" i="19"/>
  <c r="G1499" i="19"/>
  <c r="P1499" i="19" s="1"/>
  <c r="G1500" i="19"/>
  <c r="P1500" i="19" s="1"/>
  <c r="G1501" i="19"/>
  <c r="P1501" i="19" s="1"/>
  <c r="G1502" i="19"/>
  <c r="G1503" i="19"/>
  <c r="P1503" i="19" s="1"/>
  <c r="G1504" i="19"/>
  <c r="P1504" i="19" s="1"/>
  <c r="G1505" i="19"/>
  <c r="P1505" i="19" s="1"/>
  <c r="G1506" i="19"/>
  <c r="G1507" i="19"/>
  <c r="P1507" i="19" s="1"/>
  <c r="G1508" i="19"/>
  <c r="P1508" i="19" s="1"/>
  <c r="G1509" i="19"/>
  <c r="P1509" i="19" s="1"/>
  <c r="G1510" i="19"/>
  <c r="P1510" i="19" s="1"/>
  <c r="G1511" i="19"/>
  <c r="P1511" i="19" s="1"/>
  <c r="G1512" i="19"/>
  <c r="P1512" i="19" s="1"/>
  <c r="G1513" i="19"/>
  <c r="G1514" i="19"/>
  <c r="G1515" i="19"/>
  <c r="P1515" i="19" s="1"/>
  <c r="G1516" i="19"/>
  <c r="P1516" i="19" s="1"/>
  <c r="G1517" i="19"/>
  <c r="P1517" i="19" s="1"/>
  <c r="G1518" i="19"/>
  <c r="G1519" i="19"/>
  <c r="P1519" i="19" s="1"/>
  <c r="G1520" i="19"/>
  <c r="P1520" i="19" s="1"/>
  <c r="G1521" i="19"/>
  <c r="P1521" i="19" s="1"/>
  <c r="G1522" i="19"/>
  <c r="G1523" i="19"/>
  <c r="P1523" i="19" s="1"/>
  <c r="G1524" i="19"/>
  <c r="G1525" i="19"/>
  <c r="G1526" i="19"/>
  <c r="P1526" i="19" s="1"/>
  <c r="G1527" i="19"/>
  <c r="P1527" i="19" s="1"/>
  <c r="G1528" i="19"/>
  <c r="P1528" i="19" s="1"/>
  <c r="G1529" i="19"/>
  <c r="P1529" i="19" s="1"/>
  <c r="G1530" i="19"/>
  <c r="G1531" i="19"/>
  <c r="P1531" i="19" s="1"/>
  <c r="G1532" i="19"/>
  <c r="P1532" i="19" s="1"/>
  <c r="G1533" i="19"/>
  <c r="P1533" i="19" s="1"/>
  <c r="G1534" i="19"/>
  <c r="G1535" i="19"/>
  <c r="P1535" i="19" s="1"/>
  <c r="G1536" i="19"/>
  <c r="P1536" i="19" s="1"/>
  <c r="G1537" i="19"/>
  <c r="P1537" i="19" s="1"/>
  <c r="G1538" i="19"/>
  <c r="G1539" i="19"/>
  <c r="P1539" i="19" s="1"/>
  <c r="G1540" i="19"/>
  <c r="P1540" i="19" s="1"/>
  <c r="G1541" i="19"/>
  <c r="P1541" i="19" s="1"/>
  <c r="G1542" i="19"/>
  <c r="P1542" i="19" s="1"/>
  <c r="G1543" i="19"/>
  <c r="P1543" i="19" s="1"/>
  <c r="G1544" i="19"/>
  <c r="P1544" i="19" s="1"/>
  <c r="G1545" i="19"/>
  <c r="G1546" i="19"/>
  <c r="G1547" i="19"/>
  <c r="P1547" i="19" s="1"/>
  <c r="G1548" i="19"/>
  <c r="P1548" i="19" s="1"/>
  <c r="G1549" i="19"/>
  <c r="P1549" i="19" s="1"/>
  <c r="G1550" i="19"/>
  <c r="G1551" i="19"/>
  <c r="P1551" i="19" s="1"/>
  <c r="G1552" i="19"/>
  <c r="P1552" i="19" s="1"/>
  <c r="G1553" i="19"/>
  <c r="P1553" i="19" s="1"/>
  <c r="G1554" i="19"/>
  <c r="G1555" i="19"/>
  <c r="P1555" i="19" s="1"/>
  <c r="G1556" i="19"/>
  <c r="G1557" i="19"/>
  <c r="P1557" i="19" s="1"/>
  <c r="G1558" i="19"/>
  <c r="P1558" i="19" s="1"/>
  <c r="G1559" i="19"/>
  <c r="P1559" i="19" s="1"/>
  <c r="G1560" i="19"/>
  <c r="P1560" i="19" s="1"/>
  <c r="G1561" i="19"/>
  <c r="P1561" i="19" s="1"/>
  <c r="G1562" i="19"/>
  <c r="G1563" i="19"/>
  <c r="P1563" i="19" s="1"/>
  <c r="G1564" i="19"/>
  <c r="P1564" i="19" s="1"/>
  <c r="G1565" i="19"/>
  <c r="P1565" i="19" s="1"/>
  <c r="G1566" i="19"/>
  <c r="G1567" i="19"/>
  <c r="P1567" i="19" s="1"/>
  <c r="G1568" i="19"/>
  <c r="P1568" i="19" s="1"/>
  <c r="G1569" i="19"/>
  <c r="P1569" i="19" s="1"/>
  <c r="G1570" i="19"/>
  <c r="G1571" i="19"/>
  <c r="P1571" i="19" s="1"/>
  <c r="G1572" i="19"/>
  <c r="P1572" i="19" s="1"/>
  <c r="G1573" i="19"/>
  <c r="P1573" i="19" s="1"/>
  <c r="G1574" i="19"/>
  <c r="P1574" i="19" s="1"/>
  <c r="G1575" i="19"/>
  <c r="P1575" i="19" s="1"/>
  <c r="G1576" i="19"/>
  <c r="P1576" i="19" s="1"/>
  <c r="G1577" i="19"/>
  <c r="G1578" i="19"/>
  <c r="G1579" i="19"/>
  <c r="P1579" i="19" s="1"/>
  <c r="G1580" i="19"/>
  <c r="P1580" i="19" s="1"/>
  <c r="G1581" i="19"/>
  <c r="P1581" i="19" s="1"/>
  <c r="G1582" i="19"/>
  <c r="G1583" i="19"/>
  <c r="P1583" i="19" s="1"/>
  <c r="G1584" i="19"/>
  <c r="P1584" i="19" s="1"/>
  <c r="G1585" i="19"/>
  <c r="P1585" i="19" s="1"/>
  <c r="G1586" i="19"/>
  <c r="G1587" i="19"/>
  <c r="P1587" i="19" s="1"/>
  <c r="G1588" i="19"/>
  <c r="G1589" i="19"/>
  <c r="P1589" i="19" s="1"/>
  <c r="G1590" i="19"/>
  <c r="P1590" i="19" s="1"/>
  <c r="G1591" i="19"/>
  <c r="P1591" i="19" s="1"/>
  <c r="G1592" i="19"/>
  <c r="P1592" i="19" s="1"/>
  <c r="G1593" i="19"/>
  <c r="P1593" i="19" s="1"/>
  <c r="G1594" i="19"/>
  <c r="G1595" i="19"/>
  <c r="P1595" i="19" s="1"/>
  <c r="G1596" i="19"/>
  <c r="P1596" i="19" s="1"/>
  <c r="G1597" i="19"/>
  <c r="P1597" i="19" s="1"/>
  <c r="G1598" i="19"/>
  <c r="G1599" i="19"/>
  <c r="P1599" i="19" s="1"/>
  <c r="G1600" i="19"/>
  <c r="P1600" i="19" s="1"/>
  <c r="G1601" i="19"/>
  <c r="P1601" i="19" s="1"/>
  <c r="G1602" i="19"/>
  <c r="G1603" i="19"/>
  <c r="P1603" i="19" s="1"/>
  <c r="G1604" i="19"/>
  <c r="P1604" i="19" s="1"/>
  <c r="G1605" i="19"/>
  <c r="P1605" i="19" s="1"/>
  <c r="G1606" i="19"/>
  <c r="P1606" i="19" s="1"/>
  <c r="G1607" i="19"/>
  <c r="P1607" i="19" s="1"/>
  <c r="G1608" i="19"/>
  <c r="P1608" i="19" s="1"/>
  <c r="G1609" i="19"/>
  <c r="G1610" i="19"/>
  <c r="G1611" i="19"/>
  <c r="P1611" i="19" s="1"/>
  <c r="G1612" i="19"/>
  <c r="P1612" i="19" s="1"/>
  <c r="G1613" i="19"/>
  <c r="P1613" i="19" s="1"/>
  <c r="G1614" i="19"/>
  <c r="G1615" i="19"/>
  <c r="P1615" i="19" s="1"/>
  <c r="G1616" i="19"/>
  <c r="P1616" i="19" s="1"/>
  <c r="G1617" i="19"/>
  <c r="P1617" i="19" s="1"/>
  <c r="G1618" i="19"/>
  <c r="G1619" i="19"/>
  <c r="P1619" i="19" s="1"/>
  <c r="G1620" i="19"/>
  <c r="G1621" i="19"/>
  <c r="P1621" i="19" s="1"/>
  <c r="G1622" i="19"/>
  <c r="P1622" i="19" s="1"/>
  <c r="G1623" i="19"/>
  <c r="P1623" i="19" s="1"/>
  <c r="G1624" i="19"/>
  <c r="P1624" i="19" s="1"/>
  <c r="G1625" i="19"/>
  <c r="P1625" i="19" s="1"/>
  <c r="G1626" i="19"/>
  <c r="G1627" i="19"/>
  <c r="P1627" i="19" s="1"/>
  <c r="G1628" i="19"/>
  <c r="P1628" i="19" s="1"/>
  <c r="G1629" i="19"/>
  <c r="P1629" i="19" s="1"/>
  <c r="G1630" i="19"/>
  <c r="G1631" i="19"/>
  <c r="P1631" i="19" s="1"/>
  <c r="G1632" i="19"/>
  <c r="P1632" i="19" s="1"/>
  <c r="G1633" i="19"/>
  <c r="P1633" i="19" s="1"/>
  <c r="G1634" i="19"/>
  <c r="G1635" i="19"/>
  <c r="P1635" i="19" s="1"/>
  <c r="G1636" i="19"/>
  <c r="P1636" i="19" s="1"/>
  <c r="G1637" i="19"/>
  <c r="P1637" i="19" s="1"/>
  <c r="G1638" i="19"/>
  <c r="P1638" i="19" s="1"/>
  <c r="G1639" i="19"/>
  <c r="P1639" i="19" s="1"/>
  <c r="G1640" i="19"/>
  <c r="P1640" i="19" s="1"/>
  <c r="G1641" i="19"/>
  <c r="G1642" i="19"/>
  <c r="G1643" i="19"/>
  <c r="P1643" i="19" s="1"/>
  <c r="G1644" i="19"/>
  <c r="P1644" i="19" s="1"/>
  <c r="G1645" i="19"/>
  <c r="P1645" i="19" s="1"/>
  <c r="G1646" i="19"/>
  <c r="G1647" i="19"/>
  <c r="P1647" i="19" s="1"/>
  <c r="G1648" i="19"/>
  <c r="P1648" i="19" s="1"/>
  <c r="G1649" i="19"/>
  <c r="P1649" i="19" s="1"/>
  <c r="G1650" i="19"/>
  <c r="G1651" i="19"/>
  <c r="P1651" i="19" s="1"/>
  <c r="G1652" i="19"/>
  <c r="G1653" i="19"/>
  <c r="P1653" i="19" s="1"/>
  <c r="G1654" i="19"/>
  <c r="P1654" i="19" s="1"/>
  <c r="G1655" i="19"/>
  <c r="P1655" i="19" s="1"/>
  <c r="G1656" i="19"/>
  <c r="P1656" i="19" s="1"/>
  <c r="G1657" i="19"/>
  <c r="P1657" i="19" s="1"/>
  <c r="G1658" i="19"/>
  <c r="G1659" i="19"/>
  <c r="P1659" i="19" s="1"/>
  <c r="G1660" i="19"/>
  <c r="P1660" i="19" s="1"/>
  <c r="G1661" i="19"/>
  <c r="P1661" i="19" s="1"/>
  <c r="G1662" i="19"/>
  <c r="G1663" i="19"/>
  <c r="P1663" i="19" s="1"/>
  <c r="G1664" i="19"/>
  <c r="P1664" i="19" s="1"/>
  <c r="G1665" i="19"/>
  <c r="P1665" i="19" s="1"/>
  <c r="G1666" i="19"/>
  <c r="G1667" i="19"/>
  <c r="P1667" i="19" s="1"/>
  <c r="G1668" i="19"/>
  <c r="P1668" i="19" s="1"/>
  <c r="G1669" i="19"/>
  <c r="P1669" i="19" s="1"/>
  <c r="G1670" i="19"/>
  <c r="P1670" i="19" s="1"/>
  <c r="G1671" i="19"/>
  <c r="P1671" i="19" s="1"/>
  <c r="G1672" i="19"/>
  <c r="P1672" i="19" s="1"/>
  <c r="G1673" i="19"/>
  <c r="G1674" i="19"/>
  <c r="G1675" i="19"/>
  <c r="P1675" i="19" s="1"/>
  <c r="G1676" i="19"/>
  <c r="P1676" i="19" s="1"/>
  <c r="G1677" i="19"/>
  <c r="P1677" i="19" s="1"/>
  <c r="G1678" i="19"/>
  <c r="G1679" i="19"/>
  <c r="P1679" i="19" s="1"/>
  <c r="G1680" i="19"/>
  <c r="P1680" i="19" s="1"/>
  <c r="G1681" i="19"/>
  <c r="P1681" i="19" s="1"/>
  <c r="G1682" i="19"/>
  <c r="G1683" i="19"/>
  <c r="P1683" i="19" s="1"/>
  <c r="G1684" i="19"/>
  <c r="G1685" i="19"/>
  <c r="P1685" i="19" s="1"/>
  <c r="G1686" i="19"/>
  <c r="P1686" i="19" s="1"/>
  <c r="G1687" i="19"/>
  <c r="P1687" i="19" s="1"/>
  <c r="G1688" i="19"/>
  <c r="P1688" i="19" s="1"/>
  <c r="G1689" i="19"/>
  <c r="P1689" i="19" s="1"/>
  <c r="G1690" i="19"/>
  <c r="G1691" i="19"/>
  <c r="P1691" i="19" s="1"/>
  <c r="G1692" i="19"/>
  <c r="G1693" i="19"/>
  <c r="P1693" i="19" s="1"/>
  <c r="G1694" i="19"/>
  <c r="G1695" i="19"/>
  <c r="P1695" i="19" s="1"/>
  <c r="G1696" i="19"/>
  <c r="P1696" i="19" s="1"/>
  <c r="G1697" i="19"/>
  <c r="P1697" i="19" s="1"/>
  <c r="G1698" i="19"/>
  <c r="G1699" i="19"/>
  <c r="P1699" i="19" s="1"/>
  <c r="G1700" i="19"/>
  <c r="P1700" i="19" s="1"/>
  <c r="G1701" i="19"/>
  <c r="P1701" i="19" s="1"/>
  <c r="G1702" i="19"/>
  <c r="P1702" i="19" s="1"/>
  <c r="G1703" i="19"/>
  <c r="P1703" i="19" s="1"/>
  <c r="G1704" i="19"/>
  <c r="P1704" i="19" s="1"/>
  <c r="G1705" i="19"/>
  <c r="G1706" i="19"/>
  <c r="G1707" i="19"/>
  <c r="P1707" i="19" s="1"/>
  <c r="G1708" i="19"/>
  <c r="P1708" i="19" s="1"/>
  <c r="G1709" i="19"/>
  <c r="P1709" i="19" s="1"/>
  <c r="G1710" i="19"/>
  <c r="G1711" i="19"/>
  <c r="P1711" i="19" s="1"/>
  <c r="G1712" i="19"/>
  <c r="P1712" i="19" s="1"/>
  <c r="G1713" i="19"/>
  <c r="P1713" i="19" s="1"/>
  <c r="G1714" i="19"/>
  <c r="G1715" i="19"/>
  <c r="P1715" i="19" s="1"/>
  <c r="G1716" i="19"/>
  <c r="G1717" i="19"/>
  <c r="P1717" i="19" s="1"/>
  <c r="G1718" i="19"/>
  <c r="P1718" i="19" s="1"/>
  <c r="G1719" i="19"/>
  <c r="P1719" i="19" s="1"/>
  <c r="G1720" i="19"/>
  <c r="P1720" i="19" s="1"/>
  <c r="G1721" i="19"/>
  <c r="P1721" i="19" s="1"/>
  <c r="G1722" i="19"/>
  <c r="G1723" i="19"/>
  <c r="P1723" i="19" s="1"/>
  <c r="G1724" i="19"/>
  <c r="P1724" i="19" s="1"/>
  <c r="G1725" i="19"/>
  <c r="P1725" i="19" s="1"/>
  <c r="G1726" i="19"/>
  <c r="G1727" i="19"/>
  <c r="P1727" i="19" s="1"/>
  <c r="G1728" i="19"/>
  <c r="P1728" i="19" s="1"/>
  <c r="G1729" i="19"/>
  <c r="P1729" i="19" s="1"/>
  <c r="G1730" i="19"/>
  <c r="G1731" i="19"/>
  <c r="P1731" i="19" s="1"/>
  <c r="G1732" i="19"/>
  <c r="P1732" i="19" s="1"/>
  <c r="G1733" i="19"/>
  <c r="P1733" i="19" s="1"/>
  <c r="G1734" i="19"/>
  <c r="P1734" i="19" s="1"/>
  <c r="G1735" i="19"/>
  <c r="P1735" i="19" s="1"/>
  <c r="G1736" i="19"/>
  <c r="P1736" i="19" s="1"/>
  <c r="G1737" i="19"/>
  <c r="G1738" i="19"/>
  <c r="G1739" i="19"/>
  <c r="P1739" i="19" s="1"/>
  <c r="G1740" i="19"/>
  <c r="P1740" i="19" s="1"/>
  <c r="G1741" i="19"/>
  <c r="P1741" i="19" s="1"/>
  <c r="G1742" i="19"/>
  <c r="G1743" i="19"/>
  <c r="P1743" i="19" s="1"/>
  <c r="G1744" i="19"/>
  <c r="P1744" i="19" s="1"/>
  <c r="G1745" i="19"/>
  <c r="P1745" i="19" s="1"/>
  <c r="G1746" i="19"/>
  <c r="G1747" i="19"/>
  <c r="P1747" i="19" s="1"/>
  <c r="G1748" i="19"/>
  <c r="G1749" i="19"/>
  <c r="P1749" i="19" s="1"/>
  <c r="G1750" i="19"/>
  <c r="P1750" i="19" s="1"/>
  <c r="G1751" i="19"/>
  <c r="P1751" i="19" s="1"/>
  <c r="G1752" i="19"/>
  <c r="P1752" i="19" s="1"/>
  <c r="G1753" i="19"/>
  <c r="P1753" i="19" s="1"/>
  <c r="G1754" i="19"/>
  <c r="G1755" i="19"/>
  <c r="P1755" i="19" s="1"/>
  <c r="G1756" i="19"/>
  <c r="P1756" i="19" s="1"/>
  <c r="G1757" i="19"/>
  <c r="P1757" i="19" s="1"/>
  <c r="G1758" i="19"/>
  <c r="G1759" i="19"/>
  <c r="P1759" i="19" s="1"/>
  <c r="G1760" i="19"/>
  <c r="P1760" i="19" s="1"/>
  <c r="G1761" i="19"/>
  <c r="P1761" i="19" s="1"/>
  <c r="G1762" i="19"/>
  <c r="G1763" i="19"/>
  <c r="P1763" i="19" s="1"/>
  <c r="G1764" i="19"/>
  <c r="P1764" i="19" s="1"/>
  <c r="G1765" i="19"/>
  <c r="P1765" i="19" s="1"/>
  <c r="G1766" i="19"/>
  <c r="P1766" i="19" s="1"/>
  <c r="G1767" i="19"/>
  <c r="P1767" i="19" s="1"/>
  <c r="G1768" i="19"/>
  <c r="P1768" i="19" s="1"/>
  <c r="G1769" i="19"/>
  <c r="G1770" i="19"/>
  <c r="G1771" i="19"/>
  <c r="P1771" i="19" s="1"/>
  <c r="G1772" i="19"/>
  <c r="P1772" i="19" s="1"/>
  <c r="G1773" i="19"/>
  <c r="P1773" i="19" s="1"/>
  <c r="G1774" i="19"/>
  <c r="G1775" i="19"/>
  <c r="P1775" i="19" s="1"/>
  <c r="G1776" i="19"/>
  <c r="P1776" i="19" s="1"/>
  <c r="G1777" i="19"/>
  <c r="P1777" i="19" s="1"/>
  <c r="G1778" i="19"/>
  <c r="G1779" i="19"/>
  <c r="P1779" i="19" s="1"/>
  <c r="G1780" i="19"/>
  <c r="G1781" i="19"/>
  <c r="P1781" i="19" s="1"/>
  <c r="G1782" i="19"/>
  <c r="P1782" i="19" s="1"/>
  <c r="G1783" i="19"/>
  <c r="P1783" i="19" s="1"/>
  <c r="G1784" i="19"/>
  <c r="P1784" i="19" s="1"/>
  <c r="G1785" i="19"/>
  <c r="P1785" i="19" s="1"/>
  <c r="G1786" i="19"/>
  <c r="G1787" i="19"/>
  <c r="P1787" i="19" s="1"/>
  <c r="G1788" i="19"/>
  <c r="P1788" i="19" s="1"/>
  <c r="G1789" i="19"/>
  <c r="P1789" i="19" s="1"/>
  <c r="G1790" i="19"/>
  <c r="G1791" i="19"/>
  <c r="P1791" i="19" s="1"/>
  <c r="G1792" i="19"/>
  <c r="P1792" i="19" s="1"/>
  <c r="G1793" i="19"/>
  <c r="P1793" i="19" s="1"/>
  <c r="G1794" i="19"/>
  <c r="P1794" i="19" s="1"/>
  <c r="G1795" i="19"/>
  <c r="P1795" i="19" s="1"/>
  <c r="G1796" i="19"/>
  <c r="P1796" i="19" s="1"/>
  <c r="G1797" i="19"/>
  <c r="P1797" i="19" s="1"/>
  <c r="G1798" i="19"/>
  <c r="P1798" i="19" s="1"/>
  <c r="G1799" i="19"/>
  <c r="P1799" i="19" s="1"/>
  <c r="G1800" i="19"/>
  <c r="P1800" i="19" s="1"/>
  <c r="G1801" i="19"/>
  <c r="G1802" i="19"/>
  <c r="G1803" i="19"/>
  <c r="P1803" i="19" s="1"/>
  <c r="G1804" i="19"/>
  <c r="P1804" i="19" s="1"/>
  <c r="G1805" i="19"/>
  <c r="P1805" i="19" s="1"/>
  <c r="G1806" i="19"/>
  <c r="G1807" i="19"/>
  <c r="P1807" i="19" s="1"/>
  <c r="G1808" i="19"/>
  <c r="P1808" i="19" s="1"/>
  <c r="G1809" i="19"/>
  <c r="P1809" i="19" s="1"/>
  <c r="G1810" i="19"/>
  <c r="P1810" i="19" s="1"/>
  <c r="G1811" i="19"/>
  <c r="P1811" i="19" s="1"/>
  <c r="G1812" i="19"/>
  <c r="G1813" i="19"/>
  <c r="P1813" i="19" s="1"/>
  <c r="G1814" i="19"/>
  <c r="P1814" i="19" s="1"/>
  <c r="G1815" i="19"/>
  <c r="P1815" i="19" s="1"/>
  <c r="G1816" i="19"/>
  <c r="P1816" i="19" s="1"/>
  <c r="G1817" i="19"/>
  <c r="P1817" i="19" s="1"/>
  <c r="G1818" i="19"/>
  <c r="G1819" i="19"/>
  <c r="P1819" i="19" s="1"/>
  <c r="G1820" i="19"/>
  <c r="P1820" i="19" s="1"/>
  <c r="G1821" i="19"/>
  <c r="P1821" i="19" s="1"/>
  <c r="G1822" i="19"/>
  <c r="G1823" i="19"/>
  <c r="P1823" i="19" s="1"/>
  <c r="G1824" i="19"/>
  <c r="P1824" i="19" s="1"/>
  <c r="G1825" i="19"/>
  <c r="P1825" i="19" s="1"/>
  <c r="G1826" i="19"/>
  <c r="P1826" i="19" s="1"/>
  <c r="G1827" i="19"/>
  <c r="P1827" i="19" s="1"/>
  <c r="G1828" i="19"/>
  <c r="P1828" i="19" s="1"/>
  <c r="G1829" i="19"/>
  <c r="P1829" i="19" s="1"/>
  <c r="G1830" i="19"/>
  <c r="P1830" i="19" s="1"/>
  <c r="G1831" i="19"/>
  <c r="P1831" i="19" s="1"/>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N327" i="19"/>
  <c r="N328" i="19"/>
  <c r="N329" i="19"/>
  <c r="N330" i="19"/>
  <c r="N331" i="19"/>
  <c r="N332" i="19"/>
  <c r="N333" i="19"/>
  <c r="N334" i="19"/>
  <c r="N335" i="19"/>
  <c r="N336" i="19"/>
  <c r="N337" i="19"/>
  <c r="N338" i="19"/>
  <c r="N339" i="19"/>
  <c r="N340" i="19"/>
  <c r="N341" i="19"/>
  <c r="N342" i="19"/>
  <c r="N343" i="19"/>
  <c r="N344" i="19"/>
  <c r="N345" i="19"/>
  <c r="N346" i="19"/>
  <c r="N347" i="19"/>
  <c r="N348" i="19"/>
  <c r="N349" i="19"/>
  <c r="N350" i="19"/>
  <c r="N351" i="19"/>
  <c r="N352" i="19"/>
  <c r="N353" i="19"/>
  <c r="N354" i="19"/>
  <c r="N355" i="19"/>
  <c r="N356" i="19"/>
  <c r="N357" i="19"/>
  <c r="N358" i="19"/>
  <c r="N359" i="19"/>
  <c r="N360" i="19"/>
  <c r="N361" i="19"/>
  <c r="N362" i="19"/>
  <c r="N363" i="19"/>
  <c r="N364" i="19"/>
  <c r="N365" i="19"/>
  <c r="N366" i="19"/>
  <c r="N367" i="19"/>
  <c r="N368" i="19"/>
  <c r="N369" i="19"/>
  <c r="N370" i="19"/>
  <c r="N371" i="19"/>
  <c r="N372" i="19"/>
  <c r="N373" i="19"/>
  <c r="N374" i="19"/>
  <c r="N375" i="19"/>
  <c r="N376" i="19"/>
  <c r="N377" i="19"/>
  <c r="N378" i="19"/>
  <c r="N379" i="19"/>
  <c r="N380" i="19"/>
  <c r="N381" i="19"/>
  <c r="N382" i="19"/>
  <c r="N383" i="19"/>
  <c r="N384" i="19"/>
  <c r="N385" i="19"/>
  <c r="N386" i="19"/>
  <c r="N387" i="19"/>
  <c r="N388" i="19"/>
  <c r="N389" i="19"/>
  <c r="N390" i="19"/>
  <c r="N391" i="19"/>
  <c r="N392" i="19"/>
  <c r="N393" i="19"/>
  <c r="N394" i="19"/>
  <c r="N395" i="19"/>
  <c r="N396" i="19"/>
  <c r="N397" i="19"/>
  <c r="N398" i="19"/>
  <c r="N399" i="19"/>
  <c r="N400" i="19"/>
  <c r="N401" i="19"/>
  <c r="N402" i="19"/>
  <c r="N403" i="19"/>
  <c r="N404" i="19"/>
  <c r="N405" i="19"/>
  <c r="N406" i="19"/>
  <c r="N407" i="19"/>
  <c r="N408" i="19"/>
  <c r="N409" i="19"/>
  <c r="N410" i="19"/>
  <c r="N411" i="19"/>
  <c r="N412" i="19"/>
  <c r="N413" i="19"/>
  <c r="N414" i="19"/>
  <c r="N415" i="19"/>
  <c r="N416" i="19"/>
  <c r="N417" i="19"/>
  <c r="N418" i="19"/>
  <c r="N419" i="19"/>
  <c r="N420" i="19"/>
  <c r="N421" i="19"/>
  <c r="N422" i="19"/>
  <c r="N423" i="19"/>
  <c r="N424" i="19"/>
  <c r="N425" i="19"/>
  <c r="N426" i="19"/>
  <c r="N427" i="19"/>
  <c r="N428" i="19"/>
  <c r="N429" i="19"/>
  <c r="N430" i="19"/>
  <c r="N431" i="19"/>
  <c r="N432" i="19"/>
  <c r="N433" i="19"/>
  <c r="N434" i="19"/>
  <c r="N435" i="19"/>
  <c r="N436" i="19"/>
  <c r="N437" i="19"/>
  <c r="N438" i="19"/>
  <c r="N439" i="19"/>
  <c r="N440" i="19"/>
  <c r="N441" i="19"/>
  <c r="N442" i="19"/>
  <c r="N443" i="19"/>
  <c r="N444" i="19"/>
  <c r="N445" i="19"/>
  <c r="N446" i="19"/>
  <c r="N447" i="19"/>
  <c r="N448" i="19"/>
  <c r="N449" i="19"/>
  <c r="N450" i="19"/>
  <c r="N451" i="19"/>
  <c r="N452" i="19"/>
  <c r="N453" i="19"/>
  <c r="N454" i="19"/>
  <c r="N455" i="19"/>
  <c r="N456" i="19"/>
  <c r="N457" i="19"/>
  <c r="N458" i="19"/>
  <c r="N459" i="19"/>
  <c r="N460" i="19"/>
  <c r="N461" i="19"/>
  <c r="N462" i="19"/>
  <c r="N463" i="19"/>
  <c r="N464" i="19"/>
  <c r="N465" i="19"/>
  <c r="N466" i="19"/>
  <c r="N467" i="19"/>
  <c r="N468" i="19"/>
  <c r="N469" i="19"/>
  <c r="N470" i="19"/>
  <c r="N471" i="19"/>
  <c r="N472" i="19"/>
  <c r="N473" i="19"/>
  <c r="N474" i="19"/>
  <c r="N475" i="19"/>
  <c r="N476" i="19"/>
  <c r="N477" i="19"/>
  <c r="N478" i="19"/>
  <c r="N479" i="19"/>
  <c r="N480" i="19"/>
  <c r="N481" i="19"/>
  <c r="N482" i="19"/>
  <c r="N483" i="19"/>
  <c r="N484" i="19"/>
  <c r="N485" i="19"/>
  <c r="N486" i="19"/>
  <c r="N487" i="19"/>
  <c r="N488" i="19"/>
  <c r="N489" i="19"/>
  <c r="N490" i="19"/>
  <c r="N491" i="19"/>
  <c r="N492" i="19"/>
  <c r="N493" i="19"/>
  <c r="N494" i="19"/>
  <c r="N495" i="19"/>
  <c r="N496" i="19"/>
  <c r="N497" i="19"/>
  <c r="N498" i="19"/>
  <c r="N499" i="19"/>
  <c r="N500" i="19"/>
  <c r="N501" i="19"/>
  <c r="N502" i="19"/>
  <c r="N503" i="19"/>
  <c r="N504" i="19"/>
  <c r="N505" i="19"/>
  <c r="N506" i="19"/>
  <c r="N507" i="19"/>
  <c r="N508" i="19"/>
  <c r="N509" i="19"/>
  <c r="N510" i="19"/>
  <c r="N511" i="19"/>
  <c r="N512" i="19"/>
  <c r="N513" i="19"/>
  <c r="N514" i="19"/>
  <c r="N515" i="19"/>
  <c r="N516" i="19"/>
  <c r="N517" i="19"/>
  <c r="N518" i="19"/>
  <c r="N519" i="19"/>
  <c r="N520" i="19"/>
  <c r="N521" i="19"/>
  <c r="N522" i="19"/>
  <c r="N523" i="19"/>
  <c r="N524" i="19"/>
  <c r="N525" i="19"/>
  <c r="N526" i="19"/>
  <c r="N527" i="19"/>
  <c r="N528" i="19"/>
  <c r="N529" i="19"/>
  <c r="N530" i="19"/>
  <c r="N531" i="19"/>
  <c r="N532" i="19"/>
  <c r="N533" i="19"/>
  <c r="N534" i="19"/>
  <c r="N535" i="19"/>
  <c r="N536" i="19"/>
  <c r="N537" i="19"/>
  <c r="N538" i="19"/>
  <c r="N539" i="19"/>
  <c r="N540" i="19"/>
  <c r="N541" i="19"/>
  <c r="N542" i="19"/>
  <c r="N543" i="19"/>
  <c r="N544" i="19"/>
  <c r="N545" i="19"/>
  <c r="N546" i="19"/>
  <c r="N547" i="19"/>
  <c r="N548" i="19"/>
  <c r="N549" i="19"/>
  <c r="N550" i="19"/>
  <c r="N551" i="19"/>
  <c r="N552" i="19"/>
  <c r="N553" i="19"/>
  <c r="N554" i="19"/>
  <c r="N555" i="19"/>
  <c r="N556" i="19"/>
  <c r="N557" i="19"/>
  <c r="N558" i="19"/>
  <c r="N559" i="19"/>
  <c r="N560" i="19"/>
  <c r="N561" i="19"/>
  <c r="N562" i="19"/>
  <c r="N563" i="19"/>
  <c r="N564" i="19"/>
  <c r="N565" i="19"/>
  <c r="N566" i="19"/>
  <c r="N567" i="19"/>
  <c r="N568" i="19"/>
  <c r="N569" i="19"/>
  <c r="N570" i="19"/>
  <c r="N571" i="19"/>
  <c r="N572" i="19"/>
  <c r="N573" i="19"/>
  <c r="N574" i="19"/>
  <c r="N575" i="19"/>
  <c r="N576" i="19"/>
  <c r="N577" i="19"/>
  <c r="N578" i="19"/>
  <c r="N579" i="19"/>
  <c r="N580" i="19"/>
  <c r="N581" i="19"/>
  <c r="N582" i="19"/>
  <c r="N583" i="19"/>
  <c r="N584" i="19"/>
  <c r="N585" i="19"/>
  <c r="N586" i="19"/>
  <c r="N587" i="19"/>
  <c r="N588" i="19"/>
  <c r="N589" i="19"/>
  <c r="N590" i="19"/>
  <c r="N591" i="19"/>
  <c r="N592" i="19"/>
  <c r="N593" i="19"/>
  <c r="N594" i="19"/>
  <c r="N595" i="19"/>
  <c r="N596" i="19"/>
  <c r="N597" i="19"/>
  <c r="N598" i="19"/>
  <c r="N599" i="19"/>
  <c r="N600" i="19"/>
  <c r="N601" i="19"/>
  <c r="N602" i="19"/>
  <c r="N603" i="19"/>
  <c r="N604" i="19"/>
  <c r="N605" i="19"/>
  <c r="N606" i="19"/>
  <c r="N607" i="19"/>
  <c r="N608" i="19"/>
  <c r="N609" i="19"/>
  <c r="N610" i="19"/>
  <c r="N611" i="19"/>
  <c r="N612" i="19"/>
  <c r="N613" i="19"/>
  <c r="N614" i="19"/>
  <c r="N615" i="19"/>
  <c r="N616" i="19"/>
  <c r="N617" i="19"/>
  <c r="N618" i="19"/>
  <c r="N619" i="19"/>
  <c r="N620" i="19"/>
  <c r="N621" i="19"/>
  <c r="N622" i="19"/>
  <c r="N623" i="19"/>
  <c r="N624" i="19"/>
  <c r="N625" i="19"/>
  <c r="N626" i="19"/>
  <c r="N627" i="19"/>
  <c r="N628" i="19"/>
  <c r="N629" i="19"/>
  <c r="N630" i="19"/>
  <c r="N631" i="19"/>
  <c r="N632" i="19"/>
  <c r="N633" i="19"/>
  <c r="N634" i="19"/>
  <c r="N635" i="19"/>
  <c r="N636" i="19"/>
  <c r="N637" i="19"/>
  <c r="N638" i="19"/>
  <c r="N639" i="19"/>
  <c r="N640" i="19"/>
  <c r="N641" i="19"/>
  <c r="N642" i="19"/>
  <c r="N643" i="19"/>
  <c r="N644" i="19"/>
  <c r="N645" i="19"/>
  <c r="N646" i="19"/>
  <c r="N647" i="19"/>
  <c r="N648" i="19"/>
  <c r="N649" i="19"/>
  <c r="N650" i="19"/>
  <c r="N651" i="19"/>
  <c r="N652" i="19"/>
  <c r="N653" i="19"/>
  <c r="N654" i="19"/>
  <c r="N655" i="19"/>
  <c r="N656" i="19"/>
  <c r="N657" i="19"/>
  <c r="N658" i="19"/>
  <c r="N659" i="19"/>
  <c r="N660" i="19"/>
  <c r="N661" i="19"/>
  <c r="N662" i="19"/>
  <c r="N663" i="19"/>
  <c r="N664" i="19"/>
  <c r="N665" i="19"/>
  <c r="N666" i="19"/>
  <c r="N667" i="19"/>
  <c r="N668" i="19"/>
  <c r="N669" i="19"/>
  <c r="N670" i="19"/>
  <c r="N671" i="19"/>
  <c r="N672" i="19"/>
  <c r="N673" i="19"/>
  <c r="N674" i="19"/>
  <c r="N675" i="19"/>
  <c r="N676" i="19"/>
  <c r="N677" i="19"/>
  <c r="N678" i="19"/>
  <c r="N679" i="19"/>
  <c r="N680" i="19"/>
  <c r="N681" i="19"/>
  <c r="N682" i="19"/>
  <c r="N683" i="19"/>
  <c r="N684" i="19"/>
  <c r="N685" i="19"/>
  <c r="N686" i="19"/>
  <c r="N687" i="19"/>
  <c r="N688" i="19"/>
  <c r="N689" i="19"/>
  <c r="N690" i="19"/>
  <c r="N691" i="19"/>
  <c r="N692" i="19"/>
  <c r="N693" i="19"/>
  <c r="N694" i="19"/>
  <c r="N695" i="19"/>
  <c r="N696" i="19"/>
  <c r="N697" i="19"/>
  <c r="N698" i="19"/>
  <c r="N699" i="19"/>
  <c r="N700" i="19"/>
  <c r="N701" i="19"/>
  <c r="N702" i="19"/>
  <c r="N703" i="19"/>
  <c r="N704" i="19"/>
  <c r="N705" i="19"/>
  <c r="N706" i="19"/>
  <c r="N707" i="19"/>
  <c r="N708" i="19"/>
  <c r="N709" i="19"/>
  <c r="N710" i="19"/>
  <c r="N711" i="19"/>
  <c r="N712" i="19"/>
  <c r="N713" i="19"/>
  <c r="N714" i="19"/>
  <c r="N715" i="19"/>
  <c r="N716" i="19"/>
  <c r="N717" i="19"/>
  <c r="N718" i="19"/>
  <c r="N719" i="19"/>
  <c r="N720" i="19"/>
  <c r="N721" i="19"/>
  <c r="N722" i="19"/>
  <c r="N723" i="19"/>
  <c r="N724" i="19"/>
  <c r="N725" i="19"/>
  <c r="N726" i="19"/>
  <c r="N727" i="19"/>
  <c r="N728" i="19"/>
  <c r="N729" i="19"/>
  <c r="N730" i="19"/>
  <c r="N731" i="19"/>
  <c r="N732" i="19"/>
  <c r="N733" i="19"/>
  <c r="N734" i="19"/>
  <c r="N735" i="19"/>
  <c r="N736" i="19"/>
  <c r="N737" i="19"/>
  <c r="N738" i="19"/>
  <c r="N739" i="19"/>
  <c r="N740" i="19"/>
  <c r="N741" i="19"/>
  <c r="N742" i="19"/>
  <c r="N743" i="19"/>
  <c r="N744" i="19"/>
  <c r="N745" i="19"/>
  <c r="N746" i="19"/>
  <c r="N747" i="19"/>
  <c r="N748" i="19"/>
  <c r="N749" i="19"/>
  <c r="N750" i="19"/>
  <c r="N751" i="19"/>
  <c r="N752" i="19"/>
  <c r="N753" i="19"/>
  <c r="N754" i="19"/>
  <c r="N755" i="19"/>
  <c r="N756" i="19"/>
  <c r="N757" i="19"/>
  <c r="N758" i="19"/>
  <c r="N759" i="19"/>
  <c r="N760" i="19"/>
  <c r="N761" i="19"/>
  <c r="N762" i="19"/>
  <c r="N763" i="19"/>
  <c r="N764" i="19"/>
  <c r="N765" i="19"/>
  <c r="N766" i="19"/>
  <c r="N767" i="19"/>
  <c r="N768" i="19"/>
  <c r="N769" i="19"/>
  <c r="N770" i="19"/>
  <c r="N771" i="19"/>
  <c r="N772" i="19"/>
  <c r="N773" i="19"/>
  <c r="N774" i="19"/>
  <c r="N775" i="19"/>
  <c r="N776" i="19"/>
  <c r="N777" i="19"/>
  <c r="N778" i="19"/>
  <c r="N779" i="19"/>
  <c r="N780" i="19"/>
  <c r="N781" i="19"/>
  <c r="N782" i="19"/>
  <c r="N783" i="19"/>
  <c r="N784" i="19"/>
  <c r="N785" i="19"/>
  <c r="N786" i="19"/>
  <c r="N787" i="19"/>
  <c r="N788" i="19"/>
  <c r="N789" i="19"/>
  <c r="N790" i="19"/>
  <c r="N791" i="19"/>
  <c r="N792" i="19"/>
  <c r="N793" i="19"/>
  <c r="N794" i="19"/>
  <c r="N795" i="19"/>
  <c r="N796" i="19"/>
  <c r="N797" i="19"/>
  <c r="N798" i="19"/>
  <c r="N799" i="19"/>
  <c r="N800" i="19"/>
  <c r="N801" i="19"/>
  <c r="N802" i="19"/>
  <c r="N803" i="19"/>
  <c r="N804" i="19"/>
  <c r="N805" i="19"/>
  <c r="N806" i="19"/>
  <c r="N807" i="19"/>
  <c r="N808" i="19"/>
  <c r="N809" i="19"/>
  <c r="N810" i="19"/>
  <c r="N811" i="19"/>
  <c r="N812" i="19"/>
  <c r="N813" i="19"/>
  <c r="N814" i="19"/>
  <c r="N815" i="19"/>
  <c r="N816" i="19"/>
  <c r="N817" i="19"/>
  <c r="N818" i="19"/>
  <c r="N819" i="19"/>
  <c r="N820" i="19"/>
  <c r="N821" i="19"/>
  <c r="N822" i="19"/>
  <c r="N823" i="19"/>
  <c r="N824" i="19"/>
  <c r="N825" i="19"/>
  <c r="N826" i="19"/>
  <c r="N827" i="19"/>
  <c r="N828" i="19"/>
  <c r="N829" i="19"/>
  <c r="N830" i="19"/>
  <c r="N831" i="19"/>
  <c r="N832" i="19"/>
  <c r="N833" i="19"/>
  <c r="N834" i="19"/>
  <c r="N835" i="19"/>
  <c r="N836" i="19"/>
  <c r="N837" i="19"/>
  <c r="N838" i="19"/>
  <c r="N839" i="19"/>
  <c r="N840" i="19"/>
  <c r="N841" i="19"/>
  <c r="N842" i="19"/>
  <c r="N843" i="19"/>
  <c r="N844" i="19"/>
  <c r="N845" i="19"/>
  <c r="N846" i="19"/>
  <c r="N847" i="19"/>
  <c r="N848" i="19"/>
  <c r="N849" i="19"/>
  <c r="N850" i="19"/>
  <c r="N851" i="19"/>
  <c r="N852" i="19"/>
  <c r="N853" i="19"/>
  <c r="N854" i="19"/>
  <c r="N855" i="19"/>
  <c r="N856" i="19"/>
  <c r="N857" i="19"/>
  <c r="N858" i="19"/>
  <c r="N859" i="19"/>
  <c r="N860" i="19"/>
  <c r="N861" i="19"/>
  <c r="N862" i="19"/>
  <c r="N863" i="19"/>
  <c r="N864" i="19"/>
  <c r="N865" i="19"/>
  <c r="N866" i="19"/>
  <c r="N867" i="19"/>
  <c r="N868" i="19"/>
  <c r="N869" i="19"/>
  <c r="N870" i="19"/>
  <c r="N871" i="19"/>
  <c r="N872" i="19"/>
  <c r="N873" i="19"/>
  <c r="N874" i="19"/>
  <c r="N875" i="19"/>
  <c r="N876" i="19"/>
  <c r="N877" i="19"/>
  <c r="N878" i="19"/>
  <c r="N879" i="19"/>
  <c r="N880" i="19"/>
  <c r="N881" i="19"/>
  <c r="N882" i="19"/>
  <c r="N883" i="19"/>
  <c r="N884" i="19"/>
  <c r="N885" i="19"/>
  <c r="N886" i="19"/>
  <c r="N887" i="19"/>
  <c r="N888" i="19"/>
  <c r="N889" i="19"/>
  <c r="N890" i="19"/>
  <c r="N891" i="19"/>
  <c r="N892" i="19"/>
  <c r="N893" i="19"/>
  <c r="N894" i="19"/>
  <c r="N895" i="19"/>
  <c r="N896" i="19"/>
  <c r="N897" i="19"/>
  <c r="N898" i="19"/>
  <c r="N899" i="19"/>
  <c r="N900" i="19"/>
  <c r="N901" i="19"/>
  <c r="N902" i="19"/>
  <c r="N903" i="19"/>
  <c r="N904" i="19"/>
  <c r="N905" i="19"/>
  <c r="N906" i="19"/>
  <c r="N907" i="19"/>
  <c r="N908" i="19"/>
  <c r="N909" i="19"/>
  <c r="N910" i="19"/>
  <c r="N911" i="19"/>
  <c r="N912" i="19"/>
  <c r="N913" i="19"/>
  <c r="N914" i="19"/>
  <c r="N915" i="19"/>
  <c r="N916" i="19"/>
  <c r="N917" i="19"/>
  <c r="N918" i="19"/>
  <c r="N919" i="19"/>
  <c r="N920" i="19"/>
  <c r="N921" i="19"/>
  <c r="N922" i="19"/>
  <c r="N923" i="19"/>
  <c r="N924" i="19"/>
  <c r="N925" i="19"/>
  <c r="N926" i="19"/>
  <c r="N927" i="19"/>
  <c r="N928" i="19"/>
  <c r="N929" i="19"/>
  <c r="N930" i="19"/>
  <c r="N931" i="19"/>
  <c r="N932" i="19"/>
  <c r="N933" i="19"/>
  <c r="N934" i="19"/>
  <c r="N935" i="19"/>
  <c r="N936" i="19"/>
  <c r="N937" i="19"/>
  <c r="N938" i="19"/>
  <c r="N939" i="19"/>
  <c r="N940" i="19"/>
  <c r="N941" i="19"/>
  <c r="N942" i="19"/>
  <c r="N943" i="19"/>
  <c r="N944" i="19"/>
  <c r="N945" i="19"/>
  <c r="N946" i="19"/>
  <c r="N947" i="19"/>
  <c r="N948" i="19"/>
  <c r="N949" i="19"/>
  <c r="N950" i="19"/>
  <c r="N951" i="19"/>
  <c r="N952" i="19"/>
  <c r="N953" i="19"/>
  <c r="N954" i="19"/>
  <c r="N955" i="19"/>
  <c r="N956" i="19"/>
  <c r="N957" i="19"/>
  <c r="N958" i="19"/>
  <c r="N959" i="19"/>
  <c r="N960" i="19"/>
  <c r="N961" i="19"/>
  <c r="N962" i="19"/>
  <c r="N963" i="19"/>
  <c r="N964" i="19"/>
  <c r="N965" i="19"/>
  <c r="N966" i="19"/>
  <c r="N967" i="19"/>
  <c r="N968" i="19"/>
  <c r="N969" i="19"/>
  <c r="N970" i="19"/>
  <c r="N971" i="19"/>
  <c r="N972" i="19"/>
  <c r="N973" i="19"/>
  <c r="N974" i="19"/>
  <c r="N975" i="19"/>
  <c r="N976" i="19"/>
  <c r="N977" i="19"/>
  <c r="N978" i="19"/>
  <c r="N979" i="19"/>
  <c r="N980" i="19"/>
  <c r="N981" i="19"/>
  <c r="N982" i="19"/>
  <c r="N983" i="19"/>
  <c r="N984" i="19"/>
  <c r="N985" i="19"/>
  <c r="N986" i="19"/>
  <c r="N987" i="19"/>
  <c r="N988" i="19"/>
  <c r="N989" i="19"/>
  <c r="N990" i="19"/>
  <c r="N991" i="19"/>
  <c r="N992" i="19"/>
  <c r="N993" i="19"/>
  <c r="N994" i="19"/>
  <c r="N995" i="19"/>
  <c r="N996" i="19"/>
  <c r="N997" i="19"/>
  <c r="N998" i="19"/>
  <c r="N999" i="19"/>
  <c r="N1000" i="19"/>
  <c r="N1001" i="19"/>
  <c r="N1002" i="19"/>
  <c r="N1003" i="19"/>
  <c r="N1004" i="19"/>
  <c r="N1005" i="19"/>
  <c r="N1006" i="19"/>
  <c r="N1007" i="19"/>
  <c r="N1008" i="19"/>
  <c r="N1009" i="19"/>
  <c r="N1010" i="19"/>
  <c r="N1011" i="19"/>
  <c r="N1012" i="19"/>
  <c r="N1013" i="19"/>
  <c r="N1014" i="19"/>
  <c r="N1015" i="19"/>
  <c r="N1016" i="19"/>
  <c r="N1017" i="19"/>
  <c r="N1018" i="19"/>
  <c r="N1019" i="19"/>
  <c r="N1020" i="19"/>
  <c r="N1021" i="19"/>
  <c r="N1022" i="19"/>
  <c r="N1023" i="19"/>
  <c r="N1024" i="19"/>
  <c r="N1025" i="19"/>
  <c r="N1026" i="19"/>
  <c r="N1027" i="19"/>
  <c r="N1028" i="19"/>
  <c r="N1029" i="19"/>
  <c r="N1030" i="19"/>
  <c r="N1031" i="19"/>
  <c r="N1032" i="19"/>
  <c r="N1033" i="19"/>
  <c r="N1034" i="19"/>
  <c r="N1035" i="19"/>
  <c r="N1036" i="19"/>
  <c r="N1037" i="19"/>
  <c r="N1038" i="19"/>
  <c r="N1039" i="19"/>
  <c r="N1040" i="19"/>
  <c r="N1041" i="19"/>
  <c r="N1042" i="19"/>
  <c r="N1043" i="19"/>
  <c r="N1044" i="19"/>
  <c r="N1045" i="19"/>
  <c r="N1046" i="19"/>
  <c r="N1047" i="19"/>
  <c r="N1048" i="19"/>
  <c r="N1049" i="19"/>
  <c r="N1050" i="19"/>
  <c r="N1051" i="19"/>
  <c r="N1052" i="19"/>
  <c r="N1053" i="19"/>
  <c r="N1054" i="19"/>
  <c r="N1055" i="19"/>
  <c r="N1056" i="19"/>
  <c r="N1057" i="19"/>
  <c r="N1058" i="19"/>
  <c r="N1059" i="19"/>
  <c r="N1060" i="19"/>
  <c r="N1061" i="19"/>
  <c r="N1062" i="19"/>
  <c r="N1063" i="19"/>
  <c r="N1064" i="19"/>
  <c r="N1065" i="19"/>
  <c r="N1066" i="19"/>
  <c r="N1067" i="19"/>
  <c r="N1068" i="19"/>
  <c r="N1069" i="19"/>
  <c r="N1070" i="19"/>
  <c r="N1071" i="19"/>
  <c r="N1072" i="19"/>
  <c r="N1073" i="19"/>
  <c r="N1074" i="19"/>
  <c r="N1075" i="19"/>
  <c r="N1076" i="19"/>
  <c r="N1077" i="19"/>
  <c r="N1078" i="19"/>
  <c r="N1079" i="19"/>
  <c r="N1080" i="19"/>
  <c r="N1081" i="19"/>
  <c r="N1082" i="19"/>
  <c r="N1083" i="19"/>
  <c r="N1084" i="19"/>
  <c r="N1085" i="19"/>
  <c r="N1086" i="19"/>
  <c r="N1087" i="19"/>
  <c r="N1088" i="19"/>
  <c r="N1089" i="19"/>
  <c r="N1090" i="19"/>
  <c r="N1091" i="19"/>
  <c r="N1092" i="19"/>
  <c r="N1093" i="19"/>
  <c r="N1094" i="19"/>
  <c r="N1095" i="19"/>
  <c r="N1096" i="19"/>
  <c r="N1097" i="19"/>
  <c r="N1098" i="19"/>
  <c r="N1099" i="19"/>
  <c r="N1100" i="19"/>
  <c r="N1101" i="19"/>
  <c r="N1102" i="19"/>
  <c r="N1103" i="19"/>
  <c r="N1104" i="19"/>
  <c r="N1105" i="19"/>
  <c r="N1106" i="19"/>
  <c r="N1107" i="19"/>
  <c r="N1108" i="19"/>
  <c r="N1109" i="19"/>
  <c r="N1110" i="19"/>
  <c r="N1111" i="19"/>
  <c r="N1112" i="19"/>
  <c r="N1113" i="19"/>
  <c r="N1114" i="19"/>
  <c r="N1115" i="19"/>
  <c r="N1116" i="19"/>
  <c r="N1117" i="19"/>
  <c r="N1118" i="19"/>
  <c r="N1119" i="19"/>
  <c r="N1120" i="19"/>
  <c r="N1121" i="19"/>
  <c r="N1122" i="19"/>
  <c r="N1123" i="19"/>
  <c r="N1124" i="19"/>
  <c r="N1125" i="19"/>
  <c r="N1126" i="19"/>
  <c r="N1127" i="19"/>
  <c r="N1128" i="19"/>
  <c r="N1129" i="19"/>
  <c r="N1130" i="19"/>
  <c r="N1131" i="19"/>
  <c r="N1132" i="19"/>
  <c r="N1133" i="19"/>
  <c r="N1134" i="19"/>
  <c r="N1135" i="19"/>
  <c r="N1136" i="19"/>
  <c r="N1137" i="19"/>
  <c r="N1138" i="19"/>
  <c r="N1139" i="19"/>
  <c r="N1140" i="19"/>
  <c r="N1141" i="19"/>
  <c r="N1142" i="19"/>
  <c r="N1143" i="19"/>
  <c r="N1144" i="19"/>
  <c r="N1145" i="19"/>
  <c r="N1146" i="19"/>
  <c r="N1147" i="19"/>
  <c r="N1148" i="19"/>
  <c r="N1149" i="19"/>
  <c r="N1150" i="19"/>
  <c r="N1151" i="19"/>
  <c r="N1152" i="19"/>
  <c r="N1153" i="19"/>
  <c r="N1154" i="19"/>
  <c r="N1155" i="19"/>
  <c r="N1156" i="19"/>
  <c r="N1157" i="19"/>
  <c r="N1158" i="19"/>
  <c r="N1159" i="19"/>
  <c r="N1160" i="19"/>
  <c r="N1161" i="19"/>
  <c r="N1162" i="19"/>
  <c r="N1163" i="19"/>
  <c r="N1164" i="19"/>
  <c r="N1165" i="19"/>
  <c r="N1166" i="19"/>
  <c r="N1167" i="19"/>
  <c r="N1168" i="19"/>
  <c r="N1169" i="19"/>
  <c r="N1170" i="19"/>
  <c r="N1171" i="19"/>
  <c r="N1172" i="19"/>
  <c r="N1173" i="19"/>
  <c r="N1174" i="19"/>
  <c r="N1175" i="19"/>
  <c r="N1176" i="19"/>
  <c r="N1177" i="19"/>
  <c r="N1178" i="19"/>
  <c r="N1179" i="19"/>
  <c r="N1180" i="19"/>
  <c r="N1181" i="19"/>
  <c r="N1182" i="19"/>
  <c r="N1183" i="19"/>
  <c r="N1184" i="19"/>
  <c r="N1185" i="19"/>
  <c r="N1186" i="19"/>
  <c r="N1187" i="19"/>
  <c r="N1188" i="19"/>
  <c r="N1189" i="19"/>
  <c r="N1190" i="19"/>
  <c r="N1191" i="19"/>
  <c r="N1192" i="19"/>
  <c r="N1193" i="19"/>
  <c r="N1194" i="19"/>
  <c r="N1195" i="19"/>
  <c r="N1196" i="19"/>
  <c r="N1197" i="19"/>
  <c r="N1198" i="19"/>
  <c r="N1199" i="19"/>
  <c r="N1200" i="19"/>
  <c r="N1201" i="19"/>
  <c r="N1202" i="19"/>
  <c r="N1203" i="19"/>
  <c r="N1204" i="19"/>
  <c r="N1205" i="19"/>
  <c r="N1206" i="19"/>
  <c r="N1207" i="19"/>
  <c r="N1208" i="19"/>
  <c r="N1209" i="19"/>
  <c r="N1210" i="19"/>
  <c r="N1211" i="19"/>
  <c r="N1212" i="19"/>
  <c r="N1213" i="19"/>
  <c r="N1214" i="19"/>
  <c r="N1215" i="19"/>
  <c r="N1216" i="19"/>
  <c r="N1217" i="19"/>
  <c r="N1218" i="19"/>
  <c r="N1219" i="19"/>
  <c r="N1220" i="19"/>
  <c r="N1221" i="19"/>
  <c r="N1222" i="19"/>
  <c r="N1223" i="19"/>
  <c r="N1224" i="19"/>
  <c r="N1225" i="19"/>
  <c r="N1226" i="19"/>
  <c r="N1227" i="19"/>
  <c r="N1228" i="19"/>
  <c r="N1229" i="19"/>
  <c r="N1230" i="19"/>
  <c r="N1231" i="19"/>
  <c r="N1232" i="19"/>
  <c r="N1233" i="19"/>
  <c r="N1234" i="19"/>
  <c r="N1235" i="19"/>
  <c r="N1236" i="19"/>
  <c r="N1237" i="19"/>
  <c r="N1238" i="19"/>
  <c r="N1239" i="19"/>
  <c r="N1240" i="19"/>
  <c r="N1241" i="19"/>
  <c r="N1242" i="19"/>
  <c r="N1243" i="19"/>
  <c r="N1244" i="19"/>
  <c r="N1245" i="19"/>
  <c r="N1246" i="19"/>
  <c r="N1247" i="19"/>
  <c r="N1248" i="19"/>
  <c r="N1249" i="19"/>
  <c r="N1250" i="19"/>
  <c r="N1251" i="19"/>
  <c r="N1252" i="19"/>
  <c r="N1253" i="19"/>
  <c r="N1254" i="19"/>
  <c r="N1255" i="19"/>
  <c r="N1256" i="19"/>
  <c r="N1257" i="19"/>
  <c r="N1258" i="19"/>
  <c r="N1259" i="19"/>
  <c r="N1260" i="19"/>
  <c r="N1261" i="19"/>
  <c r="N1262" i="19"/>
  <c r="N1263" i="19"/>
  <c r="N1264" i="19"/>
  <c r="N1265" i="19"/>
  <c r="N1266" i="19"/>
  <c r="N1267" i="19"/>
  <c r="N1268" i="19"/>
  <c r="N1269" i="19"/>
  <c r="N1270" i="19"/>
  <c r="N1271" i="19"/>
  <c r="N1272" i="19"/>
  <c r="N1273" i="19"/>
  <c r="N1274" i="19"/>
  <c r="N1275" i="19"/>
  <c r="N1276" i="19"/>
  <c r="N1277" i="19"/>
  <c r="N1278" i="19"/>
  <c r="N1279" i="19"/>
  <c r="N1280" i="19"/>
  <c r="N1281" i="19"/>
  <c r="N1282" i="19"/>
  <c r="N1283" i="19"/>
  <c r="N1284" i="19"/>
  <c r="N1285" i="19"/>
  <c r="N1286" i="19"/>
  <c r="N1287" i="19"/>
  <c r="N1288" i="19"/>
  <c r="N1289" i="19"/>
  <c r="N1290" i="19"/>
  <c r="N1291" i="19"/>
  <c r="N1292" i="19"/>
  <c r="N1293" i="19"/>
  <c r="N1294" i="19"/>
  <c r="N1295" i="19"/>
  <c r="N1296" i="19"/>
  <c r="N1297" i="19"/>
  <c r="N1298" i="19"/>
  <c r="N1299" i="19"/>
  <c r="N1300" i="19"/>
  <c r="N1301" i="19"/>
  <c r="N1302" i="19"/>
  <c r="N1303" i="19"/>
  <c r="N1304" i="19"/>
  <c r="N1305" i="19"/>
  <c r="N1306" i="19"/>
  <c r="N1307" i="19"/>
  <c r="N1308" i="19"/>
  <c r="N1309" i="19"/>
  <c r="N1310" i="19"/>
  <c r="N1311" i="19"/>
  <c r="N1312" i="19"/>
  <c r="N1313" i="19"/>
  <c r="N1314" i="19"/>
  <c r="N1315" i="19"/>
  <c r="N1316" i="19"/>
  <c r="N1317" i="19"/>
  <c r="N1318" i="19"/>
  <c r="N1319" i="19"/>
  <c r="N1320" i="19"/>
  <c r="N1321" i="19"/>
  <c r="N1322" i="19"/>
  <c r="N1323" i="19"/>
  <c r="N1324" i="19"/>
  <c r="N1325" i="19"/>
  <c r="N1326" i="19"/>
  <c r="N1327" i="19"/>
  <c r="N1328" i="19"/>
  <c r="N1329" i="19"/>
  <c r="N1330" i="19"/>
  <c r="N1331" i="19"/>
  <c r="N1332" i="19"/>
  <c r="N1333" i="19"/>
  <c r="N1334" i="19"/>
  <c r="N1335" i="19"/>
  <c r="N1336" i="19"/>
  <c r="N1337" i="19"/>
  <c r="N1338" i="19"/>
  <c r="N1339" i="19"/>
  <c r="N1340" i="19"/>
  <c r="N1341" i="19"/>
  <c r="N1342" i="19"/>
  <c r="N1343" i="19"/>
  <c r="N1344" i="19"/>
  <c r="N1345" i="19"/>
  <c r="N1346" i="19"/>
  <c r="N1347" i="19"/>
  <c r="N1348" i="19"/>
  <c r="N1349" i="19"/>
  <c r="N1350" i="19"/>
  <c r="N1351" i="19"/>
  <c r="N1352" i="19"/>
  <c r="N1353" i="19"/>
  <c r="N1354" i="19"/>
  <c r="N1355" i="19"/>
  <c r="N1356" i="19"/>
  <c r="N1357" i="19"/>
  <c r="N1358" i="19"/>
  <c r="N1359" i="19"/>
  <c r="N1360" i="19"/>
  <c r="N1361" i="19"/>
  <c r="N1362" i="19"/>
  <c r="N1363" i="19"/>
  <c r="N1364" i="19"/>
  <c r="N1365" i="19"/>
  <c r="N1366" i="19"/>
  <c r="N1367" i="19"/>
  <c r="N1368" i="19"/>
  <c r="N1369" i="19"/>
  <c r="N1370" i="19"/>
  <c r="N1371" i="19"/>
  <c r="N1372" i="19"/>
  <c r="N1373" i="19"/>
  <c r="N1374" i="19"/>
  <c r="N1375" i="19"/>
  <c r="N1376" i="19"/>
  <c r="N1377" i="19"/>
  <c r="N1378" i="19"/>
  <c r="N1379" i="19"/>
  <c r="N1380" i="19"/>
  <c r="N1381" i="19"/>
  <c r="N1382" i="19"/>
  <c r="N1383" i="19"/>
  <c r="N1384" i="19"/>
  <c r="N1385" i="19"/>
  <c r="N1386" i="19"/>
  <c r="N1387" i="19"/>
  <c r="N1388" i="19"/>
  <c r="N1389" i="19"/>
  <c r="N1390" i="19"/>
  <c r="N1391" i="19"/>
  <c r="N1392" i="19"/>
  <c r="N1393" i="19"/>
  <c r="N1394" i="19"/>
  <c r="N1395" i="19"/>
  <c r="N1396" i="19"/>
  <c r="N1397" i="19"/>
  <c r="N1398" i="19"/>
  <c r="N1399" i="19"/>
  <c r="N1400" i="19"/>
  <c r="N1401" i="19"/>
  <c r="N1402" i="19"/>
  <c r="N1403" i="19"/>
  <c r="N1404" i="19"/>
  <c r="N1405" i="19"/>
  <c r="N1406" i="19"/>
  <c r="N1407" i="19"/>
  <c r="N1408" i="19"/>
  <c r="N1409" i="19"/>
  <c r="N1410" i="19"/>
  <c r="N1411" i="19"/>
  <c r="N1412" i="19"/>
  <c r="N1413" i="19"/>
  <c r="N1414" i="19"/>
  <c r="N1415" i="19"/>
  <c r="N1416" i="19"/>
  <c r="N1417" i="19"/>
  <c r="N1418" i="19"/>
  <c r="N1419" i="19"/>
  <c r="N1420" i="19"/>
  <c r="N1421" i="19"/>
  <c r="N1422" i="19"/>
  <c r="N1423" i="19"/>
  <c r="N1424" i="19"/>
  <c r="N1425" i="19"/>
  <c r="N1426" i="19"/>
  <c r="N1427" i="19"/>
  <c r="N1428" i="19"/>
  <c r="N1429" i="19"/>
  <c r="N1430" i="19"/>
  <c r="N1431" i="19"/>
  <c r="N1432" i="19"/>
  <c r="N1433" i="19"/>
  <c r="N1434" i="19"/>
  <c r="N1435" i="19"/>
  <c r="N1436" i="19"/>
  <c r="N1437" i="19"/>
  <c r="N1438" i="19"/>
  <c r="N1439" i="19"/>
  <c r="N1440" i="19"/>
  <c r="N1441" i="19"/>
  <c r="N1442" i="19"/>
  <c r="N1443" i="19"/>
  <c r="N1444" i="19"/>
  <c r="N1445" i="19"/>
  <c r="N1446" i="19"/>
  <c r="N1447" i="19"/>
  <c r="N1448" i="19"/>
  <c r="N1449" i="19"/>
  <c r="N1450" i="19"/>
  <c r="N1451" i="19"/>
  <c r="N1452" i="19"/>
  <c r="N1453" i="19"/>
  <c r="N1454" i="19"/>
  <c r="N1455" i="19"/>
  <c r="N1456" i="19"/>
  <c r="N1457" i="19"/>
  <c r="N1458" i="19"/>
  <c r="N1459" i="19"/>
  <c r="N1460" i="19"/>
  <c r="N1461" i="19"/>
  <c r="N1462" i="19"/>
  <c r="N1463" i="19"/>
  <c r="N1464" i="19"/>
  <c r="N1465" i="19"/>
  <c r="N1466" i="19"/>
  <c r="N1467" i="19"/>
  <c r="N1468" i="19"/>
  <c r="N1469" i="19"/>
  <c r="N1470" i="19"/>
  <c r="N1471" i="19"/>
  <c r="N1472" i="19"/>
  <c r="N1473" i="19"/>
  <c r="N1474" i="19"/>
  <c r="N1475" i="19"/>
  <c r="N1476" i="19"/>
  <c r="N1477" i="19"/>
  <c r="N1478" i="19"/>
  <c r="N1479" i="19"/>
  <c r="N1480" i="19"/>
  <c r="N1481" i="19"/>
  <c r="N1482" i="19"/>
  <c r="N1483" i="19"/>
  <c r="N1484" i="19"/>
  <c r="N1485" i="19"/>
  <c r="N1486" i="19"/>
  <c r="N1487" i="19"/>
  <c r="N1488" i="19"/>
  <c r="N1489" i="19"/>
  <c r="N1490" i="19"/>
  <c r="N1491" i="19"/>
  <c r="N1492" i="19"/>
  <c r="N1493" i="19"/>
  <c r="N1494" i="19"/>
  <c r="N1495" i="19"/>
  <c r="N1496" i="19"/>
  <c r="N1497" i="19"/>
  <c r="N1498" i="19"/>
  <c r="N1499" i="19"/>
  <c r="N1500" i="19"/>
  <c r="N1501" i="19"/>
  <c r="N1502" i="19"/>
  <c r="N1503" i="19"/>
  <c r="N1504" i="19"/>
  <c r="N1505" i="19"/>
  <c r="N1506" i="19"/>
  <c r="N1507" i="19"/>
  <c r="N1508" i="19"/>
  <c r="N1509" i="19"/>
  <c r="N1510" i="19"/>
  <c r="N1511" i="19"/>
  <c r="N1512" i="19"/>
  <c r="N1513" i="19"/>
  <c r="N1514" i="19"/>
  <c r="N1515" i="19"/>
  <c r="N1516" i="19"/>
  <c r="N1517" i="19"/>
  <c r="N1518" i="19"/>
  <c r="N1519" i="19"/>
  <c r="N1520" i="19"/>
  <c r="N1521" i="19"/>
  <c r="N1522" i="19"/>
  <c r="N1523" i="19"/>
  <c r="N1524" i="19"/>
  <c r="N1525" i="19"/>
  <c r="N1526" i="19"/>
  <c r="N1527" i="19"/>
  <c r="N1528" i="19"/>
  <c r="N1529" i="19"/>
  <c r="N1530" i="19"/>
  <c r="N1531" i="19"/>
  <c r="N1532" i="19"/>
  <c r="N1533" i="19"/>
  <c r="N1534" i="19"/>
  <c r="N1535" i="19"/>
  <c r="N1536" i="19"/>
  <c r="N1537" i="19"/>
  <c r="N1538" i="19"/>
  <c r="N1539" i="19"/>
  <c r="N1540" i="19"/>
  <c r="N1541" i="19"/>
  <c r="N1542" i="19"/>
  <c r="N1543" i="19"/>
  <c r="N1544" i="19"/>
  <c r="N1545" i="19"/>
  <c r="N1546" i="19"/>
  <c r="N1547" i="19"/>
  <c r="N1548" i="19"/>
  <c r="N1549" i="19"/>
  <c r="N1550" i="19"/>
  <c r="N1551" i="19"/>
  <c r="N1552" i="19"/>
  <c r="N1553" i="19"/>
  <c r="N1554" i="19"/>
  <c r="N1555" i="19"/>
  <c r="N1556" i="19"/>
  <c r="N1557" i="19"/>
  <c r="N1558" i="19"/>
  <c r="N1559" i="19"/>
  <c r="N1560" i="19"/>
  <c r="N1561" i="19"/>
  <c r="N1562" i="19"/>
  <c r="N1563" i="19"/>
  <c r="N1564" i="19"/>
  <c r="N1565" i="19"/>
  <c r="N1566" i="19"/>
  <c r="N1567" i="19"/>
  <c r="N1568" i="19"/>
  <c r="N1569" i="19"/>
  <c r="N1570" i="19"/>
  <c r="N1571" i="19"/>
  <c r="N1572" i="19"/>
  <c r="N1573" i="19"/>
  <c r="N1574" i="19"/>
  <c r="N1575" i="19"/>
  <c r="N1576" i="19"/>
  <c r="N1577" i="19"/>
  <c r="N1578" i="19"/>
  <c r="N1579" i="19"/>
  <c r="N1580" i="19"/>
  <c r="N1581" i="19"/>
  <c r="N1582" i="19"/>
  <c r="N1583" i="19"/>
  <c r="N1584" i="19"/>
  <c r="N1585" i="19"/>
  <c r="N1586" i="19"/>
  <c r="N1587" i="19"/>
  <c r="N1588" i="19"/>
  <c r="N1589" i="19"/>
  <c r="N1590" i="19"/>
  <c r="N1591" i="19"/>
  <c r="N1592" i="19"/>
  <c r="N1593" i="19"/>
  <c r="N1594" i="19"/>
  <c r="N1595" i="19"/>
  <c r="N1596" i="19"/>
  <c r="N1597" i="19"/>
  <c r="N1598" i="19"/>
  <c r="N1599" i="19"/>
  <c r="N1600" i="19"/>
  <c r="N1601" i="19"/>
  <c r="N1602" i="19"/>
  <c r="N1603" i="19"/>
  <c r="N1604" i="19"/>
  <c r="N1605" i="19"/>
  <c r="N1606" i="19"/>
  <c r="N1607" i="19"/>
  <c r="N1608" i="19"/>
  <c r="N1609" i="19"/>
  <c r="N1610" i="19"/>
  <c r="N1611" i="19"/>
  <c r="N1612" i="19"/>
  <c r="N1613" i="19"/>
  <c r="N1614" i="19"/>
  <c r="N1615" i="19"/>
  <c r="N1616" i="19"/>
  <c r="N1617" i="19"/>
  <c r="N1618" i="19"/>
  <c r="N1619" i="19"/>
  <c r="N1620" i="19"/>
  <c r="N1621" i="19"/>
  <c r="N1622" i="19"/>
  <c r="N1623" i="19"/>
  <c r="N1624" i="19"/>
  <c r="N1625" i="19"/>
  <c r="N1626" i="19"/>
  <c r="N1627" i="19"/>
  <c r="N1628" i="19"/>
  <c r="N1629" i="19"/>
  <c r="N1630" i="19"/>
  <c r="N1631" i="19"/>
  <c r="N1632" i="19"/>
  <c r="N1633" i="19"/>
  <c r="N1634" i="19"/>
  <c r="N1635" i="19"/>
  <c r="N1636" i="19"/>
  <c r="N1637" i="19"/>
  <c r="N1638" i="19"/>
  <c r="N1639" i="19"/>
  <c r="N1640" i="19"/>
  <c r="N1641" i="19"/>
  <c r="N1642" i="19"/>
  <c r="N1643" i="19"/>
  <c r="N1644" i="19"/>
  <c r="N1645" i="19"/>
  <c r="N1646" i="19"/>
  <c r="N1647" i="19"/>
  <c r="N1648" i="19"/>
  <c r="N1649" i="19"/>
  <c r="N1650" i="19"/>
  <c r="N1651" i="19"/>
  <c r="N1652" i="19"/>
  <c r="N1653" i="19"/>
  <c r="N1654" i="19"/>
  <c r="N1655" i="19"/>
  <c r="N1656" i="19"/>
  <c r="N1657" i="19"/>
  <c r="N1658" i="19"/>
  <c r="N1659" i="19"/>
  <c r="N1660" i="19"/>
  <c r="N1661" i="19"/>
  <c r="N1662" i="19"/>
  <c r="N1663" i="19"/>
  <c r="N1664" i="19"/>
  <c r="N1665" i="19"/>
  <c r="N1666" i="19"/>
  <c r="N1667" i="19"/>
  <c r="N1668" i="19"/>
  <c r="N1669" i="19"/>
  <c r="N1670" i="19"/>
  <c r="N1671" i="19"/>
  <c r="N1672" i="19"/>
  <c r="N1673" i="19"/>
  <c r="N1674" i="19"/>
  <c r="N1675" i="19"/>
  <c r="N1676" i="19"/>
  <c r="N1677" i="19"/>
  <c r="N1678" i="19"/>
  <c r="N1679" i="19"/>
  <c r="N1680" i="19"/>
  <c r="N1681" i="19"/>
  <c r="N1682" i="19"/>
  <c r="N1683" i="19"/>
  <c r="N1684" i="19"/>
  <c r="N1685" i="19"/>
  <c r="N1686" i="19"/>
  <c r="N1687" i="19"/>
  <c r="N1688" i="19"/>
  <c r="N1689" i="19"/>
  <c r="N1690" i="19"/>
  <c r="N1691" i="19"/>
  <c r="N1692" i="19"/>
  <c r="N1693" i="19"/>
  <c r="N1694" i="19"/>
  <c r="N1695" i="19"/>
  <c r="N1696" i="19"/>
  <c r="N1697" i="19"/>
  <c r="N1698" i="19"/>
  <c r="N1699" i="19"/>
  <c r="N1700" i="19"/>
  <c r="N1701" i="19"/>
  <c r="N1702" i="19"/>
  <c r="N1703" i="19"/>
  <c r="N1704" i="19"/>
  <c r="N1705" i="19"/>
  <c r="N1706" i="19"/>
  <c r="N1707" i="19"/>
  <c r="N1708" i="19"/>
  <c r="N1709" i="19"/>
  <c r="N1710" i="19"/>
  <c r="N1711" i="19"/>
  <c r="N1712" i="19"/>
  <c r="N1713" i="19"/>
  <c r="N1714" i="19"/>
  <c r="N1715" i="19"/>
  <c r="N1716" i="19"/>
  <c r="N1717" i="19"/>
  <c r="N1718" i="19"/>
  <c r="N1719" i="19"/>
  <c r="N1720" i="19"/>
  <c r="N1721" i="19"/>
  <c r="N1722" i="19"/>
  <c r="N1723" i="19"/>
  <c r="N1724" i="19"/>
  <c r="N1725" i="19"/>
  <c r="N1726" i="19"/>
  <c r="N1727" i="19"/>
  <c r="N1728" i="19"/>
  <c r="N1729" i="19"/>
  <c r="N1730" i="19"/>
  <c r="N1731" i="19"/>
  <c r="N1732" i="19"/>
  <c r="N1733" i="19"/>
  <c r="N1734" i="19"/>
  <c r="N1735" i="19"/>
  <c r="N1736" i="19"/>
  <c r="N1737" i="19"/>
  <c r="N1738" i="19"/>
  <c r="N1739" i="19"/>
  <c r="N1740" i="19"/>
  <c r="N1741" i="19"/>
  <c r="N1742" i="19"/>
  <c r="N1743" i="19"/>
  <c r="N1744" i="19"/>
  <c r="N1745" i="19"/>
  <c r="N1746" i="19"/>
  <c r="N1747" i="19"/>
  <c r="N1748" i="19"/>
  <c r="N1749" i="19"/>
  <c r="N1750" i="19"/>
  <c r="N1751" i="19"/>
  <c r="N1752" i="19"/>
  <c r="N1753" i="19"/>
  <c r="N1754" i="19"/>
  <c r="N1755" i="19"/>
  <c r="N1756" i="19"/>
  <c r="N1757" i="19"/>
  <c r="N1758" i="19"/>
  <c r="N1759" i="19"/>
  <c r="N1760" i="19"/>
  <c r="N1761" i="19"/>
  <c r="N1762" i="19"/>
  <c r="N1763" i="19"/>
  <c r="N1764" i="19"/>
  <c r="N1765" i="19"/>
  <c r="N1766" i="19"/>
  <c r="N1767" i="19"/>
  <c r="N1768" i="19"/>
  <c r="N1769" i="19"/>
  <c r="N1770" i="19"/>
  <c r="N1771" i="19"/>
  <c r="N1772" i="19"/>
  <c r="N1773" i="19"/>
  <c r="N1774" i="19"/>
  <c r="N1775" i="19"/>
  <c r="N1776" i="19"/>
  <c r="N1777" i="19"/>
  <c r="N1778" i="19"/>
  <c r="N1779" i="19"/>
  <c r="N1780" i="19"/>
  <c r="N1781" i="19"/>
  <c r="N1782" i="19"/>
  <c r="N1783" i="19"/>
  <c r="N1784" i="19"/>
  <c r="N1785" i="19"/>
  <c r="N1786" i="19"/>
  <c r="N1787" i="19"/>
  <c r="N1788" i="19"/>
  <c r="N1789" i="19"/>
  <c r="N1790" i="19"/>
  <c r="N1791" i="19"/>
  <c r="N1792" i="19"/>
  <c r="N1793" i="19"/>
  <c r="N1794" i="19"/>
  <c r="N1795" i="19"/>
  <c r="N1796" i="19"/>
  <c r="N1797" i="19"/>
  <c r="N1798" i="19"/>
  <c r="N1799" i="19"/>
  <c r="N1800" i="19"/>
  <c r="N1801" i="19"/>
  <c r="N1802" i="19"/>
  <c r="N1803" i="19"/>
  <c r="N1804" i="19"/>
  <c r="N1805" i="19"/>
  <c r="N1806" i="19"/>
  <c r="N1807" i="19"/>
  <c r="N1808" i="19"/>
  <c r="N1809" i="19"/>
  <c r="N1810" i="19"/>
  <c r="N1811" i="19"/>
  <c r="N1812" i="19"/>
  <c r="N1813" i="19"/>
  <c r="N1814" i="19"/>
  <c r="N1815" i="19"/>
  <c r="N1816" i="19"/>
  <c r="N1817" i="19"/>
  <c r="N1818" i="19"/>
  <c r="N1819" i="19"/>
  <c r="N1820" i="19"/>
  <c r="N1821" i="19"/>
  <c r="N1822" i="19"/>
  <c r="N1823" i="19"/>
  <c r="N1824" i="19"/>
  <c r="N1825" i="19"/>
  <c r="N1826" i="19"/>
  <c r="N1827" i="19"/>
  <c r="N1828" i="19"/>
  <c r="N1829" i="19"/>
  <c r="N1830" i="19"/>
  <c r="N1831" i="19"/>
  <c r="N2" i="19"/>
  <c r="I1812" i="19"/>
  <c r="C3" i="19"/>
  <c r="R3" i="19" s="1"/>
  <c r="C4" i="19"/>
  <c r="R4" i="19" s="1"/>
  <c r="C5" i="19"/>
  <c r="R5" i="19" s="1"/>
  <c r="C6" i="19"/>
  <c r="R6" i="19" s="1"/>
  <c r="C7" i="19"/>
  <c r="R7" i="19" s="1"/>
  <c r="C8" i="19"/>
  <c r="R8" i="19" s="1"/>
  <c r="C9" i="19"/>
  <c r="R9" i="19" s="1"/>
  <c r="C10" i="19"/>
  <c r="R10" i="19" s="1"/>
  <c r="C11" i="19"/>
  <c r="R11" i="19" s="1"/>
  <c r="C12" i="19"/>
  <c r="R12" i="19" s="1"/>
  <c r="C13" i="19"/>
  <c r="R13" i="19" s="1"/>
  <c r="C14" i="19"/>
  <c r="R14" i="19" s="1"/>
  <c r="C15" i="19"/>
  <c r="R15" i="19" s="1"/>
  <c r="C16" i="19"/>
  <c r="R16" i="19" s="1"/>
  <c r="C17" i="19"/>
  <c r="R17" i="19" s="1"/>
  <c r="C18" i="19"/>
  <c r="R18" i="19" s="1"/>
  <c r="C19" i="19"/>
  <c r="R19" i="19" s="1"/>
  <c r="C20" i="19"/>
  <c r="R20" i="19" s="1"/>
  <c r="C21" i="19"/>
  <c r="R21" i="19" s="1"/>
  <c r="C22" i="19"/>
  <c r="R22" i="19" s="1"/>
  <c r="C23" i="19"/>
  <c r="R23" i="19" s="1"/>
  <c r="C24" i="19"/>
  <c r="R24" i="19" s="1"/>
  <c r="C25" i="19"/>
  <c r="R25" i="19" s="1"/>
  <c r="C26" i="19"/>
  <c r="R26" i="19" s="1"/>
  <c r="C27" i="19"/>
  <c r="R27" i="19" s="1"/>
  <c r="C28" i="19"/>
  <c r="R28" i="19" s="1"/>
  <c r="C29" i="19"/>
  <c r="R29" i="19" s="1"/>
  <c r="C30" i="19"/>
  <c r="R30" i="19" s="1"/>
  <c r="C31" i="19"/>
  <c r="R31" i="19" s="1"/>
  <c r="C32" i="19"/>
  <c r="R32" i="19" s="1"/>
  <c r="C33" i="19"/>
  <c r="R33" i="19" s="1"/>
  <c r="C34" i="19"/>
  <c r="R34" i="19" s="1"/>
  <c r="C35" i="19"/>
  <c r="R35" i="19" s="1"/>
  <c r="C36" i="19"/>
  <c r="R36" i="19" s="1"/>
  <c r="C37" i="19"/>
  <c r="R37" i="19" s="1"/>
  <c r="C38" i="19"/>
  <c r="R38" i="19" s="1"/>
  <c r="C39" i="19"/>
  <c r="R39" i="19" s="1"/>
  <c r="C40" i="19"/>
  <c r="R40" i="19" s="1"/>
  <c r="C41" i="19"/>
  <c r="R41" i="19" s="1"/>
  <c r="C42" i="19"/>
  <c r="R42" i="19" s="1"/>
  <c r="C43" i="19"/>
  <c r="R43" i="19" s="1"/>
  <c r="C44" i="19"/>
  <c r="R44" i="19" s="1"/>
  <c r="C45" i="19"/>
  <c r="R45" i="19" s="1"/>
  <c r="C46" i="19"/>
  <c r="R46" i="19" s="1"/>
  <c r="C47" i="19"/>
  <c r="R47" i="19" s="1"/>
  <c r="C48" i="19"/>
  <c r="R48" i="19" s="1"/>
  <c r="C49" i="19"/>
  <c r="R49" i="19" s="1"/>
  <c r="C50" i="19"/>
  <c r="R50" i="19" s="1"/>
  <c r="C51" i="19"/>
  <c r="R51" i="19" s="1"/>
  <c r="C52" i="19"/>
  <c r="R52" i="19" s="1"/>
  <c r="C53" i="19"/>
  <c r="R53" i="19" s="1"/>
  <c r="C54" i="19"/>
  <c r="R54" i="19" s="1"/>
  <c r="C55" i="19"/>
  <c r="R55" i="19" s="1"/>
  <c r="C56" i="19"/>
  <c r="R56" i="19" s="1"/>
  <c r="C57" i="19"/>
  <c r="R57" i="19" s="1"/>
  <c r="C58" i="19"/>
  <c r="R58" i="19" s="1"/>
  <c r="C59" i="19"/>
  <c r="R59" i="19" s="1"/>
  <c r="C60" i="19"/>
  <c r="R60" i="19" s="1"/>
  <c r="C61" i="19"/>
  <c r="R61" i="19" s="1"/>
  <c r="C62" i="19"/>
  <c r="R62" i="19" s="1"/>
  <c r="C63" i="19"/>
  <c r="R63" i="19" s="1"/>
  <c r="C64" i="19"/>
  <c r="R64" i="19" s="1"/>
  <c r="C65" i="19"/>
  <c r="R65" i="19" s="1"/>
  <c r="C66" i="19"/>
  <c r="R66" i="19" s="1"/>
  <c r="C67" i="19"/>
  <c r="R67" i="19" s="1"/>
  <c r="C68" i="19"/>
  <c r="R68" i="19" s="1"/>
  <c r="C69" i="19"/>
  <c r="R69" i="19" s="1"/>
  <c r="C70" i="19"/>
  <c r="R70" i="19" s="1"/>
  <c r="C71" i="19"/>
  <c r="R71" i="19" s="1"/>
  <c r="C72" i="19"/>
  <c r="R72" i="19" s="1"/>
  <c r="C73" i="19"/>
  <c r="R73" i="19" s="1"/>
  <c r="C74" i="19"/>
  <c r="R74" i="19" s="1"/>
  <c r="C75" i="19"/>
  <c r="R75" i="19" s="1"/>
  <c r="C76" i="19"/>
  <c r="R76" i="19" s="1"/>
  <c r="C77" i="19"/>
  <c r="R77" i="19" s="1"/>
  <c r="C78" i="19"/>
  <c r="R78" i="19" s="1"/>
  <c r="C79" i="19"/>
  <c r="R79" i="19" s="1"/>
  <c r="C80" i="19"/>
  <c r="R80" i="19" s="1"/>
  <c r="C81" i="19"/>
  <c r="R81" i="19" s="1"/>
  <c r="C82" i="19"/>
  <c r="R82" i="19" s="1"/>
  <c r="C83" i="19"/>
  <c r="R83" i="19" s="1"/>
  <c r="C84" i="19"/>
  <c r="R84" i="19" s="1"/>
  <c r="C85" i="19"/>
  <c r="R85" i="19" s="1"/>
  <c r="C86" i="19"/>
  <c r="R86" i="19" s="1"/>
  <c r="C87" i="19"/>
  <c r="R87" i="19" s="1"/>
  <c r="C88" i="19"/>
  <c r="R88" i="19" s="1"/>
  <c r="C89" i="19"/>
  <c r="R89" i="19" s="1"/>
  <c r="C90" i="19"/>
  <c r="R90" i="19" s="1"/>
  <c r="C91" i="19"/>
  <c r="R91" i="19" s="1"/>
  <c r="C92" i="19"/>
  <c r="R92" i="19" s="1"/>
  <c r="C93" i="19"/>
  <c r="R93" i="19" s="1"/>
  <c r="C94" i="19"/>
  <c r="R94" i="19" s="1"/>
  <c r="C95" i="19"/>
  <c r="R95" i="19" s="1"/>
  <c r="C96" i="19"/>
  <c r="R96" i="19" s="1"/>
  <c r="C97" i="19"/>
  <c r="R97" i="19" s="1"/>
  <c r="C98" i="19"/>
  <c r="R98" i="19" s="1"/>
  <c r="C99" i="19"/>
  <c r="R99" i="19" s="1"/>
  <c r="C100" i="19"/>
  <c r="R100" i="19" s="1"/>
  <c r="C101" i="19"/>
  <c r="R101" i="19" s="1"/>
  <c r="C102" i="19"/>
  <c r="R102" i="19" s="1"/>
  <c r="C103" i="19"/>
  <c r="R103" i="19" s="1"/>
  <c r="C104" i="19"/>
  <c r="R104" i="19" s="1"/>
  <c r="C105" i="19"/>
  <c r="R105" i="19" s="1"/>
  <c r="C106" i="19"/>
  <c r="R106" i="19" s="1"/>
  <c r="C107" i="19"/>
  <c r="R107" i="19" s="1"/>
  <c r="C108" i="19"/>
  <c r="R108" i="19" s="1"/>
  <c r="C109" i="19"/>
  <c r="R109" i="19" s="1"/>
  <c r="C110" i="19"/>
  <c r="R110" i="19" s="1"/>
  <c r="C111" i="19"/>
  <c r="R111" i="19" s="1"/>
  <c r="C112" i="19"/>
  <c r="R112" i="19" s="1"/>
  <c r="C113" i="19"/>
  <c r="R113" i="19" s="1"/>
  <c r="C114" i="19"/>
  <c r="R114" i="19" s="1"/>
  <c r="C115" i="19"/>
  <c r="R115" i="19" s="1"/>
  <c r="C116" i="19"/>
  <c r="R116" i="19" s="1"/>
  <c r="C117" i="19"/>
  <c r="R117" i="19" s="1"/>
  <c r="C118" i="19"/>
  <c r="R118" i="19" s="1"/>
  <c r="C119" i="19"/>
  <c r="R119" i="19" s="1"/>
  <c r="C120" i="19"/>
  <c r="R120" i="19" s="1"/>
  <c r="C121" i="19"/>
  <c r="R121" i="19" s="1"/>
  <c r="C122" i="19"/>
  <c r="R122" i="19" s="1"/>
  <c r="C123" i="19"/>
  <c r="R123" i="19" s="1"/>
  <c r="C124" i="19"/>
  <c r="R124" i="19" s="1"/>
  <c r="C125" i="19"/>
  <c r="R125" i="19" s="1"/>
  <c r="C126" i="19"/>
  <c r="R126" i="19" s="1"/>
  <c r="C127" i="19"/>
  <c r="R127" i="19" s="1"/>
  <c r="C128" i="19"/>
  <c r="R128" i="19" s="1"/>
  <c r="C129" i="19"/>
  <c r="R129" i="19" s="1"/>
  <c r="C130" i="19"/>
  <c r="R130" i="19" s="1"/>
  <c r="C131" i="19"/>
  <c r="R131" i="19" s="1"/>
  <c r="C132" i="19"/>
  <c r="R132" i="19" s="1"/>
  <c r="C133" i="19"/>
  <c r="R133" i="19" s="1"/>
  <c r="C134" i="19"/>
  <c r="R134" i="19" s="1"/>
  <c r="C135" i="19"/>
  <c r="R135" i="19" s="1"/>
  <c r="C136" i="19"/>
  <c r="R136" i="19" s="1"/>
  <c r="C137" i="19"/>
  <c r="R137" i="19" s="1"/>
  <c r="C138" i="19"/>
  <c r="R138" i="19" s="1"/>
  <c r="C139" i="19"/>
  <c r="R139" i="19" s="1"/>
  <c r="C140" i="19"/>
  <c r="R140" i="19" s="1"/>
  <c r="C141" i="19"/>
  <c r="R141" i="19" s="1"/>
  <c r="C142" i="19"/>
  <c r="R142" i="19" s="1"/>
  <c r="C143" i="19"/>
  <c r="R143" i="19" s="1"/>
  <c r="C144" i="19"/>
  <c r="R144" i="19" s="1"/>
  <c r="C145" i="19"/>
  <c r="R145" i="19" s="1"/>
  <c r="C146" i="19"/>
  <c r="R146" i="19" s="1"/>
  <c r="C147" i="19"/>
  <c r="R147" i="19" s="1"/>
  <c r="C148" i="19"/>
  <c r="R148" i="19" s="1"/>
  <c r="C149" i="19"/>
  <c r="R149" i="19" s="1"/>
  <c r="C150" i="19"/>
  <c r="R150" i="19" s="1"/>
  <c r="C151" i="19"/>
  <c r="R151" i="19" s="1"/>
  <c r="C152" i="19"/>
  <c r="R152" i="19" s="1"/>
  <c r="C153" i="19"/>
  <c r="R153" i="19" s="1"/>
  <c r="C154" i="19"/>
  <c r="R154" i="19" s="1"/>
  <c r="C155" i="19"/>
  <c r="R155" i="19" s="1"/>
  <c r="C156" i="19"/>
  <c r="R156" i="19" s="1"/>
  <c r="C157" i="19"/>
  <c r="R157" i="19" s="1"/>
  <c r="C158" i="19"/>
  <c r="R158" i="19" s="1"/>
  <c r="C159" i="19"/>
  <c r="R159" i="19" s="1"/>
  <c r="C160" i="19"/>
  <c r="R160" i="19" s="1"/>
  <c r="C161" i="19"/>
  <c r="R161" i="19" s="1"/>
  <c r="C162" i="19"/>
  <c r="R162" i="19" s="1"/>
  <c r="C163" i="19"/>
  <c r="R163" i="19" s="1"/>
  <c r="C164" i="19"/>
  <c r="R164" i="19" s="1"/>
  <c r="C165" i="19"/>
  <c r="R165" i="19" s="1"/>
  <c r="C166" i="19"/>
  <c r="R166" i="19" s="1"/>
  <c r="C167" i="19"/>
  <c r="R167" i="19" s="1"/>
  <c r="C168" i="19"/>
  <c r="R168" i="19" s="1"/>
  <c r="C169" i="19"/>
  <c r="R169" i="19" s="1"/>
  <c r="C170" i="19"/>
  <c r="R170" i="19" s="1"/>
  <c r="C171" i="19"/>
  <c r="R171" i="19" s="1"/>
  <c r="C172" i="19"/>
  <c r="R172" i="19" s="1"/>
  <c r="C173" i="19"/>
  <c r="R173" i="19" s="1"/>
  <c r="C174" i="19"/>
  <c r="R174" i="19" s="1"/>
  <c r="C175" i="19"/>
  <c r="R175" i="19" s="1"/>
  <c r="C176" i="19"/>
  <c r="R176" i="19" s="1"/>
  <c r="C177" i="19"/>
  <c r="R177" i="19" s="1"/>
  <c r="C178" i="19"/>
  <c r="R178" i="19" s="1"/>
  <c r="C179" i="19"/>
  <c r="R179" i="19" s="1"/>
  <c r="C180" i="19"/>
  <c r="R180" i="19" s="1"/>
  <c r="C181" i="19"/>
  <c r="R181" i="19" s="1"/>
  <c r="C182" i="19"/>
  <c r="R182" i="19" s="1"/>
  <c r="C183" i="19"/>
  <c r="R183" i="19" s="1"/>
  <c r="C184" i="19"/>
  <c r="R184" i="19" s="1"/>
  <c r="C185" i="19"/>
  <c r="R185" i="19" s="1"/>
  <c r="C186" i="19"/>
  <c r="R186" i="19" s="1"/>
  <c r="C187" i="19"/>
  <c r="R187" i="19" s="1"/>
  <c r="C188" i="19"/>
  <c r="R188" i="19" s="1"/>
  <c r="C189" i="19"/>
  <c r="R189" i="19" s="1"/>
  <c r="C190" i="19"/>
  <c r="R190" i="19" s="1"/>
  <c r="C191" i="19"/>
  <c r="R191" i="19" s="1"/>
  <c r="C192" i="19"/>
  <c r="R192" i="19" s="1"/>
  <c r="C193" i="19"/>
  <c r="R193" i="19" s="1"/>
  <c r="C194" i="19"/>
  <c r="R194" i="19" s="1"/>
  <c r="C195" i="19"/>
  <c r="R195" i="19" s="1"/>
  <c r="C196" i="19"/>
  <c r="R196" i="19" s="1"/>
  <c r="C197" i="19"/>
  <c r="R197" i="19" s="1"/>
  <c r="C198" i="19"/>
  <c r="R198" i="19" s="1"/>
  <c r="C199" i="19"/>
  <c r="R199" i="19" s="1"/>
  <c r="C200" i="19"/>
  <c r="R200" i="19" s="1"/>
  <c r="C201" i="19"/>
  <c r="R201" i="19" s="1"/>
  <c r="C202" i="19"/>
  <c r="R202" i="19" s="1"/>
  <c r="C203" i="19"/>
  <c r="R203" i="19" s="1"/>
  <c r="C204" i="19"/>
  <c r="R204" i="19" s="1"/>
  <c r="C205" i="19"/>
  <c r="R205" i="19" s="1"/>
  <c r="C206" i="19"/>
  <c r="R206" i="19" s="1"/>
  <c r="C207" i="19"/>
  <c r="R207" i="19" s="1"/>
  <c r="C208" i="19"/>
  <c r="R208" i="19" s="1"/>
  <c r="C209" i="19"/>
  <c r="R209" i="19" s="1"/>
  <c r="C210" i="19"/>
  <c r="R210" i="19" s="1"/>
  <c r="C211" i="19"/>
  <c r="R211" i="19" s="1"/>
  <c r="C212" i="19"/>
  <c r="R212" i="19" s="1"/>
  <c r="C213" i="19"/>
  <c r="R213" i="19" s="1"/>
  <c r="C214" i="19"/>
  <c r="R214" i="19" s="1"/>
  <c r="C215" i="19"/>
  <c r="R215" i="19" s="1"/>
  <c r="C216" i="19"/>
  <c r="R216" i="19" s="1"/>
  <c r="C217" i="19"/>
  <c r="R217" i="19" s="1"/>
  <c r="C218" i="19"/>
  <c r="R218" i="19" s="1"/>
  <c r="C219" i="19"/>
  <c r="R219" i="19" s="1"/>
  <c r="C220" i="19"/>
  <c r="R220" i="19" s="1"/>
  <c r="C221" i="19"/>
  <c r="R221" i="19" s="1"/>
  <c r="C222" i="19"/>
  <c r="R222" i="19" s="1"/>
  <c r="C223" i="19"/>
  <c r="R223" i="19" s="1"/>
  <c r="C224" i="19"/>
  <c r="R224" i="19" s="1"/>
  <c r="C225" i="19"/>
  <c r="R225" i="19" s="1"/>
  <c r="C226" i="19"/>
  <c r="R226" i="19" s="1"/>
  <c r="C227" i="19"/>
  <c r="R227" i="19" s="1"/>
  <c r="C228" i="19"/>
  <c r="R228" i="19" s="1"/>
  <c r="C229" i="19"/>
  <c r="R229" i="19" s="1"/>
  <c r="C230" i="19"/>
  <c r="R230" i="19" s="1"/>
  <c r="C231" i="19"/>
  <c r="R231" i="19" s="1"/>
  <c r="C232" i="19"/>
  <c r="R232" i="19" s="1"/>
  <c r="C233" i="19"/>
  <c r="R233" i="19" s="1"/>
  <c r="C234" i="19"/>
  <c r="R234" i="19" s="1"/>
  <c r="C235" i="19"/>
  <c r="R235" i="19" s="1"/>
  <c r="C236" i="19"/>
  <c r="R236" i="19" s="1"/>
  <c r="C237" i="19"/>
  <c r="R237" i="19" s="1"/>
  <c r="C238" i="19"/>
  <c r="R238" i="19" s="1"/>
  <c r="C239" i="19"/>
  <c r="R239" i="19" s="1"/>
  <c r="C240" i="19"/>
  <c r="R240" i="19" s="1"/>
  <c r="C241" i="19"/>
  <c r="R241" i="19" s="1"/>
  <c r="C242" i="19"/>
  <c r="R242" i="19" s="1"/>
  <c r="C243" i="19"/>
  <c r="R243" i="19" s="1"/>
  <c r="C244" i="19"/>
  <c r="R244" i="19" s="1"/>
  <c r="C245" i="19"/>
  <c r="R245" i="19" s="1"/>
  <c r="C246" i="19"/>
  <c r="R246" i="19" s="1"/>
  <c r="C247" i="19"/>
  <c r="R247" i="19" s="1"/>
  <c r="C248" i="19"/>
  <c r="R248" i="19" s="1"/>
  <c r="C249" i="19"/>
  <c r="R249" i="19" s="1"/>
  <c r="C250" i="19"/>
  <c r="R250" i="19" s="1"/>
  <c r="C251" i="19"/>
  <c r="R251" i="19" s="1"/>
  <c r="C252" i="19"/>
  <c r="R252" i="19" s="1"/>
  <c r="C253" i="19"/>
  <c r="R253" i="19" s="1"/>
  <c r="C254" i="19"/>
  <c r="R254" i="19" s="1"/>
  <c r="C255" i="19"/>
  <c r="R255" i="19" s="1"/>
  <c r="C256" i="19"/>
  <c r="R256" i="19" s="1"/>
  <c r="C257" i="19"/>
  <c r="R257" i="19" s="1"/>
  <c r="C258" i="19"/>
  <c r="R258" i="19" s="1"/>
  <c r="C259" i="19"/>
  <c r="R259" i="19" s="1"/>
  <c r="C260" i="19"/>
  <c r="R260" i="19" s="1"/>
  <c r="C261" i="19"/>
  <c r="R261" i="19" s="1"/>
  <c r="C262" i="19"/>
  <c r="R262" i="19" s="1"/>
  <c r="C263" i="19"/>
  <c r="R263" i="19" s="1"/>
  <c r="C264" i="19"/>
  <c r="R264" i="19" s="1"/>
  <c r="C265" i="19"/>
  <c r="R265" i="19" s="1"/>
  <c r="C266" i="19"/>
  <c r="R266" i="19" s="1"/>
  <c r="C267" i="19"/>
  <c r="R267" i="19" s="1"/>
  <c r="C268" i="19"/>
  <c r="R268" i="19" s="1"/>
  <c r="C269" i="19"/>
  <c r="R269" i="19" s="1"/>
  <c r="C270" i="19"/>
  <c r="R270" i="19" s="1"/>
  <c r="C271" i="19"/>
  <c r="R271" i="19" s="1"/>
  <c r="C272" i="19"/>
  <c r="R272" i="19" s="1"/>
  <c r="C273" i="19"/>
  <c r="R273" i="19" s="1"/>
  <c r="C274" i="19"/>
  <c r="R274" i="19" s="1"/>
  <c r="C275" i="19"/>
  <c r="R275" i="19" s="1"/>
  <c r="C276" i="19"/>
  <c r="R276" i="19" s="1"/>
  <c r="C277" i="19"/>
  <c r="R277" i="19" s="1"/>
  <c r="C278" i="19"/>
  <c r="R278" i="19" s="1"/>
  <c r="C279" i="19"/>
  <c r="R279" i="19" s="1"/>
  <c r="C280" i="19"/>
  <c r="R280" i="19" s="1"/>
  <c r="C281" i="19"/>
  <c r="R281" i="19" s="1"/>
  <c r="C282" i="19"/>
  <c r="R282" i="19" s="1"/>
  <c r="C283" i="19"/>
  <c r="R283" i="19" s="1"/>
  <c r="C284" i="19"/>
  <c r="R284" i="19" s="1"/>
  <c r="C285" i="19"/>
  <c r="R285" i="19" s="1"/>
  <c r="C286" i="19"/>
  <c r="R286" i="19" s="1"/>
  <c r="C287" i="19"/>
  <c r="R287" i="19" s="1"/>
  <c r="C288" i="19"/>
  <c r="R288" i="19" s="1"/>
  <c r="C289" i="19"/>
  <c r="R289" i="19" s="1"/>
  <c r="C290" i="19"/>
  <c r="R290" i="19" s="1"/>
  <c r="C291" i="19"/>
  <c r="R291" i="19" s="1"/>
  <c r="C292" i="19"/>
  <c r="R292" i="19" s="1"/>
  <c r="C293" i="19"/>
  <c r="R293" i="19" s="1"/>
  <c r="C294" i="19"/>
  <c r="R294" i="19" s="1"/>
  <c r="C295" i="19"/>
  <c r="R295" i="19" s="1"/>
  <c r="C296" i="19"/>
  <c r="R296" i="19" s="1"/>
  <c r="C297" i="19"/>
  <c r="R297" i="19" s="1"/>
  <c r="C298" i="19"/>
  <c r="R298" i="19" s="1"/>
  <c r="C299" i="19"/>
  <c r="R299" i="19" s="1"/>
  <c r="C300" i="19"/>
  <c r="R300" i="19" s="1"/>
  <c r="C301" i="19"/>
  <c r="R301" i="19" s="1"/>
  <c r="C302" i="19"/>
  <c r="R302" i="19" s="1"/>
  <c r="C303" i="19"/>
  <c r="R303" i="19" s="1"/>
  <c r="C304" i="19"/>
  <c r="R304" i="19" s="1"/>
  <c r="C305" i="19"/>
  <c r="R305" i="19" s="1"/>
  <c r="C306" i="19"/>
  <c r="R306" i="19" s="1"/>
  <c r="C307" i="19"/>
  <c r="R307" i="19" s="1"/>
  <c r="C308" i="19"/>
  <c r="R308" i="19" s="1"/>
  <c r="C309" i="19"/>
  <c r="R309" i="19" s="1"/>
  <c r="C310" i="19"/>
  <c r="R310" i="19" s="1"/>
  <c r="C311" i="19"/>
  <c r="R311" i="19" s="1"/>
  <c r="C312" i="19"/>
  <c r="R312" i="19" s="1"/>
  <c r="C313" i="19"/>
  <c r="R313" i="19" s="1"/>
  <c r="C314" i="19"/>
  <c r="R314" i="19" s="1"/>
  <c r="C315" i="19"/>
  <c r="R315" i="19" s="1"/>
  <c r="C316" i="19"/>
  <c r="R316" i="19" s="1"/>
  <c r="C317" i="19"/>
  <c r="R317" i="19" s="1"/>
  <c r="C318" i="19"/>
  <c r="R318" i="19" s="1"/>
  <c r="C319" i="19"/>
  <c r="R319" i="19" s="1"/>
  <c r="C320" i="19"/>
  <c r="R320" i="19" s="1"/>
  <c r="C321" i="19"/>
  <c r="R321" i="19" s="1"/>
  <c r="C322" i="19"/>
  <c r="R322" i="19" s="1"/>
  <c r="C323" i="19"/>
  <c r="R323" i="19" s="1"/>
  <c r="C324" i="19"/>
  <c r="R324" i="19" s="1"/>
  <c r="C325" i="19"/>
  <c r="R325" i="19" s="1"/>
  <c r="C326" i="19"/>
  <c r="R326" i="19" s="1"/>
  <c r="C327" i="19"/>
  <c r="R327" i="19" s="1"/>
  <c r="C328" i="19"/>
  <c r="R328" i="19" s="1"/>
  <c r="C329" i="19"/>
  <c r="R329" i="19" s="1"/>
  <c r="C330" i="19"/>
  <c r="R330" i="19" s="1"/>
  <c r="C331" i="19"/>
  <c r="R331" i="19" s="1"/>
  <c r="C332" i="19"/>
  <c r="R332" i="19" s="1"/>
  <c r="C333" i="19"/>
  <c r="R333" i="19" s="1"/>
  <c r="C334" i="19"/>
  <c r="R334" i="19" s="1"/>
  <c r="C335" i="19"/>
  <c r="R335" i="19" s="1"/>
  <c r="C336" i="19"/>
  <c r="R336" i="19" s="1"/>
  <c r="C337" i="19"/>
  <c r="R337" i="19" s="1"/>
  <c r="C338" i="19"/>
  <c r="R338" i="19" s="1"/>
  <c r="C339" i="19"/>
  <c r="R339" i="19" s="1"/>
  <c r="C340" i="19"/>
  <c r="R340" i="19" s="1"/>
  <c r="C341" i="19"/>
  <c r="R341" i="19" s="1"/>
  <c r="C342" i="19"/>
  <c r="R342" i="19" s="1"/>
  <c r="C343" i="19"/>
  <c r="R343" i="19" s="1"/>
  <c r="C344" i="19"/>
  <c r="R344" i="19" s="1"/>
  <c r="C345" i="19"/>
  <c r="R345" i="19" s="1"/>
  <c r="C346" i="19"/>
  <c r="R346" i="19" s="1"/>
  <c r="C347" i="19"/>
  <c r="R347" i="19" s="1"/>
  <c r="C348" i="19"/>
  <c r="R348" i="19" s="1"/>
  <c r="C349" i="19"/>
  <c r="R349" i="19" s="1"/>
  <c r="C350" i="19"/>
  <c r="R350" i="19" s="1"/>
  <c r="C351" i="19"/>
  <c r="R351" i="19" s="1"/>
  <c r="C352" i="19"/>
  <c r="R352" i="19" s="1"/>
  <c r="C353" i="19"/>
  <c r="R353" i="19" s="1"/>
  <c r="C354" i="19"/>
  <c r="R354" i="19" s="1"/>
  <c r="C355" i="19"/>
  <c r="R355" i="19" s="1"/>
  <c r="C356" i="19"/>
  <c r="R356" i="19" s="1"/>
  <c r="C357" i="19"/>
  <c r="R357" i="19" s="1"/>
  <c r="C358" i="19"/>
  <c r="R358" i="19" s="1"/>
  <c r="C359" i="19"/>
  <c r="R359" i="19" s="1"/>
  <c r="C360" i="19"/>
  <c r="R360" i="19" s="1"/>
  <c r="C361" i="19"/>
  <c r="R361" i="19" s="1"/>
  <c r="C362" i="19"/>
  <c r="R362" i="19" s="1"/>
  <c r="C363" i="19"/>
  <c r="R363" i="19" s="1"/>
  <c r="C364" i="19"/>
  <c r="R364" i="19" s="1"/>
  <c r="C365" i="19"/>
  <c r="R365" i="19" s="1"/>
  <c r="C366" i="19"/>
  <c r="R366" i="19" s="1"/>
  <c r="C367" i="19"/>
  <c r="R367" i="19" s="1"/>
  <c r="C368" i="19"/>
  <c r="R368" i="19" s="1"/>
  <c r="C369" i="19"/>
  <c r="R369" i="19" s="1"/>
  <c r="C370" i="19"/>
  <c r="R370" i="19" s="1"/>
  <c r="C371" i="19"/>
  <c r="R371" i="19" s="1"/>
  <c r="C372" i="19"/>
  <c r="R372" i="19" s="1"/>
  <c r="C373" i="19"/>
  <c r="R373" i="19" s="1"/>
  <c r="C374" i="19"/>
  <c r="R374" i="19" s="1"/>
  <c r="C375" i="19"/>
  <c r="R375" i="19" s="1"/>
  <c r="C376" i="19"/>
  <c r="R376" i="19" s="1"/>
  <c r="C377" i="19"/>
  <c r="R377" i="19" s="1"/>
  <c r="C378" i="19"/>
  <c r="R378" i="19" s="1"/>
  <c r="C379" i="19"/>
  <c r="R379" i="19" s="1"/>
  <c r="C380" i="19"/>
  <c r="R380" i="19" s="1"/>
  <c r="C381" i="19"/>
  <c r="R381" i="19" s="1"/>
  <c r="C382" i="19"/>
  <c r="R382" i="19" s="1"/>
  <c r="C383" i="19"/>
  <c r="R383" i="19" s="1"/>
  <c r="C384" i="19"/>
  <c r="R384" i="19" s="1"/>
  <c r="C385" i="19"/>
  <c r="R385" i="19" s="1"/>
  <c r="C386" i="19"/>
  <c r="R386" i="19" s="1"/>
  <c r="C387" i="19"/>
  <c r="R387" i="19" s="1"/>
  <c r="C388" i="19"/>
  <c r="R388" i="19" s="1"/>
  <c r="C389" i="19"/>
  <c r="R389" i="19" s="1"/>
  <c r="C390" i="19"/>
  <c r="R390" i="19" s="1"/>
  <c r="C391" i="19"/>
  <c r="R391" i="19" s="1"/>
  <c r="C392" i="19"/>
  <c r="R392" i="19" s="1"/>
  <c r="C393" i="19"/>
  <c r="R393" i="19" s="1"/>
  <c r="C394" i="19"/>
  <c r="R394" i="19" s="1"/>
  <c r="C395" i="19"/>
  <c r="R395" i="19" s="1"/>
  <c r="C396" i="19"/>
  <c r="R396" i="19" s="1"/>
  <c r="C397" i="19"/>
  <c r="R397" i="19" s="1"/>
  <c r="C398" i="19"/>
  <c r="R398" i="19" s="1"/>
  <c r="C399" i="19"/>
  <c r="R399" i="19" s="1"/>
  <c r="C400" i="19"/>
  <c r="R400" i="19" s="1"/>
  <c r="C401" i="19"/>
  <c r="R401" i="19" s="1"/>
  <c r="C402" i="19"/>
  <c r="R402" i="19" s="1"/>
  <c r="C403" i="19"/>
  <c r="R403" i="19" s="1"/>
  <c r="C404" i="19"/>
  <c r="R404" i="19" s="1"/>
  <c r="C405" i="19"/>
  <c r="R405" i="19" s="1"/>
  <c r="C406" i="19"/>
  <c r="R406" i="19" s="1"/>
  <c r="C407" i="19"/>
  <c r="R407" i="19" s="1"/>
  <c r="C408" i="19"/>
  <c r="R408" i="19" s="1"/>
  <c r="C409" i="19"/>
  <c r="R409" i="19" s="1"/>
  <c r="C410" i="19"/>
  <c r="R410" i="19" s="1"/>
  <c r="C411" i="19"/>
  <c r="R411" i="19" s="1"/>
  <c r="C412" i="19"/>
  <c r="R412" i="19" s="1"/>
  <c r="C413" i="19"/>
  <c r="R413" i="19" s="1"/>
  <c r="C414" i="19"/>
  <c r="R414" i="19" s="1"/>
  <c r="C415" i="19"/>
  <c r="R415" i="19" s="1"/>
  <c r="C416" i="19"/>
  <c r="R416" i="19" s="1"/>
  <c r="C417" i="19"/>
  <c r="R417" i="19" s="1"/>
  <c r="C418" i="19"/>
  <c r="R418" i="19" s="1"/>
  <c r="C419" i="19"/>
  <c r="R419" i="19" s="1"/>
  <c r="C420" i="19"/>
  <c r="R420" i="19" s="1"/>
  <c r="C421" i="19"/>
  <c r="R421" i="19" s="1"/>
  <c r="C422" i="19"/>
  <c r="R422" i="19" s="1"/>
  <c r="C423" i="19"/>
  <c r="R423" i="19" s="1"/>
  <c r="C424" i="19"/>
  <c r="R424" i="19" s="1"/>
  <c r="C425" i="19"/>
  <c r="R425" i="19" s="1"/>
  <c r="C426" i="19"/>
  <c r="R426" i="19" s="1"/>
  <c r="C427" i="19"/>
  <c r="R427" i="19" s="1"/>
  <c r="C428" i="19"/>
  <c r="R428" i="19" s="1"/>
  <c r="C429" i="19"/>
  <c r="R429" i="19" s="1"/>
  <c r="C430" i="19"/>
  <c r="R430" i="19" s="1"/>
  <c r="C431" i="19"/>
  <c r="R431" i="19" s="1"/>
  <c r="C432" i="19"/>
  <c r="R432" i="19" s="1"/>
  <c r="C433" i="19"/>
  <c r="R433" i="19" s="1"/>
  <c r="C434" i="19"/>
  <c r="R434" i="19" s="1"/>
  <c r="C435" i="19"/>
  <c r="R435" i="19" s="1"/>
  <c r="C436" i="19"/>
  <c r="R436" i="19" s="1"/>
  <c r="C437" i="19"/>
  <c r="R437" i="19" s="1"/>
  <c r="C438" i="19"/>
  <c r="R438" i="19" s="1"/>
  <c r="C439" i="19"/>
  <c r="R439" i="19" s="1"/>
  <c r="C440" i="19"/>
  <c r="R440" i="19" s="1"/>
  <c r="C441" i="19"/>
  <c r="R441" i="19" s="1"/>
  <c r="C442" i="19"/>
  <c r="R442" i="19" s="1"/>
  <c r="C443" i="19"/>
  <c r="R443" i="19" s="1"/>
  <c r="C444" i="19"/>
  <c r="R444" i="19" s="1"/>
  <c r="C445" i="19"/>
  <c r="R445" i="19" s="1"/>
  <c r="C446" i="19"/>
  <c r="R446" i="19" s="1"/>
  <c r="C447" i="19"/>
  <c r="R447" i="19" s="1"/>
  <c r="C448" i="19"/>
  <c r="R448" i="19" s="1"/>
  <c r="C449" i="19"/>
  <c r="R449" i="19" s="1"/>
  <c r="C450" i="19"/>
  <c r="R450" i="19" s="1"/>
  <c r="C451" i="19"/>
  <c r="R451" i="19" s="1"/>
  <c r="C452" i="19"/>
  <c r="R452" i="19" s="1"/>
  <c r="C453" i="19"/>
  <c r="R453" i="19" s="1"/>
  <c r="C454" i="19"/>
  <c r="R454" i="19" s="1"/>
  <c r="C455" i="19"/>
  <c r="R455" i="19" s="1"/>
  <c r="C456" i="19"/>
  <c r="R456" i="19" s="1"/>
  <c r="C457" i="19"/>
  <c r="R457" i="19" s="1"/>
  <c r="C458" i="19"/>
  <c r="R458" i="19" s="1"/>
  <c r="C459" i="19"/>
  <c r="R459" i="19" s="1"/>
  <c r="C460" i="19"/>
  <c r="R460" i="19" s="1"/>
  <c r="C461" i="19"/>
  <c r="R461" i="19" s="1"/>
  <c r="C462" i="19"/>
  <c r="R462" i="19" s="1"/>
  <c r="C463" i="19"/>
  <c r="R463" i="19" s="1"/>
  <c r="C464" i="19"/>
  <c r="R464" i="19" s="1"/>
  <c r="C465" i="19"/>
  <c r="R465" i="19" s="1"/>
  <c r="C466" i="19"/>
  <c r="R466" i="19" s="1"/>
  <c r="C467" i="19"/>
  <c r="R467" i="19" s="1"/>
  <c r="C468" i="19"/>
  <c r="R468" i="19" s="1"/>
  <c r="C469" i="19"/>
  <c r="R469" i="19" s="1"/>
  <c r="C470" i="19"/>
  <c r="R470" i="19" s="1"/>
  <c r="C471" i="19"/>
  <c r="R471" i="19" s="1"/>
  <c r="C472" i="19"/>
  <c r="R472" i="19" s="1"/>
  <c r="C473" i="19"/>
  <c r="R473" i="19" s="1"/>
  <c r="C474" i="19"/>
  <c r="R474" i="19" s="1"/>
  <c r="C475" i="19"/>
  <c r="R475" i="19" s="1"/>
  <c r="C476" i="19"/>
  <c r="R476" i="19" s="1"/>
  <c r="C477" i="19"/>
  <c r="R477" i="19" s="1"/>
  <c r="C478" i="19"/>
  <c r="R478" i="19" s="1"/>
  <c r="C479" i="19"/>
  <c r="R479" i="19" s="1"/>
  <c r="C480" i="19"/>
  <c r="R480" i="19" s="1"/>
  <c r="C481" i="19"/>
  <c r="R481" i="19" s="1"/>
  <c r="C482" i="19"/>
  <c r="R482" i="19" s="1"/>
  <c r="C483" i="19"/>
  <c r="R483" i="19" s="1"/>
  <c r="C484" i="19"/>
  <c r="R484" i="19" s="1"/>
  <c r="C485" i="19"/>
  <c r="R485" i="19" s="1"/>
  <c r="C486" i="19"/>
  <c r="R486" i="19" s="1"/>
  <c r="C487" i="19"/>
  <c r="R487" i="19" s="1"/>
  <c r="C488" i="19"/>
  <c r="R488" i="19" s="1"/>
  <c r="C489" i="19"/>
  <c r="R489" i="19" s="1"/>
  <c r="C490" i="19"/>
  <c r="R490" i="19" s="1"/>
  <c r="C491" i="19"/>
  <c r="R491" i="19" s="1"/>
  <c r="C492" i="19"/>
  <c r="R492" i="19" s="1"/>
  <c r="C493" i="19"/>
  <c r="R493" i="19" s="1"/>
  <c r="C494" i="19"/>
  <c r="R494" i="19" s="1"/>
  <c r="C495" i="19"/>
  <c r="R495" i="19" s="1"/>
  <c r="C496" i="19"/>
  <c r="R496" i="19" s="1"/>
  <c r="C497" i="19"/>
  <c r="R497" i="19" s="1"/>
  <c r="C498" i="19"/>
  <c r="R498" i="19" s="1"/>
  <c r="C499" i="19"/>
  <c r="R499" i="19" s="1"/>
  <c r="C500" i="19"/>
  <c r="R500" i="19" s="1"/>
  <c r="C501" i="19"/>
  <c r="R501" i="19" s="1"/>
  <c r="C502" i="19"/>
  <c r="R502" i="19" s="1"/>
  <c r="C503" i="19"/>
  <c r="R503" i="19" s="1"/>
  <c r="C504" i="19"/>
  <c r="R504" i="19" s="1"/>
  <c r="C505" i="19"/>
  <c r="R505" i="19" s="1"/>
  <c r="C506" i="19"/>
  <c r="R506" i="19" s="1"/>
  <c r="C507" i="19"/>
  <c r="R507" i="19" s="1"/>
  <c r="C508" i="19"/>
  <c r="R508" i="19" s="1"/>
  <c r="C509" i="19"/>
  <c r="R509" i="19" s="1"/>
  <c r="C510" i="19"/>
  <c r="R510" i="19" s="1"/>
  <c r="C511" i="19"/>
  <c r="R511" i="19" s="1"/>
  <c r="C512" i="19"/>
  <c r="R512" i="19" s="1"/>
  <c r="C513" i="19"/>
  <c r="R513" i="19" s="1"/>
  <c r="C514" i="19"/>
  <c r="R514" i="19" s="1"/>
  <c r="C515" i="19"/>
  <c r="R515" i="19" s="1"/>
  <c r="C516" i="19"/>
  <c r="R516" i="19" s="1"/>
  <c r="C517" i="19"/>
  <c r="R517" i="19" s="1"/>
  <c r="C518" i="19"/>
  <c r="R518" i="19" s="1"/>
  <c r="C519" i="19"/>
  <c r="R519" i="19" s="1"/>
  <c r="C520" i="19"/>
  <c r="R520" i="19" s="1"/>
  <c r="C521" i="19"/>
  <c r="R521" i="19" s="1"/>
  <c r="C522" i="19"/>
  <c r="R522" i="19" s="1"/>
  <c r="C523" i="19"/>
  <c r="R523" i="19" s="1"/>
  <c r="C524" i="19"/>
  <c r="R524" i="19" s="1"/>
  <c r="C525" i="19"/>
  <c r="R525" i="19" s="1"/>
  <c r="C526" i="19"/>
  <c r="R526" i="19" s="1"/>
  <c r="C527" i="19"/>
  <c r="R527" i="19" s="1"/>
  <c r="C528" i="19"/>
  <c r="R528" i="19" s="1"/>
  <c r="C529" i="19"/>
  <c r="R529" i="19" s="1"/>
  <c r="C530" i="19"/>
  <c r="R530" i="19" s="1"/>
  <c r="C531" i="19"/>
  <c r="R531" i="19" s="1"/>
  <c r="C532" i="19"/>
  <c r="R532" i="19" s="1"/>
  <c r="C533" i="19"/>
  <c r="R533" i="19" s="1"/>
  <c r="C534" i="19"/>
  <c r="R534" i="19" s="1"/>
  <c r="C535" i="19"/>
  <c r="R535" i="19" s="1"/>
  <c r="C536" i="19"/>
  <c r="R536" i="19" s="1"/>
  <c r="C537" i="19"/>
  <c r="R537" i="19" s="1"/>
  <c r="C538" i="19"/>
  <c r="R538" i="19" s="1"/>
  <c r="C539" i="19"/>
  <c r="R539" i="19" s="1"/>
  <c r="C540" i="19"/>
  <c r="R540" i="19" s="1"/>
  <c r="C541" i="19"/>
  <c r="R541" i="19" s="1"/>
  <c r="C542" i="19"/>
  <c r="R542" i="19" s="1"/>
  <c r="C543" i="19"/>
  <c r="R543" i="19" s="1"/>
  <c r="C544" i="19"/>
  <c r="R544" i="19" s="1"/>
  <c r="C545" i="19"/>
  <c r="R545" i="19" s="1"/>
  <c r="C546" i="19"/>
  <c r="R546" i="19" s="1"/>
  <c r="C547" i="19"/>
  <c r="R547" i="19" s="1"/>
  <c r="C548" i="19"/>
  <c r="R548" i="19" s="1"/>
  <c r="C549" i="19"/>
  <c r="R549" i="19" s="1"/>
  <c r="C550" i="19"/>
  <c r="R550" i="19" s="1"/>
  <c r="C551" i="19"/>
  <c r="R551" i="19" s="1"/>
  <c r="C552" i="19"/>
  <c r="R552" i="19" s="1"/>
  <c r="C553" i="19"/>
  <c r="R553" i="19" s="1"/>
  <c r="C554" i="19"/>
  <c r="R554" i="19" s="1"/>
  <c r="C555" i="19"/>
  <c r="R555" i="19" s="1"/>
  <c r="C556" i="19"/>
  <c r="R556" i="19" s="1"/>
  <c r="C557" i="19"/>
  <c r="R557" i="19" s="1"/>
  <c r="C558" i="19"/>
  <c r="R558" i="19" s="1"/>
  <c r="C559" i="19"/>
  <c r="R559" i="19" s="1"/>
  <c r="C560" i="19"/>
  <c r="R560" i="19" s="1"/>
  <c r="C561" i="19"/>
  <c r="R561" i="19" s="1"/>
  <c r="C562" i="19"/>
  <c r="R562" i="19" s="1"/>
  <c r="C563" i="19"/>
  <c r="R563" i="19" s="1"/>
  <c r="C564" i="19"/>
  <c r="R564" i="19" s="1"/>
  <c r="C565" i="19"/>
  <c r="R565" i="19" s="1"/>
  <c r="C566" i="19"/>
  <c r="R566" i="19" s="1"/>
  <c r="C567" i="19"/>
  <c r="R567" i="19" s="1"/>
  <c r="C568" i="19"/>
  <c r="R568" i="19" s="1"/>
  <c r="C569" i="19"/>
  <c r="R569" i="19" s="1"/>
  <c r="C570" i="19"/>
  <c r="R570" i="19" s="1"/>
  <c r="C571" i="19"/>
  <c r="R571" i="19" s="1"/>
  <c r="C572" i="19"/>
  <c r="R572" i="19" s="1"/>
  <c r="C573" i="19"/>
  <c r="R573" i="19" s="1"/>
  <c r="C574" i="19"/>
  <c r="R574" i="19" s="1"/>
  <c r="C575" i="19"/>
  <c r="R575" i="19" s="1"/>
  <c r="C576" i="19"/>
  <c r="R576" i="19" s="1"/>
  <c r="C577" i="19"/>
  <c r="R577" i="19" s="1"/>
  <c r="C578" i="19"/>
  <c r="R578" i="19" s="1"/>
  <c r="C579" i="19"/>
  <c r="R579" i="19" s="1"/>
  <c r="C580" i="19"/>
  <c r="R580" i="19" s="1"/>
  <c r="C581" i="19"/>
  <c r="R581" i="19" s="1"/>
  <c r="C582" i="19"/>
  <c r="R582" i="19" s="1"/>
  <c r="C583" i="19"/>
  <c r="R583" i="19" s="1"/>
  <c r="C584" i="19"/>
  <c r="R584" i="19" s="1"/>
  <c r="C585" i="19"/>
  <c r="R585" i="19" s="1"/>
  <c r="C586" i="19"/>
  <c r="R586" i="19" s="1"/>
  <c r="C587" i="19"/>
  <c r="R587" i="19" s="1"/>
  <c r="C588" i="19"/>
  <c r="R588" i="19" s="1"/>
  <c r="C589" i="19"/>
  <c r="R589" i="19" s="1"/>
  <c r="C590" i="19"/>
  <c r="R590" i="19" s="1"/>
  <c r="C591" i="19"/>
  <c r="R591" i="19" s="1"/>
  <c r="C592" i="19"/>
  <c r="R592" i="19" s="1"/>
  <c r="C593" i="19"/>
  <c r="R593" i="19" s="1"/>
  <c r="C594" i="19"/>
  <c r="R594" i="19" s="1"/>
  <c r="C595" i="19"/>
  <c r="R595" i="19" s="1"/>
  <c r="C596" i="19"/>
  <c r="R596" i="19" s="1"/>
  <c r="C597" i="19"/>
  <c r="R597" i="19" s="1"/>
  <c r="C598" i="19"/>
  <c r="R598" i="19" s="1"/>
  <c r="C599" i="19"/>
  <c r="R599" i="19" s="1"/>
  <c r="C600" i="19"/>
  <c r="R600" i="19" s="1"/>
  <c r="C601" i="19"/>
  <c r="R601" i="19" s="1"/>
  <c r="C602" i="19"/>
  <c r="R602" i="19" s="1"/>
  <c r="C603" i="19"/>
  <c r="R603" i="19" s="1"/>
  <c r="C604" i="19"/>
  <c r="R604" i="19" s="1"/>
  <c r="C605" i="19"/>
  <c r="R605" i="19" s="1"/>
  <c r="C606" i="19"/>
  <c r="R606" i="19" s="1"/>
  <c r="C607" i="19"/>
  <c r="R607" i="19" s="1"/>
  <c r="C608" i="19"/>
  <c r="R608" i="19" s="1"/>
  <c r="C609" i="19"/>
  <c r="R609" i="19" s="1"/>
  <c r="C610" i="19"/>
  <c r="R610" i="19" s="1"/>
  <c r="C611" i="19"/>
  <c r="R611" i="19" s="1"/>
  <c r="C612" i="19"/>
  <c r="R612" i="19" s="1"/>
  <c r="C613" i="19"/>
  <c r="R613" i="19" s="1"/>
  <c r="C614" i="19"/>
  <c r="R614" i="19" s="1"/>
  <c r="C615" i="19"/>
  <c r="R615" i="19" s="1"/>
  <c r="C616" i="19"/>
  <c r="R616" i="19" s="1"/>
  <c r="C617" i="19"/>
  <c r="R617" i="19" s="1"/>
  <c r="C618" i="19"/>
  <c r="R618" i="19" s="1"/>
  <c r="C619" i="19"/>
  <c r="R619" i="19" s="1"/>
  <c r="C620" i="19"/>
  <c r="R620" i="19" s="1"/>
  <c r="C621" i="19"/>
  <c r="R621" i="19" s="1"/>
  <c r="C622" i="19"/>
  <c r="R622" i="19" s="1"/>
  <c r="C623" i="19"/>
  <c r="R623" i="19" s="1"/>
  <c r="C624" i="19"/>
  <c r="R624" i="19" s="1"/>
  <c r="C625" i="19"/>
  <c r="R625" i="19" s="1"/>
  <c r="C626" i="19"/>
  <c r="R626" i="19" s="1"/>
  <c r="C627" i="19"/>
  <c r="R627" i="19" s="1"/>
  <c r="C628" i="19"/>
  <c r="R628" i="19" s="1"/>
  <c r="C629" i="19"/>
  <c r="R629" i="19" s="1"/>
  <c r="C630" i="19"/>
  <c r="R630" i="19" s="1"/>
  <c r="C631" i="19"/>
  <c r="R631" i="19" s="1"/>
  <c r="C632" i="19"/>
  <c r="R632" i="19" s="1"/>
  <c r="C633" i="19"/>
  <c r="R633" i="19" s="1"/>
  <c r="C634" i="19"/>
  <c r="R634" i="19" s="1"/>
  <c r="C635" i="19"/>
  <c r="R635" i="19" s="1"/>
  <c r="C636" i="19"/>
  <c r="R636" i="19" s="1"/>
  <c r="C637" i="19"/>
  <c r="R637" i="19" s="1"/>
  <c r="C638" i="19"/>
  <c r="R638" i="19" s="1"/>
  <c r="C639" i="19"/>
  <c r="R639" i="19" s="1"/>
  <c r="C640" i="19"/>
  <c r="R640" i="19" s="1"/>
  <c r="C641" i="19"/>
  <c r="R641" i="19" s="1"/>
  <c r="C642" i="19"/>
  <c r="R642" i="19" s="1"/>
  <c r="C643" i="19"/>
  <c r="R643" i="19" s="1"/>
  <c r="C644" i="19"/>
  <c r="R644" i="19" s="1"/>
  <c r="C645" i="19"/>
  <c r="R645" i="19" s="1"/>
  <c r="C646" i="19"/>
  <c r="R646" i="19" s="1"/>
  <c r="C647" i="19"/>
  <c r="R647" i="19" s="1"/>
  <c r="C648" i="19"/>
  <c r="R648" i="19" s="1"/>
  <c r="C649" i="19"/>
  <c r="R649" i="19" s="1"/>
  <c r="C650" i="19"/>
  <c r="R650" i="19" s="1"/>
  <c r="C651" i="19"/>
  <c r="R651" i="19" s="1"/>
  <c r="C652" i="19"/>
  <c r="R652" i="19" s="1"/>
  <c r="C653" i="19"/>
  <c r="R653" i="19" s="1"/>
  <c r="C654" i="19"/>
  <c r="R654" i="19" s="1"/>
  <c r="C655" i="19"/>
  <c r="R655" i="19" s="1"/>
  <c r="C656" i="19"/>
  <c r="R656" i="19" s="1"/>
  <c r="C657" i="19"/>
  <c r="R657" i="19" s="1"/>
  <c r="C658" i="19"/>
  <c r="R658" i="19" s="1"/>
  <c r="C659" i="19"/>
  <c r="R659" i="19" s="1"/>
  <c r="C660" i="19"/>
  <c r="R660" i="19" s="1"/>
  <c r="C661" i="19"/>
  <c r="R661" i="19" s="1"/>
  <c r="C662" i="19"/>
  <c r="R662" i="19" s="1"/>
  <c r="C663" i="19"/>
  <c r="R663" i="19" s="1"/>
  <c r="C664" i="19"/>
  <c r="R664" i="19" s="1"/>
  <c r="C665" i="19"/>
  <c r="R665" i="19" s="1"/>
  <c r="C666" i="19"/>
  <c r="R666" i="19" s="1"/>
  <c r="C667" i="19"/>
  <c r="R667" i="19" s="1"/>
  <c r="C668" i="19"/>
  <c r="R668" i="19" s="1"/>
  <c r="C669" i="19"/>
  <c r="R669" i="19" s="1"/>
  <c r="C670" i="19"/>
  <c r="R670" i="19" s="1"/>
  <c r="C671" i="19"/>
  <c r="R671" i="19" s="1"/>
  <c r="C672" i="19"/>
  <c r="R672" i="19" s="1"/>
  <c r="C673" i="19"/>
  <c r="R673" i="19" s="1"/>
  <c r="C674" i="19"/>
  <c r="R674" i="19" s="1"/>
  <c r="C675" i="19"/>
  <c r="R675" i="19" s="1"/>
  <c r="C676" i="19"/>
  <c r="R676" i="19" s="1"/>
  <c r="C677" i="19"/>
  <c r="R677" i="19" s="1"/>
  <c r="C678" i="19"/>
  <c r="R678" i="19" s="1"/>
  <c r="C679" i="19"/>
  <c r="R679" i="19" s="1"/>
  <c r="C680" i="19"/>
  <c r="R680" i="19" s="1"/>
  <c r="C681" i="19"/>
  <c r="R681" i="19" s="1"/>
  <c r="C682" i="19"/>
  <c r="R682" i="19" s="1"/>
  <c r="C683" i="19"/>
  <c r="R683" i="19" s="1"/>
  <c r="C684" i="19"/>
  <c r="R684" i="19" s="1"/>
  <c r="C685" i="19"/>
  <c r="R685" i="19" s="1"/>
  <c r="C686" i="19"/>
  <c r="R686" i="19" s="1"/>
  <c r="C687" i="19"/>
  <c r="R687" i="19" s="1"/>
  <c r="C688" i="19"/>
  <c r="R688" i="19" s="1"/>
  <c r="C689" i="19"/>
  <c r="R689" i="19" s="1"/>
  <c r="C690" i="19"/>
  <c r="R690" i="19" s="1"/>
  <c r="C691" i="19"/>
  <c r="R691" i="19" s="1"/>
  <c r="C692" i="19"/>
  <c r="R692" i="19" s="1"/>
  <c r="C693" i="19"/>
  <c r="R693" i="19" s="1"/>
  <c r="C694" i="19"/>
  <c r="R694" i="19" s="1"/>
  <c r="C695" i="19"/>
  <c r="R695" i="19" s="1"/>
  <c r="C696" i="19"/>
  <c r="R696" i="19" s="1"/>
  <c r="C697" i="19"/>
  <c r="R697" i="19" s="1"/>
  <c r="C698" i="19"/>
  <c r="R698" i="19" s="1"/>
  <c r="C699" i="19"/>
  <c r="R699" i="19" s="1"/>
  <c r="C700" i="19"/>
  <c r="R700" i="19" s="1"/>
  <c r="C701" i="19"/>
  <c r="R701" i="19" s="1"/>
  <c r="C702" i="19"/>
  <c r="R702" i="19" s="1"/>
  <c r="C703" i="19"/>
  <c r="R703" i="19" s="1"/>
  <c r="C704" i="19"/>
  <c r="R704" i="19" s="1"/>
  <c r="C705" i="19"/>
  <c r="R705" i="19" s="1"/>
  <c r="C706" i="19"/>
  <c r="R706" i="19" s="1"/>
  <c r="C707" i="19"/>
  <c r="R707" i="19" s="1"/>
  <c r="C708" i="19"/>
  <c r="R708" i="19" s="1"/>
  <c r="C709" i="19"/>
  <c r="R709" i="19" s="1"/>
  <c r="C710" i="19"/>
  <c r="R710" i="19" s="1"/>
  <c r="C711" i="19"/>
  <c r="R711" i="19" s="1"/>
  <c r="C712" i="19"/>
  <c r="R712" i="19" s="1"/>
  <c r="C713" i="19"/>
  <c r="R713" i="19" s="1"/>
  <c r="C714" i="19"/>
  <c r="R714" i="19" s="1"/>
  <c r="C715" i="19"/>
  <c r="R715" i="19" s="1"/>
  <c r="C716" i="19"/>
  <c r="R716" i="19" s="1"/>
  <c r="C717" i="19"/>
  <c r="R717" i="19" s="1"/>
  <c r="C718" i="19"/>
  <c r="R718" i="19" s="1"/>
  <c r="C719" i="19"/>
  <c r="R719" i="19" s="1"/>
  <c r="C720" i="19"/>
  <c r="R720" i="19" s="1"/>
  <c r="C721" i="19"/>
  <c r="R721" i="19" s="1"/>
  <c r="C722" i="19"/>
  <c r="R722" i="19" s="1"/>
  <c r="C723" i="19"/>
  <c r="R723" i="19" s="1"/>
  <c r="C724" i="19"/>
  <c r="R724" i="19" s="1"/>
  <c r="C725" i="19"/>
  <c r="R725" i="19" s="1"/>
  <c r="C726" i="19"/>
  <c r="R726" i="19" s="1"/>
  <c r="C727" i="19"/>
  <c r="R727" i="19" s="1"/>
  <c r="C728" i="19"/>
  <c r="R728" i="19" s="1"/>
  <c r="C729" i="19"/>
  <c r="R729" i="19" s="1"/>
  <c r="C730" i="19"/>
  <c r="R730" i="19" s="1"/>
  <c r="C731" i="19"/>
  <c r="R731" i="19" s="1"/>
  <c r="C732" i="19"/>
  <c r="R732" i="19" s="1"/>
  <c r="C733" i="19"/>
  <c r="R733" i="19" s="1"/>
  <c r="C734" i="19"/>
  <c r="R734" i="19" s="1"/>
  <c r="C735" i="19"/>
  <c r="R735" i="19" s="1"/>
  <c r="C736" i="19"/>
  <c r="R736" i="19" s="1"/>
  <c r="C737" i="19"/>
  <c r="R737" i="19" s="1"/>
  <c r="C738" i="19"/>
  <c r="R738" i="19" s="1"/>
  <c r="C739" i="19"/>
  <c r="R739" i="19" s="1"/>
  <c r="C740" i="19"/>
  <c r="R740" i="19" s="1"/>
  <c r="C741" i="19"/>
  <c r="R741" i="19" s="1"/>
  <c r="C742" i="19"/>
  <c r="R742" i="19" s="1"/>
  <c r="C743" i="19"/>
  <c r="R743" i="19" s="1"/>
  <c r="C744" i="19"/>
  <c r="R744" i="19" s="1"/>
  <c r="C745" i="19"/>
  <c r="R745" i="19" s="1"/>
  <c r="C746" i="19"/>
  <c r="R746" i="19" s="1"/>
  <c r="C747" i="19"/>
  <c r="R747" i="19" s="1"/>
  <c r="C748" i="19"/>
  <c r="R748" i="19" s="1"/>
  <c r="C749" i="19"/>
  <c r="R749" i="19" s="1"/>
  <c r="C750" i="19"/>
  <c r="R750" i="19" s="1"/>
  <c r="C751" i="19"/>
  <c r="R751" i="19" s="1"/>
  <c r="C752" i="19"/>
  <c r="R752" i="19" s="1"/>
  <c r="C753" i="19"/>
  <c r="R753" i="19" s="1"/>
  <c r="C754" i="19"/>
  <c r="R754" i="19" s="1"/>
  <c r="C755" i="19"/>
  <c r="R755" i="19" s="1"/>
  <c r="C756" i="19"/>
  <c r="R756" i="19" s="1"/>
  <c r="C757" i="19"/>
  <c r="R757" i="19" s="1"/>
  <c r="C758" i="19"/>
  <c r="R758" i="19" s="1"/>
  <c r="C759" i="19"/>
  <c r="R759" i="19" s="1"/>
  <c r="C760" i="19"/>
  <c r="R760" i="19" s="1"/>
  <c r="C761" i="19"/>
  <c r="R761" i="19" s="1"/>
  <c r="C762" i="19"/>
  <c r="R762" i="19" s="1"/>
  <c r="C763" i="19"/>
  <c r="R763" i="19" s="1"/>
  <c r="C764" i="19"/>
  <c r="R764" i="19" s="1"/>
  <c r="C765" i="19"/>
  <c r="R765" i="19" s="1"/>
  <c r="C766" i="19"/>
  <c r="R766" i="19" s="1"/>
  <c r="C767" i="19"/>
  <c r="R767" i="19" s="1"/>
  <c r="C768" i="19"/>
  <c r="R768" i="19" s="1"/>
  <c r="C769" i="19"/>
  <c r="R769" i="19" s="1"/>
  <c r="C770" i="19"/>
  <c r="R770" i="19" s="1"/>
  <c r="C771" i="19"/>
  <c r="R771" i="19" s="1"/>
  <c r="C772" i="19"/>
  <c r="R772" i="19" s="1"/>
  <c r="C773" i="19"/>
  <c r="R773" i="19" s="1"/>
  <c r="C774" i="19"/>
  <c r="R774" i="19" s="1"/>
  <c r="C775" i="19"/>
  <c r="R775" i="19" s="1"/>
  <c r="C776" i="19"/>
  <c r="R776" i="19" s="1"/>
  <c r="C777" i="19"/>
  <c r="R777" i="19" s="1"/>
  <c r="C778" i="19"/>
  <c r="R778" i="19" s="1"/>
  <c r="C779" i="19"/>
  <c r="R779" i="19" s="1"/>
  <c r="C780" i="19"/>
  <c r="R780" i="19" s="1"/>
  <c r="C781" i="19"/>
  <c r="R781" i="19" s="1"/>
  <c r="C782" i="19"/>
  <c r="R782" i="19" s="1"/>
  <c r="C783" i="19"/>
  <c r="R783" i="19" s="1"/>
  <c r="C784" i="19"/>
  <c r="R784" i="19" s="1"/>
  <c r="C785" i="19"/>
  <c r="R785" i="19" s="1"/>
  <c r="C786" i="19"/>
  <c r="R786" i="19" s="1"/>
  <c r="C787" i="19"/>
  <c r="R787" i="19" s="1"/>
  <c r="C788" i="19"/>
  <c r="R788" i="19" s="1"/>
  <c r="C789" i="19"/>
  <c r="R789" i="19" s="1"/>
  <c r="C790" i="19"/>
  <c r="R790" i="19" s="1"/>
  <c r="C791" i="19"/>
  <c r="R791" i="19" s="1"/>
  <c r="C792" i="19"/>
  <c r="R792" i="19" s="1"/>
  <c r="C793" i="19"/>
  <c r="R793" i="19" s="1"/>
  <c r="C794" i="19"/>
  <c r="R794" i="19" s="1"/>
  <c r="C795" i="19"/>
  <c r="R795" i="19" s="1"/>
  <c r="C796" i="19"/>
  <c r="R796" i="19" s="1"/>
  <c r="C797" i="19"/>
  <c r="R797" i="19" s="1"/>
  <c r="C798" i="19"/>
  <c r="R798" i="19" s="1"/>
  <c r="C799" i="19"/>
  <c r="R799" i="19" s="1"/>
  <c r="C800" i="19"/>
  <c r="R800" i="19" s="1"/>
  <c r="C801" i="19"/>
  <c r="R801" i="19" s="1"/>
  <c r="C802" i="19"/>
  <c r="R802" i="19" s="1"/>
  <c r="C803" i="19"/>
  <c r="R803" i="19" s="1"/>
  <c r="C804" i="19"/>
  <c r="R804" i="19" s="1"/>
  <c r="C805" i="19"/>
  <c r="R805" i="19" s="1"/>
  <c r="C806" i="19"/>
  <c r="R806" i="19" s="1"/>
  <c r="C807" i="19"/>
  <c r="R807" i="19" s="1"/>
  <c r="C808" i="19"/>
  <c r="R808" i="19" s="1"/>
  <c r="C809" i="19"/>
  <c r="R809" i="19" s="1"/>
  <c r="C810" i="19"/>
  <c r="R810" i="19" s="1"/>
  <c r="C811" i="19"/>
  <c r="R811" i="19" s="1"/>
  <c r="C812" i="19"/>
  <c r="R812" i="19" s="1"/>
  <c r="C813" i="19"/>
  <c r="R813" i="19" s="1"/>
  <c r="C814" i="19"/>
  <c r="R814" i="19" s="1"/>
  <c r="C815" i="19"/>
  <c r="R815" i="19" s="1"/>
  <c r="C816" i="19"/>
  <c r="R816" i="19" s="1"/>
  <c r="C817" i="19"/>
  <c r="R817" i="19" s="1"/>
  <c r="C818" i="19"/>
  <c r="R818" i="19" s="1"/>
  <c r="C819" i="19"/>
  <c r="R819" i="19" s="1"/>
  <c r="C820" i="19"/>
  <c r="R820" i="19" s="1"/>
  <c r="C821" i="19"/>
  <c r="R821" i="19" s="1"/>
  <c r="C822" i="19"/>
  <c r="R822" i="19" s="1"/>
  <c r="C823" i="19"/>
  <c r="R823" i="19" s="1"/>
  <c r="C824" i="19"/>
  <c r="R824" i="19" s="1"/>
  <c r="C825" i="19"/>
  <c r="R825" i="19" s="1"/>
  <c r="C826" i="19"/>
  <c r="R826" i="19" s="1"/>
  <c r="C827" i="19"/>
  <c r="R827" i="19" s="1"/>
  <c r="C828" i="19"/>
  <c r="R828" i="19" s="1"/>
  <c r="C829" i="19"/>
  <c r="R829" i="19" s="1"/>
  <c r="C830" i="19"/>
  <c r="R830" i="19" s="1"/>
  <c r="C831" i="19"/>
  <c r="R831" i="19" s="1"/>
  <c r="C832" i="19"/>
  <c r="R832" i="19" s="1"/>
  <c r="C833" i="19"/>
  <c r="R833" i="19" s="1"/>
  <c r="C834" i="19"/>
  <c r="R834" i="19" s="1"/>
  <c r="C835" i="19"/>
  <c r="R835" i="19" s="1"/>
  <c r="C836" i="19"/>
  <c r="R836" i="19" s="1"/>
  <c r="C837" i="19"/>
  <c r="R837" i="19" s="1"/>
  <c r="C838" i="19"/>
  <c r="R838" i="19" s="1"/>
  <c r="C839" i="19"/>
  <c r="R839" i="19" s="1"/>
  <c r="C840" i="19"/>
  <c r="R840" i="19" s="1"/>
  <c r="C841" i="19"/>
  <c r="R841" i="19" s="1"/>
  <c r="C842" i="19"/>
  <c r="R842" i="19" s="1"/>
  <c r="C843" i="19"/>
  <c r="R843" i="19" s="1"/>
  <c r="C844" i="19"/>
  <c r="R844" i="19" s="1"/>
  <c r="C845" i="19"/>
  <c r="R845" i="19" s="1"/>
  <c r="C846" i="19"/>
  <c r="R846" i="19" s="1"/>
  <c r="C847" i="19"/>
  <c r="R847" i="19" s="1"/>
  <c r="C848" i="19"/>
  <c r="R848" i="19" s="1"/>
  <c r="C849" i="19"/>
  <c r="R849" i="19" s="1"/>
  <c r="C850" i="19"/>
  <c r="R850" i="19" s="1"/>
  <c r="C851" i="19"/>
  <c r="R851" i="19" s="1"/>
  <c r="C852" i="19"/>
  <c r="R852" i="19" s="1"/>
  <c r="C853" i="19"/>
  <c r="R853" i="19" s="1"/>
  <c r="C854" i="19"/>
  <c r="R854" i="19" s="1"/>
  <c r="C855" i="19"/>
  <c r="R855" i="19" s="1"/>
  <c r="C856" i="19"/>
  <c r="R856" i="19" s="1"/>
  <c r="C857" i="19"/>
  <c r="R857" i="19" s="1"/>
  <c r="C858" i="19"/>
  <c r="R858" i="19" s="1"/>
  <c r="C859" i="19"/>
  <c r="R859" i="19" s="1"/>
  <c r="C860" i="19"/>
  <c r="R860" i="19" s="1"/>
  <c r="C861" i="19"/>
  <c r="R861" i="19" s="1"/>
  <c r="C862" i="19"/>
  <c r="R862" i="19" s="1"/>
  <c r="C863" i="19"/>
  <c r="R863" i="19" s="1"/>
  <c r="C864" i="19"/>
  <c r="R864" i="19" s="1"/>
  <c r="C865" i="19"/>
  <c r="R865" i="19" s="1"/>
  <c r="C866" i="19"/>
  <c r="R866" i="19" s="1"/>
  <c r="C867" i="19"/>
  <c r="R867" i="19" s="1"/>
  <c r="C868" i="19"/>
  <c r="R868" i="19" s="1"/>
  <c r="C869" i="19"/>
  <c r="R869" i="19" s="1"/>
  <c r="C870" i="19"/>
  <c r="R870" i="19" s="1"/>
  <c r="C871" i="19"/>
  <c r="R871" i="19" s="1"/>
  <c r="C872" i="19"/>
  <c r="R872" i="19" s="1"/>
  <c r="C873" i="19"/>
  <c r="R873" i="19" s="1"/>
  <c r="C874" i="19"/>
  <c r="R874" i="19" s="1"/>
  <c r="C875" i="19"/>
  <c r="R875" i="19" s="1"/>
  <c r="C876" i="19"/>
  <c r="R876" i="19" s="1"/>
  <c r="C877" i="19"/>
  <c r="R877" i="19" s="1"/>
  <c r="C878" i="19"/>
  <c r="R878" i="19" s="1"/>
  <c r="C879" i="19"/>
  <c r="R879" i="19" s="1"/>
  <c r="C880" i="19"/>
  <c r="R880" i="19" s="1"/>
  <c r="C881" i="19"/>
  <c r="R881" i="19" s="1"/>
  <c r="C882" i="19"/>
  <c r="R882" i="19" s="1"/>
  <c r="C883" i="19"/>
  <c r="R883" i="19" s="1"/>
  <c r="C884" i="19"/>
  <c r="R884" i="19" s="1"/>
  <c r="C885" i="19"/>
  <c r="R885" i="19" s="1"/>
  <c r="C886" i="19"/>
  <c r="R886" i="19" s="1"/>
  <c r="C887" i="19"/>
  <c r="R887" i="19" s="1"/>
  <c r="C888" i="19"/>
  <c r="R888" i="19" s="1"/>
  <c r="C889" i="19"/>
  <c r="R889" i="19" s="1"/>
  <c r="C890" i="19"/>
  <c r="R890" i="19" s="1"/>
  <c r="C891" i="19"/>
  <c r="R891" i="19" s="1"/>
  <c r="C892" i="19"/>
  <c r="R892" i="19" s="1"/>
  <c r="C893" i="19"/>
  <c r="R893" i="19" s="1"/>
  <c r="C894" i="19"/>
  <c r="R894" i="19" s="1"/>
  <c r="C895" i="19"/>
  <c r="R895" i="19" s="1"/>
  <c r="C896" i="19"/>
  <c r="R896" i="19" s="1"/>
  <c r="C897" i="19"/>
  <c r="R897" i="19" s="1"/>
  <c r="C898" i="19"/>
  <c r="R898" i="19" s="1"/>
  <c r="C899" i="19"/>
  <c r="R899" i="19" s="1"/>
  <c r="C900" i="19"/>
  <c r="R900" i="19" s="1"/>
  <c r="C901" i="19"/>
  <c r="R901" i="19" s="1"/>
  <c r="C902" i="19"/>
  <c r="R902" i="19" s="1"/>
  <c r="C903" i="19"/>
  <c r="R903" i="19" s="1"/>
  <c r="C904" i="19"/>
  <c r="R904" i="19" s="1"/>
  <c r="C905" i="19"/>
  <c r="R905" i="19" s="1"/>
  <c r="C906" i="19"/>
  <c r="R906" i="19" s="1"/>
  <c r="C907" i="19"/>
  <c r="R907" i="19" s="1"/>
  <c r="C908" i="19"/>
  <c r="R908" i="19" s="1"/>
  <c r="C909" i="19"/>
  <c r="R909" i="19" s="1"/>
  <c r="C910" i="19"/>
  <c r="R910" i="19" s="1"/>
  <c r="C911" i="19"/>
  <c r="R911" i="19" s="1"/>
  <c r="C912" i="19"/>
  <c r="R912" i="19" s="1"/>
  <c r="C913" i="19"/>
  <c r="R913" i="19" s="1"/>
  <c r="C914" i="19"/>
  <c r="R914" i="19" s="1"/>
  <c r="C915" i="19"/>
  <c r="R915" i="19" s="1"/>
  <c r="C916" i="19"/>
  <c r="R916" i="19" s="1"/>
  <c r="C917" i="19"/>
  <c r="R917" i="19" s="1"/>
  <c r="C918" i="19"/>
  <c r="R918" i="19" s="1"/>
  <c r="C919" i="19"/>
  <c r="R919" i="19" s="1"/>
  <c r="C920" i="19"/>
  <c r="R920" i="19" s="1"/>
  <c r="C921" i="19"/>
  <c r="R921" i="19" s="1"/>
  <c r="C922" i="19"/>
  <c r="R922" i="19" s="1"/>
  <c r="C923" i="19"/>
  <c r="R923" i="19" s="1"/>
  <c r="C924" i="19"/>
  <c r="R924" i="19" s="1"/>
  <c r="C925" i="19"/>
  <c r="R925" i="19" s="1"/>
  <c r="C926" i="19"/>
  <c r="R926" i="19" s="1"/>
  <c r="C927" i="19"/>
  <c r="R927" i="19" s="1"/>
  <c r="C928" i="19"/>
  <c r="R928" i="19" s="1"/>
  <c r="C929" i="19"/>
  <c r="R929" i="19" s="1"/>
  <c r="C930" i="19"/>
  <c r="R930" i="19" s="1"/>
  <c r="C931" i="19"/>
  <c r="R931" i="19" s="1"/>
  <c r="C932" i="19"/>
  <c r="R932" i="19" s="1"/>
  <c r="C933" i="19"/>
  <c r="R933" i="19" s="1"/>
  <c r="C934" i="19"/>
  <c r="R934" i="19" s="1"/>
  <c r="C935" i="19"/>
  <c r="R935" i="19" s="1"/>
  <c r="C936" i="19"/>
  <c r="R936" i="19" s="1"/>
  <c r="C937" i="19"/>
  <c r="R937" i="19" s="1"/>
  <c r="C938" i="19"/>
  <c r="R938" i="19" s="1"/>
  <c r="C939" i="19"/>
  <c r="R939" i="19" s="1"/>
  <c r="C940" i="19"/>
  <c r="R940" i="19" s="1"/>
  <c r="C941" i="19"/>
  <c r="R941" i="19" s="1"/>
  <c r="C942" i="19"/>
  <c r="R942" i="19" s="1"/>
  <c r="C943" i="19"/>
  <c r="R943" i="19" s="1"/>
  <c r="C944" i="19"/>
  <c r="R944" i="19" s="1"/>
  <c r="C945" i="19"/>
  <c r="R945" i="19" s="1"/>
  <c r="C946" i="19"/>
  <c r="R946" i="19" s="1"/>
  <c r="C947" i="19"/>
  <c r="R947" i="19" s="1"/>
  <c r="C948" i="19"/>
  <c r="R948" i="19" s="1"/>
  <c r="C949" i="19"/>
  <c r="R949" i="19" s="1"/>
  <c r="C950" i="19"/>
  <c r="R950" i="19" s="1"/>
  <c r="C951" i="19"/>
  <c r="R951" i="19" s="1"/>
  <c r="C952" i="19"/>
  <c r="R952" i="19" s="1"/>
  <c r="C953" i="19"/>
  <c r="R953" i="19" s="1"/>
  <c r="C954" i="19"/>
  <c r="R954" i="19" s="1"/>
  <c r="C955" i="19"/>
  <c r="R955" i="19" s="1"/>
  <c r="C956" i="19"/>
  <c r="R956" i="19" s="1"/>
  <c r="C957" i="19"/>
  <c r="R957" i="19" s="1"/>
  <c r="C958" i="19"/>
  <c r="R958" i="19" s="1"/>
  <c r="C959" i="19"/>
  <c r="R959" i="19" s="1"/>
  <c r="C960" i="19"/>
  <c r="R960" i="19" s="1"/>
  <c r="C961" i="19"/>
  <c r="R961" i="19" s="1"/>
  <c r="C962" i="19"/>
  <c r="R962" i="19" s="1"/>
  <c r="C963" i="19"/>
  <c r="R963" i="19" s="1"/>
  <c r="C964" i="19"/>
  <c r="R964" i="19" s="1"/>
  <c r="C965" i="19"/>
  <c r="R965" i="19" s="1"/>
  <c r="C966" i="19"/>
  <c r="R966" i="19" s="1"/>
  <c r="C967" i="19"/>
  <c r="R967" i="19" s="1"/>
  <c r="C968" i="19"/>
  <c r="R968" i="19" s="1"/>
  <c r="C969" i="19"/>
  <c r="R969" i="19" s="1"/>
  <c r="C970" i="19"/>
  <c r="R970" i="19" s="1"/>
  <c r="C971" i="19"/>
  <c r="R971" i="19" s="1"/>
  <c r="C972" i="19"/>
  <c r="R972" i="19" s="1"/>
  <c r="C973" i="19"/>
  <c r="R973" i="19" s="1"/>
  <c r="C974" i="19"/>
  <c r="R974" i="19" s="1"/>
  <c r="C975" i="19"/>
  <c r="R975" i="19" s="1"/>
  <c r="C976" i="19"/>
  <c r="R976" i="19" s="1"/>
  <c r="C977" i="19"/>
  <c r="R977" i="19" s="1"/>
  <c r="C978" i="19"/>
  <c r="R978" i="19" s="1"/>
  <c r="C979" i="19"/>
  <c r="R979" i="19" s="1"/>
  <c r="C980" i="19"/>
  <c r="R980" i="19" s="1"/>
  <c r="C981" i="19"/>
  <c r="R981" i="19" s="1"/>
  <c r="C982" i="19"/>
  <c r="R982" i="19" s="1"/>
  <c r="C983" i="19"/>
  <c r="R983" i="19" s="1"/>
  <c r="C984" i="19"/>
  <c r="R984" i="19" s="1"/>
  <c r="C985" i="19"/>
  <c r="R985" i="19" s="1"/>
  <c r="C986" i="19"/>
  <c r="R986" i="19" s="1"/>
  <c r="C987" i="19"/>
  <c r="R987" i="19" s="1"/>
  <c r="C988" i="19"/>
  <c r="R988" i="19" s="1"/>
  <c r="C989" i="19"/>
  <c r="R989" i="19" s="1"/>
  <c r="C990" i="19"/>
  <c r="R990" i="19" s="1"/>
  <c r="C991" i="19"/>
  <c r="R991" i="19" s="1"/>
  <c r="C992" i="19"/>
  <c r="R992" i="19" s="1"/>
  <c r="C993" i="19"/>
  <c r="R993" i="19" s="1"/>
  <c r="C994" i="19"/>
  <c r="R994" i="19" s="1"/>
  <c r="C995" i="19"/>
  <c r="R995" i="19" s="1"/>
  <c r="C996" i="19"/>
  <c r="R996" i="19" s="1"/>
  <c r="C997" i="19"/>
  <c r="R997" i="19" s="1"/>
  <c r="C998" i="19"/>
  <c r="R998" i="19" s="1"/>
  <c r="C999" i="19"/>
  <c r="R999" i="19" s="1"/>
  <c r="C1000" i="19"/>
  <c r="R1000" i="19" s="1"/>
  <c r="C1001" i="19"/>
  <c r="R1001" i="19" s="1"/>
  <c r="C1002" i="19"/>
  <c r="R1002" i="19" s="1"/>
  <c r="C1003" i="19"/>
  <c r="R1003" i="19" s="1"/>
  <c r="C1004" i="19"/>
  <c r="R1004" i="19" s="1"/>
  <c r="C1005" i="19"/>
  <c r="R1005" i="19" s="1"/>
  <c r="C1006" i="19"/>
  <c r="R1006" i="19" s="1"/>
  <c r="C1007" i="19"/>
  <c r="R1007" i="19" s="1"/>
  <c r="C1008" i="19"/>
  <c r="R1008" i="19" s="1"/>
  <c r="C1009" i="19"/>
  <c r="R1009" i="19" s="1"/>
  <c r="C1010" i="19"/>
  <c r="R1010" i="19" s="1"/>
  <c r="C1011" i="19"/>
  <c r="R1011" i="19" s="1"/>
  <c r="C1012" i="19"/>
  <c r="R1012" i="19" s="1"/>
  <c r="C1013" i="19"/>
  <c r="R1013" i="19" s="1"/>
  <c r="C1014" i="19"/>
  <c r="R1014" i="19" s="1"/>
  <c r="C1015" i="19"/>
  <c r="R1015" i="19" s="1"/>
  <c r="C1016" i="19"/>
  <c r="R1016" i="19" s="1"/>
  <c r="C1017" i="19"/>
  <c r="R1017" i="19" s="1"/>
  <c r="C1018" i="19"/>
  <c r="R1018" i="19" s="1"/>
  <c r="C1019" i="19"/>
  <c r="R1019" i="19" s="1"/>
  <c r="C1020" i="19"/>
  <c r="R1020" i="19" s="1"/>
  <c r="C1021" i="19"/>
  <c r="R1021" i="19" s="1"/>
  <c r="C1022" i="19"/>
  <c r="R1022" i="19" s="1"/>
  <c r="C1023" i="19"/>
  <c r="R1023" i="19" s="1"/>
  <c r="C1024" i="19"/>
  <c r="R1024" i="19" s="1"/>
  <c r="C1025" i="19"/>
  <c r="R1025" i="19" s="1"/>
  <c r="C1026" i="19"/>
  <c r="R1026" i="19" s="1"/>
  <c r="C1027" i="19"/>
  <c r="R1027" i="19" s="1"/>
  <c r="C1028" i="19"/>
  <c r="R1028" i="19" s="1"/>
  <c r="C1029" i="19"/>
  <c r="R1029" i="19" s="1"/>
  <c r="C1030" i="19"/>
  <c r="R1030" i="19" s="1"/>
  <c r="C1031" i="19"/>
  <c r="R1031" i="19" s="1"/>
  <c r="C1032" i="19"/>
  <c r="R1032" i="19" s="1"/>
  <c r="C1033" i="19"/>
  <c r="R1033" i="19" s="1"/>
  <c r="C1034" i="19"/>
  <c r="R1034" i="19" s="1"/>
  <c r="C1035" i="19"/>
  <c r="R1035" i="19" s="1"/>
  <c r="C1036" i="19"/>
  <c r="R1036" i="19" s="1"/>
  <c r="C1037" i="19"/>
  <c r="R1037" i="19" s="1"/>
  <c r="C1038" i="19"/>
  <c r="R1038" i="19" s="1"/>
  <c r="C1039" i="19"/>
  <c r="R1039" i="19" s="1"/>
  <c r="C1040" i="19"/>
  <c r="R1040" i="19" s="1"/>
  <c r="C1041" i="19"/>
  <c r="R1041" i="19" s="1"/>
  <c r="C1042" i="19"/>
  <c r="R1042" i="19" s="1"/>
  <c r="C1043" i="19"/>
  <c r="R1043" i="19" s="1"/>
  <c r="C1044" i="19"/>
  <c r="R1044" i="19" s="1"/>
  <c r="C1045" i="19"/>
  <c r="R1045" i="19" s="1"/>
  <c r="C1046" i="19"/>
  <c r="R1046" i="19" s="1"/>
  <c r="C1047" i="19"/>
  <c r="R1047" i="19" s="1"/>
  <c r="C1048" i="19"/>
  <c r="R1048" i="19" s="1"/>
  <c r="C1049" i="19"/>
  <c r="R1049" i="19" s="1"/>
  <c r="C1050" i="19"/>
  <c r="R1050" i="19" s="1"/>
  <c r="C1051" i="19"/>
  <c r="R1051" i="19" s="1"/>
  <c r="C1052" i="19"/>
  <c r="R1052" i="19" s="1"/>
  <c r="C1053" i="19"/>
  <c r="R1053" i="19" s="1"/>
  <c r="C1054" i="19"/>
  <c r="R1054" i="19" s="1"/>
  <c r="C1055" i="19"/>
  <c r="R1055" i="19" s="1"/>
  <c r="C1056" i="19"/>
  <c r="R1056" i="19" s="1"/>
  <c r="C1057" i="19"/>
  <c r="R1057" i="19" s="1"/>
  <c r="C1058" i="19"/>
  <c r="R1058" i="19" s="1"/>
  <c r="C1059" i="19"/>
  <c r="R1059" i="19" s="1"/>
  <c r="C1060" i="19"/>
  <c r="R1060" i="19" s="1"/>
  <c r="C1061" i="19"/>
  <c r="R1061" i="19" s="1"/>
  <c r="C1062" i="19"/>
  <c r="R1062" i="19" s="1"/>
  <c r="C1063" i="19"/>
  <c r="R1063" i="19" s="1"/>
  <c r="C1064" i="19"/>
  <c r="R1064" i="19" s="1"/>
  <c r="C1065" i="19"/>
  <c r="R1065" i="19" s="1"/>
  <c r="C1066" i="19"/>
  <c r="R1066" i="19" s="1"/>
  <c r="C1067" i="19"/>
  <c r="R1067" i="19" s="1"/>
  <c r="C1068" i="19"/>
  <c r="R1068" i="19" s="1"/>
  <c r="C1069" i="19"/>
  <c r="R1069" i="19" s="1"/>
  <c r="C1070" i="19"/>
  <c r="R1070" i="19" s="1"/>
  <c r="C1071" i="19"/>
  <c r="R1071" i="19" s="1"/>
  <c r="C1072" i="19"/>
  <c r="R1072" i="19" s="1"/>
  <c r="C1073" i="19"/>
  <c r="R1073" i="19" s="1"/>
  <c r="C1074" i="19"/>
  <c r="R1074" i="19" s="1"/>
  <c r="C1075" i="19"/>
  <c r="R1075" i="19" s="1"/>
  <c r="C1076" i="19"/>
  <c r="R1076" i="19" s="1"/>
  <c r="C1077" i="19"/>
  <c r="R1077" i="19" s="1"/>
  <c r="C1078" i="19"/>
  <c r="R1078" i="19" s="1"/>
  <c r="C1079" i="19"/>
  <c r="R1079" i="19" s="1"/>
  <c r="C1080" i="19"/>
  <c r="R1080" i="19" s="1"/>
  <c r="C1081" i="19"/>
  <c r="R1081" i="19" s="1"/>
  <c r="C1082" i="19"/>
  <c r="R1082" i="19" s="1"/>
  <c r="C1083" i="19"/>
  <c r="R1083" i="19" s="1"/>
  <c r="C1084" i="19"/>
  <c r="R1084" i="19" s="1"/>
  <c r="C1085" i="19"/>
  <c r="R1085" i="19" s="1"/>
  <c r="C1086" i="19"/>
  <c r="R1086" i="19" s="1"/>
  <c r="C1087" i="19"/>
  <c r="R1087" i="19" s="1"/>
  <c r="C1088" i="19"/>
  <c r="R1088" i="19" s="1"/>
  <c r="C1089" i="19"/>
  <c r="R1089" i="19" s="1"/>
  <c r="C1090" i="19"/>
  <c r="R1090" i="19" s="1"/>
  <c r="C1091" i="19"/>
  <c r="R1091" i="19" s="1"/>
  <c r="C1092" i="19"/>
  <c r="R1092" i="19" s="1"/>
  <c r="C1093" i="19"/>
  <c r="R1093" i="19" s="1"/>
  <c r="C1094" i="19"/>
  <c r="R1094" i="19" s="1"/>
  <c r="C1095" i="19"/>
  <c r="R1095" i="19" s="1"/>
  <c r="C1096" i="19"/>
  <c r="R1096" i="19" s="1"/>
  <c r="C1097" i="19"/>
  <c r="R1097" i="19" s="1"/>
  <c r="C1098" i="19"/>
  <c r="R1098" i="19" s="1"/>
  <c r="C1099" i="19"/>
  <c r="R1099" i="19" s="1"/>
  <c r="C1100" i="19"/>
  <c r="R1100" i="19" s="1"/>
  <c r="C1101" i="19"/>
  <c r="R1101" i="19" s="1"/>
  <c r="C1102" i="19"/>
  <c r="R1102" i="19" s="1"/>
  <c r="C1103" i="19"/>
  <c r="R1103" i="19" s="1"/>
  <c r="C1104" i="19"/>
  <c r="R1104" i="19" s="1"/>
  <c r="C1105" i="19"/>
  <c r="R1105" i="19" s="1"/>
  <c r="C1106" i="19"/>
  <c r="R1106" i="19" s="1"/>
  <c r="C1107" i="19"/>
  <c r="R1107" i="19" s="1"/>
  <c r="C1108" i="19"/>
  <c r="R1108" i="19" s="1"/>
  <c r="C1109" i="19"/>
  <c r="R1109" i="19" s="1"/>
  <c r="C1110" i="19"/>
  <c r="R1110" i="19" s="1"/>
  <c r="C1111" i="19"/>
  <c r="R1111" i="19" s="1"/>
  <c r="C1112" i="19"/>
  <c r="R1112" i="19" s="1"/>
  <c r="C1113" i="19"/>
  <c r="R1113" i="19" s="1"/>
  <c r="C1114" i="19"/>
  <c r="R1114" i="19" s="1"/>
  <c r="C1115" i="19"/>
  <c r="R1115" i="19" s="1"/>
  <c r="C1116" i="19"/>
  <c r="R1116" i="19" s="1"/>
  <c r="C1117" i="19"/>
  <c r="R1117" i="19" s="1"/>
  <c r="C1118" i="19"/>
  <c r="R1118" i="19" s="1"/>
  <c r="C1119" i="19"/>
  <c r="R1119" i="19" s="1"/>
  <c r="C1120" i="19"/>
  <c r="R1120" i="19" s="1"/>
  <c r="C1121" i="19"/>
  <c r="R1121" i="19" s="1"/>
  <c r="C1122" i="19"/>
  <c r="R1122" i="19" s="1"/>
  <c r="C1123" i="19"/>
  <c r="R1123" i="19" s="1"/>
  <c r="C1124" i="19"/>
  <c r="R1124" i="19" s="1"/>
  <c r="C1125" i="19"/>
  <c r="R1125" i="19" s="1"/>
  <c r="C1126" i="19"/>
  <c r="R1126" i="19" s="1"/>
  <c r="C1127" i="19"/>
  <c r="R1127" i="19" s="1"/>
  <c r="C1128" i="19"/>
  <c r="R1128" i="19" s="1"/>
  <c r="C1129" i="19"/>
  <c r="R1129" i="19" s="1"/>
  <c r="C1130" i="19"/>
  <c r="R1130" i="19" s="1"/>
  <c r="C1131" i="19"/>
  <c r="R1131" i="19" s="1"/>
  <c r="C1132" i="19"/>
  <c r="R1132" i="19" s="1"/>
  <c r="C1133" i="19"/>
  <c r="R1133" i="19" s="1"/>
  <c r="C1134" i="19"/>
  <c r="R1134" i="19" s="1"/>
  <c r="C1135" i="19"/>
  <c r="R1135" i="19" s="1"/>
  <c r="C1136" i="19"/>
  <c r="R1136" i="19" s="1"/>
  <c r="C1137" i="19"/>
  <c r="R1137" i="19" s="1"/>
  <c r="C1138" i="19"/>
  <c r="R1138" i="19" s="1"/>
  <c r="C1139" i="19"/>
  <c r="R1139" i="19" s="1"/>
  <c r="C1140" i="19"/>
  <c r="R1140" i="19" s="1"/>
  <c r="C1141" i="19"/>
  <c r="R1141" i="19" s="1"/>
  <c r="C1142" i="19"/>
  <c r="R1142" i="19" s="1"/>
  <c r="C1143" i="19"/>
  <c r="R1143" i="19" s="1"/>
  <c r="C1144" i="19"/>
  <c r="R1144" i="19" s="1"/>
  <c r="C1145" i="19"/>
  <c r="R1145" i="19" s="1"/>
  <c r="C1146" i="19"/>
  <c r="R1146" i="19" s="1"/>
  <c r="C1147" i="19"/>
  <c r="R1147" i="19" s="1"/>
  <c r="C1148" i="19"/>
  <c r="R1148" i="19" s="1"/>
  <c r="C1149" i="19"/>
  <c r="R1149" i="19" s="1"/>
  <c r="C1150" i="19"/>
  <c r="R1150" i="19" s="1"/>
  <c r="C1151" i="19"/>
  <c r="R1151" i="19" s="1"/>
  <c r="C1152" i="19"/>
  <c r="R1152" i="19" s="1"/>
  <c r="C1153" i="19"/>
  <c r="R1153" i="19" s="1"/>
  <c r="C1154" i="19"/>
  <c r="R1154" i="19" s="1"/>
  <c r="C1155" i="19"/>
  <c r="R1155" i="19" s="1"/>
  <c r="C1156" i="19"/>
  <c r="R1156" i="19" s="1"/>
  <c r="C1157" i="19"/>
  <c r="R1157" i="19" s="1"/>
  <c r="C1158" i="19"/>
  <c r="R1158" i="19" s="1"/>
  <c r="C1159" i="19"/>
  <c r="R1159" i="19" s="1"/>
  <c r="C1160" i="19"/>
  <c r="R1160" i="19" s="1"/>
  <c r="C1161" i="19"/>
  <c r="R1161" i="19" s="1"/>
  <c r="C1162" i="19"/>
  <c r="R1162" i="19" s="1"/>
  <c r="C1163" i="19"/>
  <c r="R1163" i="19" s="1"/>
  <c r="C1164" i="19"/>
  <c r="R1164" i="19" s="1"/>
  <c r="C1165" i="19"/>
  <c r="R1165" i="19" s="1"/>
  <c r="C1166" i="19"/>
  <c r="R1166" i="19" s="1"/>
  <c r="C1167" i="19"/>
  <c r="R1167" i="19" s="1"/>
  <c r="C1168" i="19"/>
  <c r="R1168" i="19" s="1"/>
  <c r="C1169" i="19"/>
  <c r="R1169" i="19" s="1"/>
  <c r="C1170" i="19"/>
  <c r="R1170" i="19" s="1"/>
  <c r="C1171" i="19"/>
  <c r="R1171" i="19" s="1"/>
  <c r="C1172" i="19"/>
  <c r="R1172" i="19" s="1"/>
  <c r="C1173" i="19"/>
  <c r="R1173" i="19" s="1"/>
  <c r="C1174" i="19"/>
  <c r="R1174" i="19" s="1"/>
  <c r="C1175" i="19"/>
  <c r="R1175" i="19" s="1"/>
  <c r="C1176" i="19"/>
  <c r="R1176" i="19" s="1"/>
  <c r="C1177" i="19"/>
  <c r="R1177" i="19" s="1"/>
  <c r="C1178" i="19"/>
  <c r="R1178" i="19" s="1"/>
  <c r="C1179" i="19"/>
  <c r="R1179" i="19" s="1"/>
  <c r="C1180" i="19"/>
  <c r="R1180" i="19" s="1"/>
  <c r="C1181" i="19"/>
  <c r="R1181" i="19" s="1"/>
  <c r="C1182" i="19"/>
  <c r="R1182" i="19" s="1"/>
  <c r="C1183" i="19"/>
  <c r="R1183" i="19" s="1"/>
  <c r="C1184" i="19"/>
  <c r="R1184" i="19" s="1"/>
  <c r="C1185" i="19"/>
  <c r="R1185" i="19" s="1"/>
  <c r="C1186" i="19"/>
  <c r="R1186" i="19" s="1"/>
  <c r="C1187" i="19"/>
  <c r="R1187" i="19" s="1"/>
  <c r="C1188" i="19"/>
  <c r="R1188" i="19" s="1"/>
  <c r="C1189" i="19"/>
  <c r="R1189" i="19" s="1"/>
  <c r="C1190" i="19"/>
  <c r="R1190" i="19" s="1"/>
  <c r="C1191" i="19"/>
  <c r="R1191" i="19" s="1"/>
  <c r="C1192" i="19"/>
  <c r="R1192" i="19" s="1"/>
  <c r="C1193" i="19"/>
  <c r="R1193" i="19" s="1"/>
  <c r="C1194" i="19"/>
  <c r="R1194" i="19" s="1"/>
  <c r="C1195" i="19"/>
  <c r="R1195" i="19" s="1"/>
  <c r="C1196" i="19"/>
  <c r="R1196" i="19" s="1"/>
  <c r="C1197" i="19"/>
  <c r="R1197" i="19" s="1"/>
  <c r="C1198" i="19"/>
  <c r="R1198" i="19" s="1"/>
  <c r="C1199" i="19"/>
  <c r="R1199" i="19" s="1"/>
  <c r="C1200" i="19"/>
  <c r="R1200" i="19" s="1"/>
  <c r="C1201" i="19"/>
  <c r="R1201" i="19" s="1"/>
  <c r="C1202" i="19"/>
  <c r="R1202" i="19" s="1"/>
  <c r="C1203" i="19"/>
  <c r="R1203" i="19" s="1"/>
  <c r="C1204" i="19"/>
  <c r="R1204" i="19" s="1"/>
  <c r="C1205" i="19"/>
  <c r="R1205" i="19" s="1"/>
  <c r="C1206" i="19"/>
  <c r="R1206" i="19" s="1"/>
  <c r="C1207" i="19"/>
  <c r="R1207" i="19" s="1"/>
  <c r="C1208" i="19"/>
  <c r="R1208" i="19" s="1"/>
  <c r="C1209" i="19"/>
  <c r="R1209" i="19" s="1"/>
  <c r="C1210" i="19"/>
  <c r="R1210" i="19" s="1"/>
  <c r="C1211" i="19"/>
  <c r="R1211" i="19" s="1"/>
  <c r="C1212" i="19"/>
  <c r="R1212" i="19" s="1"/>
  <c r="C1213" i="19"/>
  <c r="R1213" i="19" s="1"/>
  <c r="C1214" i="19"/>
  <c r="R1214" i="19" s="1"/>
  <c r="C1215" i="19"/>
  <c r="R1215" i="19" s="1"/>
  <c r="C1216" i="19"/>
  <c r="R1216" i="19" s="1"/>
  <c r="C1217" i="19"/>
  <c r="R1217" i="19" s="1"/>
  <c r="C1218" i="19"/>
  <c r="R1218" i="19" s="1"/>
  <c r="C1219" i="19"/>
  <c r="R1219" i="19" s="1"/>
  <c r="C1220" i="19"/>
  <c r="R1220" i="19" s="1"/>
  <c r="C1221" i="19"/>
  <c r="R1221" i="19" s="1"/>
  <c r="C1222" i="19"/>
  <c r="R1222" i="19" s="1"/>
  <c r="C1223" i="19"/>
  <c r="R1223" i="19" s="1"/>
  <c r="C1224" i="19"/>
  <c r="R1224" i="19" s="1"/>
  <c r="C1225" i="19"/>
  <c r="R1225" i="19" s="1"/>
  <c r="C1226" i="19"/>
  <c r="R1226" i="19" s="1"/>
  <c r="C1227" i="19"/>
  <c r="R1227" i="19" s="1"/>
  <c r="C1228" i="19"/>
  <c r="R1228" i="19" s="1"/>
  <c r="C1229" i="19"/>
  <c r="R1229" i="19" s="1"/>
  <c r="C1230" i="19"/>
  <c r="R1230" i="19" s="1"/>
  <c r="C1231" i="19"/>
  <c r="R1231" i="19" s="1"/>
  <c r="C1232" i="19"/>
  <c r="R1232" i="19" s="1"/>
  <c r="C1233" i="19"/>
  <c r="R1233" i="19" s="1"/>
  <c r="C1234" i="19"/>
  <c r="R1234" i="19" s="1"/>
  <c r="C1235" i="19"/>
  <c r="R1235" i="19" s="1"/>
  <c r="C1236" i="19"/>
  <c r="R1236" i="19" s="1"/>
  <c r="C1237" i="19"/>
  <c r="R1237" i="19" s="1"/>
  <c r="C1238" i="19"/>
  <c r="R1238" i="19" s="1"/>
  <c r="C1239" i="19"/>
  <c r="R1239" i="19" s="1"/>
  <c r="C1240" i="19"/>
  <c r="R1240" i="19" s="1"/>
  <c r="C1241" i="19"/>
  <c r="R1241" i="19" s="1"/>
  <c r="C1242" i="19"/>
  <c r="R1242" i="19" s="1"/>
  <c r="C1243" i="19"/>
  <c r="R1243" i="19" s="1"/>
  <c r="C1244" i="19"/>
  <c r="R1244" i="19" s="1"/>
  <c r="C1245" i="19"/>
  <c r="R1245" i="19" s="1"/>
  <c r="C1246" i="19"/>
  <c r="R1246" i="19" s="1"/>
  <c r="C1247" i="19"/>
  <c r="R1247" i="19" s="1"/>
  <c r="C1248" i="19"/>
  <c r="R1248" i="19" s="1"/>
  <c r="C1249" i="19"/>
  <c r="R1249" i="19" s="1"/>
  <c r="C1250" i="19"/>
  <c r="R1250" i="19" s="1"/>
  <c r="C1251" i="19"/>
  <c r="R1251" i="19" s="1"/>
  <c r="C1252" i="19"/>
  <c r="R1252" i="19" s="1"/>
  <c r="C1253" i="19"/>
  <c r="R1253" i="19" s="1"/>
  <c r="C1254" i="19"/>
  <c r="R1254" i="19" s="1"/>
  <c r="C1255" i="19"/>
  <c r="R1255" i="19" s="1"/>
  <c r="C1256" i="19"/>
  <c r="R1256" i="19" s="1"/>
  <c r="C1257" i="19"/>
  <c r="R1257" i="19" s="1"/>
  <c r="C1258" i="19"/>
  <c r="R1258" i="19" s="1"/>
  <c r="C1259" i="19"/>
  <c r="R1259" i="19" s="1"/>
  <c r="C1260" i="19"/>
  <c r="R1260" i="19" s="1"/>
  <c r="C1261" i="19"/>
  <c r="R1261" i="19" s="1"/>
  <c r="C1262" i="19"/>
  <c r="R1262" i="19" s="1"/>
  <c r="C1263" i="19"/>
  <c r="R1263" i="19" s="1"/>
  <c r="C1264" i="19"/>
  <c r="R1264" i="19" s="1"/>
  <c r="C1265" i="19"/>
  <c r="R1265" i="19" s="1"/>
  <c r="C1266" i="19"/>
  <c r="R1266" i="19" s="1"/>
  <c r="C1267" i="19"/>
  <c r="R1267" i="19" s="1"/>
  <c r="C1268" i="19"/>
  <c r="R1268" i="19" s="1"/>
  <c r="C1269" i="19"/>
  <c r="R1269" i="19" s="1"/>
  <c r="C1270" i="19"/>
  <c r="R1270" i="19" s="1"/>
  <c r="C1271" i="19"/>
  <c r="R1271" i="19" s="1"/>
  <c r="C1272" i="19"/>
  <c r="R1272" i="19" s="1"/>
  <c r="C1273" i="19"/>
  <c r="R1273" i="19" s="1"/>
  <c r="C1274" i="19"/>
  <c r="R1274" i="19" s="1"/>
  <c r="C1275" i="19"/>
  <c r="R1275" i="19" s="1"/>
  <c r="C1276" i="19"/>
  <c r="R1276" i="19" s="1"/>
  <c r="C1277" i="19"/>
  <c r="R1277" i="19" s="1"/>
  <c r="C1278" i="19"/>
  <c r="R1278" i="19" s="1"/>
  <c r="C1279" i="19"/>
  <c r="R1279" i="19" s="1"/>
  <c r="C1280" i="19"/>
  <c r="R1280" i="19" s="1"/>
  <c r="C1281" i="19"/>
  <c r="R1281" i="19" s="1"/>
  <c r="C1282" i="19"/>
  <c r="R1282" i="19" s="1"/>
  <c r="C1283" i="19"/>
  <c r="R1283" i="19" s="1"/>
  <c r="C1284" i="19"/>
  <c r="R1284" i="19" s="1"/>
  <c r="C1285" i="19"/>
  <c r="R1285" i="19" s="1"/>
  <c r="C1286" i="19"/>
  <c r="R1286" i="19" s="1"/>
  <c r="C1287" i="19"/>
  <c r="R1287" i="19" s="1"/>
  <c r="C1288" i="19"/>
  <c r="R1288" i="19" s="1"/>
  <c r="C1289" i="19"/>
  <c r="R1289" i="19" s="1"/>
  <c r="C1290" i="19"/>
  <c r="R1290" i="19" s="1"/>
  <c r="C1291" i="19"/>
  <c r="R1291" i="19" s="1"/>
  <c r="C1292" i="19"/>
  <c r="R1292" i="19" s="1"/>
  <c r="C1293" i="19"/>
  <c r="R1293" i="19" s="1"/>
  <c r="C1294" i="19"/>
  <c r="R1294" i="19" s="1"/>
  <c r="C1295" i="19"/>
  <c r="R1295" i="19" s="1"/>
  <c r="C1296" i="19"/>
  <c r="R1296" i="19" s="1"/>
  <c r="C1297" i="19"/>
  <c r="R1297" i="19" s="1"/>
  <c r="C1298" i="19"/>
  <c r="R1298" i="19" s="1"/>
  <c r="C1299" i="19"/>
  <c r="R1299" i="19" s="1"/>
  <c r="C1300" i="19"/>
  <c r="R1300" i="19" s="1"/>
  <c r="C1301" i="19"/>
  <c r="R1301" i="19" s="1"/>
  <c r="C1302" i="19"/>
  <c r="R1302" i="19" s="1"/>
  <c r="C1303" i="19"/>
  <c r="R1303" i="19" s="1"/>
  <c r="C1304" i="19"/>
  <c r="R1304" i="19" s="1"/>
  <c r="C1305" i="19"/>
  <c r="R1305" i="19" s="1"/>
  <c r="C1306" i="19"/>
  <c r="R1306" i="19" s="1"/>
  <c r="C1307" i="19"/>
  <c r="R1307" i="19" s="1"/>
  <c r="C1308" i="19"/>
  <c r="R1308" i="19" s="1"/>
  <c r="C1309" i="19"/>
  <c r="R1309" i="19" s="1"/>
  <c r="C1310" i="19"/>
  <c r="R1310" i="19" s="1"/>
  <c r="C1311" i="19"/>
  <c r="R1311" i="19" s="1"/>
  <c r="C1312" i="19"/>
  <c r="R1312" i="19" s="1"/>
  <c r="C1313" i="19"/>
  <c r="R1313" i="19" s="1"/>
  <c r="C1314" i="19"/>
  <c r="R1314" i="19" s="1"/>
  <c r="C1315" i="19"/>
  <c r="R1315" i="19" s="1"/>
  <c r="C1316" i="19"/>
  <c r="R1316" i="19" s="1"/>
  <c r="C1317" i="19"/>
  <c r="R1317" i="19" s="1"/>
  <c r="C1318" i="19"/>
  <c r="R1318" i="19" s="1"/>
  <c r="C1319" i="19"/>
  <c r="R1319" i="19" s="1"/>
  <c r="C1320" i="19"/>
  <c r="R1320" i="19" s="1"/>
  <c r="C1321" i="19"/>
  <c r="R1321" i="19" s="1"/>
  <c r="C1322" i="19"/>
  <c r="R1322" i="19" s="1"/>
  <c r="C1323" i="19"/>
  <c r="R1323" i="19" s="1"/>
  <c r="C1324" i="19"/>
  <c r="R1324" i="19" s="1"/>
  <c r="C1325" i="19"/>
  <c r="R1325" i="19" s="1"/>
  <c r="C1326" i="19"/>
  <c r="R1326" i="19" s="1"/>
  <c r="C1327" i="19"/>
  <c r="R1327" i="19" s="1"/>
  <c r="C1328" i="19"/>
  <c r="R1328" i="19" s="1"/>
  <c r="C1329" i="19"/>
  <c r="R1329" i="19" s="1"/>
  <c r="C1330" i="19"/>
  <c r="R1330" i="19" s="1"/>
  <c r="C1331" i="19"/>
  <c r="R1331" i="19" s="1"/>
  <c r="C1332" i="19"/>
  <c r="R1332" i="19" s="1"/>
  <c r="C1333" i="19"/>
  <c r="R1333" i="19" s="1"/>
  <c r="C1334" i="19"/>
  <c r="R1334" i="19" s="1"/>
  <c r="C1335" i="19"/>
  <c r="R1335" i="19" s="1"/>
  <c r="C1336" i="19"/>
  <c r="R1336" i="19" s="1"/>
  <c r="C1337" i="19"/>
  <c r="R1337" i="19" s="1"/>
  <c r="C1338" i="19"/>
  <c r="R1338" i="19" s="1"/>
  <c r="C1339" i="19"/>
  <c r="R1339" i="19" s="1"/>
  <c r="C1340" i="19"/>
  <c r="R1340" i="19" s="1"/>
  <c r="C1341" i="19"/>
  <c r="R1341" i="19" s="1"/>
  <c r="C1342" i="19"/>
  <c r="R1342" i="19" s="1"/>
  <c r="C1343" i="19"/>
  <c r="R1343" i="19" s="1"/>
  <c r="C1344" i="19"/>
  <c r="R1344" i="19" s="1"/>
  <c r="C1345" i="19"/>
  <c r="R1345" i="19" s="1"/>
  <c r="C1346" i="19"/>
  <c r="R1346" i="19" s="1"/>
  <c r="C1347" i="19"/>
  <c r="R1347" i="19" s="1"/>
  <c r="C1348" i="19"/>
  <c r="R1348" i="19" s="1"/>
  <c r="C1349" i="19"/>
  <c r="R1349" i="19" s="1"/>
  <c r="C1350" i="19"/>
  <c r="R1350" i="19" s="1"/>
  <c r="C1351" i="19"/>
  <c r="R1351" i="19" s="1"/>
  <c r="C1352" i="19"/>
  <c r="R1352" i="19" s="1"/>
  <c r="C1353" i="19"/>
  <c r="R1353" i="19" s="1"/>
  <c r="C1354" i="19"/>
  <c r="R1354" i="19" s="1"/>
  <c r="C1355" i="19"/>
  <c r="R1355" i="19" s="1"/>
  <c r="C1356" i="19"/>
  <c r="R1356" i="19" s="1"/>
  <c r="C1357" i="19"/>
  <c r="R1357" i="19" s="1"/>
  <c r="C1358" i="19"/>
  <c r="R1358" i="19" s="1"/>
  <c r="C1359" i="19"/>
  <c r="R1359" i="19" s="1"/>
  <c r="C1360" i="19"/>
  <c r="R1360" i="19" s="1"/>
  <c r="C1361" i="19"/>
  <c r="R1361" i="19" s="1"/>
  <c r="C1362" i="19"/>
  <c r="R1362" i="19" s="1"/>
  <c r="C1363" i="19"/>
  <c r="R1363" i="19" s="1"/>
  <c r="C1364" i="19"/>
  <c r="R1364" i="19" s="1"/>
  <c r="C1365" i="19"/>
  <c r="R1365" i="19" s="1"/>
  <c r="C1366" i="19"/>
  <c r="R1366" i="19" s="1"/>
  <c r="C1367" i="19"/>
  <c r="R1367" i="19" s="1"/>
  <c r="C1368" i="19"/>
  <c r="R1368" i="19" s="1"/>
  <c r="C1369" i="19"/>
  <c r="R1369" i="19" s="1"/>
  <c r="C1370" i="19"/>
  <c r="R1370" i="19" s="1"/>
  <c r="C1371" i="19"/>
  <c r="R1371" i="19" s="1"/>
  <c r="C1372" i="19"/>
  <c r="R1372" i="19" s="1"/>
  <c r="C1373" i="19"/>
  <c r="R1373" i="19" s="1"/>
  <c r="C1374" i="19"/>
  <c r="R1374" i="19" s="1"/>
  <c r="C1375" i="19"/>
  <c r="R1375" i="19" s="1"/>
  <c r="C1376" i="19"/>
  <c r="R1376" i="19" s="1"/>
  <c r="C1377" i="19"/>
  <c r="R1377" i="19" s="1"/>
  <c r="C1378" i="19"/>
  <c r="R1378" i="19" s="1"/>
  <c r="C1379" i="19"/>
  <c r="R1379" i="19" s="1"/>
  <c r="C1380" i="19"/>
  <c r="R1380" i="19" s="1"/>
  <c r="C1381" i="19"/>
  <c r="R1381" i="19" s="1"/>
  <c r="C1382" i="19"/>
  <c r="R1382" i="19" s="1"/>
  <c r="C1383" i="19"/>
  <c r="R1383" i="19" s="1"/>
  <c r="C1384" i="19"/>
  <c r="R1384" i="19" s="1"/>
  <c r="C1385" i="19"/>
  <c r="R1385" i="19" s="1"/>
  <c r="C1386" i="19"/>
  <c r="R1386" i="19" s="1"/>
  <c r="C1387" i="19"/>
  <c r="R1387" i="19" s="1"/>
  <c r="C1388" i="19"/>
  <c r="R1388" i="19" s="1"/>
  <c r="C1389" i="19"/>
  <c r="R1389" i="19" s="1"/>
  <c r="C1390" i="19"/>
  <c r="R1390" i="19" s="1"/>
  <c r="C1391" i="19"/>
  <c r="R1391" i="19" s="1"/>
  <c r="C1392" i="19"/>
  <c r="R1392" i="19" s="1"/>
  <c r="C1393" i="19"/>
  <c r="R1393" i="19" s="1"/>
  <c r="C1394" i="19"/>
  <c r="R1394" i="19" s="1"/>
  <c r="C1395" i="19"/>
  <c r="R1395" i="19" s="1"/>
  <c r="C1396" i="19"/>
  <c r="R1396" i="19" s="1"/>
  <c r="C1397" i="19"/>
  <c r="R1397" i="19" s="1"/>
  <c r="C1398" i="19"/>
  <c r="R1398" i="19" s="1"/>
  <c r="C1399" i="19"/>
  <c r="R1399" i="19" s="1"/>
  <c r="C1400" i="19"/>
  <c r="R1400" i="19" s="1"/>
  <c r="C1401" i="19"/>
  <c r="R1401" i="19" s="1"/>
  <c r="C1402" i="19"/>
  <c r="R1402" i="19" s="1"/>
  <c r="C1403" i="19"/>
  <c r="R1403" i="19" s="1"/>
  <c r="C1404" i="19"/>
  <c r="R1404" i="19" s="1"/>
  <c r="C1405" i="19"/>
  <c r="R1405" i="19" s="1"/>
  <c r="C1406" i="19"/>
  <c r="R1406" i="19" s="1"/>
  <c r="C1407" i="19"/>
  <c r="R1407" i="19" s="1"/>
  <c r="C1408" i="19"/>
  <c r="R1408" i="19" s="1"/>
  <c r="C1409" i="19"/>
  <c r="R1409" i="19" s="1"/>
  <c r="C1410" i="19"/>
  <c r="R1410" i="19" s="1"/>
  <c r="C1411" i="19"/>
  <c r="R1411" i="19" s="1"/>
  <c r="C1412" i="19"/>
  <c r="R1412" i="19" s="1"/>
  <c r="C1413" i="19"/>
  <c r="R1413" i="19" s="1"/>
  <c r="C1414" i="19"/>
  <c r="R1414" i="19" s="1"/>
  <c r="C1415" i="19"/>
  <c r="R1415" i="19" s="1"/>
  <c r="C1416" i="19"/>
  <c r="R1416" i="19" s="1"/>
  <c r="C1417" i="19"/>
  <c r="R1417" i="19" s="1"/>
  <c r="C1418" i="19"/>
  <c r="R1418" i="19" s="1"/>
  <c r="C1419" i="19"/>
  <c r="R1419" i="19" s="1"/>
  <c r="C1420" i="19"/>
  <c r="R1420" i="19" s="1"/>
  <c r="C1421" i="19"/>
  <c r="R1421" i="19" s="1"/>
  <c r="C1422" i="19"/>
  <c r="R1422" i="19" s="1"/>
  <c r="C1423" i="19"/>
  <c r="R1423" i="19" s="1"/>
  <c r="C1424" i="19"/>
  <c r="R1424" i="19" s="1"/>
  <c r="C1425" i="19"/>
  <c r="R1425" i="19" s="1"/>
  <c r="C1426" i="19"/>
  <c r="R1426" i="19" s="1"/>
  <c r="C1427" i="19"/>
  <c r="R1427" i="19" s="1"/>
  <c r="C1428" i="19"/>
  <c r="R1428" i="19" s="1"/>
  <c r="C1429" i="19"/>
  <c r="R1429" i="19" s="1"/>
  <c r="C1430" i="19"/>
  <c r="R1430" i="19" s="1"/>
  <c r="C1431" i="19"/>
  <c r="R1431" i="19" s="1"/>
  <c r="C1432" i="19"/>
  <c r="R1432" i="19" s="1"/>
  <c r="C1433" i="19"/>
  <c r="R1433" i="19" s="1"/>
  <c r="C1434" i="19"/>
  <c r="R1434" i="19" s="1"/>
  <c r="C1435" i="19"/>
  <c r="R1435" i="19" s="1"/>
  <c r="C1436" i="19"/>
  <c r="R1436" i="19" s="1"/>
  <c r="C1437" i="19"/>
  <c r="R1437" i="19" s="1"/>
  <c r="C1438" i="19"/>
  <c r="R1438" i="19" s="1"/>
  <c r="C1439" i="19"/>
  <c r="R1439" i="19" s="1"/>
  <c r="C1440" i="19"/>
  <c r="R1440" i="19" s="1"/>
  <c r="C1441" i="19"/>
  <c r="R1441" i="19" s="1"/>
  <c r="C1442" i="19"/>
  <c r="R1442" i="19" s="1"/>
  <c r="C1443" i="19"/>
  <c r="R1443" i="19" s="1"/>
  <c r="C1444" i="19"/>
  <c r="R1444" i="19" s="1"/>
  <c r="C1445" i="19"/>
  <c r="R1445" i="19" s="1"/>
  <c r="C1446" i="19"/>
  <c r="R1446" i="19" s="1"/>
  <c r="C1447" i="19"/>
  <c r="R1447" i="19" s="1"/>
  <c r="C1448" i="19"/>
  <c r="R1448" i="19" s="1"/>
  <c r="C1449" i="19"/>
  <c r="R1449" i="19" s="1"/>
  <c r="C1450" i="19"/>
  <c r="R1450" i="19" s="1"/>
  <c r="C1451" i="19"/>
  <c r="R1451" i="19" s="1"/>
  <c r="C1452" i="19"/>
  <c r="R1452" i="19" s="1"/>
  <c r="C1453" i="19"/>
  <c r="R1453" i="19" s="1"/>
  <c r="C1454" i="19"/>
  <c r="R1454" i="19" s="1"/>
  <c r="C1455" i="19"/>
  <c r="R1455" i="19" s="1"/>
  <c r="C1456" i="19"/>
  <c r="R1456" i="19" s="1"/>
  <c r="C1457" i="19"/>
  <c r="R1457" i="19" s="1"/>
  <c r="C1458" i="19"/>
  <c r="R1458" i="19" s="1"/>
  <c r="C1459" i="19"/>
  <c r="R1459" i="19" s="1"/>
  <c r="C1460" i="19"/>
  <c r="R1460" i="19" s="1"/>
  <c r="C1461" i="19"/>
  <c r="R1461" i="19" s="1"/>
  <c r="C1462" i="19"/>
  <c r="R1462" i="19" s="1"/>
  <c r="C1463" i="19"/>
  <c r="R1463" i="19" s="1"/>
  <c r="C1464" i="19"/>
  <c r="R1464" i="19" s="1"/>
  <c r="C1465" i="19"/>
  <c r="R1465" i="19" s="1"/>
  <c r="C1466" i="19"/>
  <c r="R1466" i="19" s="1"/>
  <c r="C1467" i="19"/>
  <c r="R1467" i="19" s="1"/>
  <c r="C1468" i="19"/>
  <c r="R1468" i="19" s="1"/>
  <c r="C1469" i="19"/>
  <c r="R1469" i="19" s="1"/>
  <c r="C1470" i="19"/>
  <c r="R1470" i="19" s="1"/>
  <c r="C1471" i="19"/>
  <c r="R1471" i="19" s="1"/>
  <c r="C1472" i="19"/>
  <c r="R1472" i="19" s="1"/>
  <c r="C1473" i="19"/>
  <c r="R1473" i="19" s="1"/>
  <c r="C1474" i="19"/>
  <c r="R1474" i="19" s="1"/>
  <c r="C1475" i="19"/>
  <c r="R1475" i="19" s="1"/>
  <c r="C1476" i="19"/>
  <c r="R1476" i="19" s="1"/>
  <c r="C1477" i="19"/>
  <c r="R1477" i="19" s="1"/>
  <c r="C1478" i="19"/>
  <c r="R1478" i="19" s="1"/>
  <c r="C1479" i="19"/>
  <c r="R1479" i="19" s="1"/>
  <c r="C1480" i="19"/>
  <c r="R1480" i="19" s="1"/>
  <c r="C1481" i="19"/>
  <c r="R1481" i="19" s="1"/>
  <c r="C1482" i="19"/>
  <c r="R1482" i="19" s="1"/>
  <c r="C1483" i="19"/>
  <c r="R1483" i="19" s="1"/>
  <c r="C1484" i="19"/>
  <c r="R1484" i="19" s="1"/>
  <c r="C1485" i="19"/>
  <c r="R1485" i="19" s="1"/>
  <c r="C1486" i="19"/>
  <c r="R1486" i="19" s="1"/>
  <c r="C1487" i="19"/>
  <c r="R1487" i="19" s="1"/>
  <c r="C1488" i="19"/>
  <c r="R1488" i="19" s="1"/>
  <c r="C1489" i="19"/>
  <c r="R1489" i="19" s="1"/>
  <c r="C1490" i="19"/>
  <c r="R1490" i="19" s="1"/>
  <c r="C1491" i="19"/>
  <c r="R1491" i="19" s="1"/>
  <c r="C1492" i="19"/>
  <c r="R1492" i="19" s="1"/>
  <c r="C1493" i="19"/>
  <c r="R1493" i="19" s="1"/>
  <c r="C1494" i="19"/>
  <c r="R1494" i="19" s="1"/>
  <c r="C1495" i="19"/>
  <c r="R1495" i="19" s="1"/>
  <c r="C1496" i="19"/>
  <c r="R1496" i="19" s="1"/>
  <c r="C1497" i="19"/>
  <c r="R1497" i="19" s="1"/>
  <c r="C1498" i="19"/>
  <c r="R1498" i="19" s="1"/>
  <c r="C1499" i="19"/>
  <c r="R1499" i="19" s="1"/>
  <c r="C1500" i="19"/>
  <c r="R1500" i="19" s="1"/>
  <c r="C1501" i="19"/>
  <c r="R1501" i="19" s="1"/>
  <c r="C1502" i="19"/>
  <c r="R1502" i="19" s="1"/>
  <c r="C1503" i="19"/>
  <c r="R1503" i="19" s="1"/>
  <c r="C1504" i="19"/>
  <c r="R1504" i="19" s="1"/>
  <c r="C1505" i="19"/>
  <c r="R1505" i="19" s="1"/>
  <c r="C1506" i="19"/>
  <c r="R1506" i="19" s="1"/>
  <c r="C1507" i="19"/>
  <c r="R1507" i="19" s="1"/>
  <c r="C1508" i="19"/>
  <c r="R1508" i="19" s="1"/>
  <c r="C1509" i="19"/>
  <c r="R1509" i="19" s="1"/>
  <c r="C1510" i="19"/>
  <c r="R1510" i="19" s="1"/>
  <c r="C1511" i="19"/>
  <c r="R1511" i="19" s="1"/>
  <c r="C1512" i="19"/>
  <c r="R1512" i="19" s="1"/>
  <c r="C1513" i="19"/>
  <c r="R1513" i="19" s="1"/>
  <c r="C1514" i="19"/>
  <c r="R1514" i="19" s="1"/>
  <c r="C1515" i="19"/>
  <c r="R1515" i="19" s="1"/>
  <c r="C1516" i="19"/>
  <c r="R1516" i="19" s="1"/>
  <c r="C1517" i="19"/>
  <c r="R1517" i="19" s="1"/>
  <c r="C1518" i="19"/>
  <c r="R1518" i="19" s="1"/>
  <c r="C1519" i="19"/>
  <c r="R1519" i="19" s="1"/>
  <c r="C1520" i="19"/>
  <c r="R1520" i="19" s="1"/>
  <c r="C1521" i="19"/>
  <c r="R1521" i="19" s="1"/>
  <c r="C1522" i="19"/>
  <c r="R1522" i="19" s="1"/>
  <c r="C1523" i="19"/>
  <c r="R1523" i="19" s="1"/>
  <c r="C1524" i="19"/>
  <c r="R1524" i="19" s="1"/>
  <c r="C1525" i="19"/>
  <c r="R1525" i="19" s="1"/>
  <c r="C1526" i="19"/>
  <c r="R1526" i="19" s="1"/>
  <c r="C1527" i="19"/>
  <c r="R1527" i="19" s="1"/>
  <c r="C1528" i="19"/>
  <c r="R1528" i="19" s="1"/>
  <c r="C1529" i="19"/>
  <c r="R1529" i="19" s="1"/>
  <c r="C1530" i="19"/>
  <c r="R1530" i="19" s="1"/>
  <c r="C1531" i="19"/>
  <c r="R1531" i="19" s="1"/>
  <c r="C1532" i="19"/>
  <c r="R1532" i="19" s="1"/>
  <c r="C1533" i="19"/>
  <c r="R1533" i="19" s="1"/>
  <c r="C1534" i="19"/>
  <c r="R1534" i="19" s="1"/>
  <c r="C1535" i="19"/>
  <c r="R1535" i="19" s="1"/>
  <c r="C1536" i="19"/>
  <c r="R1536" i="19" s="1"/>
  <c r="C1537" i="19"/>
  <c r="R1537" i="19" s="1"/>
  <c r="C1538" i="19"/>
  <c r="R1538" i="19" s="1"/>
  <c r="C1539" i="19"/>
  <c r="R1539" i="19" s="1"/>
  <c r="C1540" i="19"/>
  <c r="R1540" i="19" s="1"/>
  <c r="C1541" i="19"/>
  <c r="R1541" i="19" s="1"/>
  <c r="C1542" i="19"/>
  <c r="R1542" i="19" s="1"/>
  <c r="C1543" i="19"/>
  <c r="R1543" i="19" s="1"/>
  <c r="C1544" i="19"/>
  <c r="R1544" i="19" s="1"/>
  <c r="C1545" i="19"/>
  <c r="R1545" i="19" s="1"/>
  <c r="C1546" i="19"/>
  <c r="R1546" i="19" s="1"/>
  <c r="C1547" i="19"/>
  <c r="R1547" i="19" s="1"/>
  <c r="C1548" i="19"/>
  <c r="R1548" i="19" s="1"/>
  <c r="C1549" i="19"/>
  <c r="R1549" i="19" s="1"/>
  <c r="C1550" i="19"/>
  <c r="R1550" i="19" s="1"/>
  <c r="C1551" i="19"/>
  <c r="R1551" i="19" s="1"/>
  <c r="C1552" i="19"/>
  <c r="R1552" i="19" s="1"/>
  <c r="C1553" i="19"/>
  <c r="R1553" i="19" s="1"/>
  <c r="C1554" i="19"/>
  <c r="R1554" i="19" s="1"/>
  <c r="C1555" i="19"/>
  <c r="R1555" i="19" s="1"/>
  <c r="C1556" i="19"/>
  <c r="R1556" i="19" s="1"/>
  <c r="C1557" i="19"/>
  <c r="R1557" i="19" s="1"/>
  <c r="C1558" i="19"/>
  <c r="R1558" i="19" s="1"/>
  <c r="C1559" i="19"/>
  <c r="R1559" i="19" s="1"/>
  <c r="C1560" i="19"/>
  <c r="R1560" i="19" s="1"/>
  <c r="C1561" i="19"/>
  <c r="R1561" i="19" s="1"/>
  <c r="C1562" i="19"/>
  <c r="R1562" i="19" s="1"/>
  <c r="C1563" i="19"/>
  <c r="R1563" i="19" s="1"/>
  <c r="C1564" i="19"/>
  <c r="R1564" i="19" s="1"/>
  <c r="C1565" i="19"/>
  <c r="R1565" i="19" s="1"/>
  <c r="C1566" i="19"/>
  <c r="R1566" i="19" s="1"/>
  <c r="C1567" i="19"/>
  <c r="R1567" i="19" s="1"/>
  <c r="C1568" i="19"/>
  <c r="R1568" i="19" s="1"/>
  <c r="C1569" i="19"/>
  <c r="R1569" i="19" s="1"/>
  <c r="C1570" i="19"/>
  <c r="R1570" i="19" s="1"/>
  <c r="C1571" i="19"/>
  <c r="R1571" i="19" s="1"/>
  <c r="C1572" i="19"/>
  <c r="R1572" i="19" s="1"/>
  <c r="C1573" i="19"/>
  <c r="R1573" i="19" s="1"/>
  <c r="C1574" i="19"/>
  <c r="R1574" i="19" s="1"/>
  <c r="C1575" i="19"/>
  <c r="R1575" i="19" s="1"/>
  <c r="C1576" i="19"/>
  <c r="R1576" i="19" s="1"/>
  <c r="C1577" i="19"/>
  <c r="R1577" i="19" s="1"/>
  <c r="C1578" i="19"/>
  <c r="R1578" i="19" s="1"/>
  <c r="C1579" i="19"/>
  <c r="R1579" i="19" s="1"/>
  <c r="C1580" i="19"/>
  <c r="R1580" i="19" s="1"/>
  <c r="C1581" i="19"/>
  <c r="R1581" i="19" s="1"/>
  <c r="C1582" i="19"/>
  <c r="R1582" i="19" s="1"/>
  <c r="C1583" i="19"/>
  <c r="R1583" i="19" s="1"/>
  <c r="C1584" i="19"/>
  <c r="R1584" i="19" s="1"/>
  <c r="C1585" i="19"/>
  <c r="R1585" i="19" s="1"/>
  <c r="C1586" i="19"/>
  <c r="R1586" i="19" s="1"/>
  <c r="C1587" i="19"/>
  <c r="R1587" i="19" s="1"/>
  <c r="C1588" i="19"/>
  <c r="R1588" i="19" s="1"/>
  <c r="C1589" i="19"/>
  <c r="R1589" i="19" s="1"/>
  <c r="C1590" i="19"/>
  <c r="R1590" i="19" s="1"/>
  <c r="C1591" i="19"/>
  <c r="R1591" i="19" s="1"/>
  <c r="C1592" i="19"/>
  <c r="R1592" i="19" s="1"/>
  <c r="C1593" i="19"/>
  <c r="R1593" i="19" s="1"/>
  <c r="C1594" i="19"/>
  <c r="R1594" i="19" s="1"/>
  <c r="C1595" i="19"/>
  <c r="R1595" i="19" s="1"/>
  <c r="C1596" i="19"/>
  <c r="R1596" i="19" s="1"/>
  <c r="C1597" i="19"/>
  <c r="R1597" i="19" s="1"/>
  <c r="C1598" i="19"/>
  <c r="R1598" i="19" s="1"/>
  <c r="C1599" i="19"/>
  <c r="R1599" i="19" s="1"/>
  <c r="C1600" i="19"/>
  <c r="R1600" i="19" s="1"/>
  <c r="C1601" i="19"/>
  <c r="R1601" i="19" s="1"/>
  <c r="C1602" i="19"/>
  <c r="R1602" i="19" s="1"/>
  <c r="C1603" i="19"/>
  <c r="R1603" i="19" s="1"/>
  <c r="C1604" i="19"/>
  <c r="R1604" i="19" s="1"/>
  <c r="C1605" i="19"/>
  <c r="R1605" i="19" s="1"/>
  <c r="C1606" i="19"/>
  <c r="R1606" i="19" s="1"/>
  <c r="C1607" i="19"/>
  <c r="R1607" i="19" s="1"/>
  <c r="C1608" i="19"/>
  <c r="R1608" i="19" s="1"/>
  <c r="C1609" i="19"/>
  <c r="R1609" i="19" s="1"/>
  <c r="C1610" i="19"/>
  <c r="R1610" i="19" s="1"/>
  <c r="C1611" i="19"/>
  <c r="R1611" i="19" s="1"/>
  <c r="C1612" i="19"/>
  <c r="R1612" i="19" s="1"/>
  <c r="C1613" i="19"/>
  <c r="R1613" i="19" s="1"/>
  <c r="C1614" i="19"/>
  <c r="R1614" i="19" s="1"/>
  <c r="C1615" i="19"/>
  <c r="R1615" i="19" s="1"/>
  <c r="C1616" i="19"/>
  <c r="R1616" i="19" s="1"/>
  <c r="C1617" i="19"/>
  <c r="R1617" i="19" s="1"/>
  <c r="C1618" i="19"/>
  <c r="R1618" i="19" s="1"/>
  <c r="C1619" i="19"/>
  <c r="R1619" i="19" s="1"/>
  <c r="C1620" i="19"/>
  <c r="R1620" i="19" s="1"/>
  <c r="C1621" i="19"/>
  <c r="R1621" i="19" s="1"/>
  <c r="C1622" i="19"/>
  <c r="R1622" i="19" s="1"/>
  <c r="C1623" i="19"/>
  <c r="R1623" i="19" s="1"/>
  <c r="C1624" i="19"/>
  <c r="R1624" i="19" s="1"/>
  <c r="C1625" i="19"/>
  <c r="R1625" i="19" s="1"/>
  <c r="C1626" i="19"/>
  <c r="R1626" i="19" s="1"/>
  <c r="C1627" i="19"/>
  <c r="R1627" i="19" s="1"/>
  <c r="C1628" i="19"/>
  <c r="R1628" i="19" s="1"/>
  <c r="C1629" i="19"/>
  <c r="R1629" i="19" s="1"/>
  <c r="C1630" i="19"/>
  <c r="R1630" i="19" s="1"/>
  <c r="C1631" i="19"/>
  <c r="R1631" i="19" s="1"/>
  <c r="C1632" i="19"/>
  <c r="R1632" i="19" s="1"/>
  <c r="C1633" i="19"/>
  <c r="R1633" i="19" s="1"/>
  <c r="C1634" i="19"/>
  <c r="R1634" i="19" s="1"/>
  <c r="C1635" i="19"/>
  <c r="R1635" i="19" s="1"/>
  <c r="C1636" i="19"/>
  <c r="R1636" i="19" s="1"/>
  <c r="C1637" i="19"/>
  <c r="R1637" i="19" s="1"/>
  <c r="C1638" i="19"/>
  <c r="R1638" i="19" s="1"/>
  <c r="C1639" i="19"/>
  <c r="R1639" i="19" s="1"/>
  <c r="C1640" i="19"/>
  <c r="R1640" i="19" s="1"/>
  <c r="C1641" i="19"/>
  <c r="R1641" i="19" s="1"/>
  <c r="C1642" i="19"/>
  <c r="R1642" i="19" s="1"/>
  <c r="C1643" i="19"/>
  <c r="R1643" i="19" s="1"/>
  <c r="C1644" i="19"/>
  <c r="R1644" i="19" s="1"/>
  <c r="C1645" i="19"/>
  <c r="R1645" i="19" s="1"/>
  <c r="C1646" i="19"/>
  <c r="R1646" i="19" s="1"/>
  <c r="C1647" i="19"/>
  <c r="R1647" i="19" s="1"/>
  <c r="C1648" i="19"/>
  <c r="R1648" i="19" s="1"/>
  <c r="C1649" i="19"/>
  <c r="R1649" i="19" s="1"/>
  <c r="C1650" i="19"/>
  <c r="R1650" i="19" s="1"/>
  <c r="C1651" i="19"/>
  <c r="R1651" i="19" s="1"/>
  <c r="C1652" i="19"/>
  <c r="R1652" i="19" s="1"/>
  <c r="C1653" i="19"/>
  <c r="R1653" i="19" s="1"/>
  <c r="C1654" i="19"/>
  <c r="R1654" i="19" s="1"/>
  <c r="C1655" i="19"/>
  <c r="R1655" i="19" s="1"/>
  <c r="C1656" i="19"/>
  <c r="R1656" i="19" s="1"/>
  <c r="C1657" i="19"/>
  <c r="R1657" i="19" s="1"/>
  <c r="C1658" i="19"/>
  <c r="R1658" i="19" s="1"/>
  <c r="C1659" i="19"/>
  <c r="R1659" i="19" s="1"/>
  <c r="C1660" i="19"/>
  <c r="R1660" i="19" s="1"/>
  <c r="C1661" i="19"/>
  <c r="R1661" i="19" s="1"/>
  <c r="C1662" i="19"/>
  <c r="R1662" i="19" s="1"/>
  <c r="C1663" i="19"/>
  <c r="R1663" i="19" s="1"/>
  <c r="C1664" i="19"/>
  <c r="R1664" i="19" s="1"/>
  <c r="C1665" i="19"/>
  <c r="R1665" i="19" s="1"/>
  <c r="C1666" i="19"/>
  <c r="R1666" i="19" s="1"/>
  <c r="C1667" i="19"/>
  <c r="R1667" i="19" s="1"/>
  <c r="C1668" i="19"/>
  <c r="R1668" i="19" s="1"/>
  <c r="C1669" i="19"/>
  <c r="R1669" i="19" s="1"/>
  <c r="C1670" i="19"/>
  <c r="R1670" i="19" s="1"/>
  <c r="C1671" i="19"/>
  <c r="R1671" i="19" s="1"/>
  <c r="C1672" i="19"/>
  <c r="R1672" i="19" s="1"/>
  <c r="C1673" i="19"/>
  <c r="R1673" i="19" s="1"/>
  <c r="C1674" i="19"/>
  <c r="R1674" i="19" s="1"/>
  <c r="C1675" i="19"/>
  <c r="R1675" i="19" s="1"/>
  <c r="C1676" i="19"/>
  <c r="R1676" i="19" s="1"/>
  <c r="C1677" i="19"/>
  <c r="R1677" i="19" s="1"/>
  <c r="C1678" i="19"/>
  <c r="R1678" i="19" s="1"/>
  <c r="C1679" i="19"/>
  <c r="R1679" i="19" s="1"/>
  <c r="C1680" i="19"/>
  <c r="R1680" i="19" s="1"/>
  <c r="C1681" i="19"/>
  <c r="R1681" i="19" s="1"/>
  <c r="C1682" i="19"/>
  <c r="R1682" i="19" s="1"/>
  <c r="C1683" i="19"/>
  <c r="R1683" i="19" s="1"/>
  <c r="C1684" i="19"/>
  <c r="R1684" i="19" s="1"/>
  <c r="C1685" i="19"/>
  <c r="R1685" i="19" s="1"/>
  <c r="C1686" i="19"/>
  <c r="R1686" i="19" s="1"/>
  <c r="C1687" i="19"/>
  <c r="R1687" i="19" s="1"/>
  <c r="C1688" i="19"/>
  <c r="R1688" i="19" s="1"/>
  <c r="C1689" i="19"/>
  <c r="R1689" i="19" s="1"/>
  <c r="C1690" i="19"/>
  <c r="R1690" i="19" s="1"/>
  <c r="C1691" i="19"/>
  <c r="R1691" i="19" s="1"/>
  <c r="C1692" i="19"/>
  <c r="R1692" i="19" s="1"/>
  <c r="C1693" i="19"/>
  <c r="R1693" i="19" s="1"/>
  <c r="C1694" i="19"/>
  <c r="R1694" i="19" s="1"/>
  <c r="C1695" i="19"/>
  <c r="R1695" i="19" s="1"/>
  <c r="C1696" i="19"/>
  <c r="R1696" i="19" s="1"/>
  <c r="C1697" i="19"/>
  <c r="R1697" i="19" s="1"/>
  <c r="C1698" i="19"/>
  <c r="R1698" i="19" s="1"/>
  <c r="C1699" i="19"/>
  <c r="R1699" i="19" s="1"/>
  <c r="C1700" i="19"/>
  <c r="R1700" i="19" s="1"/>
  <c r="C1701" i="19"/>
  <c r="R1701" i="19" s="1"/>
  <c r="C1702" i="19"/>
  <c r="R1702" i="19" s="1"/>
  <c r="C1703" i="19"/>
  <c r="R1703" i="19" s="1"/>
  <c r="C1704" i="19"/>
  <c r="R1704" i="19" s="1"/>
  <c r="C1705" i="19"/>
  <c r="R1705" i="19" s="1"/>
  <c r="C1706" i="19"/>
  <c r="R1706" i="19" s="1"/>
  <c r="C1707" i="19"/>
  <c r="R1707" i="19" s="1"/>
  <c r="C1708" i="19"/>
  <c r="R1708" i="19" s="1"/>
  <c r="C1709" i="19"/>
  <c r="R1709" i="19" s="1"/>
  <c r="C1710" i="19"/>
  <c r="R1710" i="19" s="1"/>
  <c r="C1711" i="19"/>
  <c r="R1711" i="19" s="1"/>
  <c r="C1712" i="19"/>
  <c r="R1712" i="19" s="1"/>
  <c r="C1713" i="19"/>
  <c r="R1713" i="19" s="1"/>
  <c r="C1714" i="19"/>
  <c r="R1714" i="19" s="1"/>
  <c r="C1715" i="19"/>
  <c r="R1715" i="19" s="1"/>
  <c r="C1716" i="19"/>
  <c r="R1716" i="19" s="1"/>
  <c r="C1717" i="19"/>
  <c r="R1717" i="19" s="1"/>
  <c r="C1718" i="19"/>
  <c r="R1718" i="19" s="1"/>
  <c r="C1719" i="19"/>
  <c r="R1719" i="19" s="1"/>
  <c r="C1720" i="19"/>
  <c r="R1720" i="19" s="1"/>
  <c r="C1721" i="19"/>
  <c r="R1721" i="19" s="1"/>
  <c r="C1722" i="19"/>
  <c r="R1722" i="19" s="1"/>
  <c r="C1723" i="19"/>
  <c r="R1723" i="19" s="1"/>
  <c r="C1724" i="19"/>
  <c r="R1724" i="19" s="1"/>
  <c r="C1725" i="19"/>
  <c r="R1725" i="19" s="1"/>
  <c r="C1726" i="19"/>
  <c r="R1726" i="19" s="1"/>
  <c r="C1727" i="19"/>
  <c r="R1727" i="19" s="1"/>
  <c r="C1728" i="19"/>
  <c r="R1728" i="19" s="1"/>
  <c r="C1729" i="19"/>
  <c r="R1729" i="19" s="1"/>
  <c r="C1730" i="19"/>
  <c r="R1730" i="19" s="1"/>
  <c r="C1731" i="19"/>
  <c r="R1731" i="19" s="1"/>
  <c r="C1732" i="19"/>
  <c r="R1732" i="19" s="1"/>
  <c r="C1733" i="19"/>
  <c r="R1733" i="19" s="1"/>
  <c r="C1734" i="19"/>
  <c r="R1734" i="19" s="1"/>
  <c r="C1735" i="19"/>
  <c r="R1735" i="19" s="1"/>
  <c r="C1736" i="19"/>
  <c r="R1736" i="19" s="1"/>
  <c r="C1737" i="19"/>
  <c r="R1737" i="19" s="1"/>
  <c r="C1738" i="19"/>
  <c r="R1738" i="19" s="1"/>
  <c r="C1739" i="19"/>
  <c r="R1739" i="19" s="1"/>
  <c r="C1740" i="19"/>
  <c r="R1740" i="19" s="1"/>
  <c r="C1741" i="19"/>
  <c r="R1741" i="19" s="1"/>
  <c r="C1742" i="19"/>
  <c r="R1742" i="19" s="1"/>
  <c r="C1743" i="19"/>
  <c r="R1743" i="19" s="1"/>
  <c r="C1744" i="19"/>
  <c r="R1744" i="19" s="1"/>
  <c r="C1745" i="19"/>
  <c r="R1745" i="19" s="1"/>
  <c r="C1746" i="19"/>
  <c r="R1746" i="19" s="1"/>
  <c r="C1747" i="19"/>
  <c r="R1747" i="19" s="1"/>
  <c r="C1748" i="19"/>
  <c r="R1748" i="19" s="1"/>
  <c r="C1749" i="19"/>
  <c r="R1749" i="19" s="1"/>
  <c r="C1750" i="19"/>
  <c r="R1750" i="19" s="1"/>
  <c r="C1751" i="19"/>
  <c r="R1751" i="19" s="1"/>
  <c r="C1752" i="19"/>
  <c r="R1752" i="19" s="1"/>
  <c r="C1753" i="19"/>
  <c r="R1753" i="19" s="1"/>
  <c r="C1754" i="19"/>
  <c r="R1754" i="19" s="1"/>
  <c r="C1755" i="19"/>
  <c r="R1755" i="19" s="1"/>
  <c r="C1756" i="19"/>
  <c r="R1756" i="19" s="1"/>
  <c r="C1757" i="19"/>
  <c r="R1757" i="19" s="1"/>
  <c r="C1758" i="19"/>
  <c r="R1758" i="19" s="1"/>
  <c r="C1759" i="19"/>
  <c r="R1759" i="19" s="1"/>
  <c r="C1760" i="19"/>
  <c r="R1760" i="19" s="1"/>
  <c r="C1761" i="19"/>
  <c r="R1761" i="19" s="1"/>
  <c r="C1762" i="19"/>
  <c r="R1762" i="19" s="1"/>
  <c r="C1763" i="19"/>
  <c r="R1763" i="19" s="1"/>
  <c r="C1764" i="19"/>
  <c r="R1764" i="19" s="1"/>
  <c r="C1765" i="19"/>
  <c r="R1765" i="19" s="1"/>
  <c r="C1766" i="19"/>
  <c r="R1766" i="19" s="1"/>
  <c r="C1767" i="19"/>
  <c r="R1767" i="19" s="1"/>
  <c r="C1768" i="19"/>
  <c r="R1768" i="19" s="1"/>
  <c r="C1769" i="19"/>
  <c r="R1769" i="19" s="1"/>
  <c r="C1770" i="19"/>
  <c r="R1770" i="19" s="1"/>
  <c r="C1771" i="19"/>
  <c r="R1771" i="19" s="1"/>
  <c r="C1772" i="19"/>
  <c r="R1772" i="19" s="1"/>
  <c r="C1773" i="19"/>
  <c r="R1773" i="19" s="1"/>
  <c r="C1774" i="19"/>
  <c r="R1774" i="19" s="1"/>
  <c r="C1775" i="19"/>
  <c r="R1775" i="19" s="1"/>
  <c r="C1776" i="19"/>
  <c r="R1776" i="19" s="1"/>
  <c r="C1777" i="19"/>
  <c r="R1777" i="19" s="1"/>
  <c r="C1778" i="19"/>
  <c r="R1778" i="19" s="1"/>
  <c r="C1779" i="19"/>
  <c r="R1779" i="19" s="1"/>
  <c r="C1780" i="19"/>
  <c r="R1780" i="19" s="1"/>
  <c r="C1781" i="19"/>
  <c r="R1781" i="19" s="1"/>
  <c r="C1782" i="19"/>
  <c r="R1782" i="19" s="1"/>
  <c r="C1783" i="19"/>
  <c r="R1783" i="19" s="1"/>
  <c r="C1784" i="19"/>
  <c r="R1784" i="19" s="1"/>
  <c r="C1785" i="19"/>
  <c r="R1785" i="19" s="1"/>
  <c r="C1786" i="19"/>
  <c r="R1786" i="19" s="1"/>
  <c r="C1787" i="19"/>
  <c r="R1787" i="19" s="1"/>
  <c r="C1788" i="19"/>
  <c r="R1788" i="19" s="1"/>
  <c r="C1789" i="19"/>
  <c r="R1789" i="19" s="1"/>
  <c r="C1790" i="19"/>
  <c r="R1790" i="19" s="1"/>
  <c r="C1791" i="19"/>
  <c r="R1791" i="19" s="1"/>
  <c r="C1792" i="19"/>
  <c r="R1792" i="19" s="1"/>
  <c r="C1793" i="19"/>
  <c r="R1793" i="19" s="1"/>
  <c r="C1794" i="19"/>
  <c r="R1794" i="19" s="1"/>
  <c r="C1795" i="19"/>
  <c r="R1795" i="19" s="1"/>
  <c r="C1796" i="19"/>
  <c r="R1796" i="19" s="1"/>
  <c r="C1797" i="19"/>
  <c r="R1797" i="19" s="1"/>
  <c r="C1798" i="19"/>
  <c r="R1798" i="19" s="1"/>
  <c r="C1799" i="19"/>
  <c r="R1799" i="19" s="1"/>
  <c r="C1800" i="19"/>
  <c r="R1800" i="19" s="1"/>
  <c r="C1801" i="19"/>
  <c r="R1801" i="19" s="1"/>
  <c r="C1802" i="19"/>
  <c r="R1802" i="19" s="1"/>
  <c r="C1803" i="19"/>
  <c r="R1803" i="19" s="1"/>
  <c r="C1804" i="19"/>
  <c r="R1804" i="19" s="1"/>
  <c r="C1805" i="19"/>
  <c r="R1805" i="19" s="1"/>
  <c r="C1806" i="19"/>
  <c r="R1806" i="19" s="1"/>
  <c r="C1807" i="19"/>
  <c r="R1807" i="19" s="1"/>
  <c r="C1808" i="19"/>
  <c r="R1808" i="19" s="1"/>
  <c r="C1809" i="19"/>
  <c r="R1809" i="19" s="1"/>
  <c r="C1810" i="19"/>
  <c r="R1810" i="19" s="1"/>
  <c r="C1811" i="19"/>
  <c r="R1811" i="19" s="1"/>
  <c r="C1812" i="19"/>
  <c r="R1812" i="19" s="1"/>
  <c r="C1813" i="19"/>
  <c r="R1813" i="19" s="1"/>
  <c r="C1814" i="19"/>
  <c r="R1814" i="19" s="1"/>
  <c r="C1815" i="19"/>
  <c r="R1815" i="19" s="1"/>
  <c r="C1816" i="19"/>
  <c r="R1816" i="19" s="1"/>
  <c r="C1817" i="19"/>
  <c r="R1817" i="19" s="1"/>
  <c r="C1818" i="19"/>
  <c r="R1818" i="19" s="1"/>
  <c r="C1819" i="19"/>
  <c r="R1819" i="19" s="1"/>
  <c r="C1820" i="19"/>
  <c r="R1820" i="19" s="1"/>
  <c r="C1821" i="19"/>
  <c r="R1821" i="19" s="1"/>
  <c r="C1822" i="19"/>
  <c r="R1822" i="19" s="1"/>
  <c r="C1823" i="19"/>
  <c r="R1823" i="19" s="1"/>
  <c r="C1824" i="19"/>
  <c r="R1824" i="19" s="1"/>
  <c r="C1825" i="19"/>
  <c r="R1825" i="19" s="1"/>
  <c r="C1826" i="19"/>
  <c r="R1826" i="19" s="1"/>
  <c r="C1827" i="19"/>
  <c r="R1827" i="19" s="1"/>
  <c r="C1828" i="19"/>
  <c r="R1828" i="19" s="1"/>
  <c r="C1829" i="19"/>
  <c r="R1829" i="19" s="1"/>
  <c r="C1830" i="19"/>
  <c r="R1830" i="19" s="1"/>
  <c r="C1831" i="19"/>
  <c r="R1831" i="19" s="1"/>
  <c r="C2" i="19"/>
  <c r="R2" i="19" s="1"/>
  <c r="N1" i="1"/>
  <c r="W1" i="1" s="1"/>
  <c r="Y1" i="1"/>
  <c r="X1" i="1"/>
  <c r="K1" i="1"/>
  <c r="L1" i="1"/>
  <c r="M1" i="1"/>
  <c r="O1" i="1"/>
  <c r="P1" i="1"/>
  <c r="Q1" i="1"/>
  <c r="R1" i="1"/>
  <c r="S1" i="1"/>
  <c r="T1" i="1"/>
  <c r="U1" i="1"/>
  <c r="V1" i="1"/>
  <c r="J1" i="1"/>
  <c r="G2" i="24" l="1"/>
  <c r="F5" i="24"/>
  <c r="G4" i="24"/>
  <c r="F6" i="24"/>
  <c r="F7" i="24"/>
  <c r="P1812" i="19"/>
  <c r="Q1812" i="19"/>
  <c r="P28" i="19"/>
  <c r="P29" i="19"/>
  <c r="P30" i="19"/>
  <c r="P31" i="19"/>
  <c r="P32" i="19"/>
  <c r="P33" i="19"/>
  <c r="P34" i="19"/>
  <c r="P35" i="19"/>
  <c r="P36" i="19"/>
  <c r="P37" i="19"/>
  <c r="I1289" i="19"/>
  <c r="Q1289" i="19" s="1"/>
  <c r="I1300" i="19"/>
  <c r="Q1300" i="19" s="1"/>
  <c r="I1321" i="19"/>
  <c r="Q1321" i="19" s="1"/>
  <c r="I1322" i="19"/>
  <c r="Q1322" i="19" s="1"/>
  <c r="I1332" i="19"/>
  <c r="Q1332" i="19" s="1"/>
  <c r="I1353" i="19"/>
  <c r="Q1353" i="19" s="1"/>
  <c r="I1354" i="19"/>
  <c r="Q1354" i="19" s="1"/>
  <c r="I1364" i="19"/>
  <c r="Q1364" i="19" s="1"/>
  <c r="I1380" i="19"/>
  <c r="I1385" i="19"/>
  <c r="Q1385" i="19" s="1"/>
  <c r="I1396" i="19"/>
  <c r="Q1396" i="19" s="1"/>
  <c r="M1402" i="19"/>
  <c r="P1402" i="19"/>
  <c r="M1406" i="19"/>
  <c r="P1406" i="19"/>
  <c r="M1410" i="19"/>
  <c r="P1410" i="19"/>
  <c r="I1417" i="19"/>
  <c r="Q1417" i="19" s="1"/>
  <c r="P1417" i="19"/>
  <c r="M1418" i="19"/>
  <c r="P1418" i="19"/>
  <c r="M1422" i="19"/>
  <c r="P1422" i="19"/>
  <c r="M1426" i="19"/>
  <c r="P1426" i="19"/>
  <c r="I1428" i="19"/>
  <c r="Q1428" i="19" s="1"/>
  <c r="P1428" i="19"/>
  <c r="M1434" i="19"/>
  <c r="P1434" i="19"/>
  <c r="M1438" i="19"/>
  <c r="P1438" i="19"/>
  <c r="M1442" i="19"/>
  <c r="P1442" i="19"/>
  <c r="I1449" i="19"/>
  <c r="Q1449" i="19" s="1"/>
  <c r="P1449" i="19"/>
  <c r="M1450" i="19"/>
  <c r="P1450" i="19"/>
  <c r="M1454" i="19"/>
  <c r="P1454" i="19"/>
  <c r="M1458" i="19"/>
  <c r="P1458" i="19"/>
  <c r="I1460" i="19"/>
  <c r="Q1460" i="19" s="1"/>
  <c r="P1460" i="19"/>
  <c r="M1466" i="19"/>
  <c r="P1466" i="19"/>
  <c r="M1470" i="19"/>
  <c r="P1470" i="19"/>
  <c r="M1474" i="19"/>
  <c r="P1474" i="19"/>
  <c r="I1481" i="19"/>
  <c r="Q1481" i="19" s="1"/>
  <c r="P1481" i="19"/>
  <c r="M1482" i="19"/>
  <c r="P1482" i="19"/>
  <c r="M1486" i="19"/>
  <c r="P1486" i="19"/>
  <c r="M1490" i="19"/>
  <c r="P1490" i="19"/>
  <c r="I1492" i="19"/>
  <c r="Q1492" i="19" s="1"/>
  <c r="P1492" i="19"/>
  <c r="M1498" i="19"/>
  <c r="P1498" i="19"/>
  <c r="M1502" i="19"/>
  <c r="P1502" i="19"/>
  <c r="M1506" i="19"/>
  <c r="P1506" i="19"/>
  <c r="I1513" i="19"/>
  <c r="Q1513" i="19" s="1"/>
  <c r="P1513" i="19"/>
  <c r="M1514" i="19"/>
  <c r="P1514" i="19"/>
  <c r="M1518" i="19"/>
  <c r="P1518" i="19"/>
  <c r="M1522" i="19"/>
  <c r="P1522" i="19"/>
  <c r="I1524" i="19"/>
  <c r="Q1524" i="19" s="1"/>
  <c r="P1524" i="19"/>
  <c r="M1525" i="19"/>
  <c r="P1525" i="19"/>
  <c r="M1530" i="19"/>
  <c r="P1530" i="19"/>
  <c r="M1534" i="19"/>
  <c r="P1534" i="19"/>
  <c r="M1538" i="19"/>
  <c r="P1538" i="19"/>
  <c r="I1545" i="19"/>
  <c r="Q1545" i="19" s="1"/>
  <c r="P1545" i="19"/>
  <c r="M1546" i="19"/>
  <c r="P1546" i="19"/>
  <c r="M1550" i="19"/>
  <c r="P1550" i="19"/>
  <c r="M1554" i="19"/>
  <c r="P1554" i="19"/>
  <c r="I1556" i="19"/>
  <c r="Q1556" i="19" s="1"/>
  <c r="P1556" i="19"/>
  <c r="M1562" i="19"/>
  <c r="P1562" i="19"/>
  <c r="M1566" i="19"/>
  <c r="P1566" i="19"/>
  <c r="M1570" i="19"/>
  <c r="P1570" i="19"/>
  <c r="I1577" i="19"/>
  <c r="Q1577" i="19" s="1"/>
  <c r="P1577" i="19"/>
  <c r="M1578" i="19"/>
  <c r="P1578" i="19"/>
  <c r="I1582" i="19"/>
  <c r="Q1582" i="19" s="1"/>
  <c r="P1582" i="19"/>
  <c r="M1586" i="19"/>
  <c r="P1586" i="19"/>
  <c r="I1588" i="19"/>
  <c r="Q1588" i="19" s="1"/>
  <c r="P1588" i="19"/>
  <c r="M1594" i="19"/>
  <c r="P1594" i="19"/>
  <c r="M1598" i="19"/>
  <c r="P1598" i="19"/>
  <c r="M1602" i="19"/>
  <c r="P1602" i="19"/>
  <c r="I1609" i="19"/>
  <c r="Q1609" i="19" s="1"/>
  <c r="P1609" i="19"/>
  <c r="M1610" i="19"/>
  <c r="P1610" i="19"/>
  <c r="M1614" i="19"/>
  <c r="P1614" i="19"/>
  <c r="M1618" i="19"/>
  <c r="P1618" i="19"/>
  <c r="I1620" i="19"/>
  <c r="Q1620" i="19" s="1"/>
  <c r="P1620" i="19"/>
  <c r="M1626" i="19"/>
  <c r="P1626" i="19"/>
  <c r="M1630" i="19"/>
  <c r="P1630" i="19"/>
  <c r="M1634" i="19"/>
  <c r="P1634" i="19"/>
  <c r="I1641" i="19"/>
  <c r="Q1641" i="19" s="1"/>
  <c r="P1641" i="19"/>
  <c r="M1642" i="19"/>
  <c r="P1642" i="19"/>
  <c r="M1646" i="19"/>
  <c r="P1646" i="19"/>
  <c r="M1650" i="19"/>
  <c r="P1650" i="19"/>
  <c r="I1652" i="19"/>
  <c r="Q1652" i="19" s="1"/>
  <c r="P1652" i="19"/>
  <c r="M1658" i="19"/>
  <c r="P1658" i="19"/>
  <c r="M1662" i="19"/>
  <c r="P1662" i="19"/>
  <c r="M1666" i="19"/>
  <c r="P1666" i="19"/>
  <c r="I1673" i="19"/>
  <c r="Q1673" i="19" s="1"/>
  <c r="P1673" i="19"/>
  <c r="M1674" i="19"/>
  <c r="P1674" i="19"/>
  <c r="M1678" i="19"/>
  <c r="P1678" i="19"/>
  <c r="M1682" i="19"/>
  <c r="P1682" i="19"/>
  <c r="I1684" i="19"/>
  <c r="Q1684" i="19" s="1"/>
  <c r="P1684" i="19"/>
  <c r="M1690" i="19"/>
  <c r="P1690" i="19"/>
  <c r="M1692" i="19"/>
  <c r="P1692" i="19"/>
  <c r="M1694" i="19"/>
  <c r="P1694" i="19"/>
  <c r="M1698" i="19"/>
  <c r="P1698" i="19"/>
  <c r="I1705" i="19"/>
  <c r="Q1705" i="19" s="1"/>
  <c r="P1705" i="19"/>
  <c r="M1706" i="19"/>
  <c r="P1706" i="19"/>
  <c r="M1710" i="19"/>
  <c r="P1710" i="19"/>
  <c r="M1714" i="19"/>
  <c r="P1714" i="19"/>
  <c r="I1716" i="19"/>
  <c r="Q1716" i="19" s="1"/>
  <c r="P1716" i="19"/>
  <c r="M1722" i="19"/>
  <c r="P1722" i="19"/>
  <c r="M1726" i="19"/>
  <c r="P1726" i="19"/>
  <c r="M1730" i="19"/>
  <c r="P1730" i="19"/>
  <c r="I1737" i="19"/>
  <c r="Q1737" i="19" s="1"/>
  <c r="P1737" i="19"/>
  <c r="M1738" i="19"/>
  <c r="P1738" i="19"/>
  <c r="M1742" i="19"/>
  <c r="P1742" i="19"/>
  <c r="M1746" i="19"/>
  <c r="P1746" i="19"/>
  <c r="I1748" i="19"/>
  <c r="Q1748" i="19" s="1"/>
  <c r="P1748" i="19"/>
  <c r="M1754" i="19"/>
  <c r="P1754" i="19"/>
  <c r="M1758" i="19"/>
  <c r="P1758" i="19"/>
  <c r="M1762" i="19"/>
  <c r="P1762" i="19"/>
  <c r="I1769" i="19"/>
  <c r="Q1769" i="19" s="1"/>
  <c r="P1769" i="19"/>
  <c r="M1770" i="19"/>
  <c r="P1770" i="19"/>
  <c r="M1774" i="19"/>
  <c r="P1774" i="19"/>
  <c r="M1778" i="19"/>
  <c r="P1778" i="19"/>
  <c r="I1780" i="19"/>
  <c r="Q1780" i="19" s="1"/>
  <c r="P1780" i="19"/>
  <c r="I1786" i="19"/>
  <c r="Q1786" i="19" s="1"/>
  <c r="P1786" i="19"/>
  <c r="I1790" i="19"/>
  <c r="Q1790" i="19" s="1"/>
  <c r="P1790" i="19"/>
  <c r="I1801" i="19"/>
  <c r="Q1801" i="19" s="1"/>
  <c r="P1801" i="19"/>
  <c r="I1802" i="19"/>
  <c r="Q1802" i="19" s="1"/>
  <c r="P1802" i="19"/>
  <c r="I1806" i="19"/>
  <c r="Q1806" i="19" s="1"/>
  <c r="P1806" i="19"/>
  <c r="I1818" i="19"/>
  <c r="Q1818" i="19" s="1"/>
  <c r="P1818" i="19"/>
  <c r="I1822" i="19"/>
  <c r="Q1822" i="19" s="1"/>
  <c r="P182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986" i="19"/>
  <c r="P987" i="19"/>
  <c r="P988" i="19"/>
  <c r="P989" i="19"/>
  <c r="P990" i="19"/>
  <c r="P991" i="19"/>
  <c r="P992" i="19"/>
  <c r="P993" i="19"/>
  <c r="P994" i="19"/>
  <c r="P995" i="19"/>
  <c r="P996" i="19"/>
  <c r="P997" i="19"/>
  <c r="P998" i="19"/>
  <c r="P999" i="19"/>
  <c r="P1000" i="19"/>
  <c r="P1001" i="19"/>
  <c r="P1002" i="19"/>
  <c r="P1003" i="19"/>
  <c r="P1004" i="19"/>
  <c r="P1005" i="19"/>
  <c r="P1006" i="19"/>
  <c r="P1007" i="19"/>
  <c r="P1008" i="19"/>
  <c r="P1009" i="19"/>
  <c r="P1010" i="19"/>
  <c r="P1011" i="19"/>
  <c r="P1012" i="19"/>
  <c r="P1013" i="19"/>
  <c r="P1014" i="19"/>
  <c r="P1015" i="19"/>
  <c r="P1016" i="19"/>
  <c r="P1017" i="19"/>
  <c r="P1018" i="19"/>
  <c r="P1019" i="19"/>
  <c r="P1020" i="19"/>
  <c r="P1021" i="19"/>
  <c r="P1022" i="19"/>
  <c r="P1023" i="19"/>
  <c r="P1024" i="19"/>
  <c r="P1025" i="19"/>
  <c r="P1026" i="19"/>
  <c r="P1027" i="19"/>
  <c r="P1028" i="19"/>
  <c r="P1029" i="19"/>
  <c r="P1030" i="19"/>
  <c r="P1031" i="19"/>
  <c r="P1032" i="19"/>
  <c r="P1033" i="19"/>
  <c r="P1034" i="19"/>
  <c r="P1035" i="19"/>
  <c r="P1036" i="19"/>
  <c r="P1037" i="19"/>
  <c r="P1038" i="19"/>
  <c r="P1039" i="19"/>
  <c r="P1040" i="19"/>
  <c r="P1041" i="19"/>
  <c r="P1042" i="19"/>
  <c r="P1043" i="19"/>
  <c r="P1044" i="19"/>
  <c r="P1045" i="19"/>
  <c r="P1046" i="19"/>
  <c r="P1047" i="19"/>
  <c r="P1048" i="19"/>
  <c r="P1049" i="19"/>
  <c r="P1050" i="19"/>
  <c r="P1051" i="19"/>
  <c r="P1052" i="19"/>
  <c r="P1053" i="19"/>
  <c r="P1054" i="19"/>
  <c r="P1055" i="19"/>
  <c r="P1056" i="19"/>
  <c r="P1057" i="19"/>
  <c r="P1058" i="19"/>
  <c r="P1059" i="19"/>
  <c r="P1060" i="19"/>
  <c r="P1061" i="19"/>
  <c r="P1062" i="19"/>
  <c r="P1063" i="19"/>
  <c r="P1064" i="19"/>
  <c r="P1065" i="19"/>
  <c r="P1066" i="19"/>
  <c r="P1067" i="19"/>
  <c r="P1068" i="19"/>
  <c r="P1069" i="19"/>
  <c r="P1070" i="19"/>
  <c r="P1071" i="19"/>
  <c r="P1072" i="19"/>
  <c r="P1073" i="19"/>
  <c r="P1074" i="19"/>
  <c r="P1075" i="19"/>
  <c r="P1076" i="19"/>
  <c r="P1077" i="19"/>
  <c r="P1078" i="19"/>
  <c r="P1079" i="19"/>
  <c r="P1080" i="19"/>
  <c r="P1081" i="19"/>
  <c r="P1082" i="19"/>
  <c r="P1083" i="19"/>
  <c r="P1084" i="19"/>
  <c r="P1085" i="19"/>
  <c r="P1086" i="19"/>
  <c r="P1087" i="19"/>
  <c r="P1088" i="19"/>
  <c r="P1089" i="19"/>
  <c r="P1090" i="19"/>
  <c r="P1091" i="19"/>
  <c r="P1092" i="19"/>
  <c r="P1093" i="19"/>
  <c r="P1094" i="19"/>
  <c r="P1095" i="19"/>
  <c r="P1096" i="19"/>
  <c r="P1097" i="19"/>
  <c r="P1098" i="19"/>
  <c r="P1099" i="19"/>
  <c r="P1100" i="19"/>
  <c r="P1101" i="19"/>
  <c r="P1102" i="19"/>
  <c r="P1103" i="19"/>
  <c r="P1104" i="19"/>
  <c r="P1105" i="19"/>
  <c r="P1106" i="19"/>
  <c r="P1107" i="19"/>
  <c r="P1108" i="19"/>
  <c r="P1109" i="19"/>
  <c r="P1110" i="19"/>
  <c r="P1111" i="19"/>
  <c r="P1112" i="19"/>
  <c r="P1113" i="19"/>
  <c r="P1114" i="19"/>
  <c r="P1115" i="19"/>
  <c r="P1116" i="19"/>
  <c r="P1117" i="19"/>
  <c r="P1118" i="19"/>
  <c r="P1119" i="19"/>
  <c r="P1120" i="19"/>
  <c r="P1121" i="19"/>
  <c r="P1122" i="19"/>
  <c r="P1123" i="19"/>
  <c r="P1124" i="19"/>
  <c r="P1125" i="19"/>
  <c r="P1126" i="19"/>
  <c r="P1127" i="19"/>
  <c r="P1128" i="19"/>
  <c r="P1129" i="19"/>
  <c r="P1130" i="19"/>
  <c r="P1131" i="19"/>
  <c r="P1132" i="19"/>
  <c r="P1133" i="19"/>
  <c r="P1134" i="19"/>
  <c r="P1135" i="19"/>
  <c r="P1136" i="19"/>
  <c r="P1137" i="19"/>
  <c r="P1138" i="19"/>
  <c r="P1139" i="19"/>
  <c r="P1140" i="19"/>
  <c r="P1141" i="19"/>
  <c r="P1142" i="19"/>
  <c r="P1143" i="19"/>
  <c r="P1144" i="19"/>
  <c r="P1145" i="19"/>
  <c r="P1146" i="19"/>
  <c r="P1147" i="19"/>
  <c r="P1148" i="19"/>
  <c r="P1149" i="19"/>
  <c r="P1150" i="19"/>
  <c r="P1151" i="19"/>
  <c r="P1152" i="19"/>
  <c r="P1153" i="19"/>
  <c r="P1154" i="19"/>
  <c r="P1155" i="19"/>
  <c r="P1156" i="19"/>
  <c r="P1157" i="19"/>
  <c r="P1158" i="19"/>
  <c r="P1159" i="19"/>
  <c r="P1160" i="19"/>
  <c r="P1161" i="19"/>
  <c r="P1162" i="19"/>
  <c r="P1163" i="19"/>
  <c r="P1164" i="19"/>
  <c r="P1165" i="19"/>
  <c r="P1166" i="19"/>
  <c r="P1167" i="19"/>
  <c r="P1168" i="19"/>
  <c r="P1169" i="19"/>
  <c r="P1170" i="19"/>
  <c r="P1171" i="19"/>
  <c r="P1172" i="19"/>
  <c r="P1173" i="19"/>
  <c r="P1174" i="19"/>
  <c r="P1175" i="19"/>
  <c r="P1176" i="19"/>
  <c r="P1177" i="19"/>
  <c r="P1178" i="19"/>
  <c r="P1179" i="19"/>
  <c r="P1180" i="19"/>
  <c r="P1181" i="19"/>
  <c r="P1182" i="19"/>
  <c r="P1183" i="19"/>
  <c r="P1184" i="19"/>
  <c r="P1185" i="19"/>
  <c r="P1186" i="19"/>
  <c r="P1187" i="19"/>
  <c r="P1188" i="19"/>
  <c r="P1189" i="19"/>
  <c r="P1190" i="19"/>
  <c r="P1191" i="19"/>
  <c r="P1192" i="19"/>
  <c r="P1193" i="19"/>
  <c r="P1194" i="19"/>
  <c r="P1195" i="19"/>
  <c r="P1196" i="19"/>
  <c r="P1197" i="19"/>
  <c r="P1198" i="19"/>
  <c r="P1199" i="19"/>
  <c r="P1200" i="19"/>
  <c r="P1201" i="19"/>
  <c r="P1202" i="19"/>
  <c r="P1203" i="19"/>
  <c r="P1204" i="19"/>
  <c r="P1205" i="19"/>
  <c r="P1206" i="19"/>
  <c r="P1207" i="19"/>
  <c r="P1208" i="19"/>
  <c r="P1209" i="19"/>
  <c r="P1210" i="19"/>
  <c r="P1211" i="19"/>
  <c r="P1212" i="19"/>
  <c r="P1213" i="19"/>
  <c r="P1214" i="19"/>
  <c r="P1215" i="19"/>
  <c r="P1216" i="19"/>
  <c r="P1217" i="19"/>
  <c r="P1218" i="19"/>
  <c r="P1219" i="19"/>
  <c r="P1220" i="19"/>
  <c r="P1221" i="19"/>
  <c r="P1222" i="19"/>
  <c r="P1223" i="19"/>
  <c r="P1224" i="19"/>
  <c r="P1225" i="19"/>
  <c r="P1226" i="19"/>
  <c r="P1227" i="19"/>
  <c r="P1228" i="19"/>
  <c r="P2" i="19"/>
  <c r="P3" i="19"/>
  <c r="P4" i="19"/>
  <c r="P5" i="19"/>
  <c r="P6" i="19"/>
  <c r="P7" i="19"/>
  <c r="P8" i="19"/>
  <c r="P9" i="19"/>
  <c r="P10" i="19"/>
  <c r="P11" i="19"/>
  <c r="P12" i="19"/>
  <c r="P13" i="19"/>
  <c r="P14" i="19"/>
  <c r="P15" i="19"/>
  <c r="P16" i="19"/>
  <c r="P17" i="19"/>
  <c r="P18" i="19"/>
  <c r="P19" i="19"/>
  <c r="P20" i="19"/>
  <c r="P21" i="19"/>
  <c r="P22" i="19"/>
  <c r="P23" i="19"/>
  <c r="P24" i="19"/>
  <c r="P25" i="19"/>
  <c r="P26" i="19"/>
  <c r="P27"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B18" i="24"/>
  <c r="B12" i="24"/>
  <c r="O3" i="19"/>
  <c r="O4" i="19"/>
  <c r="O5" i="19"/>
  <c r="O6" i="19"/>
  <c r="O7" i="19"/>
  <c r="O8" i="19"/>
  <c r="O9" i="19"/>
  <c r="O10" i="19"/>
  <c r="O11" i="19"/>
  <c r="O12" i="19"/>
  <c r="O13" i="19"/>
  <c r="O14" i="19"/>
  <c r="O15" i="19"/>
  <c r="O16" i="19"/>
  <c r="O17" i="19"/>
  <c r="O18" i="19"/>
  <c r="O19" i="19"/>
  <c r="O20" i="19"/>
  <c r="O21" i="19"/>
  <c r="O22" i="19"/>
  <c r="O23" i="19"/>
  <c r="O24" i="19"/>
  <c r="O25"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80"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143" i="19"/>
  <c r="O144" i="19"/>
  <c r="O145" i="19"/>
  <c r="O146" i="19"/>
  <c r="O147" i="19"/>
  <c r="O148" i="19"/>
  <c r="O149" i="19"/>
  <c r="O150" i="19"/>
  <c r="O151" i="19"/>
  <c r="O152" i="19"/>
  <c r="O153" i="19"/>
  <c r="O154" i="19"/>
  <c r="O155" i="19"/>
  <c r="O156" i="19"/>
  <c r="O157" i="19"/>
  <c r="O158" i="19"/>
  <c r="O159" i="19"/>
  <c r="O160" i="19"/>
  <c r="O161" i="19"/>
  <c r="O162" i="19"/>
  <c r="O163" i="19"/>
  <c r="O164" i="19"/>
  <c r="O165" i="19"/>
  <c r="O166" i="19"/>
  <c r="O167" i="19"/>
  <c r="O168" i="19"/>
  <c r="O169" i="19"/>
  <c r="O170" i="19"/>
  <c r="O171" i="19"/>
  <c r="O172" i="19"/>
  <c r="O173" i="19"/>
  <c r="O174" i="19"/>
  <c r="O175" i="19"/>
  <c r="O176" i="19"/>
  <c r="O177" i="19"/>
  <c r="O178" i="19"/>
  <c r="O179" i="19"/>
  <c r="O180" i="19"/>
  <c r="O181" i="19"/>
  <c r="O182" i="19"/>
  <c r="O183" i="19"/>
  <c r="O184" i="19"/>
  <c r="O185" i="19"/>
  <c r="O186" i="19"/>
  <c r="O187" i="19"/>
  <c r="O188" i="19"/>
  <c r="O189" i="19"/>
  <c r="O190" i="19"/>
  <c r="O191" i="19"/>
  <c r="O192" i="19"/>
  <c r="O193" i="19"/>
  <c r="O194" i="19"/>
  <c r="O195" i="19"/>
  <c r="O196" i="19"/>
  <c r="O197" i="19"/>
  <c r="O198" i="19"/>
  <c r="O199" i="19"/>
  <c r="O200" i="19"/>
  <c r="O201" i="19"/>
  <c r="O203" i="19"/>
  <c r="O204" i="19"/>
  <c r="O205" i="19"/>
  <c r="O206" i="19"/>
  <c r="O207" i="19"/>
  <c r="O208" i="19"/>
  <c r="O209" i="19"/>
  <c r="O210" i="19"/>
  <c r="O211" i="19"/>
  <c r="O212" i="19"/>
  <c r="O213" i="19"/>
  <c r="O214" i="19"/>
  <c r="O215" i="19"/>
  <c r="O216" i="19"/>
  <c r="O217" i="19"/>
  <c r="O218" i="19"/>
  <c r="O219" i="19"/>
  <c r="O220" i="19"/>
  <c r="O221" i="19"/>
  <c r="O222" i="19"/>
  <c r="O223" i="19"/>
  <c r="O224" i="19"/>
  <c r="O225" i="19"/>
  <c r="O226" i="19"/>
  <c r="O227" i="19"/>
  <c r="O228" i="19"/>
  <c r="O229" i="19"/>
  <c r="O230" i="19"/>
  <c r="O231" i="19"/>
  <c r="O232" i="19"/>
  <c r="O233" i="19"/>
  <c r="O234" i="19"/>
  <c r="O235" i="19"/>
  <c r="O236" i="19"/>
  <c r="O237" i="19"/>
  <c r="O238" i="19"/>
  <c r="O239" i="19"/>
  <c r="O240" i="19"/>
  <c r="O241" i="19"/>
  <c r="O242" i="19"/>
  <c r="O243" i="19"/>
  <c r="O244" i="19"/>
  <c r="O245" i="19"/>
  <c r="O246" i="19"/>
  <c r="O247" i="19"/>
  <c r="O248" i="19"/>
  <c r="O249" i="19"/>
  <c r="O250" i="19"/>
  <c r="O251" i="19"/>
  <c r="O252" i="19"/>
  <c r="O253" i="19"/>
  <c r="O254" i="19"/>
  <c r="O255" i="19"/>
  <c r="O256" i="19"/>
  <c r="O257" i="19"/>
  <c r="O259" i="19"/>
  <c r="O260" i="19"/>
  <c r="O261" i="19"/>
  <c r="O262" i="19"/>
  <c r="O263" i="19"/>
  <c r="O264" i="19"/>
  <c r="O265" i="19"/>
  <c r="O266" i="19"/>
  <c r="O267" i="19"/>
  <c r="O268" i="19"/>
  <c r="O269" i="19"/>
  <c r="O270" i="19"/>
  <c r="O271" i="19"/>
  <c r="O272" i="19"/>
  <c r="O273" i="19"/>
  <c r="O274" i="19"/>
  <c r="O275" i="19"/>
  <c r="O276" i="19"/>
  <c r="O277" i="19"/>
  <c r="O278" i="19"/>
  <c r="O279" i="19"/>
  <c r="O280" i="19"/>
  <c r="O281" i="19"/>
  <c r="O282" i="19"/>
  <c r="O283" i="19"/>
  <c r="O284" i="19"/>
  <c r="O285" i="19"/>
  <c r="O286" i="19"/>
  <c r="O287" i="19"/>
  <c r="O288" i="19"/>
  <c r="O289" i="19"/>
  <c r="O290" i="19"/>
  <c r="O291" i="19"/>
  <c r="O292" i="19"/>
  <c r="O293" i="19"/>
  <c r="O294" i="19"/>
  <c r="O295" i="19"/>
  <c r="O296" i="19"/>
  <c r="O297" i="19"/>
  <c r="O298" i="19"/>
  <c r="O299" i="19"/>
  <c r="O300" i="19"/>
  <c r="O301" i="19"/>
  <c r="O302" i="19"/>
  <c r="O303" i="19"/>
  <c r="O304" i="19"/>
  <c r="O305" i="19"/>
  <c r="O306" i="19"/>
  <c r="O307" i="19"/>
  <c r="O308" i="19"/>
  <c r="O309" i="19"/>
  <c r="O310" i="19"/>
  <c r="O311" i="19"/>
  <c r="O312" i="19"/>
  <c r="O313" i="19"/>
  <c r="O315" i="19"/>
  <c r="O316" i="19"/>
  <c r="O1349" i="19"/>
  <c r="O1350" i="19"/>
  <c r="O1351" i="19"/>
  <c r="O1352" i="19"/>
  <c r="O1353" i="19"/>
  <c r="O1354" i="19"/>
  <c r="O1355" i="19"/>
  <c r="O1356" i="19"/>
  <c r="O1357" i="19"/>
  <c r="O1358" i="19"/>
  <c r="O1359" i="19"/>
  <c r="O1360" i="19"/>
  <c r="O1361" i="19"/>
  <c r="O1362" i="19"/>
  <c r="O1363" i="19"/>
  <c r="O1364" i="19"/>
  <c r="O1365" i="19"/>
  <c r="O1366" i="19"/>
  <c r="O1367" i="19"/>
  <c r="O1368" i="19"/>
  <c r="O1369" i="19"/>
  <c r="O1370" i="19"/>
  <c r="O1371" i="19"/>
  <c r="O1372" i="19"/>
  <c r="O1373" i="19"/>
  <c r="O1374" i="19"/>
  <c r="O1375" i="19"/>
  <c r="O1376" i="19"/>
  <c r="O1377" i="19"/>
  <c r="O1378" i="19"/>
  <c r="O1379" i="19"/>
  <c r="O1380" i="19"/>
  <c r="O1381" i="19"/>
  <c r="O1382" i="19"/>
  <c r="O1383" i="19"/>
  <c r="O1384" i="19"/>
  <c r="O1385" i="19"/>
  <c r="O1386" i="19"/>
  <c r="O1387" i="19"/>
  <c r="O1388" i="19"/>
  <c r="O1389" i="19"/>
  <c r="O1390" i="19"/>
  <c r="O1391" i="19"/>
  <c r="O1392" i="19"/>
  <c r="O1393" i="19"/>
  <c r="O1394" i="19"/>
  <c r="O1395" i="19"/>
  <c r="O1396" i="19"/>
  <c r="O1397" i="19"/>
  <c r="O1398" i="19"/>
  <c r="O1399" i="19"/>
  <c r="O1400" i="19"/>
  <c r="O1401" i="19"/>
  <c r="O1402" i="19"/>
  <c r="O1403" i="19"/>
  <c r="O1404" i="19"/>
  <c r="O1405" i="19"/>
  <c r="O1406" i="19"/>
  <c r="O1407" i="19"/>
  <c r="O1408" i="19"/>
  <c r="O1409" i="19"/>
  <c r="O1410" i="19"/>
  <c r="O1411" i="19"/>
  <c r="O1412" i="19"/>
  <c r="O1413" i="19"/>
  <c r="O1414" i="19"/>
  <c r="O1415" i="19"/>
  <c r="O1416" i="19"/>
  <c r="O1417" i="19"/>
  <c r="O1418" i="19"/>
  <c r="O1419" i="19"/>
  <c r="O1420" i="19"/>
  <c r="O1421" i="19"/>
  <c r="O1422" i="19"/>
  <c r="O1423" i="19"/>
  <c r="O1424" i="19"/>
  <c r="O1425" i="19"/>
  <c r="O1426" i="19"/>
  <c r="O1427" i="19"/>
  <c r="O1428" i="19"/>
  <c r="O1429" i="19"/>
  <c r="O1430" i="19"/>
  <c r="O1431" i="19"/>
  <c r="O1432" i="19"/>
  <c r="O1433" i="19"/>
  <c r="O1434" i="19"/>
  <c r="O1435" i="19"/>
  <c r="O1436" i="19"/>
  <c r="O1437" i="19"/>
  <c r="O1438" i="19"/>
  <c r="O1439" i="19"/>
  <c r="O1440" i="19"/>
  <c r="O1441" i="19"/>
  <c r="O1442" i="19"/>
  <c r="O1443" i="19"/>
  <c r="O1444" i="19"/>
  <c r="O1445" i="19"/>
  <c r="O1446" i="19"/>
  <c r="O1447" i="19"/>
  <c r="O1448" i="19"/>
  <c r="O1449" i="19"/>
  <c r="O1450" i="19"/>
  <c r="O1451" i="19"/>
  <c r="O1452" i="19"/>
  <c r="O1453" i="19"/>
  <c r="O1454" i="19"/>
  <c r="O1455" i="19"/>
  <c r="O1456" i="19"/>
  <c r="O1457" i="19"/>
  <c r="O1458" i="19"/>
  <c r="O1459" i="19"/>
  <c r="O1460" i="19"/>
  <c r="O1461" i="19"/>
  <c r="O1462" i="19"/>
  <c r="O1463" i="19"/>
  <c r="O1464" i="19"/>
  <c r="O1465" i="19"/>
  <c r="O1466" i="19"/>
  <c r="O1467" i="19"/>
  <c r="O1468" i="19"/>
  <c r="O1469" i="19"/>
  <c r="O1470" i="19"/>
  <c r="O1471" i="19"/>
  <c r="O1472" i="19"/>
  <c r="O1473" i="19"/>
  <c r="O1474" i="19"/>
  <c r="O1475" i="19"/>
  <c r="O1476" i="19"/>
  <c r="O1477" i="19"/>
  <c r="O1478" i="19"/>
  <c r="O1479" i="19"/>
  <c r="O1480" i="19"/>
  <c r="O1481" i="19"/>
  <c r="O1482" i="19"/>
  <c r="O1483" i="19"/>
  <c r="O1484" i="19"/>
  <c r="O1485" i="19"/>
  <c r="O1486" i="19"/>
  <c r="O1487" i="19"/>
  <c r="O1488" i="19"/>
  <c r="O1489" i="19"/>
  <c r="O1490" i="19"/>
  <c r="O1491" i="19"/>
  <c r="O1492" i="19"/>
  <c r="O1493" i="19"/>
  <c r="O1494" i="19"/>
  <c r="O1495" i="19"/>
  <c r="O1496" i="19"/>
  <c r="O1497" i="19"/>
  <c r="O1498" i="19"/>
  <c r="O1499" i="19"/>
  <c r="O1500" i="19"/>
  <c r="O1501" i="19"/>
  <c r="O1502" i="19"/>
  <c r="O1503" i="19"/>
  <c r="O1504" i="19"/>
  <c r="O1505" i="19"/>
  <c r="O1506" i="19"/>
  <c r="O1507" i="19"/>
  <c r="O1508" i="19"/>
  <c r="O1509" i="19"/>
  <c r="O1510" i="19"/>
  <c r="O1511" i="19"/>
  <c r="O1512" i="19"/>
  <c r="O1513" i="19"/>
  <c r="O1514" i="19"/>
  <c r="O1515" i="19"/>
  <c r="O1516" i="19"/>
  <c r="O1517" i="19"/>
  <c r="O1518" i="19"/>
  <c r="O1519" i="19"/>
  <c r="O1520" i="19"/>
  <c r="O1521" i="19"/>
  <c r="O1522" i="19"/>
  <c r="O1523" i="19"/>
  <c r="O1524" i="19"/>
  <c r="O1525" i="19"/>
  <c r="O1526" i="19"/>
  <c r="O1527" i="19"/>
  <c r="O1528" i="19"/>
  <c r="O1529" i="19"/>
  <c r="O1530" i="19"/>
  <c r="O1531" i="19"/>
  <c r="O1532" i="19"/>
  <c r="O1533" i="19"/>
  <c r="O1534" i="19"/>
  <c r="O1535" i="19"/>
  <c r="O1536" i="19"/>
  <c r="O1537" i="19"/>
  <c r="O1538" i="19"/>
  <c r="O1539" i="19"/>
  <c r="O1540" i="19"/>
  <c r="O1541" i="19"/>
  <c r="O1542" i="19"/>
  <c r="O1543" i="19"/>
  <c r="O1544" i="19"/>
  <c r="O1545" i="19"/>
  <c r="O1546" i="19"/>
  <c r="O1547" i="19"/>
  <c r="O1548" i="19"/>
  <c r="O1549" i="19"/>
  <c r="O1550" i="19"/>
  <c r="O1551" i="19"/>
  <c r="O1552" i="19"/>
  <c r="O1553" i="19"/>
  <c r="O1554" i="19"/>
  <c r="O1555" i="19"/>
  <c r="O1556" i="19"/>
  <c r="O1557" i="19"/>
  <c r="O1558" i="19"/>
  <c r="O1559" i="19"/>
  <c r="O1560" i="19"/>
  <c r="O1561" i="19"/>
  <c r="O1562" i="19"/>
  <c r="O1563" i="19"/>
  <c r="O1564" i="19"/>
  <c r="O1565" i="19"/>
  <c r="O1566" i="19"/>
  <c r="O1567" i="19"/>
  <c r="O1568" i="19"/>
  <c r="O1569" i="19"/>
  <c r="O1570" i="19"/>
  <c r="O1571" i="19"/>
  <c r="O1572" i="19"/>
  <c r="O1573" i="19"/>
  <c r="O1574" i="19"/>
  <c r="O1575" i="19"/>
  <c r="O1576" i="19"/>
  <c r="O1577" i="19"/>
  <c r="O1578" i="19"/>
  <c r="O1579" i="19"/>
  <c r="O1580" i="19"/>
  <c r="O1581" i="19"/>
  <c r="O1582" i="19"/>
  <c r="O1583" i="19"/>
  <c r="O1584" i="19"/>
  <c r="O1585" i="19"/>
  <c r="O1586" i="19"/>
  <c r="O1587" i="19"/>
  <c r="O1588" i="19"/>
  <c r="O1589" i="19"/>
  <c r="O1590" i="19"/>
  <c r="O1591" i="19"/>
  <c r="O1592" i="19"/>
  <c r="O1593" i="19"/>
  <c r="O1594" i="19"/>
  <c r="O1595" i="19"/>
  <c r="O1596" i="19"/>
  <c r="O1597" i="19"/>
  <c r="O1598" i="19"/>
  <c r="O1599" i="19"/>
  <c r="O1600" i="19"/>
  <c r="O1601" i="19"/>
  <c r="O1602" i="19"/>
  <c r="O1603" i="19"/>
  <c r="O1604" i="19"/>
  <c r="O1605" i="19"/>
  <c r="O1606" i="19"/>
  <c r="O1607" i="19"/>
  <c r="O1608" i="19"/>
  <c r="O1609" i="19"/>
  <c r="O1610" i="19"/>
  <c r="O1611" i="19"/>
  <c r="O1612" i="19"/>
  <c r="O1613" i="19"/>
  <c r="O1614" i="19"/>
  <c r="O1615" i="19"/>
  <c r="O1616" i="19"/>
  <c r="O1617" i="19"/>
  <c r="O1618" i="19"/>
  <c r="O1619" i="19"/>
  <c r="O1620" i="19"/>
  <c r="O1621" i="19"/>
  <c r="O1622" i="19"/>
  <c r="O1623" i="19"/>
  <c r="O1624" i="19"/>
  <c r="O1625" i="19"/>
  <c r="O1626" i="19"/>
  <c r="O1627" i="19"/>
  <c r="O1628" i="19"/>
  <c r="O1629" i="19"/>
  <c r="O1630" i="19"/>
  <c r="O1631" i="19"/>
  <c r="O1632" i="19"/>
  <c r="O1633" i="19"/>
  <c r="O1634" i="19"/>
  <c r="O1635" i="19"/>
  <c r="O1636" i="19"/>
  <c r="O1637" i="19"/>
  <c r="O1638" i="19"/>
  <c r="O1639" i="19"/>
  <c r="O1640" i="19"/>
  <c r="O1641" i="19"/>
  <c r="O1642" i="19"/>
  <c r="O1643" i="19"/>
  <c r="O1644" i="19"/>
  <c r="O1645" i="19"/>
  <c r="O1646" i="19"/>
  <c r="O1647" i="19"/>
  <c r="O1648" i="19"/>
  <c r="O1649" i="19"/>
  <c r="O1650" i="19"/>
  <c r="O1651" i="19"/>
  <c r="O1652" i="19"/>
  <c r="O1653" i="19"/>
  <c r="O1654" i="19"/>
  <c r="O1655" i="19"/>
  <c r="O1656" i="19"/>
  <c r="O1657" i="19"/>
  <c r="O1658" i="19"/>
  <c r="O1659" i="19"/>
  <c r="O1660" i="19"/>
  <c r="O1661" i="19"/>
  <c r="O1662" i="19"/>
  <c r="O1663" i="19"/>
  <c r="O1664" i="19"/>
  <c r="O1665" i="19"/>
  <c r="O1666" i="19"/>
  <c r="O1667" i="19"/>
  <c r="O1668" i="19"/>
  <c r="O1669" i="19"/>
  <c r="O1670" i="19"/>
  <c r="O1671" i="19"/>
  <c r="O1672" i="19"/>
  <c r="O1673" i="19"/>
  <c r="O1674" i="19"/>
  <c r="O1675" i="19"/>
  <c r="O1676" i="19"/>
  <c r="O1677" i="19"/>
  <c r="O1678" i="19"/>
  <c r="O1679" i="19"/>
  <c r="O1680" i="19"/>
  <c r="O1681" i="19"/>
  <c r="O1682" i="19"/>
  <c r="O1683" i="19"/>
  <c r="O1684" i="19"/>
  <c r="O1685" i="19"/>
  <c r="O1686" i="19"/>
  <c r="O1687" i="19"/>
  <c r="O1688" i="19"/>
  <c r="O1689" i="19"/>
  <c r="O1690" i="19"/>
  <c r="O1691" i="19"/>
  <c r="O1692" i="19"/>
  <c r="O1693" i="19"/>
  <c r="O1694" i="19"/>
  <c r="O1695" i="19"/>
  <c r="O1696" i="19"/>
  <c r="O1697" i="19"/>
  <c r="O1698" i="19"/>
  <c r="O1699" i="19"/>
  <c r="O1700" i="19"/>
  <c r="O1701" i="19"/>
  <c r="O1702" i="19"/>
  <c r="O1703" i="19"/>
  <c r="O1704" i="19"/>
  <c r="O1705" i="19"/>
  <c r="O1706" i="19"/>
  <c r="O1707" i="19"/>
  <c r="O1708" i="19"/>
  <c r="O1709" i="19"/>
  <c r="O1710" i="19"/>
  <c r="O1711" i="19"/>
  <c r="O1712" i="19"/>
  <c r="O1713" i="19"/>
  <c r="O1714" i="19"/>
  <c r="O1715" i="19"/>
  <c r="O1716" i="19"/>
  <c r="O1717" i="19"/>
  <c r="O1718" i="19"/>
  <c r="O1719" i="19"/>
  <c r="O1720" i="19"/>
  <c r="O1721" i="19"/>
  <c r="O1722" i="19"/>
  <c r="O1723" i="19"/>
  <c r="O1724" i="19"/>
  <c r="O1725" i="19"/>
  <c r="O1726" i="19"/>
  <c r="O1727" i="19"/>
  <c r="O1728" i="19"/>
  <c r="O1729" i="19"/>
  <c r="O1730" i="19"/>
  <c r="O1731" i="19"/>
  <c r="O1732" i="19"/>
  <c r="O1733" i="19"/>
  <c r="O1734" i="19"/>
  <c r="O1735" i="19"/>
  <c r="O1736" i="19"/>
  <c r="O1737" i="19"/>
  <c r="O1738" i="19"/>
  <c r="O1739" i="19"/>
  <c r="O1740" i="19"/>
  <c r="O1741" i="19"/>
  <c r="O1742" i="19"/>
  <c r="O1743" i="19"/>
  <c r="O1744" i="19"/>
  <c r="O1745" i="19"/>
  <c r="O1746" i="19"/>
  <c r="O1747" i="19"/>
  <c r="O1748" i="19"/>
  <c r="O1749" i="19"/>
  <c r="O1750" i="19"/>
  <c r="O1751" i="19"/>
  <c r="O1752" i="19"/>
  <c r="O1753" i="19"/>
  <c r="O1754" i="19"/>
  <c r="O1755" i="19"/>
  <c r="O1756" i="19"/>
  <c r="O1757" i="19"/>
  <c r="O1758" i="19"/>
  <c r="O1759" i="19"/>
  <c r="O1760" i="19"/>
  <c r="O1761" i="19"/>
  <c r="O1762" i="19"/>
  <c r="O1763" i="19"/>
  <c r="O1764" i="19"/>
  <c r="O1765" i="19"/>
  <c r="O1766" i="19"/>
  <c r="O1767" i="19"/>
  <c r="O1768" i="19"/>
  <c r="O1769" i="19"/>
  <c r="O1770" i="19"/>
  <c r="O1771" i="19"/>
  <c r="O1772" i="19"/>
  <c r="O1773" i="19"/>
  <c r="O1774" i="19"/>
  <c r="O1775" i="19"/>
  <c r="O1776" i="19"/>
  <c r="O1777" i="19"/>
  <c r="O1778" i="19"/>
  <c r="O1779" i="19"/>
  <c r="O1780" i="19"/>
  <c r="O1781" i="19"/>
  <c r="O1782" i="19"/>
  <c r="O1783" i="19"/>
  <c r="O1784" i="19"/>
  <c r="O1785" i="19"/>
  <c r="O1786" i="19"/>
  <c r="O1787" i="19"/>
  <c r="O1788" i="19"/>
  <c r="O1789" i="19"/>
  <c r="O1790" i="19"/>
  <c r="O1791" i="19"/>
  <c r="O1792" i="19"/>
  <c r="O1793" i="19"/>
  <c r="O1794" i="19"/>
  <c r="O1796" i="19"/>
  <c r="O1797" i="19"/>
  <c r="O1798" i="19"/>
  <c r="O1799" i="19"/>
  <c r="O1800" i="19"/>
  <c r="O1801" i="19"/>
  <c r="O1802" i="19"/>
  <c r="O1803" i="19"/>
  <c r="O1804" i="19"/>
  <c r="O1805" i="19"/>
  <c r="O1806" i="19"/>
  <c r="O1807" i="19"/>
  <c r="O1808" i="19"/>
  <c r="O1809" i="19"/>
  <c r="O1810" i="19"/>
  <c r="O1811" i="19"/>
  <c r="O1812" i="19"/>
  <c r="O1813" i="19"/>
  <c r="O1814" i="19"/>
  <c r="O1815" i="19"/>
  <c r="O1816" i="19"/>
  <c r="O1817" i="19"/>
  <c r="O1818" i="19"/>
  <c r="O1819" i="19"/>
  <c r="O1820" i="19"/>
  <c r="O1821" i="19"/>
  <c r="O1822" i="19"/>
  <c r="O1823" i="19"/>
  <c r="O1824" i="19"/>
  <c r="O1825" i="19"/>
  <c r="O1826" i="19"/>
  <c r="O1827" i="19"/>
  <c r="O1828" i="19"/>
  <c r="O1829" i="19"/>
  <c r="O1830" i="19"/>
  <c r="O1831" i="19"/>
  <c r="O538" i="19"/>
  <c r="O539" i="19"/>
  <c r="O540" i="19"/>
  <c r="O541" i="19"/>
  <c r="O542" i="19"/>
  <c r="O543" i="19"/>
  <c r="O544" i="19"/>
  <c r="O545" i="19"/>
  <c r="O546" i="19"/>
  <c r="O547" i="19"/>
  <c r="O548" i="19"/>
  <c r="O549" i="19"/>
  <c r="O550" i="19"/>
  <c r="O551" i="19"/>
  <c r="O552" i="19"/>
  <c r="O553" i="19"/>
  <c r="O554" i="19"/>
  <c r="O555" i="19"/>
  <c r="O556" i="19"/>
  <c r="O557" i="19"/>
  <c r="O558" i="19"/>
  <c r="O559" i="19"/>
  <c r="O560" i="19"/>
  <c r="O561" i="19"/>
  <c r="O562" i="19"/>
  <c r="O563" i="19"/>
  <c r="O564" i="19"/>
  <c r="O565" i="19"/>
  <c r="O566" i="19"/>
  <c r="O567" i="19"/>
  <c r="O568" i="19"/>
  <c r="O569" i="19"/>
  <c r="O570" i="19"/>
  <c r="O571" i="19"/>
  <c r="O572" i="19"/>
  <c r="O573" i="19"/>
  <c r="O574" i="19"/>
  <c r="O575" i="19"/>
  <c r="O576" i="19"/>
  <c r="O577" i="19"/>
  <c r="O578" i="19"/>
  <c r="O579" i="19"/>
  <c r="O580" i="19"/>
  <c r="O581" i="19"/>
  <c r="O582" i="19"/>
  <c r="O583" i="19"/>
  <c r="O584" i="19"/>
  <c r="O585" i="19"/>
  <c r="O586" i="19"/>
  <c r="O587" i="19"/>
  <c r="O588" i="19"/>
  <c r="O589" i="19"/>
  <c r="O590" i="19"/>
  <c r="O591" i="19"/>
  <c r="O592" i="19"/>
  <c r="O593" i="19"/>
  <c r="O594" i="19"/>
  <c r="O595" i="19"/>
  <c r="O596" i="19"/>
  <c r="O597" i="19"/>
  <c r="O598" i="19"/>
  <c r="O599" i="19"/>
  <c r="O600" i="19"/>
  <c r="O601" i="19"/>
  <c r="O602" i="19"/>
  <c r="O603" i="19"/>
  <c r="O604" i="19"/>
  <c r="O605" i="19"/>
  <c r="O606" i="19"/>
  <c r="O607" i="19"/>
  <c r="O608" i="19"/>
  <c r="O609" i="19"/>
  <c r="O610" i="19"/>
  <c r="O611" i="19"/>
  <c r="O612" i="19"/>
  <c r="O613" i="19"/>
  <c r="O614" i="19"/>
  <c r="O615" i="19"/>
  <c r="O616" i="19"/>
  <c r="O617" i="19"/>
  <c r="O618" i="19"/>
  <c r="O619" i="19"/>
  <c r="O620" i="19"/>
  <c r="O621" i="19"/>
  <c r="O622" i="19"/>
  <c r="O623" i="19"/>
  <c r="O624" i="19"/>
  <c r="O625" i="19"/>
  <c r="O626" i="19"/>
  <c r="O627" i="19"/>
  <c r="O628" i="19"/>
  <c r="O629" i="19"/>
  <c r="O630" i="19"/>
  <c r="O631" i="19"/>
  <c r="O632" i="19"/>
  <c r="O633" i="19"/>
  <c r="O634" i="19"/>
  <c r="O635" i="19"/>
  <c r="O636" i="19"/>
  <c r="O637" i="19"/>
  <c r="O638" i="19"/>
  <c r="O639" i="19"/>
  <c r="O640" i="19"/>
  <c r="O641" i="19"/>
  <c r="O642" i="19"/>
  <c r="O643" i="19"/>
  <c r="O644" i="19"/>
  <c r="O645" i="19"/>
  <c r="O646" i="19"/>
  <c r="O647" i="19"/>
  <c r="O648" i="19"/>
  <c r="O649" i="19"/>
  <c r="O650" i="19"/>
  <c r="O651" i="19"/>
  <c r="O652" i="19"/>
  <c r="O653" i="19"/>
  <c r="O654" i="19"/>
  <c r="O655" i="19"/>
  <c r="O656" i="19"/>
  <c r="O657" i="19"/>
  <c r="O658" i="19"/>
  <c r="O659" i="19"/>
  <c r="O660" i="19"/>
  <c r="O661" i="19"/>
  <c r="O662" i="19"/>
  <c r="O663" i="19"/>
  <c r="O664" i="19"/>
  <c r="O665" i="19"/>
  <c r="O666" i="19"/>
  <c r="O667" i="19"/>
  <c r="O668" i="19"/>
  <c r="O669" i="19"/>
  <c r="O670" i="19"/>
  <c r="O671" i="19"/>
  <c r="O672" i="19"/>
  <c r="O673" i="19"/>
  <c r="O674" i="19"/>
  <c r="O675" i="19"/>
  <c r="O676" i="19"/>
  <c r="O677" i="19"/>
  <c r="O678" i="19"/>
  <c r="O679" i="19"/>
  <c r="O680" i="19"/>
  <c r="O681" i="19"/>
  <c r="O682" i="19"/>
  <c r="O683" i="19"/>
  <c r="O684" i="19"/>
  <c r="O685" i="19"/>
  <c r="O686" i="19"/>
  <c r="O687" i="19"/>
  <c r="O688" i="19"/>
  <c r="O689" i="19"/>
  <c r="O690" i="19"/>
  <c r="O691" i="19"/>
  <c r="O692" i="19"/>
  <c r="O693" i="19"/>
  <c r="O694" i="19"/>
  <c r="O695" i="19"/>
  <c r="O696" i="19"/>
  <c r="O697" i="19"/>
  <c r="O698" i="19"/>
  <c r="O699" i="19"/>
  <c r="O700" i="19"/>
  <c r="O701" i="19"/>
  <c r="O702" i="19"/>
  <c r="O703" i="19"/>
  <c r="O704" i="19"/>
  <c r="O705" i="19"/>
  <c r="O706" i="19"/>
  <c r="O707" i="19"/>
  <c r="O708" i="19"/>
  <c r="O709" i="19"/>
  <c r="O710" i="19"/>
  <c r="O711" i="19"/>
  <c r="O712" i="19"/>
  <c r="O713" i="19"/>
  <c r="O714" i="19"/>
  <c r="O715" i="19"/>
  <c r="O716" i="19"/>
  <c r="O717" i="19"/>
  <c r="O718" i="19"/>
  <c r="O719" i="19"/>
  <c r="O720" i="19"/>
  <c r="O721" i="19"/>
  <c r="O722" i="19"/>
  <c r="O723" i="19"/>
  <c r="O724" i="19"/>
  <c r="O725" i="19"/>
  <c r="O726" i="19"/>
  <c r="O727" i="19"/>
  <c r="O728" i="19"/>
  <c r="O729" i="19"/>
  <c r="O730" i="19"/>
  <c r="O731" i="19"/>
  <c r="O732" i="19"/>
  <c r="O733" i="19"/>
  <c r="O734" i="19"/>
  <c r="O735" i="19"/>
  <c r="O736" i="19"/>
  <c r="O737" i="19"/>
  <c r="O738" i="19"/>
  <c r="O739" i="19"/>
  <c r="O740" i="19"/>
  <c r="O741" i="19"/>
  <c r="O742" i="19"/>
  <c r="O743" i="19"/>
  <c r="O744" i="19"/>
  <c r="O745" i="19"/>
  <c r="O746" i="19"/>
  <c r="O747" i="19"/>
  <c r="O748" i="19"/>
  <c r="O749" i="19"/>
  <c r="O750" i="19"/>
  <c r="O751" i="19"/>
  <c r="O752" i="19"/>
  <c r="O753" i="19"/>
  <c r="O754" i="19"/>
  <c r="O755" i="19"/>
  <c r="O756" i="19"/>
  <c r="O757" i="19"/>
  <c r="O758" i="19"/>
  <c r="O759" i="19"/>
  <c r="O760" i="19"/>
  <c r="O761" i="19"/>
  <c r="O762" i="19"/>
  <c r="O763" i="19"/>
  <c r="O764" i="19"/>
  <c r="O765" i="19"/>
  <c r="O766" i="19"/>
  <c r="O767" i="19"/>
  <c r="O768" i="19"/>
  <c r="O769" i="19"/>
  <c r="O770" i="19"/>
  <c r="O771" i="19"/>
  <c r="O772" i="19"/>
  <c r="O773" i="19"/>
  <c r="O774" i="19"/>
  <c r="O775" i="19"/>
  <c r="O776" i="19"/>
  <c r="O777" i="19"/>
  <c r="O778" i="19"/>
  <c r="O779" i="19"/>
  <c r="O780" i="19"/>
  <c r="O781" i="19"/>
  <c r="O782" i="19"/>
  <c r="O783" i="19"/>
  <c r="O784" i="19"/>
  <c r="O785" i="19"/>
  <c r="O786" i="19"/>
  <c r="O787" i="19"/>
  <c r="O788" i="19"/>
  <c r="O789" i="19"/>
  <c r="O790" i="19"/>
  <c r="O791" i="19"/>
  <c r="O792" i="19"/>
  <c r="O793" i="19"/>
  <c r="O794" i="19"/>
  <c r="O795" i="19"/>
  <c r="O796" i="19"/>
  <c r="O797" i="19"/>
  <c r="O798" i="19"/>
  <c r="O799" i="19"/>
  <c r="O800" i="19"/>
  <c r="O801" i="19"/>
  <c r="O802" i="19"/>
  <c r="O803" i="19"/>
  <c r="O804" i="19"/>
  <c r="O805" i="19"/>
  <c r="O806" i="19"/>
  <c r="O807" i="19"/>
  <c r="O808" i="19"/>
  <c r="O809" i="19"/>
  <c r="O810" i="19"/>
  <c r="O811" i="19"/>
  <c r="O812" i="19"/>
  <c r="O813" i="19"/>
  <c r="O814" i="19"/>
  <c r="O815" i="19"/>
  <c r="O816" i="19"/>
  <c r="O817" i="19"/>
  <c r="O818" i="19"/>
  <c r="O819" i="19"/>
  <c r="O820" i="19"/>
  <c r="O821" i="19"/>
  <c r="O822" i="19"/>
  <c r="O823" i="19"/>
  <c r="O824" i="19"/>
  <c r="O825" i="19"/>
  <c r="O826" i="19"/>
  <c r="O827" i="19"/>
  <c r="O828" i="19"/>
  <c r="O829" i="19"/>
  <c r="O830" i="19"/>
  <c r="O831" i="19"/>
  <c r="O832" i="19"/>
  <c r="O833" i="19"/>
  <c r="O834" i="19"/>
  <c r="O835" i="19"/>
  <c r="O836" i="19"/>
  <c r="O837" i="19"/>
  <c r="O838" i="19"/>
  <c r="O839" i="19"/>
  <c r="O840" i="19"/>
  <c r="O841" i="19"/>
  <c r="O842" i="19"/>
  <c r="O843" i="19"/>
  <c r="O844" i="19"/>
  <c r="O845" i="19"/>
  <c r="O846" i="19"/>
  <c r="O847" i="19"/>
  <c r="O848" i="19"/>
  <c r="O849" i="19"/>
  <c r="O850" i="19"/>
  <c r="O851" i="19"/>
  <c r="O852" i="19"/>
  <c r="O853" i="19"/>
  <c r="O854" i="19"/>
  <c r="O855" i="19"/>
  <c r="O856" i="19"/>
  <c r="O857" i="19"/>
  <c r="O858" i="19"/>
  <c r="O859" i="19"/>
  <c r="O860" i="19"/>
  <c r="O861" i="19"/>
  <c r="O862" i="19"/>
  <c r="O863" i="19"/>
  <c r="O864" i="19"/>
  <c r="O865" i="19"/>
  <c r="O866" i="19"/>
  <c r="O867" i="19"/>
  <c r="O868" i="19"/>
  <c r="O869" i="19"/>
  <c r="O870" i="19"/>
  <c r="O871" i="19"/>
  <c r="O872" i="19"/>
  <c r="O873" i="19"/>
  <c r="O874" i="19"/>
  <c r="O875" i="19"/>
  <c r="O876" i="19"/>
  <c r="O877" i="19"/>
  <c r="O878" i="19"/>
  <c r="O879" i="19"/>
  <c r="O880" i="19"/>
  <c r="O881" i="19"/>
  <c r="O882" i="19"/>
  <c r="O883" i="19"/>
  <c r="O884" i="19"/>
  <c r="O885" i="19"/>
  <c r="O886" i="19"/>
  <c r="O887" i="19"/>
  <c r="O888" i="19"/>
  <c r="O889" i="19"/>
  <c r="O890" i="19"/>
  <c r="O891" i="19"/>
  <c r="O892" i="19"/>
  <c r="O893" i="19"/>
  <c r="O894" i="19"/>
  <c r="O895" i="19"/>
  <c r="O896" i="19"/>
  <c r="O897" i="19"/>
  <c r="O898" i="19"/>
  <c r="O899" i="19"/>
  <c r="O900" i="19"/>
  <c r="O901" i="19"/>
  <c r="O902" i="19"/>
  <c r="O903" i="19"/>
  <c r="O904" i="19"/>
  <c r="O905" i="19"/>
  <c r="O906" i="19"/>
  <c r="O907" i="19"/>
  <c r="O908" i="19"/>
  <c r="O909" i="19"/>
  <c r="O910" i="19"/>
  <c r="O911" i="19"/>
  <c r="O912" i="19"/>
  <c r="O913" i="19"/>
  <c r="O914" i="19"/>
  <c r="O915" i="19"/>
  <c r="O916" i="19"/>
  <c r="O917" i="19"/>
  <c r="O918" i="19"/>
  <c r="O919" i="19"/>
  <c r="O920" i="19"/>
  <c r="O921" i="19"/>
  <c r="O922" i="19"/>
  <c r="O923" i="19"/>
  <c r="O924" i="19"/>
  <c r="O925" i="19"/>
  <c r="O926" i="19"/>
  <c r="O927" i="19"/>
  <c r="O928" i="19"/>
  <c r="O929" i="19"/>
  <c r="O930" i="19"/>
  <c r="O931" i="19"/>
  <c r="O932" i="19"/>
  <c r="O933" i="19"/>
  <c r="O934" i="19"/>
  <c r="O935" i="19"/>
  <c r="O936" i="19"/>
  <c r="O937" i="19"/>
  <c r="O938" i="19"/>
  <c r="O939" i="19"/>
  <c r="O940" i="19"/>
  <c r="O941" i="19"/>
  <c r="O942" i="19"/>
  <c r="O943" i="19"/>
  <c r="O944" i="19"/>
  <c r="O945" i="19"/>
  <c r="O946" i="19"/>
  <c r="O947" i="19"/>
  <c r="O948" i="19"/>
  <c r="O949" i="19"/>
  <c r="O950" i="19"/>
  <c r="O951" i="19"/>
  <c r="O952" i="19"/>
  <c r="O953" i="19"/>
  <c r="O954" i="19"/>
  <c r="O955" i="19"/>
  <c r="O956" i="19"/>
  <c r="O957" i="19"/>
  <c r="O958" i="19"/>
  <c r="O959" i="19"/>
  <c r="O960" i="19"/>
  <c r="O961" i="19"/>
  <c r="O962" i="19"/>
  <c r="O963" i="19"/>
  <c r="O964" i="19"/>
  <c r="O965" i="19"/>
  <c r="O966" i="19"/>
  <c r="O967" i="19"/>
  <c r="O968" i="19"/>
  <c r="O969" i="19"/>
  <c r="O970" i="19"/>
  <c r="O971" i="19"/>
  <c r="O972" i="19"/>
  <c r="O973" i="19"/>
  <c r="O974" i="19"/>
  <c r="O975" i="19"/>
  <c r="O976" i="19"/>
  <c r="O977" i="19"/>
  <c r="O978" i="19"/>
  <c r="O979" i="19"/>
  <c r="O980" i="19"/>
  <c r="O981" i="19"/>
  <c r="O982" i="19"/>
  <c r="O983" i="19"/>
  <c r="O984" i="19"/>
  <c r="O985" i="19"/>
  <c r="O986" i="19"/>
  <c r="O987" i="19"/>
  <c r="O988" i="19"/>
  <c r="O989" i="19"/>
  <c r="O990" i="19"/>
  <c r="O991" i="19"/>
  <c r="O992" i="19"/>
  <c r="O993" i="19"/>
  <c r="O994" i="19"/>
  <c r="O995" i="19"/>
  <c r="O996" i="19"/>
  <c r="O997" i="19"/>
  <c r="O998" i="19"/>
  <c r="O999" i="19"/>
  <c r="O1000" i="19"/>
  <c r="O1001" i="19"/>
  <c r="O1002" i="19"/>
  <c r="O1003" i="19"/>
  <c r="O1004" i="19"/>
  <c r="O1005" i="19"/>
  <c r="O1006" i="19"/>
  <c r="O1007" i="19"/>
  <c r="O1008" i="19"/>
  <c r="O1009" i="19"/>
  <c r="O1010" i="19"/>
  <c r="O1011" i="19"/>
  <c r="O1012" i="19"/>
  <c r="O1013" i="19"/>
  <c r="O1014" i="19"/>
  <c r="O1015" i="19"/>
  <c r="O1016" i="19"/>
  <c r="O1017" i="19"/>
  <c r="O1018" i="19"/>
  <c r="O1019" i="19"/>
  <c r="O1020" i="19"/>
  <c r="O1021" i="19"/>
  <c r="O1022" i="19"/>
  <c r="O1023" i="19"/>
  <c r="O1024" i="19"/>
  <c r="O1025" i="19"/>
  <c r="O1026" i="19"/>
  <c r="O1027" i="19"/>
  <c r="O1028" i="19"/>
  <c r="O1029" i="19"/>
  <c r="O1030" i="19"/>
  <c r="O1031" i="19"/>
  <c r="O1032" i="19"/>
  <c r="O1033" i="19"/>
  <c r="O1034" i="19"/>
  <c r="O1035" i="19"/>
  <c r="O1036" i="19"/>
  <c r="O1037" i="19"/>
  <c r="O1038" i="19"/>
  <c r="O1039" i="19"/>
  <c r="O1040" i="19"/>
  <c r="O1041" i="19"/>
  <c r="O1042" i="19"/>
  <c r="O1043" i="19"/>
  <c r="O1044" i="19"/>
  <c r="O1045" i="19"/>
  <c r="O1046" i="19"/>
  <c r="O1047" i="19"/>
  <c r="O1048" i="19"/>
  <c r="O1049" i="19"/>
  <c r="O1050" i="19"/>
  <c r="O1051" i="19"/>
  <c r="O1052" i="19"/>
  <c r="O1053" i="19"/>
  <c r="O1054" i="19"/>
  <c r="O1055" i="19"/>
  <c r="O1056" i="19"/>
  <c r="O1057" i="19"/>
  <c r="O1058" i="19"/>
  <c r="O1059" i="19"/>
  <c r="O1060" i="19"/>
  <c r="O1061" i="19"/>
  <c r="O1062" i="19"/>
  <c r="O1063" i="19"/>
  <c r="O1064" i="19"/>
  <c r="O1065" i="19"/>
  <c r="O1066" i="19"/>
  <c r="O1067" i="19"/>
  <c r="O1068" i="19"/>
  <c r="O1069" i="19"/>
  <c r="O1070" i="19"/>
  <c r="O1071" i="19"/>
  <c r="O1072" i="19"/>
  <c r="O1073" i="19"/>
  <c r="O1074" i="19"/>
  <c r="O1075" i="19"/>
  <c r="O1076" i="19"/>
  <c r="O1077" i="19"/>
  <c r="O1078" i="19"/>
  <c r="O1079" i="19"/>
  <c r="O1080" i="19"/>
  <c r="O1081" i="19"/>
  <c r="O1082" i="19"/>
  <c r="O1083" i="19"/>
  <c r="O1084" i="19"/>
  <c r="O1085" i="19"/>
  <c r="O1086" i="19"/>
  <c r="O1087" i="19"/>
  <c r="O1088" i="19"/>
  <c r="O1089" i="19"/>
  <c r="O1090" i="19"/>
  <c r="O1091" i="19"/>
  <c r="O1092" i="19"/>
  <c r="O1093" i="19"/>
  <c r="O1094" i="19"/>
  <c r="O1095" i="19"/>
  <c r="O1096" i="19"/>
  <c r="O1097" i="19"/>
  <c r="O1098" i="19"/>
  <c r="O1099" i="19"/>
  <c r="O1100" i="19"/>
  <c r="O1101" i="19"/>
  <c r="O1102" i="19"/>
  <c r="O1103" i="19"/>
  <c r="O1104" i="19"/>
  <c r="O1105" i="19"/>
  <c r="O1106" i="19"/>
  <c r="O1107" i="19"/>
  <c r="O1108" i="19"/>
  <c r="O1109" i="19"/>
  <c r="O1110" i="19"/>
  <c r="O1111" i="19"/>
  <c r="O1112" i="19"/>
  <c r="O1113" i="19"/>
  <c r="O1114" i="19"/>
  <c r="O1115" i="19"/>
  <c r="O1116" i="19"/>
  <c r="O1117" i="19"/>
  <c r="O1118" i="19"/>
  <c r="O1119" i="19"/>
  <c r="O1120" i="19"/>
  <c r="O1121" i="19"/>
  <c r="O1122" i="19"/>
  <c r="O1123" i="19"/>
  <c r="O1124" i="19"/>
  <c r="O1125" i="19"/>
  <c r="O1126" i="19"/>
  <c r="O1127" i="19"/>
  <c r="O1128" i="19"/>
  <c r="O1129" i="19"/>
  <c r="O1130" i="19"/>
  <c r="O1131" i="19"/>
  <c r="O1132" i="19"/>
  <c r="O1133" i="19"/>
  <c r="O1134" i="19"/>
  <c r="O1135" i="19"/>
  <c r="O1136" i="19"/>
  <c r="O1137" i="19"/>
  <c r="O1138" i="19"/>
  <c r="O1139" i="19"/>
  <c r="O1140" i="19"/>
  <c r="O1141" i="19"/>
  <c r="O1142" i="19"/>
  <c r="O1143" i="19"/>
  <c r="O1144" i="19"/>
  <c r="O1145" i="19"/>
  <c r="O1146" i="19"/>
  <c r="O1147" i="19"/>
  <c r="O1148" i="19"/>
  <c r="O1149" i="19"/>
  <c r="O1150" i="19"/>
  <c r="O1151" i="19"/>
  <c r="O1152" i="19"/>
  <c r="O1153" i="19"/>
  <c r="O1154" i="19"/>
  <c r="O1155" i="19"/>
  <c r="O1156" i="19"/>
  <c r="O1157" i="19"/>
  <c r="O1158" i="19"/>
  <c r="O1159" i="19"/>
  <c r="O1160" i="19"/>
  <c r="O1161" i="19"/>
  <c r="O1162" i="19"/>
  <c r="O1163" i="19"/>
  <c r="O1164" i="19"/>
  <c r="O1165" i="19"/>
  <c r="O1166" i="19"/>
  <c r="O1167" i="19"/>
  <c r="O1168" i="19"/>
  <c r="O1169" i="19"/>
  <c r="O1170" i="19"/>
  <c r="O1171" i="19"/>
  <c r="O1172" i="19"/>
  <c r="O1173" i="19"/>
  <c r="O1174" i="19"/>
  <c r="O1175" i="19"/>
  <c r="O1176" i="19"/>
  <c r="O1177" i="19"/>
  <c r="O1178" i="19"/>
  <c r="O1179" i="19"/>
  <c r="O1180" i="19"/>
  <c r="O1181" i="19"/>
  <c r="O1182" i="19"/>
  <c r="O1183" i="19"/>
  <c r="O1184" i="19"/>
  <c r="O1185" i="19"/>
  <c r="O1186" i="19"/>
  <c r="O1187" i="19"/>
  <c r="O1188" i="19"/>
  <c r="O1189" i="19"/>
  <c r="O1190" i="19"/>
  <c r="O1191" i="19"/>
  <c r="O1192" i="19"/>
  <c r="O1193" i="19"/>
  <c r="O1194" i="19"/>
  <c r="O1195" i="19"/>
  <c r="O1196" i="19"/>
  <c r="O1197" i="19"/>
  <c r="O1198" i="19"/>
  <c r="O1199" i="19"/>
  <c r="O1200" i="19"/>
  <c r="O1201" i="19"/>
  <c r="O1202" i="19"/>
  <c r="O1203" i="19"/>
  <c r="O1204" i="19"/>
  <c r="O1205" i="19"/>
  <c r="O1206" i="19"/>
  <c r="O1207" i="19"/>
  <c r="O1208" i="19"/>
  <c r="O1209" i="19"/>
  <c r="O1210" i="19"/>
  <c r="O1211" i="19"/>
  <c r="O1212" i="19"/>
  <c r="O1213" i="19"/>
  <c r="O1214" i="19"/>
  <c r="O1215" i="19"/>
  <c r="O1216" i="19"/>
  <c r="O1217" i="19"/>
  <c r="O1218" i="19"/>
  <c r="O1219" i="19"/>
  <c r="O1220" i="19"/>
  <c r="O1221" i="19"/>
  <c r="O1222" i="19"/>
  <c r="O1223" i="19"/>
  <c r="O1224" i="19"/>
  <c r="O1225" i="19"/>
  <c r="O1226" i="19"/>
  <c r="O1227" i="19"/>
  <c r="O1228" i="19"/>
  <c r="O1229" i="19"/>
  <c r="O1230" i="19"/>
  <c r="O1231" i="19"/>
  <c r="O1232" i="19"/>
  <c r="O1233" i="19"/>
  <c r="O1234" i="19"/>
  <c r="O1235" i="19"/>
  <c r="O1236" i="19"/>
  <c r="O1237" i="19"/>
  <c r="O1238" i="19"/>
  <c r="O1239" i="19"/>
  <c r="O1240" i="19"/>
  <c r="O1241" i="19"/>
  <c r="O1242" i="19"/>
  <c r="O1243" i="19"/>
  <c r="O1244" i="19"/>
  <c r="O1245" i="19"/>
  <c r="O1246" i="19"/>
  <c r="O1247" i="19"/>
  <c r="O1248" i="19"/>
  <c r="O1249" i="19"/>
  <c r="O1250" i="19"/>
  <c r="O1251" i="19"/>
  <c r="O1252" i="19"/>
  <c r="O1253" i="19"/>
  <c r="O1254" i="19"/>
  <c r="O1255" i="19"/>
  <c r="O1256" i="19"/>
  <c r="O1257" i="19"/>
  <c r="O1258" i="19"/>
  <c r="O1259" i="19"/>
  <c r="O1260" i="19"/>
  <c r="O1261" i="19"/>
  <c r="O1262" i="19"/>
  <c r="O1263" i="19"/>
  <c r="O1264" i="19"/>
  <c r="O1265" i="19"/>
  <c r="O1266" i="19"/>
  <c r="O1267" i="19"/>
  <c r="O1268" i="19"/>
  <c r="O1269" i="19"/>
  <c r="O1270" i="19"/>
  <c r="O1271" i="19"/>
  <c r="O1272" i="19"/>
  <c r="O1273" i="19"/>
  <c r="O1274" i="19"/>
  <c r="O1275" i="19"/>
  <c r="O1276" i="19"/>
  <c r="O1277" i="19"/>
  <c r="O1278" i="19"/>
  <c r="O1279" i="19"/>
  <c r="O1280" i="19"/>
  <c r="O1281" i="19"/>
  <c r="O1282" i="19"/>
  <c r="O1283" i="19"/>
  <c r="O1284" i="19"/>
  <c r="O1285" i="19"/>
  <c r="O2" i="19"/>
  <c r="I202" i="19"/>
  <c r="Q202" i="19" s="1"/>
  <c r="O202" i="19"/>
  <c r="I258" i="19"/>
  <c r="Q258" i="19" s="1"/>
  <c r="O258" i="19"/>
  <c r="I314" i="19"/>
  <c r="Q314" i="19" s="1"/>
  <c r="O314" i="19"/>
  <c r="O317" i="19"/>
  <c r="O318" i="19"/>
  <c r="O319" i="19"/>
  <c r="O320" i="19"/>
  <c r="O321" i="19"/>
  <c r="O322" i="19"/>
  <c r="O323" i="19"/>
  <c r="O324" i="19"/>
  <c r="O325" i="19"/>
  <c r="O326" i="19"/>
  <c r="O327" i="19"/>
  <c r="O328" i="19"/>
  <c r="O329" i="19"/>
  <c r="O330" i="19"/>
  <c r="O331" i="19"/>
  <c r="O332" i="19"/>
  <c r="O333" i="19"/>
  <c r="O334" i="19"/>
  <c r="O335" i="19"/>
  <c r="O336" i="19"/>
  <c r="O337" i="19"/>
  <c r="O338" i="19"/>
  <c r="O339" i="19"/>
  <c r="O340" i="19"/>
  <c r="O341" i="19"/>
  <c r="M342" i="19"/>
  <c r="O342" i="19"/>
  <c r="O343" i="19"/>
  <c r="O344" i="19"/>
  <c r="O345" i="19"/>
  <c r="O346" i="19"/>
  <c r="O347" i="19"/>
  <c r="O348" i="19"/>
  <c r="O349" i="19"/>
  <c r="O350" i="19"/>
  <c r="O351" i="19"/>
  <c r="O352" i="19"/>
  <c r="O353" i="19"/>
  <c r="M354" i="19"/>
  <c r="O354" i="19"/>
  <c r="O355" i="19"/>
  <c r="O356" i="19"/>
  <c r="O357" i="19"/>
  <c r="O358" i="19"/>
  <c r="O359" i="19"/>
  <c r="O360" i="19"/>
  <c r="O361" i="19"/>
  <c r="O362" i="19"/>
  <c r="O363" i="19"/>
  <c r="O364" i="19"/>
  <c r="O365" i="19"/>
  <c r="O366" i="19"/>
  <c r="O367" i="19"/>
  <c r="O368" i="19"/>
  <c r="O369" i="19"/>
  <c r="M370" i="19"/>
  <c r="O370" i="19"/>
  <c r="O371" i="19"/>
  <c r="O372" i="19"/>
  <c r="O373" i="19"/>
  <c r="M374" i="19"/>
  <c r="O374" i="19"/>
  <c r="O375" i="19"/>
  <c r="O376" i="19"/>
  <c r="O377" i="19"/>
  <c r="O378" i="19"/>
  <c r="O379" i="19"/>
  <c r="O380" i="19"/>
  <c r="O381" i="19"/>
  <c r="O382" i="19"/>
  <c r="O383" i="19"/>
  <c r="O384" i="19"/>
  <c r="M385" i="19"/>
  <c r="O385" i="19"/>
  <c r="M386" i="19"/>
  <c r="O386" i="19"/>
  <c r="O387" i="19"/>
  <c r="O388" i="19"/>
  <c r="O389" i="19"/>
  <c r="O390" i="19"/>
  <c r="O391" i="19"/>
  <c r="O392" i="19"/>
  <c r="O393" i="19"/>
  <c r="O394" i="19"/>
  <c r="O395" i="19"/>
  <c r="O396" i="19"/>
  <c r="O397" i="19"/>
  <c r="O398" i="19"/>
  <c r="O399" i="19"/>
  <c r="O400" i="19"/>
  <c r="O401" i="19"/>
  <c r="M402" i="19"/>
  <c r="O402" i="19"/>
  <c r="O403" i="19"/>
  <c r="O404" i="19"/>
  <c r="O405" i="19"/>
  <c r="O406" i="19"/>
  <c r="O407" i="19"/>
  <c r="O408" i="19"/>
  <c r="O409" i="19"/>
  <c r="O410" i="19"/>
  <c r="O411" i="19"/>
  <c r="I412" i="19"/>
  <c r="Q412" i="19" s="1"/>
  <c r="O412" i="19"/>
  <c r="O413" i="19"/>
  <c r="O414" i="19"/>
  <c r="O415" i="19"/>
  <c r="O416" i="19"/>
  <c r="O417" i="19"/>
  <c r="O418" i="19"/>
  <c r="O419" i="19"/>
  <c r="O420" i="19"/>
  <c r="O421" i="19"/>
  <c r="O422" i="19"/>
  <c r="O423" i="19"/>
  <c r="O424" i="19"/>
  <c r="O425" i="19"/>
  <c r="O426" i="19"/>
  <c r="O427" i="19"/>
  <c r="O428" i="19"/>
  <c r="O429" i="19"/>
  <c r="O430" i="19"/>
  <c r="O431" i="19"/>
  <c r="O432" i="19"/>
  <c r="O433" i="19"/>
  <c r="O434" i="19"/>
  <c r="O435" i="19"/>
  <c r="O436" i="19"/>
  <c r="O437" i="19"/>
  <c r="O438" i="19"/>
  <c r="O439" i="19"/>
  <c r="O440" i="19"/>
  <c r="O441" i="19"/>
  <c r="I442" i="19"/>
  <c r="Q442" i="19" s="1"/>
  <c r="O442" i="19"/>
  <c r="O443" i="19"/>
  <c r="O444" i="19"/>
  <c r="O445" i="19"/>
  <c r="O446" i="19"/>
  <c r="O447" i="19"/>
  <c r="O448" i="19"/>
  <c r="O449" i="19"/>
  <c r="O450" i="19"/>
  <c r="O451" i="19"/>
  <c r="O452" i="19"/>
  <c r="O453" i="19"/>
  <c r="O454" i="19"/>
  <c r="O455" i="19"/>
  <c r="O456" i="19"/>
  <c r="O457" i="19"/>
  <c r="O458" i="19"/>
  <c r="O459" i="19"/>
  <c r="O460" i="19"/>
  <c r="O461" i="19"/>
  <c r="O462" i="19"/>
  <c r="O463" i="19"/>
  <c r="O464" i="19"/>
  <c r="O465" i="19"/>
  <c r="O466" i="19"/>
  <c r="O467" i="19"/>
  <c r="O468" i="19"/>
  <c r="O469" i="19"/>
  <c r="I470" i="19"/>
  <c r="Q470" i="19" s="1"/>
  <c r="O470" i="19"/>
  <c r="O471" i="19"/>
  <c r="O472" i="19"/>
  <c r="O473" i="19"/>
  <c r="O474" i="19"/>
  <c r="O475" i="19"/>
  <c r="O476" i="19"/>
  <c r="O477" i="19"/>
  <c r="O478" i="19"/>
  <c r="O479" i="19"/>
  <c r="O480" i="19"/>
  <c r="O481" i="19"/>
  <c r="O482" i="19"/>
  <c r="O483" i="19"/>
  <c r="O484" i="19"/>
  <c r="O485" i="19"/>
  <c r="O486" i="19"/>
  <c r="O487" i="19"/>
  <c r="O488" i="19"/>
  <c r="O489" i="19"/>
  <c r="M490" i="19"/>
  <c r="O490" i="19"/>
  <c r="O491" i="19"/>
  <c r="O492" i="19"/>
  <c r="O493" i="19"/>
  <c r="O494" i="19"/>
  <c r="O495" i="19"/>
  <c r="O496" i="19"/>
  <c r="O497" i="19"/>
  <c r="M498" i="19"/>
  <c r="O498" i="19"/>
  <c r="O499" i="19"/>
  <c r="O500" i="19"/>
  <c r="O501" i="19"/>
  <c r="O502" i="19"/>
  <c r="O503" i="19"/>
  <c r="O504" i="19"/>
  <c r="O505" i="19"/>
  <c r="O506" i="19"/>
  <c r="O507" i="19"/>
  <c r="O508" i="19"/>
  <c r="O509" i="19"/>
  <c r="M510" i="19"/>
  <c r="O510" i="19"/>
  <c r="O511" i="19"/>
  <c r="O512" i="19"/>
  <c r="O513" i="19"/>
  <c r="O514" i="19"/>
  <c r="O515" i="19"/>
  <c r="O516" i="19"/>
  <c r="O517" i="19"/>
  <c r="O518" i="19"/>
  <c r="O519" i="19"/>
  <c r="O520" i="19"/>
  <c r="O521" i="19"/>
  <c r="O522" i="19"/>
  <c r="I523" i="19"/>
  <c r="Q523" i="19" s="1"/>
  <c r="O523" i="19"/>
  <c r="O524" i="19"/>
  <c r="O525" i="19"/>
  <c r="M526" i="19"/>
  <c r="O526" i="19"/>
  <c r="O527" i="19"/>
  <c r="O528" i="19"/>
  <c r="O529" i="19"/>
  <c r="O530" i="19"/>
  <c r="O531" i="19"/>
  <c r="O532" i="19"/>
  <c r="O533" i="19"/>
  <c r="O534" i="19"/>
  <c r="O535" i="19"/>
  <c r="O536" i="19"/>
  <c r="O537" i="19"/>
  <c r="M538" i="19"/>
  <c r="M546" i="19"/>
  <c r="M554" i="19"/>
  <c r="M562" i="19"/>
  <c r="M574" i="19"/>
  <c r="I587" i="19"/>
  <c r="Q587" i="19" s="1"/>
  <c r="M602" i="19"/>
  <c r="I608" i="19"/>
  <c r="Q608" i="19" s="1"/>
  <c r="M610" i="19"/>
  <c r="M618" i="19"/>
  <c r="M626" i="19"/>
  <c r="M638" i="19"/>
  <c r="I651" i="19"/>
  <c r="Q651" i="19" s="1"/>
  <c r="M654" i="19"/>
  <c r="M666" i="19"/>
  <c r="M674" i="19"/>
  <c r="M682" i="19"/>
  <c r="M690" i="19"/>
  <c r="I693" i="19"/>
  <c r="Q693" i="19" s="1"/>
  <c r="M702" i="19"/>
  <c r="M718" i="19"/>
  <c r="M730" i="19"/>
  <c r="I735" i="19"/>
  <c r="Q735" i="19" s="1"/>
  <c r="M738" i="19"/>
  <c r="I745" i="19"/>
  <c r="Q745" i="19" s="1"/>
  <c r="M746" i="19"/>
  <c r="M750" i="19"/>
  <c r="M754" i="19"/>
  <c r="M766" i="19"/>
  <c r="I767" i="19"/>
  <c r="Q767" i="19" s="1"/>
  <c r="M778" i="19"/>
  <c r="M782" i="19"/>
  <c r="M786" i="19"/>
  <c r="I788" i="19"/>
  <c r="Q788" i="19" s="1"/>
  <c r="M794" i="19"/>
  <c r="I799" i="19"/>
  <c r="Q799" i="19" s="1"/>
  <c r="M802" i="19"/>
  <c r="M810" i="19"/>
  <c r="M814" i="19"/>
  <c r="M830" i="19"/>
  <c r="I831" i="19"/>
  <c r="Q831" i="19" s="1"/>
  <c r="M842" i="19"/>
  <c r="M846" i="19"/>
  <c r="M850" i="19"/>
  <c r="M858" i="19"/>
  <c r="M862" i="19"/>
  <c r="I863" i="19"/>
  <c r="Q863" i="19" s="1"/>
  <c r="M866" i="19"/>
  <c r="I873" i="19"/>
  <c r="Q873" i="19" s="1"/>
  <c r="M874" i="19"/>
  <c r="M878" i="19"/>
  <c r="M882" i="19"/>
  <c r="M890" i="19"/>
  <c r="M894" i="19"/>
  <c r="I895" i="19"/>
  <c r="Q895" i="19" s="1"/>
  <c r="M898" i="19"/>
  <c r="M906" i="19"/>
  <c r="M910" i="19"/>
  <c r="M914" i="19"/>
  <c r="I916" i="19"/>
  <c r="Q916" i="19" s="1"/>
  <c r="M922" i="19"/>
  <c r="M926" i="19"/>
  <c r="I927" i="19"/>
  <c r="Q927" i="19" s="1"/>
  <c r="M930" i="19"/>
  <c r="M938" i="19"/>
  <c r="M942" i="19"/>
  <c r="M946" i="19"/>
  <c r="I953" i="19"/>
  <c r="Q953" i="19" s="1"/>
  <c r="M954" i="19"/>
  <c r="M958" i="19"/>
  <c r="M962" i="19"/>
  <c r="M970" i="19"/>
  <c r="M974" i="19"/>
  <c r="M978" i="19"/>
  <c r="I985" i="19"/>
  <c r="Q985" i="19" s="1"/>
  <c r="M986" i="19"/>
  <c r="M990" i="19"/>
  <c r="M994" i="19"/>
  <c r="M1002" i="19"/>
  <c r="M1006" i="19"/>
  <c r="M1010" i="19"/>
  <c r="I1017" i="19"/>
  <c r="Q1017" i="19" s="1"/>
  <c r="M1018" i="19"/>
  <c r="M1022" i="19"/>
  <c r="M1026" i="19"/>
  <c r="M1034" i="19"/>
  <c r="M1038" i="19"/>
  <c r="M1042" i="19"/>
  <c r="I1049" i="19"/>
  <c r="Q1049" i="19" s="1"/>
  <c r="M1050" i="19"/>
  <c r="M1054" i="19"/>
  <c r="M1058" i="19"/>
  <c r="M1066" i="19"/>
  <c r="M1074" i="19"/>
  <c r="I1081" i="19"/>
  <c r="Q1081" i="19" s="1"/>
  <c r="M1082" i="19"/>
  <c r="M1086" i="19"/>
  <c r="M1090" i="19"/>
  <c r="M1098" i="19"/>
  <c r="M1102" i="19"/>
  <c r="M1106" i="19"/>
  <c r="I1113" i="19"/>
  <c r="Q1113" i="19" s="1"/>
  <c r="M1114" i="19"/>
  <c r="M1118" i="19"/>
  <c r="M1122" i="19"/>
  <c r="M1130" i="19"/>
  <c r="M1134" i="19"/>
  <c r="M1138" i="19"/>
  <c r="I1145" i="19"/>
  <c r="Q1145" i="19" s="1"/>
  <c r="M1146" i="19"/>
  <c r="M1150" i="19"/>
  <c r="M1154" i="19"/>
  <c r="M1162" i="19"/>
  <c r="M1166" i="19"/>
  <c r="M1170" i="19"/>
  <c r="I1177" i="19"/>
  <c r="Q1177" i="19" s="1"/>
  <c r="M1178" i="19"/>
  <c r="M1182" i="19"/>
  <c r="M1186" i="19"/>
  <c r="M1194" i="19"/>
  <c r="M1198" i="19"/>
  <c r="M1202" i="19"/>
  <c r="I1209" i="19"/>
  <c r="Q1209" i="19" s="1"/>
  <c r="M1210" i="19"/>
  <c r="M1214" i="19"/>
  <c r="M1218" i="19"/>
  <c r="M1226" i="19"/>
  <c r="M1230" i="19"/>
  <c r="M1234" i="19"/>
  <c r="I1241" i="19"/>
  <c r="Q1241" i="19" s="1"/>
  <c r="M1242" i="19"/>
  <c r="M1246" i="19"/>
  <c r="M1250" i="19"/>
  <c r="M1258" i="19"/>
  <c r="M1262" i="19"/>
  <c r="M1266" i="19"/>
  <c r="I1273" i="19"/>
  <c r="Q1273" i="19" s="1"/>
  <c r="M1274" i="19"/>
  <c r="M1278" i="19"/>
  <c r="M1282" i="19"/>
  <c r="O1286" i="19"/>
  <c r="O1287" i="19"/>
  <c r="O1288" i="19"/>
  <c r="O1289" i="19"/>
  <c r="O1290" i="19"/>
  <c r="O1291" i="19"/>
  <c r="O1292" i="19"/>
  <c r="O1293" i="19"/>
  <c r="O1294" i="19"/>
  <c r="O1295" i="19"/>
  <c r="O1296" i="19"/>
  <c r="O1297" i="19"/>
  <c r="O1298" i="19"/>
  <c r="O1299" i="19"/>
  <c r="O1300" i="19"/>
  <c r="O1301" i="19"/>
  <c r="O1302" i="19"/>
  <c r="O1303" i="19"/>
  <c r="O1304" i="19"/>
  <c r="O1305" i="19"/>
  <c r="O1306" i="19"/>
  <c r="O1307" i="19"/>
  <c r="O1308" i="19"/>
  <c r="O1309" i="19"/>
  <c r="O1310" i="19"/>
  <c r="O1311" i="19"/>
  <c r="O1312" i="19"/>
  <c r="O1313" i="19"/>
  <c r="O1314" i="19"/>
  <c r="O1315" i="19"/>
  <c r="O1316" i="19"/>
  <c r="O1317" i="19"/>
  <c r="O1318" i="19"/>
  <c r="O1319" i="19"/>
  <c r="O1320" i="19"/>
  <c r="O1321" i="19"/>
  <c r="O1322" i="19"/>
  <c r="O1323" i="19"/>
  <c r="O1324" i="19"/>
  <c r="O1325" i="19"/>
  <c r="O1326" i="19"/>
  <c r="O1327" i="19"/>
  <c r="O1328" i="19"/>
  <c r="O1329" i="19"/>
  <c r="O1330" i="19"/>
  <c r="O1331" i="19"/>
  <c r="O1332" i="19"/>
  <c r="O1333" i="19"/>
  <c r="O1334" i="19"/>
  <c r="O1335" i="19"/>
  <c r="O1336" i="19"/>
  <c r="O1337" i="19"/>
  <c r="O1338" i="19"/>
  <c r="O1339" i="19"/>
  <c r="O1340" i="19"/>
  <c r="O1341" i="19"/>
  <c r="O1342" i="19"/>
  <c r="O1343" i="19"/>
  <c r="O1344" i="19"/>
  <c r="O1345" i="19"/>
  <c r="O1346" i="19"/>
  <c r="O1347" i="19"/>
  <c r="O1348" i="19"/>
  <c r="B7" i="24"/>
  <c r="L1795" i="19"/>
  <c r="O1795" i="19"/>
  <c r="L1582" i="19"/>
  <c r="L1354" i="19"/>
  <c r="L1298" i="19"/>
  <c r="L1070" i="19"/>
  <c r="L818" i="19"/>
  <c r="L590" i="19"/>
  <c r="L1829" i="19"/>
  <c r="L1825" i="19"/>
  <c r="L1821" i="19"/>
  <c r="L1817" i="19"/>
  <c r="L1813" i="19"/>
  <c r="L1809" i="19"/>
  <c r="L1805" i="19"/>
  <c r="L1801" i="19"/>
  <c r="L1797" i="19"/>
  <c r="L1793" i="19"/>
  <c r="L1789" i="19"/>
  <c r="L1785" i="19"/>
  <c r="L1781" i="19"/>
  <c r="L1777" i="19"/>
  <c r="L1773" i="19"/>
  <c r="L1769" i="19"/>
  <c r="L1765" i="19"/>
  <c r="L1761" i="19"/>
  <c r="L1757" i="19"/>
  <c r="L1753" i="19"/>
  <c r="L1749" i="19"/>
  <c r="L1745" i="19"/>
  <c r="L1741" i="19"/>
  <c r="L1737" i="19"/>
  <c r="L1733" i="19"/>
  <c r="L1729" i="19"/>
  <c r="L1725" i="19"/>
  <c r="L1721" i="19"/>
  <c r="L1717" i="19"/>
  <c r="L1713" i="19"/>
  <c r="L1709" i="19"/>
  <c r="L1705" i="19"/>
  <c r="L1701" i="19"/>
  <c r="L1697" i="19"/>
  <c r="L1693" i="19"/>
  <c r="L1689" i="19"/>
  <c r="L1685" i="19"/>
  <c r="L1681" i="19"/>
  <c r="L1677" i="19"/>
  <c r="L1673" i="19"/>
  <c r="L1669" i="19"/>
  <c r="L1665" i="19"/>
  <c r="L1661" i="19"/>
  <c r="L1657" i="19"/>
  <c r="L1653" i="19"/>
  <c r="L1649" i="19"/>
  <c r="L1645" i="19"/>
  <c r="L1641" i="19"/>
  <c r="L1637" i="19"/>
  <c r="L1633" i="19"/>
  <c r="L1629" i="19"/>
  <c r="L1625" i="19"/>
  <c r="L1621" i="19"/>
  <c r="L1617" i="19"/>
  <c r="L1613" i="19"/>
  <c r="L1609" i="19"/>
  <c r="L1605" i="19"/>
  <c r="L1601" i="19"/>
  <c r="L1597" i="19"/>
  <c r="L1593" i="19"/>
  <c r="L1589" i="19"/>
  <c r="L1585" i="19"/>
  <c r="L1581" i="19"/>
  <c r="L1577" i="19"/>
  <c r="L1573" i="19"/>
  <c r="L1569" i="19"/>
  <c r="L1565" i="19"/>
  <c r="L1561" i="19"/>
  <c r="L1557" i="19"/>
  <c r="L1553" i="19"/>
  <c r="L1549" i="19"/>
  <c r="L1545" i="19"/>
  <c r="L1541" i="19"/>
  <c r="L1537" i="19"/>
  <c r="L1533" i="19"/>
  <c r="L1529" i="19"/>
  <c r="L1525" i="19"/>
  <c r="L1521" i="19"/>
  <c r="L1517" i="19"/>
  <c r="L1513" i="19"/>
  <c r="L1509" i="19"/>
  <c r="L1505" i="19"/>
  <c r="L1501" i="19"/>
  <c r="L1497" i="19"/>
  <c r="L1493" i="19"/>
  <c r="L1489" i="19"/>
  <c r="L1485" i="19"/>
  <c r="L1481" i="19"/>
  <c r="L1477" i="19"/>
  <c r="L1473" i="19"/>
  <c r="L1469" i="19"/>
  <c r="L1465" i="19"/>
  <c r="L1461" i="19"/>
  <c r="L1457" i="19"/>
  <c r="L1453" i="19"/>
  <c r="L1449" i="19"/>
  <c r="L1445" i="19"/>
  <c r="L1441" i="19"/>
  <c r="L1437" i="19"/>
  <c r="L1433" i="19"/>
  <c r="L1429" i="19"/>
  <c r="L1425" i="19"/>
  <c r="L1421" i="19"/>
  <c r="L1417" i="19"/>
  <c r="L1413" i="19"/>
  <c r="L1409" i="19"/>
  <c r="L1405" i="19"/>
  <c r="L1401" i="19"/>
  <c r="L1397" i="19"/>
  <c r="L1393" i="19"/>
  <c r="L1389" i="19"/>
  <c r="L1385" i="19"/>
  <c r="L1381" i="19"/>
  <c r="L1377" i="19"/>
  <c r="L1373" i="19"/>
  <c r="L1369" i="19"/>
  <c r="L1365" i="19"/>
  <c r="L1361" i="19"/>
  <c r="L1357" i="19"/>
  <c r="L1353" i="19"/>
  <c r="L1349" i="19"/>
  <c r="L1345" i="19"/>
  <c r="L1341" i="19"/>
  <c r="L1337" i="19"/>
  <c r="L1333" i="19"/>
  <c r="L1329" i="19"/>
  <c r="L1325" i="19"/>
  <c r="L1321" i="19"/>
  <c r="L1317" i="19"/>
  <c r="L1313" i="19"/>
  <c r="L1309" i="19"/>
  <c r="L1305" i="19"/>
  <c r="L1301" i="19"/>
  <c r="L1297" i="19"/>
  <c r="L1293" i="19"/>
  <c r="L1289" i="19"/>
  <c r="L1285" i="19"/>
  <c r="L1281" i="19"/>
  <c r="L1277" i="19"/>
  <c r="L1273" i="19"/>
  <c r="L1269" i="19"/>
  <c r="L1265" i="19"/>
  <c r="L1261" i="19"/>
  <c r="L1257" i="19"/>
  <c r="L1253" i="19"/>
  <c r="L1249" i="19"/>
  <c r="L1245" i="19"/>
  <c r="L1241" i="19"/>
  <c r="L1237" i="19"/>
  <c r="L1233" i="19"/>
  <c r="L1229" i="19"/>
  <c r="L1225" i="19"/>
  <c r="L1221" i="19"/>
  <c r="L1217" i="19"/>
  <c r="L1213" i="19"/>
  <c r="L1209" i="19"/>
  <c r="L1205" i="19"/>
  <c r="L1201" i="19"/>
  <c r="L1197" i="19"/>
  <c r="L1193" i="19"/>
  <c r="L1189" i="19"/>
  <c r="L1185" i="19"/>
  <c r="L1181" i="19"/>
  <c r="L1177" i="19"/>
  <c r="L1173" i="19"/>
  <c r="L1169" i="19"/>
  <c r="L1165" i="19"/>
  <c r="L1161" i="19"/>
  <c r="L1157" i="19"/>
  <c r="L1153" i="19"/>
  <c r="L1149" i="19"/>
  <c r="L1145" i="19"/>
  <c r="L1141" i="19"/>
  <c r="L1137" i="19"/>
  <c r="L1133" i="19"/>
  <c r="L1129" i="19"/>
  <c r="L1125" i="19"/>
  <c r="L1121" i="19"/>
  <c r="L1113" i="19"/>
  <c r="L1105" i="19"/>
  <c r="L1097" i="19"/>
  <c r="L1089" i="19"/>
  <c r="L1081" i="19"/>
  <c r="L1073" i="19"/>
  <c r="L1065" i="19"/>
  <c r="L1061" i="19"/>
  <c r="L1057" i="19"/>
  <c r="L1053" i="19"/>
  <c r="L1049" i="19"/>
  <c r="L1041" i="19"/>
  <c r="L1037" i="19"/>
  <c r="L1033" i="19"/>
  <c r="L1029" i="19"/>
  <c r="L1025" i="19"/>
  <c r="L1021" i="19"/>
  <c r="L1017" i="19"/>
  <c r="L1013" i="19"/>
  <c r="L1009" i="19"/>
  <c r="L1005" i="19"/>
  <c r="L1001" i="19"/>
  <c r="L997" i="19"/>
  <c r="L993" i="19"/>
  <c r="L989" i="19"/>
  <c r="L985" i="19"/>
  <c r="L981" i="19"/>
  <c r="L977" i="19"/>
  <c r="L973" i="19"/>
  <c r="L969" i="19"/>
  <c r="L965" i="19"/>
  <c r="L961" i="19"/>
  <c r="L957" i="19"/>
  <c r="L953" i="19"/>
  <c r="L949" i="19"/>
  <c r="L945" i="19"/>
  <c r="L941" i="19"/>
  <c r="L937" i="19"/>
  <c r="L933" i="19"/>
  <c r="L929" i="19"/>
  <c r="L925" i="19"/>
  <c r="L921" i="19"/>
  <c r="L917" i="19"/>
  <c r="L913" i="19"/>
  <c r="L909" i="19"/>
  <c r="L905" i="19"/>
  <c r="L901" i="19"/>
  <c r="L897" i="19"/>
  <c r="L893" i="19"/>
  <c r="L889" i="19"/>
  <c r="L885" i="19"/>
  <c r="L881" i="19"/>
  <c r="L877" i="19"/>
  <c r="L873" i="19"/>
  <c r="L869" i="19"/>
  <c r="L865" i="19"/>
  <c r="L861" i="19"/>
  <c r="L857" i="19"/>
  <c r="L853" i="19"/>
  <c r="L849" i="19"/>
  <c r="L845" i="19"/>
  <c r="L841" i="19"/>
  <c r="L837" i="19"/>
  <c r="L833" i="19"/>
  <c r="L829" i="19"/>
  <c r="L825" i="19"/>
  <c r="L821" i="19"/>
  <c r="L817" i="19"/>
  <c r="L813" i="19"/>
  <c r="L809" i="19"/>
  <c r="L805" i="19"/>
  <c r="L801" i="19"/>
  <c r="L797" i="19"/>
  <c r="L793" i="19"/>
  <c r="L789" i="19"/>
  <c r="L785" i="19"/>
  <c r="L781" i="19"/>
  <c r="L777" i="19"/>
  <c r="L773" i="19"/>
  <c r="L769" i="19"/>
  <c r="L765" i="19"/>
  <c r="L761" i="19"/>
  <c r="L757" i="19"/>
  <c r="L753" i="19"/>
  <c r="L1117" i="19"/>
  <c r="L1109" i="19"/>
  <c r="L1101" i="19"/>
  <c r="L1093" i="19"/>
  <c r="L1085" i="19"/>
  <c r="L1077" i="19"/>
  <c r="L1069" i="19"/>
  <c r="L1045" i="19"/>
  <c r="L749" i="19"/>
  <c r="L745" i="19"/>
  <c r="L741" i="19"/>
  <c r="L737" i="19"/>
  <c r="L733" i="19"/>
  <c r="L729" i="19"/>
  <c r="L725" i="19"/>
  <c r="L721" i="19"/>
  <c r="L717" i="19"/>
  <c r="L713" i="19"/>
  <c r="L709" i="19"/>
  <c r="L705" i="19"/>
  <c r="L701" i="19"/>
  <c r="L697" i="19"/>
  <c r="L693" i="19"/>
  <c r="L689" i="19"/>
  <c r="L685" i="19"/>
  <c r="L681" i="19"/>
  <c r="L677" i="19"/>
  <c r="L673" i="19"/>
  <c r="L669" i="19"/>
  <c r="L665" i="19"/>
  <c r="L661" i="19"/>
  <c r="L657" i="19"/>
  <c r="L653" i="19"/>
  <c r="L649" i="19"/>
  <c r="L645" i="19"/>
  <c r="L641" i="19"/>
  <c r="L637" i="19"/>
  <c r="L633" i="19"/>
  <c r="L629" i="19"/>
  <c r="L625" i="19"/>
  <c r="L621" i="19"/>
  <c r="L617" i="19"/>
  <c r="L613" i="19"/>
  <c r="L609" i="19"/>
  <c r="L605" i="19"/>
  <c r="L601" i="19"/>
  <c r="L597" i="19"/>
  <c r="L593" i="19"/>
  <c r="L589" i="19"/>
  <c r="L585" i="19"/>
  <c r="L581" i="19"/>
  <c r="L577" i="19"/>
  <c r="L573" i="19"/>
  <c r="L569" i="19"/>
  <c r="L565" i="19"/>
  <c r="L561" i="19"/>
  <c r="L557" i="19"/>
  <c r="L553" i="19"/>
  <c r="L549" i="19"/>
  <c r="L545" i="19"/>
  <c r="L541" i="19"/>
  <c r="L537" i="19"/>
  <c r="L533" i="19"/>
  <c r="L529" i="19"/>
  <c r="L525" i="19"/>
  <c r="L521" i="19"/>
  <c r="L517" i="19"/>
  <c r="L513" i="19"/>
  <c r="L509" i="19"/>
  <c r="L505" i="19"/>
  <c r="L501" i="19"/>
  <c r="L497" i="19"/>
  <c r="L493" i="19"/>
  <c r="L489" i="19"/>
  <c r="L485" i="19"/>
  <c r="L481" i="19"/>
  <c r="L477" i="19"/>
  <c r="L473" i="19"/>
  <c r="L469" i="19"/>
  <c r="L465" i="19"/>
  <c r="L461" i="19"/>
  <c r="L457" i="19"/>
  <c r="M1822" i="19"/>
  <c r="L1144" i="19"/>
  <c r="L1828" i="19"/>
  <c r="L1824" i="19"/>
  <c r="L1820" i="19"/>
  <c r="L1816" i="19"/>
  <c r="L1812" i="19"/>
  <c r="L1808" i="19"/>
  <c r="L1804" i="19"/>
  <c r="L1800" i="19"/>
  <c r="L1796" i="19"/>
  <c r="L1792" i="19"/>
  <c r="L1788" i="19"/>
  <c r="L1784" i="19"/>
  <c r="L1780" i="19"/>
  <c r="L1776" i="19"/>
  <c r="L1772" i="19"/>
  <c r="L1768" i="19"/>
  <c r="L1764" i="19"/>
  <c r="L1760" i="19"/>
  <c r="L1756" i="19"/>
  <c r="L1752" i="19"/>
  <c r="L1748" i="19"/>
  <c r="L1744" i="19"/>
  <c r="L1740" i="19"/>
  <c r="L1736" i="19"/>
  <c r="L1732" i="19"/>
  <c r="L1728" i="19"/>
  <c r="L1724" i="19"/>
  <c r="L1720" i="19"/>
  <c r="L1716" i="19"/>
  <c r="L1712" i="19"/>
  <c r="L1708" i="19"/>
  <c r="L1704" i="19"/>
  <c r="L1700" i="19"/>
  <c r="L1696" i="19"/>
  <c r="L1692" i="19"/>
  <c r="L1688" i="19"/>
  <c r="L1684" i="19"/>
  <c r="L1680" i="19"/>
  <c r="L1676" i="19"/>
  <c r="L1672" i="19"/>
  <c r="L1668" i="19"/>
  <c r="L1664" i="19"/>
  <c r="L1660" i="19"/>
  <c r="L1656" i="19"/>
  <c r="L1652" i="19"/>
  <c r="L1648" i="19"/>
  <c r="L1644" i="19"/>
  <c r="L1640" i="19"/>
  <c r="L1636" i="19"/>
  <c r="L1632" i="19"/>
  <c r="L1628" i="19"/>
  <c r="L1624" i="19"/>
  <c r="L1620" i="19"/>
  <c r="L1616" i="19"/>
  <c r="L1612" i="19"/>
  <c r="L1608" i="19"/>
  <c r="L1604" i="19"/>
  <c r="L1600" i="19"/>
  <c r="L1596" i="19"/>
  <c r="L1592" i="19"/>
  <c r="L1588" i="19"/>
  <c r="L1584" i="19"/>
  <c r="L1580" i="19"/>
  <c r="L1576" i="19"/>
  <c r="L1572" i="19"/>
  <c r="L1568" i="19"/>
  <c r="L1564" i="19"/>
  <c r="L1560" i="19"/>
  <c r="L1556" i="19"/>
  <c r="L1552" i="19"/>
  <c r="L1548" i="19"/>
  <c r="L1544" i="19"/>
  <c r="L1540" i="19"/>
  <c r="L1536" i="19"/>
  <c r="L1532" i="19"/>
  <c r="L1528" i="19"/>
  <c r="L1524" i="19"/>
  <c r="L1520" i="19"/>
  <c r="L1516" i="19"/>
  <c r="L1512" i="19"/>
  <c r="L1508" i="19"/>
  <c r="L1504" i="19"/>
  <c r="L1500" i="19"/>
  <c r="L1496" i="19"/>
  <c r="L1492" i="19"/>
  <c r="L1488" i="19"/>
  <c r="L1484" i="19"/>
  <c r="L1480" i="19"/>
  <c r="L1476" i="19"/>
  <c r="L1472" i="19"/>
  <c r="L1468" i="19"/>
  <c r="L1464" i="19"/>
  <c r="L1460" i="19"/>
  <c r="L1456" i="19"/>
  <c r="L1452" i="19"/>
  <c r="L1448" i="19"/>
  <c r="L1444" i="19"/>
  <c r="L1440" i="19"/>
  <c r="L1436" i="19"/>
  <c r="L1432" i="19"/>
  <c r="L1428" i="19"/>
  <c r="L1424" i="19"/>
  <c r="L1420" i="19"/>
  <c r="L1416" i="19"/>
  <c r="L1412" i="19"/>
  <c r="L1408" i="19"/>
  <c r="L1404" i="19"/>
  <c r="L1400" i="19"/>
  <c r="L1396" i="19"/>
  <c r="L1392" i="19"/>
  <c r="L1388" i="19"/>
  <c r="L1384" i="19"/>
  <c r="L1380" i="19"/>
  <c r="L1376" i="19"/>
  <c r="L1372" i="19"/>
  <c r="L1368" i="19"/>
  <c r="L1364" i="19"/>
  <c r="L1360" i="19"/>
  <c r="L1356" i="19"/>
  <c r="L1352" i="19"/>
  <c r="L1348" i="19"/>
  <c r="L1344" i="19"/>
  <c r="L1340" i="19"/>
  <c r="L1336" i="19"/>
  <c r="L1332" i="19"/>
  <c r="L1328" i="19"/>
  <c r="L1324" i="19"/>
  <c r="L1320" i="19"/>
  <c r="L1316" i="19"/>
  <c r="L1312" i="19"/>
  <c r="L1308" i="19"/>
  <c r="L1304" i="19"/>
  <c r="L1300" i="19"/>
  <c r="L1296" i="19"/>
  <c r="L1292" i="19"/>
  <c r="L1288" i="19"/>
  <c r="L1284" i="19"/>
  <c r="L1280" i="19"/>
  <c r="L1276" i="19"/>
  <c r="L1272" i="19"/>
  <c r="L1268" i="19"/>
  <c r="L1264" i="19"/>
  <c r="L1260" i="19"/>
  <c r="L1256" i="19"/>
  <c r="L1252" i="19"/>
  <c r="L1248" i="19"/>
  <c r="L1244" i="19"/>
  <c r="L1240" i="19"/>
  <c r="L1236" i="19"/>
  <c r="L1232" i="19"/>
  <c r="L1228" i="19"/>
  <c r="L1224" i="19"/>
  <c r="L1220" i="19"/>
  <c r="L1216" i="19"/>
  <c r="L1212" i="19"/>
  <c r="L1208" i="19"/>
  <c r="L1204" i="19"/>
  <c r="L1200" i="19"/>
  <c r="L1196" i="19"/>
  <c r="L1192" i="19"/>
  <c r="L1188" i="19"/>
  <c r="L1184" i="19"/>
  <c r="L1180" i="19"/>
  <c r="L1176" i="19"/>
  <c r="L1172" i="19"/>
  <c r="L1168" i="19"/>
  <c r="L1164" i="19"/>
  <c r="L1160" i="19"/>
  <c r="L1156" i="19"/>
  <c r="L1152" i="19"/>
  <c r="L1148" i="19"/>
  <c r="L1140" i="19"/>
  <c r="L1136" i="19"/>
  <c r="L1132" i="19"/>
  <c r="L1128" i="19"/>
  <c r="L1124" i="19"/>
  <c r="L1120" i="19"/>
  <c r="L1116" i="19"/>
  <c r="L1112" i="19"/>
  <c r="L1108" i="19"/>
  <c r="L1104" i="19"/>
  <c r="L1100" i="19"/>
  <c r="L1096" i="19"/>
  <c r="L1092" i="19"/>
  <c r="L1088" i="19"/>
  <c r="L1084" i="19"/>
  <c r="L1080" i="19"/>
  <c r="L1076" i="19"/>
  <c r="L1072" i="19"/>
  <c r="L1068" i="19"/>
  <c r="L1064" i="19"/>
  <c r="L1060" i="19"/>
  <c r="L1056" i="19"/>
  <c r="L1052" i="19"/>
  <c r="L1048" i="19"/>
  <c r="L1044" i="19"/>
  <c r="L1040" i="19"/>
  <c r="L1036" i="19"/>
  <c r="L1032" i="19"/>
  <c r="L1028" i="19"/>
  <c r="L1024" i="19"/>
  <c r="L1020" i="19"/>
  <c r="L1016" i="19"/>
  <c r="L1012" i="19"/>
  <c r="L1008" i="19"/>
  <c r="L1004" i="19"/>
  <c r="L1000" i="19"/>
  <c r="L996" i="19"/>
  <c r="L992" i="19"/>
  <c r="L988" i="19"/>
  <c r="L984" i="19"/>
  <c r="L980" i="19"/>
  <c r="L976" i="19"/>
  <c r="L972" i="19"/>
  <c r="L968" i="19"/>
  <c r="L964" i="19"/>
  <c r="L960" i="19"/>
  <c r="L956" i="19"/>
  <c r="L952" i="19"/>
  <c r="L948" i="19"/>
  <c r="L944" i="19"/>
  <c r="L940" i="19"/>
  <c r="L936" i="19"/>
  <c r="L932" i="19"/>
  <c r="L928" i="19"/>
  <c r="L924" i="19"/>
  <c r="L920" i="19"/>
  <c r="L916" i="19"/>
  <c r="L912" i="19"/>
  <c r="L908" i="19"/>
  <c r="L904" i="19"/>
  <c r="L900" i="19"/>
  <c r="L896" i="19"/>
  <c r="L892" i="19"/>
  <c r="L888" i="19"/>
  <c r="L884" i="19"/>
  <c r="L880" i="19"/>
  <c r="L876" i="19"/>
  <c r="L872" i="19"/>
  <c r="L868" i="19"/>
  <c r="L864" i="19"/>
  <c r="L860" i="19"/>
  <c r="L856" i="19"/>
  <c r="L852" i="19"/>
  <c r="L848" i="19"/>
  <c r="L844" i="19"/>
  <c r="L840" i="19"/>
  <c r="L836" i="19"/>
  <c r="L832" i="19"/>
  <c r="L828" i="19"/>
  <c r="L824" i="19"/>
  <c r="L820" i="19"/>
  <c r="L816" i="19"/>
  <c r="L812" i="19"/>
  <c r="L808" i="19"/>
  <c r="L804" i="19"/>
  <c r="L800" i="19"/>
  <c r="M1790" i="19"/>
  <c r="M831" i="19"/>
  <c r="L796" i="19"/>
  <c r="L784" i="19"/>
  <c r="L776" i="19"/>
  <c r="L768" i="19"/>
  <c r="L760" i="19"/>
  <c r="L752" i="19"/>
  <c r="L744" i="19"/>
  <c r="L736" i="19"/>
  <c r="L728" i="19"/>
  <c r="L724" i="19"/>
  <c r="L716" i="19"/>
  <c r="L708" i="19"/>
  <c r="L700" i="19"/>
  <c r="L688" i="19"/>
  <c r="L680" i="19"/>
  <c r="L672" i="19"/>
  <c r="L664" i="19"/>
  <c r="L656" i="19"/>
  <c r="L648" i="19"/>
  <c r="L640" i="19"/>
  <c r="L632" i="19"/>
  <c r="L624" i="19"/>
  <c r="L616" i="19"/>
  <c r="L608" i="19"/>
  <c r="L600" i="19"/>
  <c r="L592" i="19"/>
  <c r="L584" i="19"/>
  <c r="L576" i="19"/>
  <c r="L568" i="19"/>
  <c r="L556" i="19"/>
  <c r="L548" i="19"/>
  <c r="L540" i="19"/>
  <c r="L532" i="19"/>
  <c r="L524" i="19"/>
  <c r="L516" i="19"/>
  <c r="L508" i="19"/>
  <c r="L500" i="19"/>
  <c r="L492" i="19"/>
  <c r="L484" i="19"/>
  <c r="L476" i="19"/>
  <c r="L468" i="19"/>
  <c r="L460" i="19"/>
  <c r="L452" i="19"/>
  <c r="L444" i="19"/>
  <c r="L436" i="19"/>
  <c r="L428" i="19"/>
  <c r="L420" i="19"/>
  <c r="L412" i="19"/>
  <c r="L400" i="19"/>
  <c r="L392" i="19"/>
  <c r="L384" i="19"/>
  <c r="L376" i="19"/>
  <c r="L368" i="19"/>
  <c r="L360" i="19"/>
  <c r="L352" i="19"/>
  <c r="L344" i="19"/>
  <c r="L332" i="19"/>
  <c r="L324" i="19"/>
  <c r="L316" i="19"/>
  <c r="L308" i="19"/>
  <c r="L300" i="19"/>
  <c r="L292" i="19"/>
  <c r="L284" i="19"/>
  <c r="L272" i="19"/>
  <c r="L264" i="19"/>
  <c r="L256" i="19"/>
  <c r="L248" i="19"/>
  <c r="L240" i="19"/>
  <c r="L232" i="19"/>
  <c r="L224" i="19"/>
  <c r="L216" i="19"/>
  <c r="L208" i="19"/>
  <c r="L204" i="19"/>
  <c r="L196" i="19"/>
  <c r="L188" i="19"/>
  <c r="L176" i="19"/>
  <c r="M523" i="19"/>
  <c r="L792" i="19"/>
  <c r="L788" i="19"/>
  <c r="L780" i="19"/>
  <c r="L772" i="19"/>
  <c r="L764" i="19"/>
  <c r="L756" i="19"/>
  <c r="L748" i="19"/>
  <c r="L740" i="19"/>
  <c r="L732" i="19"/>
  <c r="L720" i="19"/>
  <c r="L712" i="19"/>
  <c r="L704" i="19"/>
  <c r="L696" i="19"/>
  <c r="L692" i="19"/>
  <c r="L684" i="19"/>
  <c r="L676" i="19"/>
  <c r="L668" i="19"/>
  <c r="L660" i="19"/>
  <c r="L652" i="19"/>
  <c r="L644" i="19"/>
  <c r="L636" i="19"/>
  <c r="L628" i="19"/>
  <c r="L620" i="19"/>
  <c r="L612" i="19"/>
  <c r="L604" i="19"/>
  <c r="L596" i="19"/>
  <c r="L588" i="19"/>
  <c r="L580" i="19"/>
  <c r="L572" i="19"/>
  <c r="L564" i="19"/>
  <c r="L560" i="19"/>
  <c r="L552" i="19"/>
  <c r="L544" i="19"/>
  <c r="L536" i="19"/>
  <c r="L528" i="19"/>
  <c r="L520" i="19"/>
  <c r="L512" i="19"/>
  <c r="L504" i="19"/>
  <c r="L496" i="19"/>
  <c r="L488" i="19"/>
  <c r="L480" i="19"/>
  <c r="L472" i="19"/>
  <c r="L464" i="19"/>
  <c r="L456" i="19"/>
  <c r="L448" i="19"/>
  <c r="L440" i="19"/>
  <c r="L432" i="19"/>
  <c r="L424" i="19"/>
  <c r="L416" i="19"/>
  <c r="L408" i="19"/>
  <c r="L404" i="19"/>
  <c r="L396" i="19"/>
  <c r="L388" i="19"/>
  <c r="L380" i="19"/>
  <c r="L372" i="19"/>
  <c r="L364" i="19"/>
  <c r="L356" i="19"/>
  <c r="L348" i="19"/>
  <c r="L340" i="19"/>
  <c r="L336" i="19"/>
  <c r="L328" i="19"/>
  <c r="L320" i="19"/>
  <c r="L312" i="19"/>
  <c r="L304" i="19"/>
  <c r="L296" i="19"/>
  <c r="L288" i="19"/>
  <c r="L280" i="19"/>
  <c r="L276" i="19"/>
  <c r="L268" i="19"/>
  <c r="L260" i="19"/>
  <c r="L252" i="19"/>
  <c r="L244" i="19"/>
  <c r="L236" i="19"/>
  <c r="L228" i="19"/>
  <c r="L220" i="19"/>
  <c r="L212" i="19"/>
  <c r="L200" i="19"/>
  <c r="L192" i="19"/>
  <c r="L184" i="19"/>
  <c r="L180" i="19"/>
  <c r="M258" i="19"/>
  <c r="I1829" i="19"/>
  <c r="Q1829" i="19" s="1"/>
  <c r="M1829" i="19"/>
  <c r="I1825" i="19"/>
  <c r="Q1825" i="19" s="1"/>
  <c r="M1825" i="19"/>
  <c r="I1821" i="19"/>
  <c r="Q1821" i="19" s="1"/>
  <c r="M1821" i="19"/>
  <c r="I1817" i="19"/>
  <c r="Q1817" i="19" s="1"/>
  <c r="M1817" i="19"/>
  <c r="I1813" i="19"/>
  <c r="Q1813" i="19" s="1"/>
  <c r="M1813" i="19"/>
  <c r="I1809" i="19"/>
  <c r="Q1809" i="19" s="1"/>
  <c r="M1809" i="19"/>
  <c r="I1805" i="19"/>
  <c r="Q1805" i="19" s="1"/>
  <c r="M1805" i="19"/>
  <c r="I1797" i="19"/>
  <c r="Q1797" i="19" s="1"/>
  <c r="M1797" i="19"/>
  <c r="I1793" i="19"/>
  <c r="Q1793" i="19" s="1"/>
  <c r="M1793" i="19"/>
  <c r="I1789" i="19"/>
  <c r="Q1789" i="19" s="1"/>
  <c r="M1789" i="19"/>
  <c r="I1785" i="19"/>
  <c r="Q1785" i="19" s="1"/>
  <c r="M1785" i="19"/>
  <c r="I1781" i="19"/>
  <c r="Q1781" i="19" s="1"/>
  <c r="M1781" i="19"/>
  <c r="I1777" i="19"/>
  <c r="Q1777" i="19" s="1"/>
  <c r="M1777" i="19"/>
  <c r="I1773" i="19"/>
  <c r="Q1773" i="19" s="1"/>
  <c r="M1773" i="19"/>
  <c r="I1765" i="19"/>
  <c r="Q1765" i="19" s="1"/>
  <c r="M1765" i="19"/>
  <c r="I1761" i="19"/>
  <c r="Q1761" i="19" s="1"/>
  <c r="M1761" i="19"/>
  <c r="I1757" i="19"/>
  <c r="Q1757" i="19" s="1"/>
  <c r="M1757" i="19"/>
  <c r="I1753" i="19"/>
  <c r="Q1753" i="19" s="1"/>
  <c r="M1753" i="19"/>
  <c r="I1749" i="19"/>
  <c r="Q1749" i="19" s="1"/>
  <c r="M1749" i="19"/>
  <c r="I1745" i="19"/>
  <c r="Q1745" i="19" s="1"/>
  <c r="M1745" i="19"/>
  <c r="I1741" i="19"/>
  <c r="Q1741" i="19" s="1"/>
  <c r="M1741" i="19"/>
  <c r="I1733" i="19"/>
  <c r="Q1733" i="19" s="1"/>
  <c r="M1733" i="19"/>
  <c r="I1729" i="19"/>
  <c r="Q1729" i="19" s="1"/>
  <c r="M1729" i="19"/>
  <c r="I1725" i="19"/>
  <c r="Q1725" i="19" s="1"/>
  <c r="M1725" i="19"/>
  <c r="I1721" i="19"/>
  <c r="Q1721" i="19" s="1"/>
  <c r="M1721" i="19"/>
  <c r="I1717" i="19"/>
  <c r="Q1717" i="19" s="1"/>
  <c r="M1717" i="19"/>
  <c r="I1713" i="19"/>
  <c r="Q1713" i="19" s="1"/>
  <c r="M1713" i="19"/>
  <c r="I1709" i="19"/>
  <c r="Q1709" i="19" s="1"/>
  <c r="M1709" i="19"/>
  <c r="I1701" i="19"/>
  <c r="Q1701" i="19" s="1"/>
  <c r="M1701" i="19"/>
  <c r="I1697" i="19"/>
  <c r="Q1697" i="19" s="1"/>
  <c r="M1697" i="19"/>
  <c r="I1693" i="19"/>
  <c r="Q1693" i="19" s="1"/>
  <c r="M1693" i="19"/>
  <c r="I1689" i="19"/>
  <c r="Q1689" i="19" s="1"/>
  <c r="M1689" i="19"/>
  <c r="I1685" i="19"/>
  <c r="Q1685" i="19" s="1"/>
  <c r="M1685" i="19"/>
  <c r="I1681" i="19"/>
  <c r="Q1681" i="19" s="1"/>
  <c r="M1681" i="19"/>
  <c r="I1677" i="19"/>
  <c r="Q1677" i="19" s="1"/>
  <c r="M1677" i="19"/>
  <c r="I1669" i="19"/>
  <c r="Q1669" i="19" s="1"/>
  <c r="M1669" i="19"/>
  <c r="I1665" i="19"/>
  <c r="Q1665" i="19" s="1"/>
  <c r="M1665" i="19"/>
  <c r="I1661" i="19"/>
  <c r="Q1661" i="19" s="1"/>
  <c r="M1661" i="19"/>
  <c r="I1657" i="19"/>
  <c r="Q1657" i="19" s="1"/>
  <c r="M1657" i="19"/>
  <c r="I1653" i="19"/>
  <c r="Q1653" i="19" s="1"/>
  <c r="M1653" i="19"/>
  <c r="I1649" i="19"/>
  <c r="Q1649" i="19" s="1"/>
  <c r="M1649" i="19"/>
  <c r="I1645" i="19"/>
  <c r="Q1645" i="19" s="1"/>
  <c r="M1645" i="19"/>
  <c r="M1637" i="19"/>
  <c r="I1637" i="19"/>
  <c r="Q1637" i="19" s="1"/>
  <c r="I1633" i="19"/>
  <c r="Q1633" i="19" s="1"/>
  <c r="M1633" i="19"/>
  <c r="I1629" i="19"/>
  <c r="Q1629" i="19" s="1"/>
  <c r="M1629" i="19"/>
  <c r="I1625" i="19"/>
  <c r="Q1625" i="19" s="1"/>
  <c r="M1625" i="19"/>
  <c r="M1621" i="19"/>
  <c r="I1621" i="19"/>
  <c r="Q1621" i="19" s="1"/>
  <c r="I1617" i="19"/>
  <c r="Q1617" i="19" s="1"/>
  <c r="M1617" i="19"/>
  <c r="I1613" i="19"/>
  <c r="Q1613" i="19" s="1"/>
  <c r="M1613" i="19"/>
  <c r="I1605" i="19"/>
  <c r="Q1605" i="19" s="1"/>
  <c r="M1605" i="19"/>
  <c r="I1601" i="19"/>
  <c r="Q1601" i="19" s="1"/>
  <c r="M1601" i="19"/>
  <c r="I1597" i="19"/>
  <c r="Q1597" i="19" s="1"/>
  <c r="M1597" i="19"/>
  <c r="I1593" i="19"/>
  <c r="Q1593" i="19" s="1"/>
  <c r="M1593" i="19"/>
  <c r="I1589" i="19"/>
  <c r="Q1589" i="19" s="1"/>
  <c r="M1589" i="19"/>
  <c r="I1585" i="19"/>
  <c r="Q1585" i="19" s="1"/>
  <c r="M1585" i="19"/>
  <c r="I1581" i="19"/>
  <c r="Q1581" i="19" s="1"/>
  <c r="M1581" i="19"/>
  <c r="I1573" i="19"/>
  <c r="Q1573" i="19" s="1"/>
  <c r="M1573" i="19"/>
  <c r="I1569" i="19"/>
  <c r="Q1569" i="19" s="1"/>
  <c r="M1569" i="19"/>
  <c r="I1565" i="19"/>
  <c r="Q1565" i="19" s="1"/>
  <c r="M1565" i="19"/>
  <c r="I1561" i="19"/>
  <c r="Q1561" i="19" s="1"/>
  <c r="M1561" i="19"/>
  <c r="M1557" i="19"/>
  <c r="I1557" i="19"/>
  <c r="Q1557" i="19" s="1"/>
  <c r="I1553" i="19"/>
  <c r="Q1553" i="19" s="1"/>
  <c r="M1553" i="19"/>
  <c r="I1549" i="19"/>
  <c r="Q1549" i="19" s="1"/>
  <c r="M1549" i="19"/>
  <c r="I1541" i="19"/>
  <c r="Q1541" i="19" s="1"/>
  <c r="M1541" i="19"/>
  <c r="I1537" i="19"/>
  <c r="Q1537" i="19" s="1"/>
  <c r="M1537" i="19"/>
  <c r="I1533" i="19"/>
  <c r="Q1533" i="19" s="1"/>
  <c r="M1533" i="19"/>
  <c r="I1529" i="19"/>
  <c r="Q1529" i="19" s="1"/>
  <c r="M1529" i="19"/>
  <c r="I1521" i="19"/>
  <c r="Q1521" i="19" s="1"/>
  <c r="M1521" i="19"/>
  <c r="I1517" i="19"/>
  <c r="Q1517" i="19" s="1"/>
  <c r="M1517" i="19"/>
  <c r="I1509" i="19"/>
  <c r="Q1509" i="19" s="1"/>
  <c r="M1509" i="19"/>
  <c r="I1505" i="19"/>
  <c r="Q1505" i="19" s="1"/>
  <c r="M1505" i="19"/>
  <c r="I1501" i="19"/>
  <c r="Q1501" i="19" s="1"/>
  <c r="M1501" i="19"/>
  <c r="I1497" i="19"/>
  <c r="Q1497" i="19" s="1"/>
  <c r="M1497" i="19"/>
  <c r="I1493" i="19"/>
  <c r="Q1493" i="19" s="1"/>
  <c r="M1493" i="19"/>
  <c r="I1489" i="19"/>
  <c r="Q1489" i="19" s="1"/>
  <c r="M1489" i="19"/>
  <c r="I1485" i="19"/>
  <c r="Q1485" i="19" s="1"/>
  <c r="M1485" i="19"/>
  <c r="I1477" i="19"/>
  <c r="Q1477" i="19" s="1"/>
  <c r="M1477" i="19"/>
  <c r="I1473" i="19"/>
  <c r="Q1473" i="19" s="1"/>
  <c r="M1473" i="19"/>
  <c r="I1469" i="19"/>
  <c r="Q1469" i="19" s="1"/>
  <c r="M1469" i="19"/>
  <c r="I1465" i="19"/>
  <c r="Q1465" i="19" s="1"/>
  <c r="M1465" i="19"/>
  <c r="M1461" i="19"/>
  <c r="I1461" i="19"/>
  <c r="Q1461" i="19" s="1"/>
  <c r="I1457" i="19"/>
  <c r="Q1457" i="19" s="1"/>
  <c r="M1457" i="19"/>
  <c r="I1453" i="19"/>
  <c r="Q1453" i="19" s="1"/>
  <c r="M1453" i="19"/>
  <c r="I1445" i="19"/>
  <c r="Q1445" i="19" s="1"/>
  <c r="M1445" i="19"/>
  <c r="I1441" i="19"/>
  <c r="Q1441" i="19" s="1"/>
  <c r="M1441" i="19"/>
  <c r="I1437" i="19"/>
  <c r="Q1437" i="19" s="1"/>
  <c r="M1437" i="19"/>
  <c r="I1433" i="19"/>
  <c r="Q1433" i="19" s="1"/>
  <c r="M1433" i="19"/>
  <c r="I1429" i="19"/>
  <c r="Q1429" i="19" s="1"/>
  <c r="M1429" i="19"/>
  <c r="I1425" i="19"/>
  <c r="Q1425" i="19" s="1"/>
  <c r="M1425" i="19"/>
  <c r="I1421" i="19"/>
  <c r="Q1421" i="19" s="1"/>
  <c r="M1421" i="19"/>
  <c r="I1413" i="19"/>
  <c r="Q1413" i="19" s="1"/>
  <c r="M1413" i="19"/>
  <c r="I1409" i="19"/>
  <c r="Q1409" i="19" s="1"/>
  <c r="M1409" i="19"/>
  <c r="I1405" i="19"/>
  <c r="Q1405" i="19" s="1"/>
  <c r="M1405" i="19"/>
  <c r="I1401" i="19"/>
  <c r="Q1401" i="19" s="1"/>
  <c r="M1401" i="19"/>
  <c r="I1397" i="19"/>
  <c r="Q1397" i="19" s="1"/>
  <c r="M1397" i="19"/>
  <c r="I1393" i="19"/>
  <c r="Q1393" i="19" s="1"/>
  <c r="M1393" i="19"/>
  <c r="I1389" i="19"/>
  <c r="Q1389" i="19" s="1"/>
  <c r="M1389" i="19"/>
  <c r="I1381" i="19"/>
  <c r="Q1381" i="19" s="1"/>
  <c r="M1381" i="19"/>
  <c r="I1377" i="19"/>
  <c r="Q1377" i="19" s="1"/>
  <c r="M1377" i="19"/>
  <c r="I1373" i="19"/>
  <c r="Q1373" i="19" s="1"/>
  <c r="M1373" i="19"/>
  <c r="I1369" i="19"/>
  <c r="Q1369" i="19" s="1"/>
  <c r="M1369" i="19"/>
  <c r="I1361" i="19"/>
  <c r="Q1361" i="19" s="1"/>
  <c r="M1361" i="19"/>
  <c r="I1357" i="19"/>
  <c r="Q1357" i="19" s="1"/>
  <c r="M1357" i="19"/>
  <c r="I1349" i="19"/>
  <c r="Q1349" i="19" s="1"/>
  <c r="M1349" i="19"/>
  <c r="I1345" i="19"/>
  <c r="Q1345" i="19" s="1"/>
  <c r="M1345" i="19"/>
  <c r="I1341" i="19"/>
  <c r="Q1341" i="19" s="1"/>
  <c r="M1341" i="19"/>
  <c r="I1337" i="19"/>
  <c r="Q1337" i="19" s="1"/>
  <c r="M1337" i="19"/>
  <c r="I1333" i="19"/>
  <c r="Q1333" i="19" s="1"/>
  <c r="M1333" i="19"/>
  <c r="I1329" i="19"/>
  <c r="Q1329" i="19" s="1"/>
  <c r="M1329" i="19"/>
  <c r="I1325" i="19"/>
  <c r="Q1325" i="19" s="1"/>
  <c r="M1325" i="19"/>
  <c r="I1317" i="19"/>
  <c r="Q1317" i="19" s="1"/>
  <c r="M1317" i="19"/>
  <c r="I1313" i="19"/>
  <c r="Q1313" i="19" s="1"/>
  <c r="M1313" i="19"/>
  <c r="I1309" i="19"/>
  <c r="Q1309" i="19" s="1"/>
  <c r="M1309" i="19"/>
  <c r="I1305" i="19"/>
  <c r="Q1305" i="19" s="1"/>
  <c r="M1305" i="19"/>
  <c r="I1301" i="19"/>
  <c r="Q1301" i="19" s="1"/>
  <c r="M1301" i="19"/>
  <c r="I1297" i="19"/>
  <c r="Q1297" i="19" s="1"/>
  <c r="M1297" i="19"/>
  <c r="I1293" i="19"/>
  <c r="Q1293" i="19" s="1"/>
  <c r="M1293" i="19"/>
  <c r="I1285" i="19"/>
  <c r="Q1285" i="19" s="1"/>
  <c r="M1285" i="19"/>
  <c r="I1281" i="19"/>
  <c r="Q1281" i="19" s="1"/>
  <c r="M1281" i="19"/>
  <c r="I1277" i="19"/>
  <c r="Q1277" i="19" s="1"/>
  <c r="M1277" i="19"/>
  <c r="I1269" i="19"/>
  <c r="Q1269" i="19" s="1"/>
  <c r="M1269" i="19"/>
  <c r="I1265" i="19"/>
  <c r="Q1265" i="19" s="1"/>
  <c r="M1265" i="19"/>
  <c r="I1261" i="19"/>
  <c r="Q1261" i="19" s="1"/>
  <c r="M1261" i="19"/>
  <c r="I1257" i="19"/>
  <c r="Q1257" i="19" s="1"/>
  <c r="M1257" i="19"/>
  <c r="I1253" i="19"/>
  <c r="Q1253" i="19" s="1"/>
  <c r="M1253" i="19"/>
  <c r="I1249" i="19"/>
  <c r="Q1249" i="19" s="1"/>
  <c r="M1249" i="19"/>
  <c r="I1245" i="19"/>
  <c r="Q1245" i="19" s="1"/>
  <c r="M1245" i="19"/>
  <c r="I1237" i="19"/>
  <c r="Q1237" i="19" s="1"/>
  <c r="M1237" i="19"/>
  <c r="I1233" i="19"/>
  <c r="Q1233" i="19" s="1"/>
  <c r="M1233" i="19"/>
  <c r="I1229" i="19"/>
  <c r="Q1229" i="19" s="1"/>
  <c r="M1229" i="19"/>
  <c r="I1225" i="19"/>
  <c r="Q1225" i="19" s="1"/>
  <c r="M1225" i="19"/>
  <c r="M1221" i="19"/>
  <c r="I1221" i="19"/>
  <c r="Q1221" i="19" s="1"/>
  <c r="I1217" i="19"/>
  <c r="Q1217" i="19" s="1"/>
  <c r="M1217" i="19"/>
  <c r="I1213" i="19"/>
  <c r="Q1213" i="19" s="1"/>
  <c r="M1213" i="19"/>
  <c r="I1205" i="19"/>
  <c r="Q1205" i="19" s="1"/>
  <c r="M1205" i="19"/>
  <c r="I1201" i="19"/>
  <c r="Q1201" i="19" s="1"/>
  <c r="M1201" i="19"/>
  <c r="I1197" i="19"/>
  <c r="Q1197" i="19" s="1"/>
  <c r="M1197" i="19"/>
  <c r="I1193" i="19"/>
  <c r="Q1193" i="19" s="1"/>
  <c r="M1193" i="19"/>
  <c r="I1189" i="19"/>
  <c r="Q1189" i="19" s="1"/>
  <c r="M1189" i="19"/>
  <c r="I1185" i="19"/>
  <c r="Q1185" i="19" s="1"/>
  <c r="M1185" i="19"/>
  <c r="I1181" i="19"/>
  <c r="Q1181" i="19" s="1"/>
  <c r="M1181" i="19"/>
  <c r="I1173" i="19"/>
  <c r="Q1173" i="19" s="1"/>
  <c r="M1173" i="19"/>
  <c r="I1169" i="19"/>
  <c r="Q1169" i="19" s="1"/>
  <c r="M1169" i="19"/>
  <c r="I1165" i="19"/>
  <c r="Q1165" i="19" s="1"/>
  <c r="M1165" i="19"/>
  <c r="I1161" i="19"/>
  <c r="Q1161" i="19" s="1"/>
  <c r="M1161" i="19"/>
  <c r="M1157" i="19"/>
  <c r="I1157" i="19"/>
  <c r="Q1157" i="19" s="1"/>
  <c r="I1153" i="19"/>
  <c r="Q1153" i="19" s="1"/>
  <c r="M1153" i="19"/>
  <c r="I1149" i="19"/>
  <c r="Q1149" i="19" s="1"/>
  <c r="M1149" i="19"/>
  <c r="I1141" i="19"/>
  <c r="Q1141" i="19" s="1"/>
  <c r="M1141" i="19"/>
  <c r="I1137" i="19"/>
  <c r="Q1137" i="19" s="1"/>
  <c r="M1137" i="19"/>
  <c r="I1133" i="19"/>
  <c r="Q1133" i="19" s="1"/>
  <c r="M1133" i="19"/>
  <c r="I1129" i="19"/>
  <c r="Q1129" i="19" s="1"/>
  <c r="M1129" i="19"/>
  <c r="M1125" i="19"/>
  <c r="I1125" i="19"/>
  <c r="Q1125" i="19" s="1"/>
  <c r="I1121" i="19"/>
  <c r="Q1121" i="19" s="1"/>
  <c r="M1121" i="19"/>
  <c r="I1117" i="19"/>
  <c r="Q1117" i="19" s="1"/>
  <c r="M1117" i="19"/>
  <c r="I1109" i="19"/>
  <c r="Q1109" i="19" s="1"/>
  <c r="M1109" i="19"/>
  <c r="I1105" i="19"/>
  <c r="Q1105" i="19" s="1"/>
  <c r="M1105" i="19"/>
  <c r="I1101" i="19"/>
  <c r="Q1101" i="19" s="1"/>
  <c r="M1101" i="19"/>
  <c r="I1097" i="19"/>
  <c r="Q1097" i="19" s="1"/>
  <c r="M1097" i="19"/>
  <c r="I1093" i="19"/>
  <c r="Q1093" i="19" s="1"/>
  <c r="M1093" i="19"/>
  <c r="I1089" i="19"/>
  <c r="Q1089" i="19" s="1"/>
  <c r="M1089" i="19"/>
  <c r="I1085" i="19"/>
  <c r="Q1085" i="19" s="1"/>
  <c r="M1085" i="19"/>
  <c r="I1077" i="19"/>
  <c r="Q1077" i="19" s="1"/>
  <c r="M1077" i="19"/>
  <c r="I1073" i="19"/>
  <c r="Q1073" i="19" s="1"/>
  <c r="M1073" i="19"/>
  <c r="I1069" i="19"/>
  <c r="Q1069" i="19" s="1"/>
  <c r="M1069" i="19"/>
  <c r="I1065" i="19"/>
  <c r="Q1065" i="19" s="1"/>
  <c r="M1065" i="19"/>
  <c r="I1061" i="19"/>
  <c r="Q1061" i="19" s="1"/>
  <c r="M1061" i="19"/>
  <c r="I1057" i="19"/>
  <c r="Q1057" i="19" s="1"/>
  <c r="M1057" i="19"/>
  <c r="I1053" i="19"/>
  <c r="Q1053" i="19" s="1"/>
  <c r="M1053" i="19"/>
  <c r="I1045" i="19"/>
  <c r="Q1045" i="19" s="1"/>
  <c r="M1045" i="19"/>
  <c r="I1041" i="19"/>
  <c r="Q1041" i="19" s="1"/>
  <c r="M1041" i="19"/>
  <c r="I1037" i="19"/>
  <c r="Q1037" i="19" s="1"/>
  <c r="M1037" i="19"/>
  <c r="I1033" i="19"/>
  <c r="Q1033" i="19" s="1"/>
  <c r="M1033" i="19"/>
  <c r="I1029" i="19"/>
  <c r="Q1029" i="19" s="1"/>
  <c r="M1029" i="19"/>
  <c r="I1025" i="19"/>
  <c r="Q1025" i="19" s="1"/>
  <c r="M1025" i="19"/>
  <c r="I1021" i="19"/>
  <c r="Q1021" i="19" s="1"/>
  <c r="M1021" i="19"/>
  <c r="I1013" i="19"/>
  <c r="Q1013" i="19" s="1"/>
  <c r="M1013" i="19"/>
  <c r="I1009" i="19"/>
  <c r="Q1009" i="19" s="1"/>
  <c r="M1009" i="19"/>
  <c r="I1005" i="19"/>
  <c r="Q1005" i="19" s="1"/>
  <c r="M1005" i="19"/>
  <c r="I1001" i="19"/>
  <c r="Q1001" i="19" s="1"/>
  <c r="M1001" i="19"/>
  <c r="I997" i="19"/>
  <c r="Q997" i="19" s="1"/>
  <c r="M997" i="19"/>
  <c r="I993" i="19"/>
  <c r="Q993" i="19" s="1"/>
  <c r="M993" i="19"/>
  <c r="I989" i="19"/>
  <c r="Q989" i="19" s="1"/>
  <c r="M989" i="19"/>
  <c r="I981" i="19"/>
  <c r="Q981" i="19" s="1"/>
  <c r="M981" i="19"/>
  <c r="I977" i="19"/>
  <c r="Q977" i="19" s="1"/>
  <c r="M977" i="19"/>
  <c r="I973" i="19"/>
  <c r="Q973" i="19" s="1"/>
  <c r="M973" i="19"/>
  <c r="I969" i="19"/>
  <c r="Q969" i="19" s="1"/>
  <c r="M969" i="19"/>
  <c r="I965" i="19"/>
  <c r="Q965" i="19" s="1"/>
  <c r="M965" i="19"/>
  <c r="I961" i="19"/>
  <c r="Q961" i="19" s="1"/>
  <c r="M961" i="19"/>
  <c r="I957" i="19"/>
  <c r="Q957" i="19" s="1"/>
  <c r="M957" i="19"/>
  <c r="I949" i="19"/>
  <c r="Q949" i="19" s="1"/>
  <c r="M949" i="19"/>
  <c r="I945" i="19"/>
  <c r="Q945" i="19" s="1"/>
  <c r="M945" i="19"/>
  <c r="I941" i="19"/>
  <c r="Q941" i="19" s="1"/>
  <c r="M941" i="19"/>
  <c r="I937" i="19"/>
  <c r="Q937" i="19" s="1"/>
  <c r="M937" i="19"/>
  <c r="I933" i="19"/>
  <c r="Q933" i="19" s="1"/>
  <c r="M933" i="19"/>
  <c r="I929" i="19"/>
  <c r="Q929" i="19" s="1"/>
  <c r="M929" i="19"/>
  <c r="I925" i="19"/>
  <c r="Q925" i="19" s="1"/>
  <c r="M925" i="19"/>
  <c r="I921" i="19"/>
  <c r="Q921" i="19" s="1"/>
  <c r="M921" i="19"/>
  <c r="I917" i="19"/>
  <c r="Q917" i="19" s="1"/>
  <c r="M917" i="19"/>
  <c r="I913" i="19"/>
  <c r="Q913" i="19" s="1"/>
  <c r="M913" i="19"/>
  <c r="I909" i="19"/>
  <c r="Q909" i="19" s="1"/>
  <c r="M909" i="19"/>
  <c r="I905" i="19"/>
  <c r="Q905" i="19" s="1"/>
  <c r="M905" i="19"/>
  <c r="I901" i="19"/>
  <c r="Q901" i="19" s="1"/>
  <c r="M901" i="19"/>
  <c r="I897" i="19"/>
  <c r="Q897" i="19" s="1"/>
  <c r="M897" i="19"/>
  <c r="I893" i="19"/>
  <c r="Q893" i="19" s="1"/>
  <c r="M893" i="19"/>
  <c r="I889" i="19"/>
  <c r="Q889" i="19" s="1"/>
  <c r="M889" i="19"/>
  <c r="I885" i="19"/>
  <c r="Q885" i="19" s="1"/>
  <c r="M885" i="19"/>
  <c r="I881" i="19"/>
  <c r="Q881" i="19" s="1"/>
  <c r="M881" i="19"/>
  <c r="I877" i="19"/>
  <c r="Q877" i="19" s="1"/>
  <c r="M877" i="19"/>
  <c r="I869" i="19"/>
  <c r="Q869" i="19" s="1"/>
  <c r="M869" i="19"/>
  <c r="I865" i="19"/>
  <c r="Q865" i="19" s="1"/>
  <c r="M865" i="19"/>
  <c r="I861" i="19"/>
  <c r="Q861" i="19" s="1"/>
  <c r="M861" i="19"/>
  <c r="I857" i="19"/>
  <c r="Q857" i="19" s="1"/>
  <c r="M857" i="19"/>
  <c r="I853" i="19"/>
  <c r="Q853" i="19" s="1"/>
  <c r="M853" i="19"/>
  <c r="I849" i="19"/>
  <c r="Q849" i="19" s="1"/>
  <c r="M849" i="19"/>
  <c r="I845" i="19"/>
  <c r="Q845" i="19" s="1"/>
  <c r="M845" i="19"/>
  <c r="I841" i="19"/>
  <c r="Q841" i="19" s="1"/>
  <c r="M841" i="19"/>
  <c r="I837" i="19"/>
  <c r="Q837" i="19" s="1"/>
  <c r="M837" i="19"/>
  <c r="I833" i="19"/>
  <c r="Q833" i="19" s="1"/>
  <c r="M833" i="19"/>
  <c r="I829" i="19"/>
  <c r="Q829" i="19" s="1"/>
  <c r="M829" i="19"/>
  <c r="I825" i="19"/>
  <c r="Q825" i="19" s="1"/>
  <c r="M825" i="19"/>
  <c r="I821" i="19"/>
  <c r="Q821" i="19" s="1"/>
  <c r="M821" i="19"/>
  <c r="I817" i="19"/>
  <c r="Q817" i="19" s="1"/>
  <c r="M817" i="19"/>
  <c r="I813" i="19"/>
  <c r="Q813" i="19" s="1"/>
  <c r="M813" i="19"/>
  <c r="I809" i="19"/>
  <c r="Q809" i="19" s="1"/>
  <c r="M809" i="19"/>
  <c r="I805" i="19"/>
  <c r="Q805" i="19" s="1"/>
  <c r="M805" i="19"/>
  <c r="I801" i="19"/>
  <c r="Q801" i="19" s="1"/>
  <c r="M801" i="19"/>
  <c r="I797" i="19"/>
  <c r="Q797" i="19" s="1"/>
  <c r="M797" i="19"/>
  <c r="I793" i="19"/>
  <c r="Q793" i="19" s="1"/>
  <c r="M793" i="19"/>
  <c r="I789" i="19"/>
  <c r="Q789" i="19" s="1"/>
  <c r="M789" i="19"/>
  <c r="I785" i="19"/>
  <c r="Q785" i="19" s="1"/>
  <c r="M785" i="19"/>
  <c r="I781" i="19"/>
  <c r="Q781" i="19" s="1"/>
  <c r="M781" i="19"/>
  <c r="I777" i="19"/>
  <c r="Q777" i="19" s="1"/>
  <c r="M777" i="19"/>
  <c r="I773" i="19"/>
  <c r="Q773" i="19" s="1"/>
  <c r="M773" i="19"/>
  <c r="I769" i="19"/>
  <c r="Q769" i="19" s="1"/>
  <c r="M769" i="19"/>
  <c r="I765" i="19"/>
  <c r="Q765" i="19" s="1"/>
  <c r="M765" i="19"/>
  <c r="I761" i="19"/>
  <c r="Q761" i="19" s="1"/>
  <c r="M761" i="19"/>
  <c r="I757" i="19"/>
  <c r="Q757" i="19" s="1"/>
  <c r="M757" i="19"/>
  <c r="I753" i="19"/>
  <c r="Q753" i="19" s="1"/>
  <c r="M753" i="19"/>
  <c r="I749" i="19"/>
  <c r="Q749" i="19" s="1"/>
  <c r="M749" i="19"/>
  <c r="I741" i="19"/>
  <c r="Q741" i="19" s="1"/>
  <c r="M741" i="19"/>
  <c r="I737" i="19"/>
  <c r="Q737" i="19" s="1"/>
  <c r="M737" i="19"/>
  <c r="I733" i="19"/>
  <c r="Q733" i="19" s="1"/>
  <c r="M733" i="19"/>
  <c r="I729" i="19"/>
  <c r="Q729" i="19" s="1"/>
  <c r="M729" i="19"/>
  <c r="I725" i="19"/>
  <c r="Q725" i="19" s="1"/>
  <c r="M725" i="19"/>
  <c r="I721" i="19"/>
  <c r="Q721" i="19" s="1"/>
  <c r="M721" i="19"/>
  <c r="I717" i="19"/>
  <c r="Q717" i="19" s="1"/>
  <c r="M717" i="19"/>
  <c r="I713" i="19"/>
  <c r="Q713" i="19" s="1"/>
  <c r="M713" i="19"/>
  <c r="I709" i="19"/>
  <c r="Q709" i="19" s="1"/>
  <c r="M709" i="19"/>
  <c r="I705" i="19"/>
  <c r="Q705" i="19" s="1"/>
  <c r="M705" i="19"/>
  <c r="I701" i="19"/>
  <c r="Q701" i="19" s="1"/>
  <c r="M701" i="19"/>
  <c r="I697" i="19"/>
  <c r="Q697" i="19" s="1"/>
  <c r="M697" i="19"/>
  <c r="I689" i="19"/>
  <c r="Q689" i="19" s="1"/>
  <c r="M689" i="19"/>
  <c r="I685" i="19"/>
  <c r="Q685" i="19" s="1"/>
  <c r="M685" i="19"/>
  <c r="I681" i="19"/>
  <c r="Q681" i="19" s="1"/>
  <c r="M681" i="19"/>
  <c r="I677" i="19"/>
  <c r="Q677" i="19" s="1"/>
  <c r="M677" i="19"/>
  <c r="I673" i="19"/>
  <c r="Q673" i="19" s="1"/>
  <c r="M673" i="19"/>
  <c r="I669" i="19"/>
  <c r="Q669" i="19" s="1"/>
  <c r="M669" i="19"/>
  <c r="I665" i="19"/>
  <c r="Q665" i="19" s="1"/>
  <c r="M665" i="19"/>
  <c r="I661" i="19"/>
  <c r="Q661" i="19" s="1"/>
  <c r="M661" i="19"/>
  <c r="I657" i="19"/>
  <c r="Q657" i="19" s="1"/>
  <c r="M657" i="19"/>
  <c r="I653" i="19"/>
  <c r="Q653" i="19" s="1"/>
  <c r="M653" i="19"/>
  <c r="I649" i="19"/>
  <c r="Q649" i="19" s="1"/>
  <c r="M649" i="19"/>
  <c r="I645" i="19"/>
  <c r="Q645" i="19" s="1"/>
  <c r="M645" i="19"/>
  <c r="I641" i="19"/>
  <c r="Q641" i="19" s="1"/>
  <c r="M641" i="19"/>
  <c r="I637" i="19"/>
  <c r="Q637" i="19" s="1"/>
  <c r="M637" i="19"/>
  <c r="I633" i="19"/>
  <c r="Q633" i="19" s="1"/>
  <c r="M633" i="19"/>
  <c r="I629" i="19"/>
  <c r="Q629" i="19" s="1"/>
  <c r="M629" i="19"/>
  <c r="I625" i="19"/>
  <c r="Q625" i="19" s="1"/>
  <c r="M625" i="19"/>
  <c r="I621" i="19"/>
  <c r="Q621" i="19" s="1"/>
  <c r="M621" i="19"/>
  <c r="I617" i="19"/>
  <c r="Q617" i="19" s="1"/>
  <c r="M617" i="19"/>
  <c r="I613" i="19"/>
  <c r="Q613" i="19" s="1"/>
  <c r="M613" i="19"/>
  <c r="I609" i="19"/>
  <c r="Q609" i="19" s="1"/>
  <c r="M609" i="19"/>
  <c r="I605" i="19"/>
  <c r="Q605" i="19" s="1"/>
  <c r="M605" i="19"/>
  <c r="I601" i="19"/>
  <c r="Q601" i="19" s="1"/>
  <c r="M601" i="19"/>
  <c r="I597" i="19"/>
  <c r="Q597" i="19" s="1"/>
  <c r="M597" i="19"/>
  <c r="I593" i="19"/>
  <c r="Q593" i="19" s="1"/>
  <c r="M593" i="19"/>
  <c r="I589" i="19"/>
  <c r="Q589" i="19" s="1"/>
  <c r="M589" i="19"/>
  <c r="I585" i="19"/>
  <c r="Q585" i="19" s="1"/>
  <c r="M585" i="19"/>
  <c r="I581" i="19"/>
  <c r="Q581" i="19" s="1"/>
  <c r="M581" i="19"/>
  <c r="I577" i="19"/>
  <c r="Q577" i="19" s="1"/>
  <c r="M577" i="19"/>
  <c r="I573" i="19"/>
  <c r="Q573" i="19" s="1"/>
  <c r="M573" i="19"/>
  <c r="I569" i="19"/>
  <c r="Q569" i="19" s="1"/>
  <c r="M569" i="19"/>
  <c r="I565" i="19"/>
  <c r="Q565" i="19" s="1"/>
  <c r="M565" i="19"/>
  <c r="I561" i="19"/>
  <c r="Q561" i="19" s="1"/>
  <c r="M561" i="19"/>
  <c r="I557" i="19"/>
  <c r="Q557" i="19" s="1"/>
  <c r="M557" i="19"/>
  <c r="I553" i="19"/>
  <c r="Q553" i="19" s="1"/>
  <c r="M553" i="19"/>
  <c r="I549" i="19"/>
  <c r="Q549" i="19" s="1"/>
  <c r="M549" i="19"/>
  <c r="I545" i="19"/>
  <c r="Q545" i="19" s="1"/>
  <c r="M545" i="19"/>
  <c r="I541" i="19"/>
  <c r="Q541" i="19" s="1"/>
  <c r="M541" i="19"/>
  <c r="I537" i="19"/>
  <c r="Q537" i="19" s="1"/>
  <c r="M537" i="19"/>
  <c r="I533" i="19"/>
  <c r="Q533" i="19" s="1"/>
  <c r="M533" i="19"/>
  <c r="I529" i="19"/>
  <c r="Q529" i="19" s="1"/>
  <c r="M529" i="19"/>
  <c r="I525" i="19"/>
  <c r="Q525" i="19" s="1"/>
  <c r="M525" i="19"/>
  <c r="I521" i="19"/>
  <c r="Q521" i="19" s="1"/>
  <c r="M521" i="19"/>
  <c r="I517" i="19"/>
  <c r="Q517" i="19" s="1"/>
  <c r="M517" i="19"/>
  <c r="M513" i="19"/>
  <c r="I513" i="19"/>
  <c r="Q513" i="19" s="1"/>
  <c r="I509" i="19"/>
  <c r="Q509" i="19" s="1"/>
  <c r="M509" i="19"/>
  <c r="I505" i="19"/>
  <c r="Q505" i="19" s="1"/>
  <c r="M505" i="19"/>
  <c r="I501" i="19"/>
  <c r="Q501" i="19" s="1"/>
  <c r="M501" i="19"/>
  <c r="I497" i="19"/>
  <c r="Q497" i="19" s="1"/>
  <c r="M497" i="19"/>
  <c r="I493" i="19"/>
  <c r="Q493" i="19" s="1"/>
  <c r="M493" i="19"/>
  <c r="I489" i="19"/>
  <c r="Q489" i="19" s="1"/>
  <c r="M489" i="19"/>
  <c r="I485" i="19"/>
  <c r="Q485" i="19" s="1"/>
  <c r="M485" i="19"/>
  <c r="I481" i="19"/>
  <c r="Q481" i="19" s="1"/>
  <c r="M481" i="19"/>
  <c r="I477" i="19"/>
  <c r="Q477" i="19" s="1"/>
  <c r="M477" i="19"/>
  <c r="I473" i="19"/>
  <c r="Q473" i="19" s="1"/>
  <c r="M473" i="19"/>
  <c r="I469" i="19"/>
  <c r="Q469" i="19" s="1"/>
  <c r="M469" i="19"/>
  <c r="I465" i="19"/>
  <c r="Q465" i="19" s="1"/>
  <c r="M465" i="19"/>
  <c r="I461" i="19"/>
  <c r="Q461" i="19" s="1"/>
  <c r="M461" i="19"/>
  <c r="I457" i="19"/>
  <c r="Q457" i="19" s="1"/>
  <c r="M457" i="19"/>
  <c r="I453" i="19"/>
  <c r="Q453" i="19" s="1"/>
  <c r="M453" i="19"/>
  <c r="I449" i="19"/>
  <c r="Q449" i="19" s="1"/>
  <c r="M449" i="19"/>
  <c r="I445" i="19"/>
  <c r="Q445" i="19" s="1"/>
  <c r="M445" i="19"/>
  <c r="I441" i="19"/>
  <c r="Q441" i="19" s="1"/>
  <c r="M441" i="19"/>
  <c r="I437" i="19"/>
  <c r="Q437" i="19" s="1"/>
  <c r="M437" i="19"/>
  <c r="I433" i="19"/>
  <c r="Q433" i="19" s="1"/>
  <c r="M433" i="19"/>
  <c r="I429" i="19"/>
  <c r="Q429" i="19" s="1"/>
  <c r="M429" i="19"/>
  <c r="I425" i="19"/>
  <c r="Q425" i="19" s="1"/>
  <c r="M425" i="19"/>
  <c r="I421" i="19"/>
  <c r="Q421" i="19" s="1"/>
  <c r="M421" i="19"/>
  <c r="I417" i="19"/>
  <c r="Q417" i="19" s="1"/>
  <c r="M417" i="19"/>
  <c r="I413" i="19"/>
  <c r="Q413" i="19" s="1"/>
  <c r="M413" i="19"/>
  <c r="I409" i="19"/>
  <c r="Q409" i="19" s="1"/>
  <c r="M409" i="19"/>
  <c r="I405" i="19"/>
  <c r="Q405" i="19" s="1"/>
  <c r="M405" i="19"/>
  <c r="I401" i="19"/>
  <c r="Q401" i="19" s="1"/>
  <c r="M401" i="19"/>
  <c r="I397" i="19"/>
  <c r="Q397" i="19" s="1"/>
  <c r="M397" i="19"/>
  <c r="I393" i="19"/>
  <c r="Q393" i="19" s="1"/>
  <c r="M393" i="19"/>
  <c r="I389" i="19"/>
  <c r="Q389" i="19" s="1"/>
  <c r="M389" i="19"/>
  <c r="I381" i="19"/>
  <c r="Q381" i="19" s="1"/>
  <c r="M381" i="19"/>
  <c r="I377" i="19"/>
  <c r="Q377" i="19" s="1"/>
  <c r="M377" i="19"/>
  <c r="I373" i="19"/>
  <c r="Q373" i="19" s="1"/>
  <c r="M373" i="19"/>
  <c r="I369" i="19"/>
  <c r="Q369" i="19" s="1"/>
  <c r="M369" i="19"/>
  <c r="I365" i="19"/>
  <c r="Q365" i="19" s="1"/>
  <c r="M365" i="19"/>
  <c r="I361" i="19"/>
  <c r="Q361" i="19" s="1"/>
  <c r="M361" i="19"/>
  <c r="I357" i="19"/>
  <c r="Q357" i="19" s="1"/>
  <c r="M357" i="19"/>
  <c r="I353" i="19"/>
  <c r="Q353" i="19" s="1"/>
  <c r="M353" i="19"/>
  <c r="I349" i="19"/>
  <c r="Q349" i="19" s="1"/>
  <c r="M349" i="19"/>
  <c r="I345" i="19"/>
  <c r="Q345" i="19" s="1"/>
  <c r="M345" i="19"/>
  <c r="I341" i="19"/>
  <c r="Q341" i="19" s="1"/>
  <c r="M341" i="19"/>
  <c r="I337" i="19"/>
  <c r="Q337" i="19" s="1"/>
  <c r="M337" i="19"/>
  <c r="I333" i="19"/>
  <c r="Q333" i="19" s="1"/>
  <c r="M333" i="19"/>
  <c r="I329" i="19"/>
  <c r="Q329" i="19" s="1"/>
  <c r="M329" i="19"/>
  <c r="I325" i="19"/>
  <c r="Q325" i="19" s="1"/>
  <c r="M325" i="19"/>
  <c r="I321" i="19"/>
  <c r="Q321" i="19" s="1"/>
  <c r="M321" i="19"/>
  <c r="I317" i="19"/>
  <c r="Q317" i="19" s="1"/>
  <c r="M317" i="19"/>
  <c r="I313" i="19"/>
  <c r="Q313" i="19" s="1"/>
  <c r="M313" i="19"/>
  <c r="I309" i="19"/>
  <c r="Q309" i="19" s="1"/>
  <c r="M309" i="19"/>
  <c r="I305" i="19"/>
  <c r="Q305" i="19" s="1"/>
  <c r="M305" i="19"/>
  <c r="I301" i="19"/>
  <c r="Q301" i="19" s="1"/>
  <c r="M301" i="19"/>
  <c r="I297" i="19"/>
  <c r="Q297" i="19" s="1"/>
  <c r="M297" i="19"/>
  <c r="I293" i="19"/>
  <c r="Q293" i="19" s="1"/>
  <c r="M293" i="19"/>
  <c r="I289" i="19"/>
  <c r="Q289" i="19" s="1"/>
  <c r="M289" i="19"/>
  <c r="I285" i="19"/>
  <c r="Q285" i="19" s="1"/>
  <c r="M285" i="19"/>
  <c r="I281" i="19"/>
  <c r="Q281" i="19" s="1"/>
  <c r="M281" i="19"/>
  <c r="I277" i="19"/>
  <c r="Q277" i="19" s="1"/>
  <c r="M277" i="19"/>
  <c r="I273" i="19"/>
  <c r="Q273" i="19" s="1"/>
  <c r="M273" i="19"/>
  <c r="I269" i="19"/>
  <c r="Q269" i="19" s="1"/>
  <c r="M269" i="19"/>
  <c r="I265" i="19"/>
  <c r="Q265" i="19" s="1"/>
  <c r="M265" i="19"/>
  <c r="I261" i="19"/>
  <c r="Q261" i="19" s="1"/>
  <c r="M261" i="19"/>
  <c r="I257" i="19"/>
  <c r="Q257" i="19" s="1"/>
  <c r="M257" i="19"/>
  <c r="I253" i="19"/>
  <c r="Q253" i="19" s="1"/>
  <c r="M253" i="19"/>
  <c r="I249" i="19"/>
  <c r="Q249" i="19" s="1"/>
  <c r="M249" i="19"/>
  <c r="I245" i="19"/>
  <c r="Q245" i="19" s="1"/>
  <c r="M245" i="19"/>
  <c r="I241" i="19"/>
  <c r="Q241" i="19" s="1"/>
  <c r="M241" i="19"/>
  <c r="I237" i="19"/>
  <c r="Q237" i="19" s="1"/>
  <c r="M237" i="19"/>
  <c r="I233" i="19"/>
  <c r="Q233" i="19" s="1"/>
  <c r="M233" i="19"/>
  <c r="I229" i="19"/>
  <c r="Q229" i="19" s="1"/>
  <c r="M229" i="19"/>
  <c r="I225" i="19"/>
  <c r="Q225" i="19" s="1"/>
  <c r="M225" i="19"/>
  <c r="I221" i="19"/>
  <c r="Q221" i="19" s="1"/>
  <c r="M221" i="19"/>
  <c r="I217" i="19"/>
  <c r="Q217" i="19" s="1"/>
  <c r="M217" i="19"/>
  <c r="I213" i="19"/>
  <c r="Q213" i="19" s="1"/>
  <c r="M213" i="19"/>
  <c r="I209" i="19"/>
  <c r="Q209" i="19" s="1"/>
  <c r="M209" i="19"/>
  <c r="I205" i="19"/>
  <c r="Q205" i="19" s="1"/>
  <c r="M205" i="19"/>
  <c r="I201" i="19"/>
  <c r="Q201" i="19" s="1"/>
  <c r="M201" i="19"/>
  <c r="I197" i="19"/>
  <c r="Q197" i="19" s="1"/>
  <c r="M197" i="19"/>
  <c r="I193" i="19"/>
  <c r="Q193" i="19" s="1"/>
  <c r="M193" i="19"/>
  <c r="I189" i="19"/>
  <c r="Q189" i="19" s="1"/>
  <c r="M189" i="19"/>
  <c r="I185" i="19"/>
  <c r="Q185" i="19" s="1"/>
  <c r="M185" i="19"/>
  <c r="I181" i="19"/>
  <c r="Q181" i="19" s="1"/>
  <c r="M181" i="19"/>
  <c r="I177" i="19"/>
  <c r="Q177" i="19" s="1"/>
  <c r="M177" i="19"/>
  <c r="M173" i="19"/>
  <c r="I173" i="19"/>
  <c r="Q173" i="19" s="1"/>
  <c r="I169" i="19"/>
  <c r="Q169" i="19" s="1"/>
  <c r="M169" i="19"/>
  <c r="I165" i="19"/>
  <c r="Q165" i="19" s="1"/>
  <c r="M165" i="19"/>
  <c r="I161" i="19"/>
  <c r="Q161" i="19" s="1"/>
  <c r="M161" i="19"/>
  <c r="I157" i="19"/>
  <c r="Q157" i="19" s="1"/>
  <c r="M157" i="19"/>
  <c r="I153" i="19"/>
  <c r="Q153" i="19" s="1"/>
  <c r="M153" i="19"/>
  <c r="I149" i="19"/>
  <c r="Q149" i="19" s="1"/>
  <c r="M149" i="19"/>
  <c r="I145" i="19"/>
  <c r="Q145" i="19" s="1"/>
  <c r="M145" i="19"/>
  <c r="I141" i="19"/>
  <c r="Q141" i="19" s="1"/>
  <c r="M141" i="19"/>
  <c r="I137" i="19"/>
  <c r="Q137" i="19" s="1"/>
  <c r="M137" i="19"/>
  <c r="I133" i="19"/>
  <c r="Q133" i="19" s="1"/>
  <c r="M133" i="19"/>
  <c r="I129" i="19"/>
  <c r="Q129" i="19" s="1"/>
  <c r="M129" i="19"/>
  <c r="I125" i="19"/>
  <c r="Q125" i="19" s="1"/>
  <c r="M125" i="19"/>
  <c r="I121" i="19"/>
  <c r="Q121" i="19" s="1"/>
  <c r="M121" i="19"/>
  <c r="I117" i="19"/>
  <c r="Q117" i="19" s="1"/>
  <c r="M117" i="19"/>
  <c r="I113" i="19"/>
  <c r="Q113" i="19" s="1"/>
  <c r="M113" i="19"/>
  <c r="I109" i="19"/>
  <c r="Q109" i="19" s="1"/>
  <c r="M109" i="19"/>
  <c r="I105" i="19"/>
  <c r="Q105" i="19" s="1"/>
  <c r="M105" i="19"/>
  <c r="I101" i="19"/>
  <c r="Q101" i="19" s="1"/>
  <c r="M101" i="19"/>
  <c r="I97" i="19"/>
  <c r="Q97" i="19" s="1"/>
  <c r="M97" i="19"/>
  <c r="I93" i="19"/>
  <c r="Q93" i="19" s="1"/>
  <c r="M93" i="19"/>
  <c r="I89" i="19"/>
  <c r="Q89" i="19" s="1"/>
  <c r="M89" i="19"/>
  <c r="I85" i="19"/>
  <c r="Q85" i="19" s="1"/>
  <c r="M85" i="19"/>
  <c r="I81" i="19"/>
  <c r="Q81" i="19" s="1"/>
  <c r="M81" i="19"/>
  <c r="I77" i="19"/>
  <c r="Q77" i="19" s="1"/>
  <c r="M77" i="19"/>
  <c r="I73" i="19"/>
  <c r="Q73" i="19" s="1"/>
  <c r="M73" i="19"/>
  <c r="I69" i="19"/>
  <c r="Q69" i="19" s="1"/>
  <c r="M69" i="19"/>
  <c r="I65" i="19"/>
  <c r="Q65" i="19" s="1"/>
  <c r="M65" i="19"/>
  <c r="I61" i="19"/>
  <c r="Q61" i="19" s="1"/>
  <c r="M61" i="19"/>
  <c r="I57" i="19"/>
  <c r="Q57" i="19" s="1"/>
  <c r="M57" i="19"/>
  <c r="I53" i="19"/>
  <c r="Q53" i="19" s="1"/>
  <c r="M53" i="19"/>
  <c r="I49" i="19"/>
  <c r="Q49" i="19" s="1"/>
  <c r="M49" i="19"/>
  <c r="I45" i="19"/>
  <c r="Q45" i="19" s="1"/>
  <c r="M45" i="19"/>
  <c r="I41" i="19"/>
  <c r="Q41" i="19" s="1"/>
  <c r="M41" i="19"/>
  <c r="I37" i="19"/>
  <c r="Q37" i="19" s="1"/>
  <c r="M37" i="19"/>
  <c r="I33" i="19"/>
  <c r="Q33" i="19" s="1"/>
  <c r="M33" i="19"/>
  <c r="I29" i="19"/>
  <c r="Q29" i="19" s="1"/>
  <c r="M29" i="19"/>
  <c r="I25" i="19"/>
  <c r="Q25" i="19" s="1"/>
  <c r="M25" i="19"/>
  <c r="I21" i="19"/>
  <c r="Q21" i="19" s="1"/>
  <c r="M21" i="19"/>
  <c r="I17" i="19"/>
  <c r="Q17" i="19" s="1"/>
  <c r="M17" i="19"/>
  <c r="I13" i="19"/>
  <c r="Q13" i="19" s="1"/>
  <c r="M13" i="19"/>
  <c r="I9" i="19"/>
  <c r="Q9" i="19" s="1"/>
  <c r="M9" i="19"/>
  <c r="I5" i="19"/>
  <c r="Q5" i="19" s="1"/>
  <c r="M5" i="19"/>
  <c r="I1692" i="19"/>
  <c r="Q1692" i="19" s="1"/>
  <c r="M1780" i="19"/>
  <c r="M1737" i="19"/>
  <c r="M1652" i="19"/>
  <c r="M1609" i="19"/>
  <c r="M1524" i="19"/>
  <c r="M1481" i="19"/>
  <c r="M1396" i="19"/>
  <c r="M1353" i="19"/>
  <c r="M1241" i="19"/>
  <c r="M1113" i="19"/>
  <c r="M985" i="19"/>
  <c r="M608" i="19"/>
  <c r="I2" i="19"/>
  <c r="Q2" i="19" s="1"/>
  <c r="M2" i="19"/>
  <c r="M1828" i="19"/>
  <c r="I1828" i="19"/>
  <c r="Q1828" i="19" s="1"/>
  <c r="I1824" i="19"/>
  <c r="Q1824" i="19" s="1"/>
  <c r="M1824" i="19"/>
  <c r="M1820" i="19"/>
  <c r="I1820" i="19"/>
  <c r="Q1820" i="19" s="1"/>
  <c r="I1816" i="19"/>
  <c r="Q1816" i="19" s="1"/>
  <c r="M1816" i="19"/>
  <c r="I1808" i="19"/>
  <c r="Q1808" i="19" s="1"/>
  <c r="M1808" i="19"/>
  <c r="I1804" i="19"/>
  <c r="Q1804" i="19" s="1"/>
  <c r="M1804" i="19"/>
  <c r="I1800" i="19"/>
  <c r="Q1800" i="19" s="1"/>
  <c r="M1800" i="19"/>
  <c r="I1796" i="19"/>
  <c r="Q1796" i="19" s="1"/>
  <c r="M1796" i="19"/>
  <c r="I1792" i="19"/>
  <c r="Q1792" i="19" s="1"/>
  <c r="M1792" i="19"/>
  <c r="M1788" i="19"/>
  <c r="I1788" i="19"/>
  <c r="Q1788" i="19" s="1"/>
  <c r="I1784" i="19"/>
  <c r="Q1784" i="19" s="1"/>
  <c r="M1784" i="19"/>
  <c r="I1776" i="19"/>
  <c r="Q1776" i="19" s="1"/>
  <c r="M1776" i="19"/>
  <c r="I1772" i="19"/>
  <c r="Q1772" i="19" s="1"/>
  <c r="M1772" i="19"/>
  <c r="I1768" i="19"/>
  <c r="Q1768" i="19" s="1"/>
  <c r="M1768" i="19"/>
  <c r="I1764" i="19"/>
  <c r="Q1764" i="19" s="1"/>
  <c r="M1764" i="19"/>
  <c r="I1760" i="19"/>
  <c r="Q1760" i="19" s="1"/>
  <c r="M1760" i="19"/>
  <c r="M1756" i="19"/>
  <c r="I1756" i="19"/>
  <c r="Q1756" i="19" s="1"/>
  <c r="I1752" i="19"/>
  <c r="Q1752" i="19" s="1"/>
  <c r="M1752" i="19"/>
  <c r="I1744" i="19"/>
  <c r="Q1744" i="19" s="1"/>
  <c r="M1744" i="19"/>
  <c r="I1740" i="19"/>
  <c r="Q1740" i="19" s="1"/>
  <c r="M1740" i="19"/>
  <c r="I1736" i="19"/>
  <c r="Q1736" i="19" s="1"/>
  <c r="M1736" i="19"/>
  <c r="M1732" i="19"/>
  <c r="I1732" i="19"/>
  <c r="Q1732" i="19" s="1"/>
  <c r="I1728" i="19"/>
  <c r="Q1728" i="19" s="1"/>
  <c r="M1728" i="19"/>
  <c r="M1724" i="19"/>
  <c r="I1724" i="19"/>
  <c r="Q1724" i="19" s="1"/>
  <c r="I1720" i="19"/>
  <c r="Q1720" i="19" s="1"/>
  <c r="M1720" i="19"/>
  <c r="I1712" i="19"/>
  <c r="Q1712" i="19" s="1"/>
  <c r="M1712" i="19"/>
  <c r="I1708" i="19"/>
  <c r="Q1708" i="19" s="1"/>
  <c r="M1708" i="19"/>
  <c r="I1704" i="19"/>
  <c r="Q1704" i="19" s="1"/>
  <c r="M1704" i="19"/>
  <c r="I1700" i="19"/>
  <c r="Q1700" i="19" s="1"/>
  <c r="M1700" i="19"/>
  <c r="I1696" i="19"/>
  <c r="Q1696" i="19" s="1"/>
  <c r="M1696" i="19"/>
  <c r="I1688" i="19"/>
  <c r="Q1688" i="19" s="1"/>
  <c r="M1688" i="19"/>
  <c r="I1680" i="19"/>
  <c r="Q1680" i="19" s="1"/>
  <c r="M1680" i="19"/>
  <c r="I1676" i="19"/>
  <c r="Q1676" i="19" s="1"/>
  <c r="M1676" i="19"/>
  <c r="I1672" i="19"/>
  <c r="Q1672" i="19" s="1"/>
  <c r="M1672" i="19"/>
  <c r="I1668" i="19"/>
  <c r="Q1668" i="19" s="1"/>
  <c r="M1668" i="19"/>
  <c r="I1664" i="19"/>
  <c r="Q1664" i="19" s="1"/>
  <c r="M1664" i="19"/>
  <c r="I1660" i="19"/>
  <c r="Q1660" i="19" s="1"/>
  <c r="M1660" i="19"/>
  <c r="I1656" i="19"/>
  <c r="Q1656" i="19" s="1"/>
  <c r="M1656" i="19"/>
  <c r="I1648" i="19"/>
  <c r="Q1648" i="19" s="1"/>
  <c r="M1648" i="19"/>
  <c r="I1644" i="19"/>
  <c r="Q1644" i="19" s="1"/>
  <c r="M1644" i="19"/>
  <c r="I1640" i="19"/>
  <c r="Q1640" i="19" s="1"/>
  <c r="M1640" i="19"/>
  <c r="I1636" i="19"/>
  <c r="Q1636" i="19" s="1"/>
  <c r="M1636" i="19"/>
  <c r="I1632" i="19"/>
  <c r="Q1632" i="19" s="1"/>
  <c r="M1632" i="19"/>
  <c r="I1628" i="19"/>
  <c r="Q1628" i="19" s="1"/>
  <c r="M1628" i="19"/>
  <c r="I1624" i="19"/>
  <c r="Q1624" i="19" s="1"/>
  <c r="M1624" i="19"/>
  <c r="I1616" i="19"/>
  <c r="Q1616" i="19" s="1"/>
  <c r="M1616" i="19"/>
  <c r="I1612" i="19"/>
  <c r="Q1612" i="19" s="1"/>
  <c r="M1612" i="19"/>
  <c r="I1608" i="19"/>
  <c r="Q1608" i="19" s="1"/>
  <c r="M1608" i="19"/>
  <c r="I1604" i="19"/>
  <c r="Q1604" i="19" s="1"/>
  <c r="M1604" i="19"/>
  <c r="I1600" i="19"/>
  <c r="Q1600" i="19" s="1"/>
  <c r="M1600" i="19"/>
  <c r="I1596" i="19"/>
  <c r="Q1596" i="19" s="1"/>
  <c r="M1596" i="19"/>
  <c r="I1592" i="19"/>
  <c r="Q1592" i="19" s="1"/>
  <c r="M1592" i="19"/>
  <c r="I1584" i="19"/>
  <c r="Q1584" i="19" s="1"/>
  <c r="M1584" i="19"/>
  <c r="I1580" i="19"/>
  <c r="Q1580" i="19" s="1"/>
  <c r="M1580" i="19"/>
  <c r="I1576" i="19"/>
  <c r="Q1576" i="19" s="1"/>
  <c r="M1576" i="19"/>
  <c r="I1572" i="19"/>
  <c r="Q1572" i="19" s="1"/>
  <c r="M1572" i="19"/>
  <c r="I1568" i="19"/>
  <c r="Q1568" i="19" s="1"/>
  <c r="M1568" i="19"/>
  <c r="I1564" i="19"/>
  <c r="Q1564" i="19" s="1"/>
  <c r="M1564" i="19"/>
  <c r="I1560" i="19"/>
  <c r="Q1560" i="19" s="1"/>
  <c r="M1560" i="19"/>
  <c r="I1552" i="19"/>
  <c r="Q1552" i="19" s="1"/>
  <c r="M1552" i="19"/>
  <c r="I1548" i="19"/>
  <c r="Q1548" i="19" s="1"/>
  <c r="M1548" i="19"/>
  <c r="I1544" i="19"/>
  <c r="Q1544" i="19" s="1"/>
  <c r="M1544" i="19"/>
  <c r="I1540" i="19"/>
  <c r="Q1540" i="19" s="1"/>
  <c r="M1540" i="19"/>
  <c r="I1536" i="19"/>
  <c r="Q1536" i="19" s="1"/>
  <c r="M1536" i="19"/>
  <c r="I1532" i="19"/>
  <c r="Q1532" i="19" s="1"/>
  <c r="M1532" i="19"/>
  <c r="I1528" i="19"/>
  <c r="Q1528" i="19" s="1"/>
  <c r="M1528" i="19"/>
  <c r="I1520" i="19"/>
  <c r="Q1520" i="19" s="1"/>
  <c r="M1520" i="19"/>
  <c r="I1516" i="19"/>
  <c r="Q1516" i="19" s="1"/>
  <c r="M1516" i="19"/>
  <c r="I1512" i="19"/>
  <c r="Q1512" i="19" s="1"/>
  <c r="M1512" i="19"/>
  <c r="I1508" i="19"/>
  <c r="Q1508" i="19" s="1"/>
  <c r="M1508" i="19"/>
  <c r="I1504" i="19"/>
  <c r="Q1504" i="19" s="1"/>
  <c r="M1504" i="19"/>
  <c r="I1500" i="19"/>
  <c r="Q1500" i="19" s="1"/>
  <c r="M1500" i="19"/>
  <c r="I1496" i="19"/>
  <c r="Q1496" i="19" s="1"/>
  <c r="M1496" i="19"/>
  <c r="I1488" i="19"/>
  <c r="Q1488" i="19" s="1"/>
  <c r="M1488" i="19"/>
  <c r="I1484" i="19"/>
  <c r="Q1484" i="19" s="1"/>
  <c r="M1484" i="19"/>
  <c r="I1480" i="19"/>
  <c r="Q1480" i="19" s="1"/>
  <c r="M1480" i="19"/>
  <c r="I1476" i="19"/>
  <c r="Q1476" i="19" s="1"/>
  <c r="M1476" i="19"/>
  <c r="I1472" i="19"/>
  <c r="Q1472" i="19" s="1"/>
  <c r="M1472" i="19"/>
  <c r="I1468" i="19"/>
  <c r="Q1468" i="19" s="1"/>
  <c r="M1468" i="19"/>
  <c r="I1464" i="19"/>
  <c r="Q1464" i="19" s="1"/>
  <c r="M1464" i="19"/>
  <c r="I1456" i="19"/>
  <c r="Q1456" i="19" s="1"/>
  <c r="M1456" i="19"/>
  <c r="I1452" i="19"/>
  <c r="Q1452" i="19" s="1"/>
  <c r="M1452" i="19"/>
  <c r="I1448" i="19"/>
  <c r="Q1448" i="19" s="1"/>
  <c r="M1448" i="19"/>
  <c r="I1444" i="19"/>
  <c r="Q1444" i="19" s="1"/>
  <c r="M1444" i="19"/>
  <c r="I1440" i="19"/>
  <c r="Q1440" i="19" s="1"/>
  <c r="M1440" i="19"/>
  <c r="I1436" i="19"/>
  <c r="Q1436" i="19" s="1"/>
  <c r="M1436" i="19"/>
  <c r="I1432" i="19"/>
  <c r="Q1432" i="19" s="1"/>
  <c r="M1432" i="19"/>
  <c r="I1424" i="19"/>
  <c r="Q1424" i="19" s="1"/>
  <c r="M1424" i="19"/>
  <c r="I1420" i="19"/>
  <c r="Q1420" i="19" s="1"/>
  <c r="M1420" i="19"/>
  <c r="I1416" i="19"/>
  <c r="Q1416" i="19" s="1"/>
  <c r="M1416" i="19"/>
  <c r="I1412" i="19"/>
  <c r="Q1412" i="19" s="1"/>
  <c r="M1412" i="19"/>
  <c r="I1408" i="19"/>
  <c r="Q1408" i="19" s="1"/>
  <c r="M1408" i="19"/>
  <c r="I1404" i="19"/>
  <c r="Q1404" i="19" s="1"/>
  <c r="M1404" i="19"/>
  <c r="I1400" i="19"/>
  <c r="Q1400" i="19" s="1"/>
  <c r="M1400" i="19"/>
  <c r="I1392" i="19"/>
  <c r="Q1392" i="19" s="1"/>
  <c r="M1392" i="19"/>
  <c r="I1388" i="19"/>
  <c r="Q1388" i="19" s="1"/>
  <c r="M1388" i="19"/>
  <c r="I1384" i="19"/>
  <c r="Q1384" i="19" s="1"/>
  <c r="M1384" i="19"/>
  <c r="M1380" i="19"/>
  <c r="I1376" i="19"/>
  <c r="Q1376" i="19" s="1"/>
  <c r="M1376" i="19"/>
  <c r="I1372" i="19"/>
  <c r="Q1372" i="19" s="1"/>
  <c r="M1372" i="19"/>
  <c r="I1368" i="19"/>
  <c r="Q1368" i="19" s="1"/>
  <c r="M1368" i="19"/>
  <c r="I1360" i="19"/>
  <c r="Q1360" i="19" s="1"/>
  <c r="M1360" i="19"/>
  <c r="I1356" i="19"/>
  <c r="Q1356" i="19" s="1"/>
  <c r="M1356" i="19"/>
  <c r="I1352" i="19"/>
  <c r="Q1352" i="19" s="1"/>
  <c r="M1352" i="19"/>
  <c r="I1348" i="19"/>
  <c r="Q1348" i="19" s="1"/>
  <c r="M1348" i="19"/>
  <c r="I1344" i="19"/>
  <c r="Q1344" i="19" s="1"/>
  <c r="M1344" i="19"/>
  <c r="I1340" i="19"/>
  <c r="Q1340" i="19" s="1"/>
  <c r="M1340" i="19"/>
  <c r="I1336" i="19"/>
  <c r="Q1336" i="19" s="1"/>
  <c r="M1336" i="19"/>
  <c r="I1328" i="19"/>
  <c r="Q1328" i="19" s="1"/>
  <c r="M1328" i="19"/>
  <c r="I1324" i="19"/>
  <c r="Q1324" i="19" s="1"/>
  <c r="M1324" i="19"/>
  <c r="I1320" i="19"/>
  <c r="Q1320" i="19" s="1"/>
  <c r="M1320" i="19"/>
  <c r="I1316" i="19"/>
  <c r="Q1316" i="19" s="1"/>
  <c r="M1316" i="19"/>
  <c r="I1312" i="19"/>
  <c r="Q1312" i="19" s="1"/>
  <c r="M1312" i="19"/>
  <c r="I1308" i="19"/>
  <c r="Q1308" i="19" s="1"/>
  <c r="M1308" i="19"/>
  <c r="I1304" i="19"/>
  <c r="Q1304" i="19" s="1"/>
  <c r="M1304" i="19"/>
  <c r="I1296" i="19"/>
  <c r="Q1296" i="19" s="1"/>
  <c r="M1296" i="19"/>
  <c r="I1292" i="19"/>
  <c r="Q1292" i="19" s="1"/>
  <c r="M1292" i="19"/>
  <c r="I1288" i="19"/>
  <c r="Q1288" i="19" s="1"/>
  <c r="M1288" i="19"/>
  <c r="I1284" i="19"/>
  <c r="Q1284" i="19" s="1"/>
  <c r="M1284" i="19"/>
  <c r="I1280" i="19"/>
  <c r="Q1280" i="19" s="1"/>
  <c r="M1280" i="19"/>
  <c r="I1276" i="19"/>
  <c r="Q1276" i="19" s="1"/>
  <c r="M1276" i="19"/>
  <c r="I1272" i="19"/>
  <c r="Q1272" i="19" s="1"/>
  <c r="M1272" i="19"/>
  <c r="I1268" i="19"/>
  <c r="Q1268" i="19" s="1"/>
  <c r="M1268" i="19"/>
  <c r="I1264" i="19"/>
  <c r="Q1264" i="19" s="1"/>
  <c r="M1264" i="19"/>
  <c r="I1260" i="19"/>
  <c r="Q1260" i="19" s="1"/>
  <c r="M1260" i="19"/>
  <c r="I1256" i="19"/>
  <c r="Q1256" i="19" s="1"/>
  <c r="M1256" i="19"/>
  <c r="I1252" i="19"/>
  <c r="Q1252" i="19" s="1"/>
  <c r="M1252" i="19"/>
  <c r="I1248" i="19"/>
  <c r="Q1248" i="19" s="1"/>
  <c r="M1248" i="19"/>
  <c r="I1244" i="19"/>
  <c r="Q1244" i="19" s="1"/>
  <c r="M1244" i="19"/>
  <c r="I1240" i="19"/>
  <c r="Q1240" i="19" s="1"/>
  <c r="M1240" i="19"/>
  <c r="I1236" i="19"/>
  <c r="Q1236" i="19" s="1"/>
  <c r="M1236" i="19"/>
  <c r="I1232" i="19"/>
  <c r="Q1232" i="19" s="1"/>
  <c r="M1232" i="19"/>
  <c r="I1228" i="19"/>
  <c r="Q1228" i="19" s="1"/>
  <c r="M1228" i="19"/>
  <c r="I1224" i="19"/>
  <c r="Q1224" i="19" s="1"/>
  <c r="M1224" i="19"/>
  <c r="I1220" i="19"/>
  <c r="Q1220" i="19" s="1"/>
  <c r="M1220" i="19"/>
  <c r="I1216" i="19"/>
  <c r="Q1216" i="19" s="1"/>
  <c r="M1216" i="19"/>
  <c r="I1212" i="19"/>
  <c r="Q1212" i="19" s="1"/>
  <c r="M1212" i="19"/>
  <c r="I1208" i="19"/>
  <c r="Q1208" i="19" s="1"/>
  <c r="M1208" i="19"/>
  <c r="I1204" i="19"/>
  <c r="Q1204" i="19" s="1"/>
  <c r="M1204" i="19"/>
  <c r="I1200" i="19"/>
  <c r="Q1200" i="19" s="1"/>
  <c r="M1200" i="19"/>
  <c r="I1196" i="19"/>
  <c r="Q1196" i="19" s="1"/>
  <c r="M1196" i="19"/>
  <c r="I1192" i="19"/>
  <c r="Q1192" i="19" s="1"/>
  <c r="M1192" i="19"/>
  <c r="I1188" i="19"/>
  <c r="Q1188" i="19" s="1"/>
  <c r="M1188" i="19"/>
  <c r="I1184" i="19"/>
  <c r="Q1184" i="19" s="1"/>
  <c r="M1184" i="19"/>
  <c r="I1180" i="19"/>
  <c r="Q1180" i="19" s="1"/>
  <c r="M1180" i="19"/>
  <c r="I1176" i="19"/>
  <c r="Q1176" i="19" s="1"/>
  <c r="M1176" i="19"/>
  <c r="I1172" i="19"/>
  <c r="Q1172" i="19" s="1"/>
  <c r="M1172" i="19"/>
  <c r="I1168" i="19"/>
  <c r="Q1168" i="19" s="1"/>
  <c r="M1168" i="19"/>
  <c r="I1164" i="19"/>
  <c r="Q1164" i="19" s="1"/>
  <c r="M1164" i="19"/>
  <c r="I1160" i="19"/>
  <c r="Q1160" i="19" s="1"/>
  <c r="M1160" i="19"/>
  <c r="I1156" i="19"/>
  <c r="Q1156" i="19" s="1"/>
  <c r="M1156" i="19"/>
  <c r="I1152" i="19"/>
  <c r="Q1152" i="19" s="1"/>
  <c r="M1152" i="19"/>
  <c r="I1148" i="19"/>
  <c r="Q1148" i="19" s="1"/>
  <c r="M1148" i="19"/>
  <c r="I1144" i="19"/>
  <c r="Q1144" i="19" s="1"/>
  <c r="M1144" i="19"/>
  <c r="I1140" i="19"/>
  <c r="Q1140" i="19" s="1"/>
  <c r="M1140" i="19"/>
  <c r="I1136" i="19"/>
  <c r="Q1136" i="19" s="1"/>
  <c r="M1136" i="19"/>
  <c r="I1132" i="19"/>
  <c r="Q1132" i="19" s="1"/>
  <c r="M1132" i="19"/>
  <c r="I1128" i="19"/>
  <c r="Q1128" i="19" s="1"/>
  <c r="M1128" i="19"/>
  <c r="I1124" i="19"/>
  <c r="Q1124" i="19" s="1"/>
  <c r="M1124" i="19"/>
  <c r="I1120" i="19"/>
  <c r="Q1120" i="19" s="1"/>
  <c r="M1120" i="19"/>
  <c r="I1116" i="19"/>
  <c r="Q1116" i="19" s="1"/>
  <c r="M1116" i="19"/>
  <c r="I1112" i="19"/>
  <c r="Q1112" i="19" s="1"/>
  <c r="M1112" i="19"/>
  <c r="I1108" i="19"/>
  <c r="Q1108" i="19" s="1"/>
  <c r="M1108" i="19"/>
  <c r="I1104" i="19"/>
  <c r="Q1104" i="19" s="1"/>
  <c r="M1104" i="19"/>
  <c r="I1100" i="19"/>
  <c r="Q1100" i="19" s="1"/>
  <c r="M1100" i="19"/>
  <c r="I1096" i="19"/>
  <c r="Q1096" i="19" s="1"/>
  <c r="M1096" i="19"/>
  <c r="I1092" i="19"/>
  <c r="Q1092" i="19" s="1"/>
  <c r="M1092" i="19"/>
  <c r="I1088" i="19"/>
  <c r="Q1088" i="19" s="1"/>
  <c r="M1088" i="19"/>
  <c r="I1084" i="19"/>
  <c r="Q1084" i="19" s="1"/>
  <c r="M1084" i="19"/>
  <c r="I1080" i="19"/>
  <c r="Q1080" i="19" s="1"/>
  <c r="M1080" i="19"/>
  <c r="I1076" i="19"/>
  <c r="Q1076" i="19" s="1"/>
  <c r="M1076" i="19"/>
  <c r="I1072" i="19"/>
  <c r="Q1072" i="19" s="1"/>
  <c r="M1072" i="19"/>
  <c r="I1068" i="19"/>
  <c r="Q1068" i="19" s="1"/>
  <c r="M1068" i="19"/>
  <c r="I1064" i="19"/>
  <c r="Q1064" i="19" s="1"/>
  <c r="M1064" i="19"/>
  <c r="I1060" i="19"/>
  <c r="Q1060" i="19" s="1"/>
  <c r="M1060" i="19"/>
  <c r="I1056" i="19"/>
  <c r="Q1056" i="19" s="1"/>
  <c r="M1056" i="19"/>
  <c r="I1052" i="19"/>
  <c r="Q1052" i="19" s="1"/>
  <c r="M1052" i="19"/>
  <c r="I1048" i="19"/>
  <c r="Q1048" i="19" s="1"/>
  <c r="M1048" i="19"/>
  <c r="I1044" i="19"/>
  <c r="Q1044" i="19" s="1"/>
  <c r="M1044" i="19"/>
  <c r="I1040" i="19"/>
  <c r="Q1040" i="19" s="1"/>
  <c r="M1040" i="19"/>
  <c r="I1036" i="19"/>
  <c r="Q1036" i="19" s="1"/>
  <c r="M1036" i="19"/>
  <c r="I1032" i="19"/>
  <c r="Q1032" i="19" s="1"/>
  <c r="M1032" i="19"/>
  <c r="I1028" i="19"/>
  <c r="Q1028" i="19" s="1"/>
  <c r="M1028" i="19"/>
  <c r="I1024" i="19"/>
  <c r="Q1024" i="19" s="1"/>
  <c r="M1024" i="19"/>
  <c r="I1020" i="19"/>
  <c r="Q1020" i="19" s="1"/>
  <c r="M1020" i="19"/>
  <c r="I1016" i="19"/>
  <c r="Q1016" i="19" s="1"/>
  <c r="M1016" i="19"/>
  <c r="I1012" i="19"/>
  <c r="Q1012" i="19" s="1"/>
  <c r="M1012" i="19"/>
  <c r="I1008" i="19"/>
  <c r="Q1008" i="19" s="1"/>
  <c r="M1008" i="19"/>
  <c r="I1004" i="19"/>
  <c r="Q1004" i="19" s="1"/>
  <c r="M1004" i="19"/>
  <c r="I1000" i="19"/>
  <c r="Q1000" i="19" s="1"/>
  <c r="M1000" i="19"/>
  <c r="I996" i="19"/>
  <c r="Q996" i="19" s="1"/>
  <c r="M996" i="19"/>
  <c r="I992" i="19"/>
  <c r="Q992" i="19" s="1"/>
  <c r="M992" i="19"/>
  <c r="I988" i="19"/>
  <c r="Q988" i="19" s="1"/>
  <c r="M988" i="19"/>
  <c r="I984" i="19"/>
  <c r="Q984" i="19" s="1"/>
  <c r="M984" i="19"/>
  <c r="I980" i="19"/>
  <c r="Q980" i="19" s="1"/>
  <c r="M980" i="19"/>
  <c r="I976" i="19"/>
  <c r="Q976" i="19" s="1"/>
  <c r="M976" i="19"/>
  <c r="I972" i="19"/>
  <c r="Q972" i="19" s="1"/>
  <c r="M972" i="19"/>
  <c r="I968" i="19"/>
  <c r="Q968" i="19" s="1"/>
  <c r="M968" i="19"/>
  <c r="I964" i="19"/>
  <c r="Q964" i="19" s="1"/>
  <c r="M964" i="19"/>
  <c r="I960" i="19"/>
  <c r="Q960" i="19" s="1"/>
  <c r="M960" i="19"/>
  <c r="I956" i="19"/>
  <c r="Q956" i="19" s="1"/>
  <c r="M956" i="19"/>
  <c r="I952" i="19"/>
  <c r="Q952" i="19" s="1"/>
  <c r="M952" i="19"/>
  <c r="I948" i="19"/>
  <c r="Q948" i="19" s="1"/>
  <c r="M948" i="19"/>
  <c r="I944" i="19"/>
  <c r="Q944" i="19" s="1"/>
  <c r="M944" i="19"/>
  <c r="I940" i="19"/>
  <c r="Q940" i="19" s="1"/>
  <c r="M940" i="19"/>
  <c r="I936" i="19"/>
  <c r="Q936" i="19" s="1"/>
  <c r="M936" i="19"/>
  <c r="I932" i="19"/>
  <c r="Q932" i="19" s="1"/>
  <c r="M932" i="19"/>
  <c r="I928" i="19"/>
  <c r="Q928" i="19" s="1"/>
  <c r="M928" i="19"/>
  <c r="I924" i="19"/>
  <c r="Q924" i="19" s="1"/>
  <c r="M924" i="19"/>
  <c r="I920" i="19"/>
  <c r="Q920" i="19" s="1"/>
  <c r="M920" i="19"/>
  <c r="I912" i="19"/>
  <c r="Q912" i="19" s="1"/>
  <c r="M912" i="19"/>
  <c r="I908" i="19"/>
  <c r="Q908" i="19" s="1"/>
  <c r="M908" i="19"/>
  <c r="I904" i="19"/>
  <c r="Q904" i="19" s="1"/>
  <c r="M904" i="19"/>
  <c r="I900" i="19"/>
  <c r="Q900" i="19" s="1"/>
  <c r="M900" i="19"/>
  <c r="I896" i="19"/>
  <c r="Q896" i="19" s="1"/>
  <c r="M896" i="19"/>
  <c r="I892" i="19"/>
  <c r="Q892" i="19" s="1"/>
  <c r="M892" i="19"/>
  <c r="I888" i="19"/>
  <c r="Q888" i="19" s="1"/>
  <c r="M888" i="19"/>
  <c r="I884" i="19"/>
  <c r="Q884" i="19" s="1"/>
  <c r="M884" i="19"/>
  <c r="I880" i="19"/>
  <c r="Q880" i="19" s="1"/>
  <c r="M880" i="19"/>
  <c r="I876" i="19"/>
  <c r="Q876" i="19" s="1"/>
  <c r="M876" i="19"/>
  <c r="I872" i="19"/>
  <c r="Q872" i="19" s="1"/>
  <c r="M872" i="19"/>
  <c r="I868" i="19"/>
  <c r="Q868" i="19" s="1"/>
  <c r="M868" i="19"/>
  <c r="I864" i="19"/>
  <c r="Q864" i="19" s="1"/>
  <c r="M864" i="19"/>
  <c r="I860" i="19"/>
  <c r="Q860" i="19" s="1"/>
  <c r="M860" i="19"/>
  <c r="I856" i="19"/>
  <c r="Q856" i="19" s="1"/>
  <c r="M856" i="19"/>
  <c r="I852" i="19"/>
  <c r="Q852" i="19" s="1"/>
  <c r="M852" i="19"/>
  <c r="I848" i="19"/>
  <c r="Q848" i="19" s="1"/>
  <c r="M848" i="19"/>
  <c r="I844" i="19"/>
  <c r="Q844" i="19" s="1"/>
  <c r="M844" i="19"/>
  <c r="I840" i="19"/>
  <c r="Q840" i="19" s="1"/>
  <c r="M840" i="19"/>
  <c r="I836" i="19"/>
  <c r="Q836" i="19" s="1"/>
  <c r="M836" i="19"/>
  <c r="I832" i="19"/>
  <c r="Q832" i="19" s="1"/>
  <c r="M832" i="19"/>
  <c r="I828" i="19"/>
  <c r="Q828" i="19" s="1"/>
  <c r="M828" i="19"/>
  <c r="I824" i="19"/>
  <c r="Q824" i="19" s="1"/>
  <c r="M824" i="19"/>
  <c r="I820" i="19"/>
  <c r="Q820" i="19" s="1"/>
  <c r="M820" i="19"/>
  <c r="I816" i="19"/>
  <c r="Q816" i="19" s="1"/>
  <c r="M816" i="19"/>
  <c r="I812" i="19"/>
  <c r="Q812" i="19" s="1"/>
  <c r="M812" i="19"/>
  <c r="I808" i="19"/>
  <c r="Q808" i="19" s="1"/>
  <c r="M808" i="19"/>
  <c r="I804" i="19"/>
  <c r="Q804" i="19" s="1"/>
  <c r="M804" i="19"/>
  <c r="I800" i="19"/>
  <c r="Q800" i="19" s="1"/>
  <c r="M800" i="19"/>
  <c r="I796" i="19"/>
  <c r="Q796" i="19" s="1"/>
  <c r="M796" i="19"/>
  <c r="I792" i="19"/>
  <c r="Q792" i="19" s="1"/>
  <c r="M792" i="19"/>
  <c r="I784" i="19"/>
  <c r="Q784" i="19" s="1"/>
  <c r="M784" i="19"/>
  <c r="I780" i="19"/>
  <c r="Q780" i="19" s="1"/>
  <c r="M780" i="19"/>
  <c r="I776" i="19"/>
  <c r="Q776" i="19" s="1"/>
  <c r="M776" i="19"/>
  <c r="I772" i="19"/>
  <c r="Q772" i="19" s="1"/>
  <c r="M772" i="19"/>
  <c r="I768" i="19"/>
  <c r="Q768" i="19" s="1"/>
  <c r="M768" i="19"/>
  <c r="I764" i="19"/>
  <c r="Q764" i="19" s="1"/>
  <c r="M764" i="19"/>
  <c r="I760" i="19"/>
  <c r="Q760" i="19" s="1"/>
  <c r="M760" i="19"/>
  <c r="I756" i="19"/>
  <c r="Q756" i="19" s="1"/>
  <c r="M756" i="19"/>
  <c r="I752" i="19"/>
  <c r="Q752" i="19" s="1"/>
  <c r="M752" i="19"/>
  <c r="I748" i="19"/>
  <c r="Q748" i="19" s="1"/>
  <c r="M748" i="19"/>
  <c r="I744" i="19"/>
  <c r="Q744" i="19" s="1"/>
  <c r="M744" i="19"/>
  <c r="I740" i="19"/>
  <c r="Q740" i="19" s="1"/>
  <c r="M740" i="19"/>
  <c r="I736" i="19"/>
  <c r="Q736" i="19" s="1"/>
  <c r="M736" i="19"/>
  <c r="I732" i="19"/>
  <c r="Q732" i="19" s="1"/>
  <c r="M732" i="19"/>
  <c r="I728" i="19"/>
  <c r="Q728" i="19" s="1"/>
  <c r="M728" i="19"/>
  <c r="I724" i="19"/>
  <c r="Q724" i="19" s="1"/>
  <c r="M724" i="19"/>
  <c r="I720" i="19"/>
  <c r="Q720" i="19" s="1"/>
  <c r="M720" i="19"/>
  <c r="I716" i="19"/>
  <c r="Q716" i="19" s="1"/>
  <c r="M716" i="19"/>
  <c r="I712" i="19"/>
  <c r="Q712" i="19" s="1"/>
  <c r="M712" i="19"/>
  <c r="I708" i="19"/>
  <c r="Q708" i="19" s="1"/>
  <c r="M708" i="19"/>
  <c r="I704" i="19"/>
  <c r="Q704" i="19" s="1"/>
  <c r="M704" i="19"/>
  <c r="I700" i="19"/>
  <c r="Q700" i="19" s="1"/>
  <c r="M700" i="19"/>
  <c r="I696" i="19"/>
  <c r="Q696" i="19" s="1"/>
  <c r="M696" i="19"/>
  <c r="I692" i="19"/>
  <c r="Q692" i="19" s="1"/>
  <c r="M692" i="19"/>
  <c r="I688" i="19"/>
  <c r="Q688" i="19" s="1"/>
  <c r="M688" i="19"/>
  <c r="I684" i="19"/>
  <c r="Q684" i="19" s="1"/>
  <c r="M684" i="19"/>
  <c r="I680" i="19"/>
  <c r="Q680" i="19" s="1"/>
  <c r="M680" i="19"/>
  <c r="I676" i="19"/>
  <c r="Q676" i="19" s="1"/>
  <c r="M676" i="19"/>
  <c r="I672" i="19"/>
  <c r="Q672" i="19" s="1"/>
  <c r="M672" i="19"/>
  <c r="I668" i="19"/>
  <c r="Q668" i="19" s="1"/>
  <c r="M668" i="19"/>
  <c r="I664" i="19"/>
  <c r="Q664" i="19" s="1"/>
  <c r="M664" i="19"/>
  <c r="I660" i="19"/>
  <c r="Q660" i="19" s="1"/>
  <c r="M660" i="19"/>
  <c r="I656" i="19"/>
  <c r="Q656" i="19" s="1"/>
  <c r="M656" i="19"/>
  <c r="I652" i="19"/>
  <c r="Q652" i="19" s="1"/>
  <c r="M652" i="19"/>
  <c r="I648" i="19"/>
  <c r="Q648" i="19" s="1"/>
  <c r="M648" i="19"/>
  <c r="I644" i="19"/>
  <c r="Q644" i="19" s="1"/>
  <c r="M644" i="19"/>
  <c r="I640" i="19"/>
  <c r="Q640" i="19" s="1"/>
  <c r="M640" i="19"/>
  <c r="I636" i="19"/>
  <c r="Q636" i="19" s="1"/>
  <c r="M636" i="19"/>
  <c r="I632" i="19"/>
  <c r="Q632" i="19" s="1"/>
  <c r="M632" i="19"/>
  <c r="I628" i="19"/>
  <c r="Q628" i="19" s="1"/>
  <c r="M628" i="19"/>
  <c r="I624" i="19"/>
  <c r="Q624" i="19" s="1"/>
  <c r="M624" i="19"/>
  <c r="I620" i="19"/>
  <c r="Q620" i="19" s="1"/>
  <c r="M620" i="19"/>
  <c r="I616" i="19"/>
  <c r="Q616" i="19" s="1"/>
  <c r="M616" i="19"/>
  <c r="I612" i="19"/>
  <c r="Q612" i="19" s="1"/>
  <c r="M612" i="19"/>
  <c r="I604" i="19"/>
  <c r="Q604" i="19" s="1"/>
  <c r="M604" i="19"/>
  <c r="I600" i="19"/>
  <c r="Q600" i="19" s="1"/>
  <c r="M600" i="19"/>
  <c r="I596" i="19"/>
  <c r="Q596" i="19" s="1"/>
  <c r="M596" i="19"/>
  <c r="I592" i="19"/>
  <c r="Q592" i="19" s="1"/>
  <c r="M592" i="19"/>
  <c r="I588" i="19"/>
  <c r="Q588" i="19" s="1"/>
  <c r="M588" i="19"/>
  <c r="I584" i="19"/>
  <c r="Q584" i="19" s="1"/>
  <c r="M584" i="19"/>
  <c r="I580" i="19"/>
  <c r="Q580" i="19" s="1"/>
  <c r="M580" i="19"/>
  <c r="I576" i="19"/>
  <c r="Q576" i="19" s="1"/>
  <c r="M576" i="19"/>
  <c r="I572" i="19"/>
  <c r="Q572" i="19" s="1"/>
  <c r="M572" i="19"/>
  <c r="I568" i="19"/>
  <c r="Q568" i="19" s="1"/>
  <c r="M568" i="19"/>
  <c r="I564" i="19"/>
  <c r="Q564" i="19" s="1"/>
  <c r="M564" i="19"/>
  <c r="I560" i="19"/>
  <c r="Q560" i="19" s="1"/>
  <c r="M560" i="19"/>
  <c r="I556" i="19"/>
  <c r="Q556" i="19" s="1"/>
  <c r="M556" i="19"/>
  <c r="I552" i="19"/>
  <c r="Q552" i="19" s="1"/>
  <c r="M552" i="19"/>
  <c r="I548" i="19"/>
  <c r="Q548" i="19" s="1"/>
  <c r="M548" i="19"/>
  <c r="I544" i="19"/>
  <c r="Q544" i="19" s="1"/>
  <c r="M544" i="19"/>
  <c r="I540" i="19"/>
  <c r="Q540" i="19" s="1"/>
  <c r="M540" i="19"/>
  <c r="I536" i="19"/>
  <c r="Q536" i="19" s="1"/>
  <c r="M536" i="19"/>
  <c r="I532" i="19"/>
  <c r="Q532" i="19" s="1"/>
  <c r="M532" i="19"/>
  <c r="I528" i="19"/>
  <c r="Q528" i="19" s="1"/>
  <c r="M528" i="19"/>
  <c r="I524" i="19"/>
  <c r="Q524" i="19" s="1"/>
  <c r="M524" i="19"/>
  <c r="I520" i="19"/>
  <c r="Q520" i="19" s="1"/>
  <c r="M520" i="19"/>
  <c r="I516" i="19"/>
  <c r="Q516" i="19" s="1"/>
  <c r="M516" i="19"/>
  <c r="I512" i="19"/>
  <c r="Q512" i="19" s="1"/>
  <c r="M512" i="19"/>
  <c r="I508" i="19"/>
  <c r="Q508" i="19" s="1"/>
  <c r="M508" i="19"/>
  <c r="I504" i="19"/>
  <c r="Q504" i="19" s="1"/>
  <c r="M504" i="19"/>
  <c r="I500" i="19"/>
  <c r="Q500" i="19" s="1"/>
  <c r="M500" i="19"/>
  <c r="I496" i="19"/>
  <c r="Q496" i="19" s="1"/>
  <c r="M496" i="19"/>
  <c r="I492" i="19"/>
  <c r="Q492" i="19" s="1"/>
  <c r="M492" i="19"/>
  <c r="I488" i="19"/>
  <c r="Q488" i="19" s="1"/>
  <c r="M488" i="19"/>
  <c r="I484" i="19"/>
  <c r="Q484" i="19" s="1"/>
  <c r="M484" i="19"/>
  <c r="I480" i="19"/>
  <c r="Q480" i="19" s="1"/>
  <c r="M480" i="19"/>
  <c r="I476" i="19"/>
  <c r="Q476" i="19" s="1"/>
  <c r="M476" i="19"/>
  <c r="I472" i="19"/>
  <c r="Q472" i="19" s="1"/>
  <c r="M472" i="19"/>
  <c r="I468" i="19"/>
  <c r="Q468" i="19" s="1"/>
  <c r="M468" i="19"/>
  <c r="I464" i="19"/>
  <c r="Q464" i="19" s="1"/>
  <c r="M464" i="19"/>
  <c r="I460" i="19"/>
  <c r="Q460" i="19" s="1"/>
  <c r="M460" i="19"/>
  <c r="I456" i="19"/>
  <c r="Q456" i="19" s="1"/>
  <c r="M456" i="19"/>
  <c r="I452" i="19"/>
  <c r="Q452" i="19" s="1"/>
  <c r="M452" i="19"/>
  <c r="I448" i="19"/>
  <c r="Q448" i="19" s="1"/>
  <c r="M448" i="19"/>
  <c r="I444" i="19"/>
  <c r="Q444" i="19" s="1"/>
  <c r="M444" i="19"/>
  <c r="I440" i="19"/>
  <c r="Q440" i="19" s="1"/>
  <c r="M440" i="19"/>
  <c r="I436" i="19"/>
  <c r="Q436" i="19" s="1"/>
  <c r="M436" i="19"/>
  <c r="I432" i="19"/>
  <c r="Q432" i="19" s="1"/>
  <c r="M432" i="19"/>
  <c r="I428" i="19"/>
  <c r="Q428" i="19" s="1"/>
  <c r="M428" i="19"/>
  <c r="I424" i="19"/>
  <c r="Q424" i="19" s="1"/>
  <c r="M424" i="19"/>
  <c r="I420" i="19"/>
  <c r="Q420" i="19" s="1"/>
  <c r="M420" i="19"/>
  <c r="I416" i="19"/>
  <c r="Q416" i="19" s="1"/>
  <c r="M416" i="19"/>
  <c r="I408" i="19"/>
  <c r="Q408" i="19" s="1"/>
  <c r="M408" i="19"/>
  <c r="I404" i="19"/>
  <c r="Q404" i="19" s="1"/>
  <c r="M404" i="19"/>
  <c r="I400" i="19"/>
  <c r="Q400" i="19" s="1"/>
  <c r="M400" i="19"/>
  <c r="I396" i="19"/>
  <c r="Q396" i="19" s="1"/>
  <c r="M396" i="19"/>
  <c r="I392" i="19"/>
  <c r="Q392" i="19" s="1"/>
  <c r="M392" i="19"/>
  <c r="I388" i="19"/>
  <c r="Q388" i="19" s="1"/>
  <c r="M388" i="19"/>
  <c r="I384" i="19"/>
  <c r="Q384" i="19" s="1"/>
  <c r="M384" i="19"/>
  <c r="I380" i="19"/>
  <c r="Q380" i="19" s="1"/>
  <c r="M380" i="19"/>
  <c r="I376" i="19"/>
  <c r="Q376" i="19" s="1"/>
  <c r="M376" i="19"/>
  <c r="I372" i="19"/>
  <c r="Q372" i="19" s="1"/>
  <c r="M372" i="19"/>
  <c r="I368" i="19"/>
  <c r="Q368" i="19" s="1"/>
  <c r="M368" i="19"/>
  <c r="I364" i="19"/>
  <c r="Q364" i="19" s="1"/>
  <c r="M364" i="19"/>
  <c r="I360" i="19"/>
  <c r="Q360" i="19" s="1"/>
  <c r="M360" i="19"/>
  <c r="I356" i="19"/>
  <c r="Q356" i="19" s="1"/>
  <c r="M356" i="19"/>
  <c r="I352" i="19"/>
  <c r="Q352" i="19" s="1"/>
  <c r="M352" i="19"/>
  <c r="I348" i="19"/>
  <c r="Q348" i="19" s="1"/>
  <c r="M348" i="19"/>
  <c r="I344" i="19"/>
  <c r="Q344" i="19" s="1"/>
  <c r="M344" i="19"/>
  <c r="I340" i="19"/>
  <c r="Q340" i="19" s="1"/>
  <c r="M340" i="19"/>
  <c r="I336" i="19"/>
  <c r="Q336" i="19" s="1"/>
  <c r="M336" i="19"/>
  <c r="I332" i="19"/>
  <c r="Q332" i="19" s="1"/>
  <c r="M332" i="19"/>
  <c r="I328" i="19"/>
  <c r="Q328" i="19" s="1"/>
  <c r="M328" i="19"/>
  <c r="I324" i="19"/>
  <c r="Q324" i="19" s="1"/>
  <c r="M324" i="19"/>
  <c r="I320" i="19"/>
  <c r="Q320" i="19" s="1"/>
  <c r="M320" i="19"/>
  <c r="I316" i="19"/>
  <c r="Q316" i="19" s="1"/>
  <c r="M316" i="19"/>
  <c r="I312" i="19"/>
  <c r="Q312" i="19" s="1"/>
  <c r="M312" i="19"/>
  <c r="I308" i="19"/>
  <c r="Q308" i="19" s="1"/>
  <c r="M308" i="19"/>
  <c r="I304" i="19"/>
  <c r="Q304" i="19" s="1"/>
  <c r="M304" i="19"/>
  <c r="I300" i="19"/>
  <c r="Q300" i="19" s="1"/>
  <c r="M300" i="19"/>
  <c r="I296" i="19"/>
  <c r="Q296" i="19" s="1"/>
  <c r="M296" i="19"/>
  <c r="I292" i="19"/>
  <c r="Q292" i="19" s="1"/>
  <c r="M292" i="19"/>
  <c r="I288" i="19"/>
  <c r="Q288" i="19" s="1"/>
  <c r="M288" i="19"/>
  <c r="I284" i="19"/>
  <c r="Q284" i="19" s="1"/>
  <c r="M284" i="19"/>
  <c r="I280" i="19"/>
  <c r="Q280" i="19" s="1"/>
  <c r="M280" i="19"/>
  <c r="I276" i="19"/>
  <c r="Q276" i="19" s="1"/>
  <c r="M276" i="19"/>
  <c r="I272" i="19"/>
  <c r="Q272" i="19" s="1"/>
  <c r="M272" i="19"/>
  <c r="I268" i="19"/>
  <c r="Q268" i="19" s="1"/>
  <c r="M268" i="19"/>
  <c r="I264" i="19"/>
  <c r="Q264" i="19" s="1"/>
  <c r="M264" i="19"/>
  <c r="I260" i="19"/>
  <c r="Q260" i="19" s="1"/>
  <c r="M260" i="19"/>
  <c r="I256" i="19"/>
  <c r="Q256" i="19" s="1"/>
  <c r="M256" i="19"/>
  <c r="I252" i="19"/>
  <c r="Q252" i="19" s="1"/>
  <c r="M252" i="19"/>
  <c r="I248" i="19"/>
  <c r="Q248" i="19" s="1"/>
  <c r="M248" i="19"/>
  <c r="I244" i="19"/>
  <c r="Q244" i="19" s="1"/>
  <c r="M244" i="19"/>
  <c r="I240" i="19"/>
  <c r="Q240" i="19" s="1"/>
  <c r="M240" i="19"/>
  <c r="I236" i="19"/>
  <c r="Q236" i="19" s="1"/>
  <c r="M236" i="19"/>
  <c r="I232" i="19"/>
  <c r="Q232" i="19" s="1"/>
  <c r="M232" i="19"/>
  <c r="I228" i="19"/>
  <c r="Q228" i="19" s="1"/>
  <c r="M228" i="19"/>
  <c r="I224" i="19"/>
  <c r="Q224" i="19" s="1"/>
  <c r="M224" i="19"/>
  <c r="I220" i="19"/>
  <c r="Q220" i="19" s="1"/>
  <c r="M220" i="19"/>
  <c r="I216" i="19"/>
  <c r="Q216" i="19" s="1"/>
  <c r="M216" i="19"/>
  <c r="I212" i="19"/>
  <c r="Q212" i="19" s="1"/>
  <c r="M212" i="19"/>
  <c r="I208" i="19"/>
  <c r="Q208" i="19" s="1"/>
  <c r="M208" i="19"/>
  <c r="I204" i="19"/>
  <c r="Q204" i="19" s="1"/>
  <c r="M204" i="19"/>
  <c r="I200" i="19"/>
  <c r="Q200" i="19" s="1"/>
  <c r="M200" i="19"/>
  <c r="I196" i="19"/>
  <c r="Q196" i="19" s="1"/>
  <c r="M196" i="19"/>
  <c r="I192" i="19"/>
  <c r="Q192" i="19" s="1"/>
  <c r="M192" i="19"/>
  <c r="I188" i="19"/>
  <c r="Q188" i="19" s="1"/>
  <c r="M188" i="19"/>
  <c r="I184" i="19"/>
  <c r="Q184" i="19" s="1"/>
  <c r="M184" i="19"/>
  <c r="I180" i="19"/>
  <c r="Q180" i="19" s="1"/>
  <c r="M180" i="19"/>
  <c r="I176" i="19"/>
  <c r="Q176" i="19" s="1"/>
  <c r="M176" i="19"/>
  <c r="I172" i="19"/>
  <c r="Q172" i="19" s="1"/>
  <c r="M172" i="19"/>
  <c r="I168" i="19"/>
  <c r="Q168" i="19" s="1"/>
  <c r="M168" i="19"/>
  <c r="I164" i="19"/>
  <c r="Q164" i="19" s="1"/>
  <c r="M164" i="19"/>
  <c r="I160" i="19"/>
  <c r="Q160" i="19" s="1"/>
  <c r="M160" i="19"/>
  <c r="I156" i="19"/>
  <c r="Q156" i="19" s="1"/>
  <c r="M156" i="19"/>
  <c r="I152" i="19"/>
  <c r="Q152" i="19" s="1"/>
  <c r="M152" i="19"/>
  <c r="I148" i="19"/>
  <c r="Q148" i="19" s="1"/>
  <c r="M148" i="19"/>
  <c r="I144" i="19"/>
  <c r="Q144" i="19" s="1"/>
  <c r="M144" i="19"/>
  <c r="I140" i="19"/>
  <c r="Q140" i="19" s="1"/>
  <c r="M140" i="19"/>
  <c r="I136" i="19"/>
  <c r="Q136" i="19" s="1"/>
  <c r="M136" i="19"/>
  <c r="I132" i="19"/>
  <c r="Q132" i="19" s="1"/>
  <c r="M132" i="19"/>
  <c r="I128" i="19"/>
  <c r="Q128" i="19" s="1"/>
  <c r="M128" i="19"/>
  <c r="I124" i="19"/>
  <c r="Q124" i="19" s="1"/>
  <c r="M124" i="19"/>
  <c r="I120" i="19"/>
  <c r="Q120" i="19" s="1"/>
  <c r="M120" i="19"/>
  <c r="I116" i="19"/>
  <c r="Q116" i="19" s="1"/>
  <c r="M116" i="19"/>
  <c r="I112" i="19"/>
  <c r="Q112" i="19" s="1"/>
  <c r="M112" i="19"/>
  <c r="I108" i="19"/>
  <c r="Q108" i="19" s="1"/>
  <c r="M108" i="19"/>
  <c r="I104" i="19"/>
  <c r="Q104" i="19" s="1"/>
  <c r="M104" i="19"/>
  <c r="I100" i="19"/>
  <c r="Q100" i="19" s="1"/>
  <c r="M100" i="19"/>
  <c r="I96" i="19"/>
  <c r="Q96" i="19" s="1"/>
  <c r="M96" i="19"/>
  <c r="I92" i="19"/>
  <c r="Q92" i="19" s="1"/>
  <c r="M92" i="19"/>
  <c r="I88" i="19"/>
  <c r="Q88" i="19" s="1"/>
  <c r="M88" i="19"/>
  <c r="I84" i="19"/>
  <c r="Q84" i="19" s="1"/>
  <c r="M84" i="19"/>
  <c r="I80" i="19"/>
  <c r="Q80" i="19" s="1"/>
  <c r="M80" i="19"/>
  <c r="I76" i="19"/>
  <c r="Q76" i="19" s="1"/>
  <c r="M76" i="19"/>
  <c r="I72" i="19"/>
  <c r="Q72" i="19" s="1"/>
  <c r="M72" i="19"/>
  <c r="I68" i="19"/>
  <c r="Q68" i="19" s="1"/>
  <c r="M68" i="19"/>
  <c r="I64" i="19"/>
  <c r="Q64" i="19" s="1"/>
  <c r="M64" i="19"/>
  <c r="I60" i="19"/>
  <c r="Q60" i="19" s="1"/>
  <c r="M60" i="19"/>
  <c r="I56" i="19"/>
  <c r="Q56" i="19" s="1"/>
  <c r="M56" i="19"/>
  <c r="I52" i="19"/>
  <c r="Q52" i="19" s="1"/>
  <c r="M52" i="19"/>
  <c r="I48" i="19"/>
  <c r="Q48" i="19" s="1"/>
  <c r="M48" i="19"/>
  <c r="I44" i="19"/>
  <c r="Q44" i="19" s="1"/>
  <c r="M44" i="19"/>
  <c r="I40" i="19"/>
  <c r="Q40" i="19" s="1"/>
  <c r="M40" i="19"/>
  <c r="I36" i="19"/>
  <c r="Q36" i="19" s="1"/>
  <c r="M36" i="19"/>
  <c r="I32" i="19"/>
  <c r="Q32" i="19" s="1"/>
  <c r="M32" i="19"/>
  <c r="I28" i="19"/>
  <c r="Q28" i="19" s="1"/>
  <c r="M28" i="19"/>
  <c r="I24" i="19"/>
  <c r="Q24" i="19" s="1"/>
  <c r="M24" i="19"/>
  <c r="I20" i="19"/>
  <c r="Q20" i="19" s="1"/>
  <c r="M20" i="19"/>
  <c r="I16" i="19"/>
  <c r="Q16" i="19" s="1"/>
  <c r="M16" i="19"/>
  <c r="I12" i="19"/>
  <c r="Q12" i="19" s="1"/>
  <c r="M12" i="19"/>
  <c r="I8" i="19"/>
  <c r="Q8" i="19" s="1"/>
  <c r="M8" i="19"/>
  <c r="I4" i="19"/>
  <c r="Q4" i="19" s="1"/>
  <c r="I1525" i="19"/>
  <c r="Q1525" i="19" s="1"/>
  <c r="M1812" i="19"/>
  <c r="M1769" i="19"/>
  <c r="M1684" i="19"/>
  <c r="M1641" i="19"/>
  <c r="M1556" i="19"/>
  <c r="M1513" i="19"/>
  <c r="M1428" i="19"/>
  <c r="M1385" i="19"/>
  <c r="M1300" i="19"/>
  <c r="M1209" i="19"/>
  <c r="M1081" i="19"/>
  <c r="M953" i="19"/>
  <c r="M788" i="19"/>
  <c r="I1365" i="19"/>
  <c r="Q1365" i="19" s="1"/>
  <c r="M1801" i="19"/>
  <c r="M1716" i="19"/>
  <c r="M1673" i="19"/>
  <c r="M1588" i="19"/>
  <c r="M1545" i="19"/>
  <c r="M1460" i="19"/>
  <c r="M1417" i="19"/>
  <c r="M1332" i="19"/>
  <c r="M1289" i="19"/>
  <c r="M1177" i="19"/>
  <c r="M1049" i="19"/>
  <c r="M916" i="19"/>
  <c r="M745" i="19"/>
  <c r="M412" i="19"/>
  <c r="I385" i="19"/>
  <c r="Q385" i="19" s="1"/>
  <c r="M1748" i="19"/>
  <c r="M1705" i="19"/>
  <c r="M1620" i="19"/>
  <c r="M1577" i="19"/>
  <c r="M1492" i="19"/>
  <c r="M1449" i="19"/>
  <c r="M1364" i="19"/>
  <c r="M1321" i="19"/>
  <c r="M1273" i="19"/>
  <c r="M1145" i="19"/>
  <c r="M1017" i="19"/>
  <c r="M873" i="19"/>
  <c r="M693" i="19"/>
  <c r="M1818" i="19"/>
  <c r="M1786" i="19"/>
  <c r="M863" i="19"/>
  <c r="M735" i="19"/>
  <c r="M587" i="19"/>
  <c r="M202" i="19"/>
  <c r="L453" i="19"/>
  <c r="L449" i="19"/>
  <c r="L445" i="19"/>
  <c r="L441" i="19"/>
  <c r="L437" i="19"/>
  <c r="L433" i="19"/>
  <c r="L429" i="19"/>
  <c r="L425" i="19"/>
  <c r="L421" i="19"/>
  <c r="L417" i="19"/>
  <c r="L413" i="19"/>
  <c r="L409" i="19"/>
  <c r="L405" i="19"/>
  <c r="L401" i="19"/>
  <c r="L397" i="19"/>
  <c r="L393" i="19"/>
  <c r="L389" i="19"/>
  <c r="L385" i="19"/>
  <c r="L381" i="19"/>
  <c r="L377" i="19"/>
  <c r="L373" i="19"/>
  <c r="L369" i="19"/>
  <c r="L365" i="19"/>
  <c r="L361" i="19"/>
  <c r="L357" i="19"/>
  <c r="L353" i="19"/>
  <c r="L349" i="19"/>
  <c r="L345" i="19"/>
  <c r="L341" i="19"/>
  <c r="L337" i="19"/>
  <c r="L333" i="19"/>
  <c r="L329" i="19"/>
  <c r="L325" i="19"/>
  <c r="L321" i="19"/>
  <c r="L317" i="19"/>
  <c r="L313" i="19"/>
  <c r="L309" i="19"/>
  <c r="L305" i="19"/>
  <c r="L301" i="19"/>
  <c r="L297" i="19"/>
  <c r="L293" i="19"/>
  <c r="L289" i="19"/>
  <c r="L285" i="19"/>
  <c r="L281" i="19"/>
  <c r="L277" i="19"/>
  <c r="L273" i="19"/>
  <c r="L269" i="19"/>
  <c r="L265" i="19"/>
  <c r="L261" i="19"/>
  <c r="L257" i="19"/>
  <c r="L253" i="19"/>
  <c r="L249" i="19"/>
  <c r="L245" i="19"/>
  <c r="L241" i="19"/>
  <c r="L237" i="19"/>
  <c r="L233" i="19"/>
  <c r="L229" i="19"/>
  <c r="L225" i="19"/>
  <c r="L221" i="19"/>
  <c r="L217" i="19"/>
  <c r="L213" i="19"/>
  <c r="L209" i="19"/>
  <c r="L205" i="19"/>
  <c r="L201" i="19"/>
  <c r="L197" i="19"/>
  <c r="L193" i="19"/>
  <c r="L189" i="19"/>
  <c r="L185" i="19"/>
  <c r="L181" i="19"/>
  <c r="L177" i="19"/>
  <c r="L173" i="19"/>
  <c r="L169" i="19"/>
  <c r="L165" i="19"/>
  <c r="L161" i="19"/>
  <c r="L157" i="19"/>
  <c r="L153" i="19"/>
  <c r="L149" i="19"/>
  <c r="L145" i="19"/>
  <c r="L141" i="19"/>
  <c r="L137" i="19"/>
  <c r="L133" i="19"/>
  <c r="L129" i="19"/>
  <c r="L125" i="19"/>
  <c r="L121" i="19"/>
  <c r="L117" i="19"/>
  <c r="L113" i="19"/>
  <c r="L109" i="19"/>
  <c r="L105" i="19"/>
  <c r="L101" i="19"/>
  <c r="L97" i="19"/>
  <c r="L93" i="19"/>
  <c r="L89" i="19"/>
  <c r="L85" i="19"/>
  <c r="L81" i="19"/>
  <c r="L77" i="19"/>
  <c r="L73" i="19"/>
  <c r="L69" i="19"/>
  <c r="L65" i="19"/>
  <c r="L61" i="19"/>
  <c r="L57" i="19"/>
  <c r="L53" i="19"/>
  <c r="L49" i="19"/>
  <c r="L45" i="19"/>
  <c r="L41" i="19"/>
  <c r="L37" i="19"/>
  <c r="L33" i="19"/>
  <c r="L29" i="19"/>
  <c r="L25" i="19"/>
  <c r="L21" i="19"/>
  <c r="L17" i="19"/>
  <c r="L13" i="19"/>
  <c r="L9" i="19"/>
  <c r="L5" i="19"/>
  <c r="I1831" i="19"/>
  <c r="Q1831" i="19" s="1"/>
  <c r="M1831" i="19"/>
  <c r="I1827" i="19"/>
  <c r="Q1827" i="19" s="1"/>
  <c r="M1827" i="19"/>
  <c r="I1823" i="19"/>
  <c r="Q1823" i="19" s="1"/>
  <c r="M1823" i="19"/>
  <c r="I1819" i="19"/>
  <c r="Q1819" i="19" s="1"/>
  <c r="M1819" i="19"/>
  <c r="I1815" i="19"/>
  <c r="Q1815" i="19" s="1"/>
  <c r="M1815" i="19"/>
  <c r="I1811" i="19"/>
  <c r="Q1811" i="19" s="1"/>
  <c r="M1811" i="19"/>
  <c r="I1807" i="19"/>
  <c r="Q1807" i="19" s="1"/>
  <c r="M1807" i="19"/>
  <c r="I1803" i="19"/>
  <c r="Q1803" i="19" s="1"/>
  <c r="M1803" i="19"/>
  <c r="I1799" i="19"/>
  <c r="Q1799" i="19" s="1"/>
  <c r="M1799" i="19"/>
  <c r="I1795" i="19"/>
  <c r="Q1795" i="19" s="1"/>
  <c r="M1795" i="19"/>
  <c r="I1791" i="19"/>
  <c r="Q1791" i="19" s="1"/>
  <c r="M1791" i="19"/>
  <c r="I1787" i="19"/>
  <c r="Q1787" i="19" s="1"/>
  <c r="M1787" i="19"/>
  <c r="I1783" i="19"/>
  <c r="Q1783" i="19" s="1"/>
  <c r="M1783" i="19"/>
  <c r="I1779" i="19"/>
  <c r="Q1779" i="19" s="1"/>
  <c r="M1779" i="19"/>
  <c r="I1775" i="19"/>
  <c r="Q1775" i="19" s="1"/>
  <c r="M1775" i="19"/>
  <c r="I1771" i="19"/>
  <c r="Q1771" i="19" s="1"/>
  <c r="M1771" i="19"/>
  <c r="I1767" i="19"/>
  <c r="Q1767" i="19" s="1"/>
  <c r="M1767" i="19"/>
  <c r="I1763" i="19"/>
  <c r="Q1763" i="19" s="1"/>
  <c r="M1763" i="19"/>
  <c r="I1759" i="19"/>
  <c r="Q1759" i="19" s="1"/>
  <c r="M1759" i="19"/>
  <c r="I1755" i="19"/>
  <c r="Q1755" i="19" s="1"/>
  <c r="M1755" i="19"/>
  <c r="I1751" i="19"/>
  <c r="Q1751" i="19" s="1"/>
  <c r="M1751" i="19"/>
  <c r="I1747" i="19"/>
  <c r="Q1747" i="19" s="1"/>
  <c r="M1747" i="19"/>
  <c r="I1743" i="19"/>
  <c r="Q1743" i="19" s="1"/>
  <c r="M1743" i="19"/>
  <c r="I1739" i="19"/>
  <c r="Q1739" i="19" s="1"/>
  <c r="M1739" i="19"/>
  <c r="I1735" i="19"/>
  <c r="Q1735" i="19" s="1"/>
  <c r="M1735" i="19"/>
  <c r="I1731" i="19"/>
  <c r="Q1731" i="19" s="1"/>
  <c r="M1731" i="19"/>
  <c r="I1727" i="19"/>
  <c r="Q1727" i="19" s="1"/>
  <c r="M1727" i="19"/>
  <c r="I1723" i="19"/>
  <c r="Q1723" i="19" s="1"/>
  <c r="M1723" i="19"/>
  <c r="I1719" i="19"/>
  <c r="Q1719" i="19" s="1"/>
  <c r="M1719" i="19"/>
  <c r="I1715" i="19"/>
  <c r="Q1715" i="19" s="1"/>
  <c r="M1715" i="19"/>
  <c r="I1711" i="19"/>
  <c r="Q1711" i="19" s="1"/>
  <c r="M1711" i="19"/>
  <c r="I1707" i="19"/>
  <c r="Q1707" i="19" s="1"/>
  <c r="M1707" i="19"/>
  <c r="I1703" i="19"/>
  <c r="Q1703" i="19" s="1"/>
  <c r="M1703" i="19"/>
  <c r="I1699" i="19"/>
  <c r="Q1699" i="19" s="1"/>
  <c r="M1699" i="19"/>
  <c r="I1695" i="19"/>
  <c r="Q1695" i="19" s="1"/>
  <c r="M1695" i="19"/>
  <c r="I1691" i="19"/>
  <c r="Q1691" i="19" s="1"/>
  <c r="M1691" i="19"/>
  <c r="I1687" i="19"/>
  <c r="Q1687" i="19" s="1"/>
  <c r="M1687" i="19"/>
  <c r="I1683" i="19"/>
  <c r="Q1683" i="19" s="1"/>
  <c r="M1683" i="19"/>
  <c r="I1679" i="19"/>
  <c r="Q1679" i="19" s="1"/>
  <c r="M1679" i="19"/>
  <c r="I1675" i="19"/>
  <c r="Q1675" i="19" s="1"/>
  <c r="M1675" i="19"/>
  <c r="I1671" i="19"/>
  <c r="Q1671" i="19" s="1"/>
  <c r="M1671" i="19"/>
  <c r="I1667" i="19"/>
  <c r="Q1667" i="19" s="1"/>
  <c r="M1667" i="19"/>
  <c r="I1663" i="19"/>
  <c r="Q1663" i="19" s="1"/>
  <c r="M1663" i="19"/>
  <c r="I1659" i="19"/>
  <c r="Q1659" i="19" s="1"/>
  <c r="M1659" i="19"/>
  <c r="I1655" i="19"/>
  <c r="Q1655" i="19" s="1"/>
  <c r="M1655" i="19"/>
  <c r="I1651" i="19"/>
  <c r="Q1651" i="19" s="1"/>
  <c r="M1651" i="19"/>
  <c r="I1647" i="19"/>
  <c r="Q1647" i="19" s="1"/>
  <c r="M1647" i="19"/>
  <c r="I1643" i="19"/>
  <c r="Q1643" i="19" s="1"/>
  <c r="M1643" i="19"/>
  <c r="I1639" i="19"/>
  <c r="Q1639" i="19" s="1"/>
  <c r="M1639" i="19"/>
  <c r="I1635" i="19"/>
  <c r="Q1635" i="19" s="1"/>
  <c r="M1635" i="19"/>
  <c r="I1631" i="19"/>
  <c r="Q1631" i="19" s="1"/>
  <c r="M1631" i="19"/>
  <c r="I1627" i="19"/>
  <c r="Q1627" i="19" s="1"/>
  <c r="M1627" i="19"/>
  <c r="I1623" i="19"/>
  <c r="Q1623" i="19" s="1"/>
  <c r="M1623" i="19"/>
  <c r="I1619" i="19"/>
  <c r="Q1619" i="19" s="1"/>
  <c r="M1619" i="19"/>
  <c r="I1615" i="19"/>
  <c r="Q1615" i="19" s="1"/>
  <c r="M1615" i="19"/>
  <c r="I1611" i="19"/>
  <c r="Q1611" i="19" s="1"/>
  <c r="M1611" i="19"/>
  <c r="I1607" i="19"/>
  <c r="Q1607" i="19" s="1"/>
  <c r="M1607" i="19"/>
  <c r="I1603" i="19"/>
  <c r="Q1603" i="19" s="1"/>
  <c r="M1603" i="19"/>
  <c r="I1599" i="19"/>
  <c r="Q1599" i="19" s="1"/>
  <c r="M1599" i="19"/>
  <c r="I1595" i="19"/>
  <c r="Q1595" i="19" s="1"/>
  <c r="M1595" i="19"/>
  <c r="I1591" i="19"/>
  <c r="Q1591" i="19" s="1"/>
  <c r="M1591" i="19"/>
  <c r="I1587" i="19"/>
  <c r="Q1587" i="19" s="1"/>
  <c r="M1587" i="19"/>
  <c r="I1583" i="19"/>
  <c r="Q1583" i="19" s="1"/>
  <c r="M1583" i="19"/>
  <c r="I1579" i="19"/>
  <c r="Q1579" i="19" s="1"/>
  <c r="M1579" i="19"/>
  <c r="I1575" i="19"/>
  <c r="Q1575" i="19" s="1"/>
  <c r="M1575" i="19"/>
  <c r="I1571" i="19"/>
  <c r="Q1571" i="19" s="1"/>
  <c r="M1571" i="19"/>
  <c r="I1567" i="19"/>
  <c r="Q1567" i="19" s="1"/>
  <c r="M1567" i="19"/>
  <c r="I1563" i="19"/>
  <c r="Q1563" i="19" s="1"/>
  <c r="M1563" i="19"/>
  <c r="I1559" i="19"/>
  <c r="Q1559" i="19" s="1"/>
  <c r="M1559" i="19"/>
  <c r="I1555" i="19"/>
  <c r="Q1555" i="19" s="1"/>
  <c r="M1555" i="19"/>
  <c r="I1551" i="19"/>
  <c r="Q1551" i="19" s="1"/>
  <c r="M1551" i="19"/>
  <c r="I1547" i="19"/>
  <c r="Q1547" i="19" s="1"/>
  <c r="M1547" i="19"/>
  <c r="I1543" i="19"/>
  <c r="Q1543" i="19" s="1"/>
  <c r="M1543" i="19"/>
  <c r="I1539" i="19"/>
  <c r="Q1539" i="19" s="1"/>
  <c r="M1539" i="19"/>
  <c r="I1535" i="19"/>
  <c r="Q1535" i="19" s="1"/>
  <c r="M1535" i="19"/>
  <c r="I1531" i="19"/>
  <c r="Q1531" i="19" s="1"/>
  <c r="M1531" i="19"/>
  <c r="I1527" i="19"/>
  <c r="Q1527" i="19" s="1"/>
  <c r="M1527" i="19"/>
  <c r="I1523" i="19"/>
  <c r="Q1523" i="19" s="1"/>
  <c r="M1523" i="19"/>
  <c r="I1519" i="19"/>
  <c r="Q1519" i="19" s="1"/>
  <c r="M1519" i="19"/>
  <c r="I1515" i="19"/>
  <c r="Q1515" i="19" s="1"/>
  <c r="M1515" i="19"/>
  <c r="I1511" i="19"/>
  <c r="Q1511" i="19" s="1"/>
  <c r="M1511" i="19"/>
  <c r="I1507" i="19"/>
  <c r="Q1507" i="19" s="1"/>
  <c r="M1507" i="19"/>
  <c r="I1503" i="19"/>
  <c r="Q1503" i="19" s="1"/>
  <c r="M1503" i="19"/>
  <c r="I1499" i="19"/>
  <c r="Q1499" i="19" s="1"/>
  <c r="M1499" i="19"/>
  <c r="I1495" i="19"/>
  <c r="Q1495" i="19" s="1"/>
  <c r="M1495" i="19"/>
  <c r="I1491" i="19"/>
  <c r="Q1491" i="19" s="1"/>
  <c r="M1491" i="19"/>
  <c r="I1487" i="19"/>
  <c r="Q1487" i="19" s="1"/>
  <c r="M1487" i="19"/>
  <c r="I1483" i="19"/>
  <c r="Q1483" i="19" s="1"/>
  <c r="M1483" i="19"/>
  <c r="I1479" i="19"/>
  <c r="Q1479" i="19" s="1"/>
  <c r="M1479" i="19"/>
  <c r="I1475" i="19"/>
  <c r="Q1475" i="19" s="1"/>
  <c r="M1475" i="19"/>
  <c r="I1471" i="19"/>
  <c r="Q1471" i="19" s="1"/>
  <c r="M1471" i="19"/>
  <c r="I1467" i="19"/>
  <c r="Q1467" i="19" s="1"/>
  <c r="M1467" i="19"/>
  <c r="I1463" i="19"/>
  <c r="Q1463" i="19" s="1"/>
  <c r="M1463" i="19"/>
  <c r="I1459" i="19"/>
  <c r="Q1459" i="19" s="1"/>
  <c r="M1459" i="19"/>
  <c r="I1455" i="19"/>
  <c r="Q1455" i="19" s="1"/>
  <c r="M1455" i="19"/>
  <c r="I1451" i="19"/>
  <c r="Q1451" i="19" s="1"/>
  <c r="M1451" i="19"/>
  <c r="I1447" i="19"/>
  <c r="Q1447" i="19" s="1"/>
  <c r="M1447" i="19"/>
  <c r="I1443" i="19"/>
  <c r="Q1443" i="19" s="1"/>
  <c r="M1443" i="19"/>
  <c r="I1439" i="19"/>
  <c r="Q1439" i="19" s="1"/>
  <c r="M1439" i="19"/>
  <c r="I1435" i="19"/>
  <c r="Q1435" i="19" s="1"/>
  <c r="M1435" i="19"/>
  <c r="I1431" i="19"/>
  <c r="Q1431" i="19" s="1"/>
  <c r="M1431" i="19"/>
  <c r="I1427" i="19"/>
  <c r="Q1427" i="19" s="1"/>
  <c r="M1427" i="19"/>
  <c r="I1423" i="19"/>
  <c r="Q1423" i="19" s="1"/>
  <c r="M1423" i="19"/>
  <c r="I1419" i="19"/>
  <c r="Q1419" i="19" s="1"/>
  <c r="M1419" i="19"/>
  <c r="I1415" i="19"/>
  <c r="Q1415" i="19" s="1"/>
  <c r="M1415" i="19"/>
  <c r="I1411" i="19"/>
  <c r="Q1411" i="19" s="1"/>
  <c r="M1411" i="19"/>
  <c r="I1407" i="19"/>
  <c r="Q1407" i="19" s="1"/>
  <c r="M1407" i="19"/>
  <c r="I1403" i="19"/>
  <c r="Q1403" i="19" s="1"/>
  <c r="M1403" i="19"/>
  <c r="I1399" i="19"/>
  <c r="Q1399" i="19" s="1"/>
  <c r="M1399" i="19"/>
  <c r="I1395" i="19"/>
  <c r="Q1395" i="19" s="1"/>
  <c r="M1395" i="19"/>
  <c r="I1391" i="19"/>
  <c r="Q1391" i="19" s="1"/>
  <c r="M1391" i="19"/>
  <c r="I1387" i="19"/>
  <c r="Q1387" i="19" s="1"/>
  <c r="M1387" i="19"/>
  <c r="I1383" i="19"/>
  <c r="Q1383" i="19" s="1"/>
  <c r="M1383" i="19"/>
  <c r="I1379" i="19"/>
  <c r="Q1379" i="19" s="1"/>
  <c r="M1379" i="19"/>
  <c r="I1375" i="19"/>
  <c r="Q1375" i="19" s="1"/>
  <c r="M1375" i="19"/>
  <c r="I1371" i="19"/>
  <c r="Q1371" i="19" s="1"/>
  <c r="M1371" i="19"/>
  <c r="I1367" i="19"/>
  <c r="Q1367" i="19" s="1"/>
  <c r="M1367" i="19"/>
  <c r="I1363" i="19"/>
  <c r="Q1363" i="19" s="1"/>
  <c r="M1363" i="19"/>
  <c r="I1359" i="19"/>
  <c r="Q1359" i="19" s="1"/>
  <c r="M1359" i="19"/>
  <c r="I1355" i="19"/>
  <c r="Q1355" i="19" s="1"/>
  <c r="M1355" i="19"/>
  <c r="I1351" i="19"/>
  <c r="Q1351" i="19" s="1"/>
  <c r="M1351" i="19"/>
  <c r="I1347" i="19"/>
  <c r="Q1347" i="19" s="1"/>
  <c r="M1347" i="19"/>
  <c r="I1343" i="19"/>
  <c r="Q1343" i="19" s="1"/>
  <c r="M1343" i="19"/>
  <c r="I1339" i="19"/>
  <c r="Q1339" i="19" s="1"/>
  <c r="M1339" i="19"/>
  <c r="I1335" i="19"/>
  <c r="Q1335" i="19" s="1"/>
  <c r="M1335" i="19"/>
  <c r="I1331" i="19"/>
  <c r="Q1331" i="19" s="1"/>
  <c r="M1331" i="19"/>
  <c r="I1327" i="19"/>
  <c r="Q1327" i="19" s="1"/>
  <c r="M1327" i="19"/>
  <c r="I1323" i="19"/>
  <c r="Q1323" i="19" s="1"/>
  <c r="M1323" i="19"/>
  <c r="I1319" i="19"/>
  <c r="Q1319" i="19" s="1"/>
  <c r="M1319" i="19"/>
  <c r="I1315" i="19"/>
  <c r="Q1315" i="19" s="1"/>
  <c r="M1315" i="19"/>
  <c r="I1311" i="19"/>
  <c r="Q1311" i="19" s="1"/>
  <c r="M1311" i="19"/>
  <c r="I1307" i="19"/>
  <c r="Q1307" i="19" s="1"/>
  <c r="M1307" i="19"/>
  <c r="I1303" i="19"/>
  <c r="Q1303" i="19" s="1"/>
  <c r="M1303" i="19"/>
  <c r="I1299" i="19"/>
  <c r="Q1299" i="19" s="1"/>
  <c r="M1299" i="19"/>
  <c r="I1295" i="19"/>
  <c r="Q1295" i="19" s="1"/>
  <c r="M1295" i="19"/>
  <c r="I1291" i="19"/>
  <c r="M1291" i="19"/>
  <c r="I1287" i="19"/>
  <c r="Q1287" i="19" s="1"/>
  <c r="M1287" i="19"/>
  <c r="I1283" i="19"/>
  <c r="Q1283" i="19" s="1"/>
  <c r="M1283" i="19"/>
  <c r="I1279" i="19"/>
  <c r="Q1279" i="19" s="1"/>
  <c r="M1279" i="19"/>
  <c r="I1275" i="19"/>
  <c r="Q1275" i="19" s="1"/>
  <c r="M1275" i="19"/>
  <c r="I1271" i="19"/>
  <c r="Q1271" i="19" s="1"/>
  <c r="M1271" i="19"/>
  <c r="I1267" i="19"/>
  <c r="Q1267" i="19" s="1"/>
  <c r="M1267" i="19"/>
  <c r="I1263" i="19"/>
  <c r="Q1263" i="19" s="1"/>
  <c r="M1263" i="19"/>
  <c r="I1259" i="19"/>
  <c r="Q1259" i="19" s="1"/>
  <c r="M1259" i="19"/>
  <c r="I1255" i="19"/>
  <c r="Q1255" i="19" s="1"/>
  <c r="M1255" i="19"/>
  <c r="I1251" i="19"/>
  <c r="Q1251" i="19" s="1"/>
  <c r="M1251" i="19"/>
  <c r="I1247" i="19"/>
  <c r="Q1247" i="19" s="1"/>
  <c r="M1247" i="19"/>
  <c r="I1243" i="19"/>
  <c r="Q1243" i="19" s="1"/>
  <c r="M1243" i="19"/>
  <c r="I1239" i="19"/>
  <c r="Q1239" i="19" s="1"/>
  <c r="M1239" i="19"/>
  <c r="I1235" i="19"/>
  <c r="Q1235" i="19" s="1"/>
  <c r="M1235" i="19"/>
  <c r="I1231" i="19"/>
  <c r="Q1231" i="19" s="1"/>
  <c r="M1231" i="19"/>
  <c r="I1227" i="19"/>
  <c r="Q1227" i="19" s="1"/>
  <c r="M1227" i="19"/>
  <c r="I1223" i="19"/>
  <c r="Q1223" i="19" s="1"/>
  <c r="M1223" i="19"/>
  <c r="I1219" i="19"/>
  <c r="Q1219" i="19" s="1"/>
  <c r="M1219" i="19"/>
  <c r="I1215" i="19"/>
  <c r="Q1215" i="19" s="1"/>
  <c r="M1215" i="19"/>
  <c r="I1211" i="19"/>
  <c r="Q1211" i="19" s="1"/>
  <c r="M1211" i="19"/>
  <c r="I1207" i="19"/>
  <c r="Q1207" i="19" s="1"/>
  <c r="M1207" i="19"/>
  <c r="I1203" i="19"/>
  <c r="Q1203" i="19" s="1"/>
  <c r="M1203" i="19"/>
  <c r="I1199" i="19"/>
  <c r="Q1199" i="19" s="1"/>
  <c r="M1199" i="19"/>
  <c r="I1195" i="19"/>
  <c r="Q1195" i="19" s="1"/>
  <c r="M1195" i="19"/>
  <c r="I1191" i="19"/>
  <c r="Q1191" i="19" s="1"/>
  <c r="M1191" i="19"/>
  <c r="I1187" i="19"/>
  <c r="Q1187" i="19" s="1"/>
  <c r="M1187" i="19"/>
  <c r="I1183" i="19"/>
  <c r="Q1183" i="19" s="1"/>
  <c r="M1183" i="19"/>
  <c r="I1179" i="19"/>
  <c r="Q1179" i="19" s="1"/>
  <c r="M1179" i="19"/>
  <c r="I1175" i="19"/>
  <c r="Q1175" i="19" s="1"/>
  <c r="M1175" i="19"/>
  <c r="I1171" i="19"/>
  <c r="Q1171" i="19" s="1"/>
  <c r="M1171" i="19"/>
  <c r="I1167" i="19"/>
  <c r="Q1167" i="19" s="1"/>
  <c r="M1167" i="19"/>
  <c r="I1163" i="19"/>
  <c r="Q1163" i="19" s="1"/>
  <c r="M1163" i="19"/>
  <c r="I1159" i="19"/>
  <c r="Q1159" i="19" s="1"/>
  <c r="M1159" i="19"/>
  <c r="I1155" i="19"/>
  <c r="Q1155" i="19" s="1"/>
  <c r="M1155" i="19"/>
  <c r="I1151" i="19"/>
  <c r="Q1151" i="19" s="1"/>
  <c r="M1151" i="19"/>
  <c r="I1147" i="19"/>
  <c r="Q1147" i="19" s="1"/>
  <c r="M1147" i="19"/>
  <c r="I1143" i="19"/>
  <c r="Q1143" i="19" s="1"/>
  <c r="M1143" i="19"/>
  <c r="I1139" i="19"/>
  <c r="Q1139" i="19" s="1"/>
  <c r="M1139" i="19"/>
  <c r="I1135" i="19"/>
  <c r="Q1135" i="19" s="1"/>
  <c r="M1135" i="19"/>
  <c r="I1131" i="19"/>
  <c r="Q1131" i="19" s="1"/>
  <c r="M1131" i="19"/>
  <c r="I1127" i="19"/>
  <c r="Q1127" i="19" s="1"/>
  <c r="M1127" i="19"/>
  <c r="I1123" i="19"/>
  <c r="Q1123" i="19" s="1"/>
  <c r="M1123" i="19"/>
  <c r="I1119" i="19"/>
  <c r="Q1119" i="19" s="1"/>
  <c r="M1119" i="19"/>
  <c r="I1115" i="19"/>
  <c r="Q1115" i="19" s="1"/>
  <c r="M1115" i="19"/>
  <c r="I1111" i="19"/>
  <c r="Q1111" i="19" s="1"/>
  <c r="M1111" i="19"/>
  <c r="I1107" i="19"/>
  <c r="Q1107" i="19" s="1"/>
  <c r="M1107" i="19"/>
  <c r="I1103" i="19"/>
  <c r="Q1103" i="19" s="1"/>
  <c r="M1103" i="19"/>
  <c r="I1099" i="19"/>
  <c r="Q1099" i="19" s="1"/>
  <c r="M1099" i="19"/>
  <c r="I1095" i="19"/>
  <c r="Q1095" i="19" s="1"/>
  <c r="M1095" i="19"/>
  <c r="I1091" i="19"/>
  <c r="Q1091" i="19" s="1"/>
  <c r="M1091" i="19"/>
  <c r="I1087" i="19"/>
  <c r="Q1087" i="19" s="1"/>
  <c r="M1087" i="19"/>
  <c r="I1083" i="19"/>
  <c r="Q1083" i="19" s="1"/>
  <c r="M1083" i="19"/>
  <c r="I1079" i="19"/>
  <c r="Q1079" i="19" s="1"/>
  <c r="M1079" i="19"/>
  <c r="I1075" i="19"/>
  <c r="Q1075" i="19" s="1"/>
  <c r="M1075" i="19"/>
  <c r="I1071" i="19"/>
  <c r="Q1071" i="19" s="1"/>
  <c r="M1071" i="19"/>
  <c r="I1067" i="19"/>
  <c r="Q1067" i="19" s="1"/>
  <c r="M1067" i="19"/>
  <c r="I1063" i="19"/>
  <c r="Q1063" i="19" s="1"/>
  <c r="M1063" i="19"/>
  <c r="I1059" i="19"/>
  <c r="Q1059" i="19" s="1"/>
  <c r="M1059" i="19"/>
  <c r="I1055" i="19"/>
  <c r="Q1055" i="19" s="1"/>
  <c r="M1055" i="19"/>
  <c r="I1051" i="19"/>
  <c r="Q1051" i="19" s="1"/>
  <c r="M1051" i="19"/>
  <c r="I1047" i="19"/>
  <c r="Q1047" i="19" s="1"/>
  <c r="M1047" i="19"/>
  <c r="I1043" i="19"/>
  <c r="Q1043" i="19" s="1"/>
  <c r="M1043" i="19"/>
  <c r="I1039" i="19"/>
  <c r="Q1039" i="19" s="1"/>
  <c r="M1039" i="19"/>
  <c r="I1035" i="19"/>
  <c r="Q1035" i="19" s="1"/>
  <c r="M1035" i="19"/>
  <c r="I1031" i="19"/>
  <c r="Q1031" i="19" s="1"/>
  <c r="M1031" i="19"/>
  <c r="I1027" i="19"/>
  <c r="Q1027" i="19" s="1"/>
  <c r="M1027" i="19"/>
  <c r="I1023" i="19"/>
  <c r="Q1023" i="19" s="1"/>
  <c r="M1023" i="19"/>
  <c r="I1019" i="19"/>
  <c r="Q1019" i="19" s="1"/>
  <c r="M1019" i="19"/>
  <c r="I1015" i="19"/>
  <c r="Q1015" i="19" s="1"/>
  <c r="M1015" i="19"/>
  <c r="I1011" i="19"/>
  <c r="Q1011" i="19" s="1"/>
  <c r="M1011" i="19"/>
  <c r="I1007" i="19"/>
  <c r="Q1007" i="19" s="1"/>
  <c r="M1007" i="19"/>
  <c r="I1003" i="19"/>
  <c r="Q1003" i="19" s="1"/>
  <c r="M1003" i="19"/>
  <c r="I999" i="19"/>
  <c r="Q999" i="19" s="1"/>
  <c r="M999" i="19"/>
  <c r="I995" i="19"/>
  <c r="Q995" i="19" s="1"/>
  <c r="M995" i="19"/>
  <c r="I991" i="19"/>
  <c r="Q991" i="19" s="1"/>
  <c r="M991" i="19"/>
  <c r="I987" i="19"/>
  <c r="Q987" i="19" s="1"/>
  <c r="M987" i="19"/>
  <c r="I983" i="19"/>
  <c r="Q983" i="19" s="1"/>
  <c r="M983" i="19"/>
  <c r="I979" i="19"/>
  <c r="Q979" i="19" s="1"/>
  <c r="M979" i="19"/>
  <c r="I975" i="19"/>
  <c r="Q975" i="19" s="1"/>
  <c r="M975" i="19"/>
  <c r="I971" i="19"/>
  <c r="Q971" i="19" s="1"/>
  <c r="M971" i="19"/>
  <c r="I967" i="19"/>
  <c r="Q967" i="19" s="1"/>
  <c r="M967" i="19"/>
  <c r="I963" i="19"/>
  <c r="Q963" i="19" s="1"/>
  <c r="M963" i="19"/>
  <c r="I959" i="19"/>
  <c r="Q959" i="19" s="1"/>
  <c r="M959" i="19"/>
  <c r="I955" i="19"/>
  <c r="Q955" i="19" s="1"/>
  <c r="M955" i="19"/>
  <c r="I951" i="19"/>
  <c r="Q951" i="19" s="1"/>
  <c r="M951" i="19"/>
  <c r="I947" i="19"/>
  <c r="Q947" i="19" s="1"/>
  <c r="M947" i="19"/>
  <c r="I943" i="19"/>
  <c r="Q943" i="19" s="1"/>
  <c r="M943" i="19"/>
  <c r="I939" i="19"/>
  <c r="Q939" i="19" s="1"/>
  <c r="M939" i="19"/>
  <c r="I935" i="19"/>
  <c r="Q935" i="19" s="1"/>
  <c r="M935" i="19"/>
  <c r="I931" i="19"/>
  <c r="Q931" i="19" s="1"/>
  <c r="M931" i="19"/>
  <c r="I923" i="19"/>
  <c r="Q923" i="19" s="1"/>
  <c r="M923" i="19"/>
  <c r="I919" i="19"/>
  <c r="Q919" i="19" s="1"/>
  <c r="M919" i="19"/>
  <c r="I915" i="19"/>
  <c r="Q915" i="19" s="1"/>
  <c r="M915" i="19"/>
  <c r="I911" i="19"/>
  <c r="Q911" i="19" s="1"/>
  <c r="M911" i="19"/>
  <c r="I907" i="19"/>
  <c r="Q907" i="19" s="1"/>
  <c r="M907" i="19"/>
  <c r="I903" i="19"/>
  <c r="Q903" i="19" s="1"/>
  <c r="M903" i="19"/>
  <c r="I899" i="19"/>
  <c r="Q899" i="19" s="1"/>
  <c r="M899" i="19"/>
  <c r="I891" i="19"/>
  <c r="Q891" i="19" s="1"/>
  <c r="M891" i="19"/>
  <c r="I887" i="19"/>
  <c r="Q887" i="19" s="1"/>
  <c r="M887" i="19"/>
  <c r="I883" i="19"/>
  <c r="Q883" i="19" s="1"/>
  <c r="M883" i="19"/>
  <c r="I879" i="19"/>
  <c r="Q879" i="19" s="1"/>
  <c r="M879" i="19"/>
  <c r="I875" i="19"/>
  <c r="Q875" i="19" s="1"/>
  <c r="M875" i="19"/>
  <c r="I871" i="19"/>
  <c r="Q871" i="19" s="1"/>
  <c r="M871" i="19"/>
  <c r="I867" i="19"/>
  <c r="Q867" i="19" s="1"/>
  <c r="M867" i="19"/>
  <c r="I859" i="19"/>
  <c r="Q859" i="19" s="1"/>
  <c r="M859" i="19"/>
  <c r="I855" i="19"/>
  <c r="Q855" i="19" s="1"/>
  <c r="M855" i="19"/>
  <c r="I851" i="19"/>
  <c r="Q851" i="19" s="1"/>
  <c r="M851" i="19"/>
  <c r="I847" i="19"/>
  <c r="Q847" i="19" s="1"/>
  <c r="M847" i="19"/>
  <c r="I843" i="19"/>
  <c r="Q843" i="19" s="1"/>
  <c r="M843" i="19"/>
  <c r="I839" i="19"/>
  <c r="Q839" i="19" s="1"/>
  <c r="M839" i="19"/>
  <c r="I835" i="19"/>
  <c r="Q835" i="19" s="1"/>
  <c r="M835" i="19"/>
  <c r="I827" i="19"/>
  <c r="Q827" i="19" s="1"/>
  <c r="M827" i="19"/>
  <c r="I823" i="19"/>
  <c r="Q823" i="19" s="1"/>
  <c r="M823" i="19"/>
  <c r="I819" i="19"/>
  <c r="Q819" i="19" s="1"/>
  <c r="M819" i="19"/>
  <c r="I815" i="19"/>
  <c r="Q815" i="19" s="1"/>
  <c r="M815" i="19"/>
  <c r="I811" i="19"/>
  <c r="Q811" i="19" s="1"/>
  <c r="M811" i="19"/>
  <c r="I807" i="19"/>
  <c r="Q807" i="19" s="1"/>
  <c r="M807" i="19"/>
  <c r="I803" i="19"/>
  <c r="Q803" i="19" s="1"/>
  <c r="M803" i="19"/>
  <c r="I795" i="19"/>
  <c r="Q795" i="19" s="1"/>
  <c r="M795" i="19"/>
  <c r="I791" i="19"/>
  <c r="Q791" i="19" s="1"/>
  <c r="M791" i="19"/>
  <c r="I787" i="19"/>
  <c r="Q787" i="19" s="1"/>
  <c r="M787" i="19"/>
  <c r="I783" i="19"/>
  <c r="Q783" i="19" s="1"/>
  <c r="M783" i="19"/>
  <c r="I779" i="19"/>
  <c r="Q779" i="19" s="1"/>
  <c r="M779" i="19"/>
  <c r="I775" i="19"/>
  <c r="Q775" i="19" s="1"/>
  <c r="M775" i="19"/>
  <c r="I771" i="19"/>
  <c r="Q771" i="19" s="1"/>
  <c r="M771" i="19"/>
  <c r="I763" i="19"/>
  <c r="Q763" i="19" s="1"/>
  <c r="M763" i="19"/>
  <c r="I759" i="19"/>
  <c r="Q759" i="19" s="1"/>
  <c r="M759" i="19"/>
  <c r="I755" i="19"/>
  <c r="Q755" i="19" s="1"/>
  <c r="M755" i="19"/>
  <c r="I751" i="19"/>
  <c r="Q751" i="19" s="1"/>
  <c r="M751" i="19"/>
  <c r="I747" i="19"/>
  <c r="Q747" i="19" s="1"/>
  <c r="M747" i="19"/>
  <c r="I743" i="19"/>
  <c r="Q743" i="19" s="1"/>
  <c r="M743" i="19"/>
  <c r="I739" i="19"/>
  <c r="Q739" i="19" s="1"/>
  <c r="M739" i="19"/>
  <c r="I731" i="19"/>
  <c r="Q731" i="19" s="1"/>
  <c r="M731" i="19"/>
  <c r="I727" i="19"/>
  <c r="Q727" i="19" s="1"/>
  <c r="M727" i="19"/>
  <c r="I723" i="19"/>
  <c r="Q723" i="19" s="1"/>
  <c r="M723" i="19"/>
  <c r="I719" i="19"/>
  <c r="Q719" i="19" s="1"/>
  <c r="M719" i="19"/>
  <c r="I715" i="19"/>
  <c r="Q715" i="19" s="1"/>
  <c r="M715" i="19"/>
  <c r="I711" i="19"/>
  <c r="Q711" i="19" s="1"/>
  <c r="M711" i="19"/>
  <c r="I707" i="19"/>
  <c r="Q707" i="19" s="1"/>
  <c r="M707" i="19"/>
  <c r="I703" i="19"/>
  <c r="Q703" i="19" s="1"/>
  <c r="M703" i="19"/>
  <c r="I699" i="19"/>
  <c r="Q699" i="19" s="1"/>
  <c r="M699" i="19"/>
  <c r="I695" i="19"/>
  <c r="Q695" i="19" s="1"/>
  <c r="M695" i="19"/>
  <c r="I691" i="19"/>
  <c r="Q691" i="19" s="1"/>
  <c r="M691" i="19"/>
  <c r="I687" i="19"/>
  <c r="Q687" i="19" s="1"/>
  <c r="M687" i="19"/>
  <c r="I683" i="19"/>
  <c r="Q683" i="19" s="1"/>
  <c r="M683" i="19"/>
  <c r="I679" i="19"/>
  <c r="Q679" i="19" s="1"/>
  <c r="M679" i="19"/>
  <c r="I675" i="19"/>
  <c r="Q675" i="19" s="1"/>
  <c r="M675" i="19"/>
  <c r="I671" i="19"/>
  <c r="Q671" i="19" s="1"/>
  <c r="M671" i="19"/>
  <c r="I667" i="19"/>
  <c r="Q667" i="19" s="1"/>
  <c r="M667" i="19"/>
  <c r="I663" i="19"/>
  <c r="Q663" i="19" s="1"/>
  <c r="M663" i="19"/>
  <c r="I659" i="19"/>
  <c r="Q659" i="19" s="1"/>
  <c r="M659" i="19"/>
  <c r="I655" i="19"/>
  <c r="Q655" i="19" s="1"/>
  <c r="M655" i="19"/>
  <c r="I647" i="19"/>
  <c r="Q647" i="19" s="1"/>
  <c r="M647" i="19"/>
  <c r="I643" i="19"/>
  <c r="Q643" i="19" s="1"/>
  <c r="M643" i="19"/>
  <c r="I639" i="19"/>
  <c r="Q639" i="19" s="1"/>
  <c r="M639" i="19"/>
  <c r="I635" i="19"/>
  <c r="Q635" i="19" s="1"/>
  <c r="M635" i="19"/>
  <c r="I631" i="19"/>
  <c r="Q631" i="19" s="1"/>
  <c r="M631" i="19"/>
  <c r="I627" i="19"/>
  <c r="Q627" i="19" s="1"/>
  <c r="M627" i="19"/>
  <c r="I623" i="19"/>
  <c r="Q623" i="19" s="1"/>
  <c r="M623" i="19"/>
  <c r="I619" i="19"/>
  <c r="Q619" i="19" s="1"/>
  <c r="M619" i="19"/>
  <c r="I615" i="19"/>
  <c r="Q615" i="19" s="1"/>
  <c r="M615" i="19"/>
  <c r="I611" i="19"/>
  <c r="Q611" i="19" s="1"/>
  <c r="M611" i="19"/>
  <c r="I607" i="19"/>
  <c r="Q607" i="19" s="1"/>
  <c r="M607" i="19"/>
  <c r="I603" i="19"/>
  <c r="Q603" i="19" s="1"/>
  <c r="M603" i="19"/>
  <c r="I599" i="19"/>
  <c r="Q599" i="19" s="1"/>
  <c r="M599" i="19"/>
  <c r="I595" i="19"/>
  <c r="Q595" i="19" s="1"/>
  <c r="M595" i="19"/>
  <c r="I591" i="19"/>
  <c r="Q591" i="19" s="1"/>
  <c r="M591" i="19"/>
  <c r="I583" i="19"/>
  <c r="Q583" i="19" s="1"/>
  <c r="M583" i="19"/>
  <c r="I579" i="19"/>
  <c r="Q579" i="19" s="1"/>
  <c r="M579" i="19"/>
  <c r="I575" i="19"/>
  <c r="Q575" i="19" s="1"/>
  <c r="M575" i="19"/>
  <c r="I571" i="19"/>
  <c r="Q571" i="19" s="1"/>
  <c r="M571" i="19"/>
  <c r="I567" i="19"/>
  <c r="Q567" i="19" s="1"/>
  <c r="M567" i="19"/>
  <c r="I563" i="19"/>
  <c r="Q563" i="19" s="1"/>
  <c r="M563" i="19"/>
  <c r="I559" i="19"/>
  <c r="Q559" i="19" s="1"/>
  <c r="M559" i="19"/>
  <c r="I555" i="19"/>
  <c r="Q555" i="19" s="1"/>
  <c r="M555" i="19"/>
  <c r="I551" i="19"/>
  <c r="Q551" i="19" s="1"/>
  <c r="M551" i="19"/>
  <c r="I547" i="19"/>
  <c r="Q547" i="19" s="1"/>
  <c r="M547" i="19"/>
  <c r="I543" i="19"/>
  <c r="Q543" i="19" s="1"/>
  <c r="M543" i="19"/>
  <c r="I539" i="19"/>
  <c r="Q539" i="19" s="1"/>
  <c r="M539" i="19"/>
  <c r="I535" i="19"/>
  <c r="Q535" i="19" s="1"/>
  <c r="M535" i="19"/>
  <c r="I531" i="19"/>
  <c r="Q531" i="19" s="1"/>
  <c r="M531" i="19"/>
  <c r="I527" i="19"/>
  <c r="Q527" i="19" s="1"/>
  <c r="M527" i="19"/>
  <c r="I519" i="19"/>
  <c r="Q519" i="19" s="1"/>
  <c r="M519" i="19"/>
  <c r="I515" i="19"/>
  <c r="Q515" i="19" s="1"/>
  <c r="M515" i="19"/>
  <c r="I511" i="19"/>
  <c r="Q511" i="19" s="1"/>
  <c r="M511" i="19"/>
  <c r="I507" i="19"/>
  <c r="Q507" i="19" s="1"/>
  <c r="M507" i="19"/>
  <c r="I503" i="19"/>
  <c r="Q503" i="19" s="1"/>
  <c r="M503" i="19"/>
  <c r="I499" i="19"/>
  <c r="Q499" i="19" s="1"/>
  <c r="M499" i="19"/>
  <c r="I495" i="19"/>
  <c r="Q495" i="19" s="1"/>
  <c r="M495" i="19"/>
  <c r="I491" i="19"/>
  <c r="Q491" i="19" s="1"/>
  <c r="M491" i="19"/>
  <c r="I487" i="19"/>
  <c r="Q487" i="19" s="1"/>
  <c r="M487" i="19"/>
  <c r="I483" i="19"/>
  <c r="Q483" i="19" s="1"/>
  <c r="M483" i="19"/>
  <c r="I479" i="19"/>
  <c r="Q479" i="19" s="1"/>
  <c r="M479" i="19"/>
  <c r="I475" i="19"/>
  <c r="Q475" i="19" s="1"/>
  <c r="M475" i="19"/>
  <c r="I471" i="19"/>
  <c r="Q471" i="19" s="1"/>
  <c r="M471" i="19"/>
  <c r="I467" i="19"/>
  <c r="Q467" i="19" s="1"/>
  <c r="M467" i="19"/>
  <c r="I463" i="19"/>
  <c r="Q463" i="19" s="1"/>
  <c r="M463" i="19"/>
  <c r="I459" i="19"/>
  <c r="Q459" i="19" s="1"/>
  <c r="M459" i="19"/>
  <c r="I455" i="19"/>
  <c r="Q455" i="19" s="1"/>
  <c r="M455" i="19"/>
  <c r="I451" i="19"/>
  <c r="Q451" i="19" s="1"/>
  <c r="M451" i="19"/>
  <c r="I447" i="19"/>
  <c r="Q447" i="19" s="1"/>
  <c r="M447" i="19"/>
  <c r="I443" i="19"/>
  <c r="Q443" i="19" s="1"/>
  <c r="M443" i="19"/>
  <c r="I439" i="19"/>
  <c r="Q439" i="19" s="1"/>
  <c r="M439" i="19"/>
  <c r="I435" i="19"/>
  <c r="Q435" i="19" s="1"/>
  <c r="M435" i="19"/>
  <c r="I431" i="19"/>
  <c r="Q431" i="19" s="1"/>
  <c r="M431" i="19"/>
  <c r="I427" i="19"/>
  <c r="Q427" i="19" s="1"/>
  <c r="M427" i="19"/>
  <c r="I423" i="19"/>
  <c r="Q423" i="19" s="1"/>
  <c r="M423" i="19"/>
  <c r="I419" i="19"/>
  <c r="Q419" i="19" s="1"/>
  <c r="M419" i="19"/>
  <c r="I415" i="19"/>
  <c r="Q415" i="19" s="1"/>
  <c r="M415" i="19"/>
  <c r="I411" i="19"/>
  <c r="Q411" i="19" s="1"/>
  <c r="M411" i="19"/>
  <c r="I407" i="19"/>
  <c r="Q407" i="19" s="1"/>
  <c r="M407" i="19"/>
  <c r="I403" i="19"/>
  <c r="Q403" i="19" s="1"/>
  <c r="M403" i="19"/>
  <c r="I399" i="19"/>
  <c r="Q399" i="19" s="1"/>
  <c r="M399" i="19"/>
  <c r="I395" i="19"/>
  <c r="Q395" i="19" s="1"/>
  <c r="M395" i="19"/>
  <c r="I391" i="19"/>
  <c r="Q391" i="19" s="1"/>
  <c r="M391" i="19"/>
  <c r="I387" i="19"/>
  <c r="Q387" i="19" s="1"/>
  <c r="M387" i="19"/>
  <c r="I383" i="19"/>
  <c r="Q383" i="19" s="1"/>
  <c r="M383" i="19"/>
  <c r="I379" i="19"/>
  <c r="Q379" i="19" s="1"/>
  <c r="M379" i="19"/>
  <c r="I375" i="19"/>
  <c r="Q375" i="19" s="1"/>
  <c r="M375" i="19"/>
  <c r="I371" i="19"/>
  <c r="Q371" i="19" s="1"/>
  <c r="M371" i="19"/>
  <c r="I367" i="19"/>
  <c r="Q367" i="19" s="1"/>
  <c r="M367" i="19"/>
  <c r="I363" i="19"/>
  <c r="Q363" i="19" s="1"/>
  <c r="M363" i="19"/>
  <c r="I359" i="19"/>
  <c r="Q359" i="19" s="1"/>
  <c r="M359" i="19"/>
  <c r="I355" i="19"/>
  <c r="Q355" i="19" s="1"/>
  <c r="M355" i="19"/>
  <c r="I351" i="19"/>
  <c r="Q351" i="19" s="1"/>
  <c r="M351" i="19"/>
  <c r="I347" i="19"/>
  <c r="Q347" i="19" s="1"/>
  <c r="M347" i="19"/>
  <c r="I343" i="19"/>
  <c r="Q343" i="19" s="1"/>
  <c r="M343" i="19"/>
  <c r="I339" i="19"/>
  <c r="Q339" i="19" s="1"/>
  <c r="M339" i="19"/>
  <c r="I335" i="19"/>
  <c r="Q335" i="19" s="1"/>
  <c r="M335" i="19"/>
  <c r="I331" i="19"/>
  <c r="Q331" i="19" s="1"/>
  <c r="M331" i="19"/>
  <c r="I327" i="19"/>
  <c r="Q327" i="19" s="1"/>
  <c r="M327" i="19"/>
  <c r="I323" i="19"/>
  <c r="Q323" i="19" s="1"/>
  <c r="M323" i="19"/>
  <c r="I319" i="19"/>
  <c r="Q319" i="19" s="1"/>
  <c r="M319" i="19"/>
  <c r="I315" i="19"/>
  <c r="Q315" i="19" s="1"/>
  <c r="M315" i="19"/>
  <c r="I311" i="19"/>
  <c r="Q311" i="19" s="1"/>
  <c r="M311" i="19"/>
  <c r="I307" i="19"/>
  <c r="Q307" i="19" s="1"/>
  <c r="M307" i="19"/>
  <c r="I303" i="19"/>
  <c r="Q303" i="19" s="1"/>
  <c r="M303" i="19"/>
  <c r="I299" i="19"/>
  <c r="Q299" i="19" s="1"/>
  <c r="M299" i="19"/>
  <c r="I295" i="19"/>
  <c r="Q295" i="19" s="1"/>
  <c r="M295" i="19"/>
  <c r="I291" i="19"/>
  <c r="Q291" i="19" s="1"/>
  <c r="M291" i="19"/>
  <c r="I287" i="19"/>
  <c r="Q287" i="19" s="1"/>
  <c r="M287" i="19"/>
  <c r="I283" i="19"/>
  <c r="Q283" i="19" s="1"/>
  <c r="M283" i="19"/>
  <c r="I279" i="19"/>
  <c r="Q279" i="19" s="1"/>
  <c r="M279" i="19"/>
  <c r="I275" i="19"/>
  <c r="Q275" i="19" s="1"/>
  <c r="M275" i="19"/>
  <c r="I271" i="19"/>
  <c r="Q271" i="19" s="1"/>
  <c r="M271" i="19"/>
  <c r="I267" i="19"/>
  <c r="Q267" i="19" s="1"/>
  <c r="M267" i="19"/>
  <c r="I263" i="19"/>
  <c r="Q263" i="19" s="1"/>
  <c r="M263" i="19"/>
  <c r="I259" i="19"/>
  <c r="Q259" i="19" s="1"/>
  <c r="M259" i="19"/>
  <c r="I255" i="19"/>
  <c r="Q255" i="19" s="1"/>
  <c r="M255" i="19"/>
  <c r="I251" i="19"/>
  <c r="Q251" i="19" s="1"/>
  <c r="M251" i="19"/>
  <c r="I247" i="19"/>
  <c r="Q247" i="19" s="1"/>
  <c r="M247" i="19"/>
  <c r="I243" i="19"/>
  <c r="Q243" i="19" s="1"/>
  <c r="M243" i="19"/>
  <c r="I239" i="19"/>
  <c r="Q239" i="19" s="1"/>
  <c r="M239" i="19"/>
  <c r="I235" i="19"/>
  <c r="Q235" i="19" s="1"/>
  <c r="M235" i="19"/>
  <c r="I231" i="19"/>
  <c r="Q231" i="19" s="1"/>
  <c r="M231" i="19"/>
  <c r="I227" i="19"/>
  <c r="Q227" i="19" s="1"/>
  <c r="M227" i="19"/>
  <c r="I223" i="19"/>
  <c r="Q223" i="19" s="1"/>
  <c r="M223" i="19"/>
  <c r="I219" i="19"/>
  <c r="Q219" i="19" s="1"/>
  <c r="M219" i="19"/>
  <c r="I215" i="19"/>
  <c r="Q215" i="19" s="1"/>
  <c r="M215" i="19"/>
  <c r="I211" i="19"/>
  <c r="Q211" i="19" s="1"/>
  <c r="M211" i="19"/>
  <c r="I207" i="19"/>
  <c r="Q207" i="19" s="1"/>
  <c r="M207" i="19"/>
  <c r="I203" i="19"/>
  <c r="Q203" i="19" s="1"/>
  <c r="M203" i="19"/>
  <c r="I199" i="19"/>
  <c r="Q199" i="19" s="1"/>
  <c r="M199" i="19"/>
  <c r="I195" i="19"/>
  <c r="Q195" i="19" s="1"/>
  <c r="M195" i="19"/>
  <c r="I191" i="19"/>
  <c r="Q191" i="19" s="1"/>
  <c r="M191" i="19"/>
  <c r="I187" i="19"/>
  <c r="Q187" i="19" s="1"/>
  <c r="M187" i="19"/>
  <c r="I183" i="19"/>
  <c r="Q183" i="19" s="1"/>
  <c r="M183" i="19"/>
  <c r="I179" i="19"/>
  <c r="Q179" i="19" s="1"/>
  <c r="M179" i="19"/>
  <c r="I175" i="19"/>
  <c r="Q175" i="19" s="1"/>
  <c r="M175" i="19"/>
  <c r="I171" i="19"/>
  <c r="Q171" i="19" s="1"/>
  <c r="M171" i="19"/>
  <c r="I167" i="19"/>
  <c r="Q167" i="19" s="1"/>
  <c r="M167" i="19"/>
  <c r="I163" i="19"/>
  <c r="Q163" i="19" s="1"/>
  <c r="M163" i="19"/>
  <c r="I159" i="19"/>
  <c r="Q159" i="19" s="1"/>
  <c r="M159" i="19"/>
  <c r="I155" i="19"/>
  <c r="Q155" i="19" s="1"/>
  <c r="M155" i="19"/>
  <c r="I151" i="19"/>
  <c r="Q151" i="19" s="1"/>
  <c r="M151" i="19"/>
  <c r="I147" i="19"/>
  <c r="Q147" i="19" s="1"/>
  <c r="M147" i="19"/>
  <c r="I143" i="19"/>
  <c r="Q143" i="19" s="1"/>
  <c r="M143" i="19"/>
  <c r="I139" i="19"/>
  <c r="Q139" i="19" s="1"/>
  <c r="M139" i="19"/>
  <c r="I135" i="19"/>
  <c r="Q135" i="19" s="1"/>
  <c r="M135" i="19"/>
  <c r="I131" i="19"/>
  <c r="Q131" i="19" s="1"/>
  <c r="M131" i="19"/>
  <c r="I127" i="19"/>
  <c r="Q127" i="19" s="1"/>
  <c r="M127" i="19"/>
  <c r="I123" i="19"/>
  <c r="Q123" i="19" s="1"/>
  <c r="M123" i="19"/>
  <c r="I119" i="19"/>
  <c r="Q119" i="19" s="1"/>
  <c r="M119" i="19"/>
  <c r="I115" i="19"/>
  <c r="Q115" i="19" s="1"/>
  <c r="M115" i="19"/>
  <c r="I111" i="19"/>
  <c r="Q111" i="19" s="1"/>
  <c r="M111" i="19"/>
  <c r="I107" i="19"/>
  <c r="Q107" i="19" s="1"/>
  <c r="M107" i="19"/>
  <c r="I103" i="19"/>
  <c r="Q103" i="19" s="1"/>
  <c r="M103" i="19"/>
  <c r="I99" i="19"/>
  <c r="Q99" i="19" s="1"/>
  <c r="M99" i="19"/>
  <c r="I95" i="19"/>
  <c r="Q95" i="19" s="1"/>
  <c r="M95" i="19"/>
  <c r="I91" i="19"/>
  <c r="Q91" i="19" s="1"/>
  <c r="M91" i="19"/>
  <c r="I87" i="19"/>
  <c r="Q87" i="19" s="1"/>
  <c r="M87" i="19"/>
  <c r="I83" i="19"/>
  <c r="Q83" i="19" s="1"/>
  <c r="M83" i="19"/>
  <c r="I79" i="19"/>
  <c r="Q79" i="19" s="1"/>
  <c r="M79" i="19"/>
  <c r="I75" i="19"/>
  <c r="Q75" i="19" s="1"/>
  <c r="M75" i="19"/>
  <c r="I71" i="19"/>
  <c r="Q71" i="19" s="1"/>
  <c r="M71" i="19"/>
  <c r="I67" i="19"/>
  <c r="Q67" i="19" s="1"/>
  <c r="M67" i="19"/>
  <c r="I63" i="19"/>
  <c r="Q63" i="19" s="1"/>
  <c r="M63" i="19"/>
  <c r="I59" i="19"/>
  <c r="Q59" i="19" s="1"/>
  <c r="M59" i="19"/>
  <c r="I55" i="19"/>
  <c r="Q55" i="19" s="1"/>
  <c r="M55" i="19"/>
  <c r="I51" i="19"/>
  <c r="Q51" i="19" s="1"/>
  <c r="M51" i="19"/>
  <c r="I47" i="19"/>
  <c r="Q47" i="19" s="1"/>
  <c r="M47" i="19"/>
  <c r="I43" i="19"/>
  <c r="Q43" i="19" s="1"/>
  <c r="M43" i="19"/>
  <c r="I39" i="19"/>
  <c r="Q39" i="19" s="1"/>
  <c r="M39" i="19"/>
  <c r="I35" i="19"/>
  <c r="Q35" i="19" s="1"/>
  <c r="M35" i="19"/>
  <c r="I31" i="19"/>
  <c r="Q31" i="19" s="1"/>
  <c r="M31" i="19"/>
  <c r="I27" i="19"/>
  <c r="Q27" i="19" s="1"/>
  <c r="M27" i="19"/>
  <c r="I23" i="19"/>
  <c r="Q23" i="19" s="1"/>
  <c r="M23" i="19"/>
  <c r="I19" i="19"/>
  <c r="Q19" i="19" s="1"/>
  <c r="M19" i="19"/>
  <c r="I15" i="19"/>
  <c r="Q15" i="19" s="1"/>
  <c r="M15" i="19"/>
  <c r="I11" i="19"/>
  <c r="Q11" i="19" s="1"/>
  <c r="M11" i="19"/>
  <c r="I7" i="19"/>
  <c r="Q7" i="19" s="1"/>
  <c r="M7" i="19"/>
  <c r="I3" i="19"/>
  <c r="Q3" i="19" s="1"/>
  <c r="M3" i="19"/>
  <c r="M1806" i="19"/>
  <c r="M1582" i="19"/>
  <c r="M895" i="19"/>
  <c r="M767" i="19"/>
  <c r="M651" i="19"/>
  <c r="M470" i="19"/>
  <c r="L172" i="19"/>
  <c r="L168" i="19"/>
  <c r="L164" i="19"/>
  <c r="L160" i="19"/>
  <c r="L156" i="19"/>
  <c r="L152" i="19"/>
  <c r="L148" i="19"/>
  <c r="L144" i="19"/>
  <c r="L140" i="19"/>
  <c r="L136" i="19"/>
  <c r="L132" i="19"/>
  <c r="L128" i="19"/>
  <c r="L124" i="19"/>
  <c r="L120" i="19"/>
  <c r="L116" i="19"/>
  <c r="L112" i="19"/>
  <c r="L108" i="19"/>
  <c r="L104" i="19"/>
  <c r="L100" i="19"/>
  <c r="L96" i="19"/>
  <c r="L92" i="19"/>
  <c r="L88" i="19"/>
  <c r="L84" i="19"/>
  <c r="L80" i="19"/>
  <c r="L76" i="19"/>
  <c r="L72" i="19"/>
  <c r="L68" i="19"/>
  <c r="L64" i="19"/>
  <c r="L60" i="19"/>
  <c r="L56" i="19"/>
  <c r="L52" i="19"/>
  <c r="L48" i="19"/>
  <c r="L44" i="19"/>
  <c r="L40" i="19"/>
  <c r="L36" i="19"/>
  <c r="L32" i="19"/>
  <c r="L28" i="19"/>
  <c r="L24" i="19"/>
  <c r="L20" i="19"/>
  <c r="L16" i="19"/>
  <c r="L12" i="19"/>
  <c r="L8" i="19"/>
  <c r="L4" i="19"/>
  <c r="I1830" i="19"/>
  <c r="Q1830" i="19" s="1"/>
  <c r="M1830" i="19"/>
  <c r="I1826" i="19"/>
  <c r="Q1826" i="19" s="1"/>
  <c r="M1826" i="19"/>
  <c r="I1814" i="19"/>
  <c r="Q1814" i="19" s="1"/>
  <c r="M1814" i="19"/>
  <c r="I1810" i="19"/>
  <c r="Q1810" i="19" s="1"/>
  <c r="M1810" i="19"/>
  <c r="I1798" i="19"/>
  <c r="Q1798" i="19" s="1"/>
  <c r="M1798" i="19"/>
  <c r="I1794" i="19"/>
  <c r="Q1794" i="19" s="1"/>
  <c r="M1794" i="19"/>
  <c r="I1782" i="19"/>
  <c r="Q1782" i="19" s="1"/>
  <c r="M1782" i="19"/>
  <c r="I1766" i="19"/>
  <c r="Q1766" i="19" s="1"/>
  <c r="M1766" i="19"/>
  <c r="I1750" i="19"/>
  <c r="Q1750" i="19" s="1"/>
  <c r="M1750" i="19"/>
  <c r="I1734" i="19"/>
  <c r="Q1734" i="19" s="1"/>
  <c r="M1734" i="19"/>
  <c r="I1718" i="19"/>
  <c r="Q1718" i="19" s="1"/>
  <c r="M1718" i="19"/>
  <c r="I1702" i="19"/>
  <c r="Q1702" i="19" s="1"/>
  <c r="M1702" i="19"/>
  <c r="I1686" i="19"/>
  <c r="Q1686" i="19" s="1"/>
  <c r="M1686" i="19"/>
  <c r="I1670" i="19"/>
  <c r="Q1670" i="19" s="1"/>
  <c r="M1670" i="19"/>
  <c r="I1654" i="19"/>
  <c r="Q1654" i="19" s="1"/>
  <c r="M1654" i="19"/>
  <c r="I1638" i="19"/>
  <c r="Q1638" i="19" s="1"/>
  <c r="M1638" i="19"/>
  <c r="I1622" i="19"/>
  <c r="Q1622" i="19" s="1"/>
  <c r="M1622" i="19"/>
  <c r="I1606" i="19"/>
  <c r="Q1606" i="19" s="1"/>
  <c r="M1606" i="19"/>
  <c r="I1590" i="19"/>
  <c r="Q1590" i="19" s="1"/>
  <c r="M1590" i="19"/>
  <c r="I1574" i="19"/>
  <c r="Q1574" i="19" s="1"/>
  <c r="M1574" i="19"/>
  <c r="I1558" i="19"/>
  <c r="Q1558" i="19" s="1"/>
  <c r="M1558" i="19"/>
  <c r="I1542" i="19"/>
  <c r="Q1542" i="19" s="1"/>
  <c r="M1542" i="19"/>
  <c r="I1526" i="19"/>
  <c r="Q1526" i="19" s="1"/>
  <c r="M1526" i="19"/>
  <c r="I1510" i="19"/>
  <c r="Q1510" i="19" s="1"/>
  <c r="M1510" i="19"/>
  <c r="I1494" i="19"/>
  <c r="Q1494" i="19" s="1"/>
  <c r="M1494" i="19"/>
  <c r="I1478" i="19"/>
  <c r="Q1478" i="19" s="1"/>
  <c r="M1478" i="19"/>
  <c r="I1462" i="19"/>
  <c r="Q1462" i="19" s="1"/>
  <c r="M1462" i="19"/>
  <c r="I1446" i="19"/>
  <c r="Q1446" i="19" s="1"/>
  <c r="M1446" i="19"/>
  <c r="I1430" i="19"/>
  <c r="Q1430" i="19" s="1"/>
  <c r="M1430" i="19"/>
  <c r="I1414" i="19"/>
  <c r="Q1414" i="19" s="1"/>
  <c r="M1414" i="19"/>
  <c r="I1398" i="19"/>
  <c r="Q1398" i="19" s="1"/>
  <c r="M1398" i="19"/>
  <c r="I1382" i="19"/>
  <c r="Q1382" i="19" s="1"/>
  <c r="M1382" i="19"/>
  <c r="I1366" i="19"/>
  <c r="Q1366" i="19" s="1"/>
  <c r="M1366" i="19"/>
  <c r="I1350" i="19"/>
  <c r="Q1350" i="19" s="1"/>
  <c r="M1350" i="19"/>
  <c r="I1334" i="19"/>
  <c r="Q1334" i="19" s="1"/>
  <c r="M1334" i="19"/>
  <c r="I1318" i="19"/>
  <c r="Q1318" i="19" s="1"/>
  <c r="M1318" i="19"/>
  <c r="I1302" i="19"/>
  <c r="Q1302" i="19" s="1"/>
  <c r="M1302" i="19"/>
  <c r="I1298" i="19"/>
  <c r="Q1298" i="19" s="1"/>
  <c r="M1298" i="19"/>
  <c r="I1286" i="19"/>
  <c r="Q1286" i="19" s="1"/>
  <c r="M1286" i="19"/>
  <c r="I1270" i="19"/>
  <c r="Q1270" i="19" s="1"/>
  <c r="M1270" i="19"/>
  <c r="I1254" i="19"/>
  <c r="Q1254" i="19" s="1"/>
  <c r="M1254" i="19"/>
  <c r="I1238" i="19"/>
  <c r="Q1238" i="19" s="1"/>
  <c r="M1238" i="19"/>
  <c r="I1222" i="19"/>
  <c r="Q1222" i="19" s="1"/>
  <c r="M1222" i="19"/>
  <c r="I1206" i="19"/>
  <c r="Q1206" i="19" s="1"/>
  <c r="M1206" i="19"/>
  <c r="I1190" i="19"/>
  <c r="Q1190" i="19" s="1"/>
  <c r="M1190" i="19"/>
  <c r="I1174" i="19"/>
  <c r="Q1174" i="19" s="1"/>
  <c r="M1174" i="19"/>
  <c r="I1158" i="19"/>
  <c r="Q1158" i="19" s="1"/>
  <c r="M1158" i="19"/>
  <c r="I1142" i="19"/>
  <c r="Q1142" i="19" s="1"/>
  <c r="M1142" i="19"/>
  <c r="I1126" i="19"/>
  <c r="Q1126" i="19" s="1"/>
  <c r="M1126" i="19"/>
  <c r="I1110" i="19"/>
  <c r="Q1110" i="19" s="1"/>
  <c r="M1110" i="19"/>
  <c r="I1094" i="19"/>
  <c r="Q1094" i="19" s="1"/>
  <c r="M1094" i="19"/>
  <c r="I1078" i="19"/>
  <c r="Q1078" i="19" s="1"/>
  <c r="M1078" i="19"/>
  <c r="I1070" i="19"/>
  <c r="Q1070" i="19" s="1"/>
  <c r="M1070" i="19"/>
  <c r="I1062" i="19"/>
  <c r="Q1062" i="19" s="1"/>
  <c r="M1062" i="19"/>
  <c r="I1046" i="19"/>
  <c r="Q1046" i="19" s="1"/>
  <c r="M1046" i="19"/>
  <c r="I1030" i="19"/>
  <c r="Q1030" i="19" s="1"/>
  <c r="M1030" i="19"/>
  <c r="I1014" i="19"/>
  <c r="Q1014" i="19" s="1"/>
  <c r="M1014" i="19"/>
  <c r="I998" i="19"/>
  <c r="Q998" i="19" s="1"/>
  <c r="M998" i="19"/>
  <c r="I982" i="19"/>
  <c r="Q982" i="19" s="1"/>
  <c r="M982" i="19"/>
  <c r="I966" i="19"/>
  <c r="Q966" i="19" s="1"/>
  <c r="M966" i="19"/>
  <c r="I950" i="19"/>
  <c r="Q950" i="19" s="1"/>
  <c r="M950" i="19"/>
  <c r="I934" i="19"/>
  <c r="Q934" i="19" s="1"/>
  <c r="M934" i="19"/>
  <c r="I918" i="19"/>
  <c r="Q918" i="19" s="1"/>
  <c r="M918" i="19"/>
  <c r="I902" i="19"/>
  <c r="Q902" i="19" s="1"/>
  <c r="M902" i="19"/>
  <c r="I886" i="19"/>
  <c r="Q886" i="19" s="1"/>
  <c r="M886" i="19"/>
  <c r="I870" i="19"/>
  <c r="Q870" i="19" s="1"/>
  <c r="M870" i="19"/>
  <c r="I854" i="19"/>
  <c r="Q854" i="19" s="1"/>
  <c r="M854" i="19"/>
  <c r="I838" i="19"/>
  <c r="Q838" i="19" s="1"/>
  <c r="M838" i="19"/>
  <c r="I834" i="19"/>
  <c r="Q834" i="19" s="1"/>
  <c r="M834" i="19"/>
  <c r="I826" i="19"/>
  <c r="Q826" i="19" s="1"/>
  <c r="M826" i="19"/>
  <c r="I822" i="19"/>
  <c r="Q822" i="19" s="1"/>
  <c r="M822" i="19"/>
  <c r="I818" i="19"/>
  <c r="Q818" i="19" s="1"/>
  <c r="M818" i="19"/>
  <c r="I806" i="19"/>
  <c r="Q806" i="19" s="1"/>
  <c r="M806" i="19"/>
  <c r="I798" i="19"/>
  <c r="Q798" i="19" s="1"/>
  <c r="M798" i="19"/>
  <c r="I790" i="19"/>
  <c r="Q790" i="19" s="1"/>
  <c r="M790" i="19"/>
  <c r="I774" i="19"/>
  <c r="Q774" i="19" s="1"/>
  <c r="M774" i="19"/>
  <c r="I770" i="19"/>
  <c r="Q770" i="19" s="1"/>
  <c r="M770" i="19"/>
  <c r="I762" i="19"/>
  <c r="Q762" i="19" s="1"/>
  <c r="M762" i="19"/>
  <c r="I758" i="19"/>
  <c r="Q758" i="19" s="1"/>
  <c r="M758" i="19"/>
  <c r="I742" i="19"/>
  <c r="Q742" i="19" s="1"/>
  <c r="M742" i="19"/>
  <c r="I734" i="19"/>
  <c r="Q734" i="19" s="1"/>
  <c r="M734" i="19"/>
  <c r="I726" i="19"/>
  <c r="Q726" i="19" s="1"/>
  <c r="M726" i="19"/>
  <c r="I722" i="19"/>
  <c r="Q722" i="19" s="1"/>
  <c r="M722" i="19"/>
  <c r="I714" i="19"/>
  <c r="Q714" i="19" s="1"/>
  <c r="M714" i="19"/>
  <c r="I710" i="19"/>
  <c r="Q710" i="19" s="1"/>
  <c r="M710" i="19"/>
  <c r="I706" i="19"/>
  <c r="Q706" i="19" s="1"/>
  <c r="M706" i="19"/>
  <c r="I698" i="19"/>
  <c r="Q698" i="19" s="1"/>
  <c r="M698" i="19"/>
  <c r="I694" i="19"/>
  <c r="Q694" i="19" s="1"/>
  <c r="M694" i="19"/>
  <c r="I686" i="19"/>
  <c r="Q686" i="19" s="1"/>
  <c r="M686" i="19"/>
  <c r="I678" i="19"/>
  <c r="Q678" i="19" s="1"/>
  <c r="M678" i="19"/>
  <c r="I670" i="19"/>
  <c r="Q670" i="19" s="1"/>
  <c r="M670" i="19"/>
  <c r="I662" i="19"/>
  <c r="Q662" i="19" s="1"/>
  <c r="M662" i="19"/>
  <c r="I658" i="19"/>
  <c r="Q658" i="19" s="1"/>
  <c r="M658" i="19"/>
  <c r="I650" i="19"/>
  <c r="Q650" i="19" s="1"/>
  <c r="M650" i="19"/>
  <c r="I646" i="19"/>
  <c r="Q646" i="19" s="1"/>
  <c r="M646" i="19"/>
  <c r="I642" i="19"/>
  <c r="Q642" i="19" s="1"/>
  <c r="M642" i="19"/>
  <c r="I634" i="19"/>
  <c r="Q634" i="19" s="1"/>
  <c r="M634" i="19"/>
  <c r="I630" i="19"/>
  <c r="Q630" i="19" s="1"/>
  <c r="M630" i="19"/>
  <c r="I622" i="19"/>
  <c r="Q622" i="19" s="1"/>
  <c r="M622" i="19"/>
  <c r="I614" i="19"/>
  <c r="Q614" i="19" s="1"/>
  <c r="M614" i="19"/>
  <c r="I606" i="19"/>
  <c r="Q606" i="19" s="1"/>
  <c r="M606" i="19"/>
  <c r="I598" i="19"/>
  <c r="Q598" i="19" s="1"/>
  <c r="M598" i="19"/>
  <c r="I594" i="19"/>
  <c r="Q594" i="19" s="1"/>
  <c r="M594" i="19"/>
  <c r="I590" i="19"/>
  <c r="Q590" i="19" s="1"/>
  <c r="M590" i="19"/>
  <c r="I586" i="19"/>
  <c r="Q586" i="19" s="1"/>
  <c r="M586" i="19"/>
  <c r="I582" i="19"/>
  <c r="Q582" i="19" s="1"/>
  <c r="M582" i="19"/>
  <c r="I578" i="19"/>
  <c r="Q578" i="19" s="1"/>
  <c r="M578" i="19"/>
  <c r="I570" i="19"/>
  <c r="Q570" i="19" s="1"/>
  <c r="M570" i="19"/>
  <c r="I566" i="19"/>
  <c r="Q566" i="19" s="1"/>
  <c r="M566" i="19"/>
  <c r="I558" i="19"/>
  <c r="Q558" i="19" s="1"/>
  <c r="M558" i="19"/>
  <c r="I550" i="19"/>
  <c r="Q550" i="19" s="1"/>
  <c r="M550" i="19"/>
  <c r="I542" i="19"/>
  <c r="Q542" i="19" s="1"/>
  <c r="M542" i="19"/>
  <c r="I534" i="19"/>
  <c r="Q534" i="19" s="1"/>
  <c r="M534" i="19"/>
  <c r="I530" i="19"/>
  <c r="Q530" i="19" s="1"/>
  <c r="M530" i="19"/>
  <c r="I522" i="19"/>
  <c r="Q522" i="19" s="1"/>
  <c r="M522" i="19"/>
  <c r="I518" i="19"/>
  <c r="Q518" i="19" s="1"/>
  <c r="M518" i="19"/>
  <c r="I514" i="19"/>
  <c r="Q514" i="19" s="1"/>
  <c r="M514" i="19"/>
  <c r="I506" i="19"/>
  <c r="Q506" i="19" s="1"/>
  <c r="M506" i="19"/>
  <c r="I502" i="19"/>
  <c r="Q502" i="19" s="1"/>
  <c r="M502" i="19"/>
  <c r="I494" i="19"/>
  <c r="Q494" i="19" s="1"/>
  <c r="M494" i="19"/>
  <c r="I486" i="19"/>
  <c r="Q486" i="19" s="1"/>
  <c r="M486" i="19"/>
  <c r="I482" i="19"/>
  <c r="Q482" i="19" s="1"/>
  <c r="M482" i="19"/>
  <c r="I478" i="19"/>
  <c r="Q478" i="19" s="1"/>
  <c r="M478" i="19"/>
  <c r="I474" i="19"/>
  <c r="Q474" i="19" s="1"/>
  <c r="M474" i="19"/>
  <c r="I466" i="19"/>
  <c r="Q466" i="19" s="1"/>
  <c r="M466" i="19"/>
  <c r="I462" i="19"/>
  <c r="Q462" i="19" s="1"/>
  <c r="M462" i="19"/>
  <c r="I458" i="19"/>
  <c r="Q458" i="19" s="1"/>
  <c r="M458" i="19"/>
  <c r="I454" i="19"/>
  <c r="Q454" i="19" s="1"/>
  <c r="M454" i="19"/>
  <c r="I450" i="19"/>
  <c r="Q450" i="19" s="1"/>
  <c r="M450" i="19"/>
  <c r="I446" i="19"/>
  <c r="Q446" i="19" s="1"/>
  <c r="M446" i="19"/>
  <c r="I438" i="19"/>
  <c r="Q438" i="19" s="1"/>
  <c r="M438" i="19"/>
  <c r="I434" i="19"/>
  <c r="Q434" i="19" s="1"/>
  <c r="M434" i="19"/>
  <c r="I430" i="19"/>
  <c r="Q430" i="19" s="1"/>
  <c r="M430" i="19"/>
  <c r="I426" i="19"/>
  <c r="Q426" i="19" s="1"/>
  <c r="M426" i="19"/>
  <c r="I422" i="19"/>
  <c r="Q422" i="19" s="1"/>
  <c r="M422" i="19"/>
  <c r="I418" i="19"/>
  <c r="Q418" i="19" s="1"/>
  <c r="M418" i="19"/>
  <c r="I414" i="19"/>
  <c r="Q414" i="19" s="1"/>
  <c r="M414" i="19"/>
  <c r="I410" i="19"/>
  <c r="Q410" i="19" s="1"/>
  <c r="M410" i="19"/>
  <c r="I406" i="19"/>
  <c r="Q406" i="19" s="1"/>
  <c r="M406" i="19"/>
  <c r="I398" i="19"/>
  <c r="Q398" i="19" s="1"/>
  <c r="M398" i="19"/>
  <c r="I394" i="19"/>
  <c r="Q394" i="19" s="1"/>
  <c r="M394" i="19"/>
  <c r="I390" i="19"/>
  <c r="Q390" i="19" s="1"/>
  <c r="M390" i="19"/>
  <c r="I382" i="19"/>
  <c r="Q382" i="19" s="1"/>
  <c r="M382" i="19"/>
  <c r="I378" i="19"/>
  <c r="Q378" i="19" s="1"/>
  <c r="M378" i="19"/>
  <c r="I366" i="19"/>
  <c r="Q366" i="19" s="1"/>
  <c r="M366" i="19"/>
  <c r="I362" i="19"/>
  <c r="Q362" i="19" s="1"/>
  <c r="M362" i="19"/>
  <c r="I358" i="19"/>
  <c r="Q358" i="19" s="1"/>
  <c r="M358" i="19"/>
  <c r="I350" i="19"/>
  <c r="Q350" i="19" s="1"/>
  <c r="M350" i="19"/>
  <c r="I346" i="19"/>
  <c r="Q346" i="19" s="1"/>
  <c r="M346" i="19"/>
  <c r="I338" i="19"/>
  <c r="Q338" i="19" s="1"/>
  <c r="M338" i="19"/>
  <c r="I334" i="19"/>
  <c r="Q334" i="19" s="1"/>
  <c r="M334" i="19"/>
  <c r="I330" i="19"/>
  <c r="Q330" i="19" s="1"/>
  <c r="M330" i="19"/>
  <c r="I326" i="19"/>
  <c r="Q326" i="19" s="1"/>
  <c r="M326" i="19"/>
  <c r="I322" i="19"/>
  <c r="Q322" i="19" s="1"/>
  <c r="M322" i="19"/>
  <c r="I318" i="19"/>
  <c r="Q318" i="19" s="1"/>
  <c r="M318" i="19"/>
  <c r="I310" i="19"/>
  <c r="Q310" i="19" s="1"/>
  <c r="M310" i="19"/>
  <c r="I306" i="19"/>
  <c r="Q306" i="19" s="1"/>
  <c r="M306" i="19"/>
  <c r="I302" i="19"/>
  <c r="Q302" i="19" s="1"/>
  <c r="M302" i="19"/>
  <c r="I298" i="19"/>
  <c r="Q298" i="19" s="1"/>
  <c r="M298" i="19"/>
  <c r="I294" i="19"/>
  <c r="Q294" i="19" s="1"/>
  <c r="M294" i="19"/>
  <c r="I290" i="19"/>
  <c r="Q290" i="19" s="1"/>
  <c r="M290" i="19"/>
  <c r="I286" i="19"/>
  <c r="Q286" i="19" s="1"/>
  <c r="M286" i="19"/>
  <c r="I282" i="19"/>
  <c r="Q282" i="19" s="1"/>
  <c r="M282" i="19"/>
  <c r="I278" i="19"/>
  <c r="Q278" i="19" s="1"/>
  <c r="M278" i="19"/>
  <c r="I274" i="19"/>
  <c r="Q274" i="19" s="1"/>
  <c r="M274" i="19"/>
  <c r="I270" i="19"/>
  <c r="Q270" i="19" s="1"/>
  <c r="M270" i="19"/>
  <c r="I266" i="19"/>
  <c r="Q266" i="19" s="1"/>
  <c r="M266" i="19"/>
  <c r="I262" i="19"/>
  <c r="Q262" i="19" s="1"/>
  <c r="M262" i="19"/>
  <c r="I254" i="19"/>
  <c r="Q254" i="19" s="1"/>
  <c r="M254" i="19"/>
  <c r="I250" i="19"/>
  <c r="Q250" i="19" s="1"/>
  <c r="M250" i="19"/>
  <c r="I246" i="19"/>
  <c r="Q246" i="19" s="1"/>
  <c r="M246" i="19"/>
  <c r="I242" i="19"/>
  <c r="Q242" i="19" s="1"/>
  <c r="M242" i="19"/>
  <c r="I238" i="19"/>
  <c r="Q238" i="19" s="1"/>
  <c r="M238" i="19"/>
  <c r="I234" i="19"/>
  <c r="Q234" i="19" s="1"/>
  <c r="M234" i="19"/>
  <c r="I230" i="19"/>
  <c r="Q230" i="19" s="1"/>
  <c r="M230" i="19"/>
  <c r="I226" i="19"/>
  <c r="Q226" i="19" s="1"/>
  <c r="M226" i="19"/>
  <c r="I222" i="19"/>
  <c r="Q222" i="19" s="1"/>
  <c r="M222" i="19"/>
  <c r="I218" i="19"/>
  <c r="Q218" i="19" s="1"/>
  <c r="M218" i="19"/>
  <c r="I214" i="19"/>
  <c r="Q214" i="19" s="1"/>
  <c r="M214" i="19"/>
  <c r="I210" i="19"/>
  <c r="Q210" i="19" s="1"/>
  <c r="M210" i="19"/>
  <c r="I206" i="19"/>
  <c r="Q206" i="19" s="1"/>
  <c r="M206" i="19"/>
  <c r="I198" i="19"/>
  <c r="Q198" i="19" s="1"/>
  <c r="M198" i="19"/>
  <c r="I194" i="19"/>
  <c r="Q194" i="19" s="1"/>
  <c r="M194" i="19"/>
  <c r="I190" i="19"/>
  <c r="Q190" i="19" s="1"/>
  <c r="M190" i="19"/>
  <c r="I186" i="19"/>
  <c r="Q186" i="19" s="1"/>
  <c r="M186" i="19"/>
  <c r="I182" i="19"/>
  <c r="Q182" i="19" s="1"/>
  <c r="M182" i="19"/>
  <c r="I178" i="19"/>
  <c r="Q178" i="19" s="1"/>
  <c r="M178" i="19"/>
  <c r="I174" i="19"/>
  <c r="Q174" i="19" s="1"/>
  <c r="M174" i="19"/>
  <c r="I170" i="19"/>
  <c r="Q170" i="19" s="1"/>
  <c r="M170" i="19"/>
  <c r="I166" i="19"/>
  <c r="Q166" i="19" s="1"/>
  <c r="M166" i="19"/>
  <c r="I162" i="19"/>
  <c r="Q162" i="19" s="1"/>
  <c r="M162" i="19"/>
  <c r="I158" i="19"/>
  <c r="Q158" i="19" s="1"/>
  <c r="M158" i="19"/>
  <c r="I154" i="19"/>
  <c r="Q154" i="19" s="1"/>
  <c r="M154" i="19"/>
  <c r="I150" i="19"/>
  <c r="Q150" i="19" s="1"/>
  <c r="M150" i="19"/>
  <c r="I146" i="19"/>
  <c r="Q146" i="19" s="1"/>
  <c r="M146" i="19"/>
  <c r="I142" i="19"/>
  <c r="Q142" i="19" s="1"/>
  <c r="M142" i="19"/>
  <c r="I138" i="19"/>
  <c r="Q138" i="19" s="1"/>
  <c r="M138" i="19"/>
  <c r="I134" i="19"/>
  <c r="Q134" i="19" s="1"/>
  <c r="M134" i="19"/>
  <c r="I130" i="19"/>
  <c r="Q130" i="19" s="1"/>
  <c r="M130" i="19"/>
  <c r="I126" i="19"/>
  <c r="Q126" i="19" s="1"/>
  <c r="M126" i="19"/>
  <c r="I122" i="19"/>
  <c r="Q122" i="19" s="1"/>
  <c r="M122" i="19"/>
  <c r="I118" i="19"/>
  <c r="Q118" i="19" s="1"/>
  <c r="M118" i="19"/>
  <c r="I114" i="19"/>
  <c r="Q114" i="19" s="1"/>
  <c r="M114" i="19"/>
  <c r="I110" i="19"/>
  <c r="Q110" i="19" s="1"/>
  <c r="M110" i="19"/>
  <c r="I106" i="19"/>
  <c r="Q106" i="19" s="1"/>
  <c r="M106" i="19"/>
  <c r="I102" i="19"/>
  <c r="Q102" i="19" s="1"/>
  <c r="M102" i="19"/>
  <c r="I98" i="19"/>
  <c r="Q98" i="19" s="1"/>
  <c r="M98" i="19"/>
  <c r="I94" i="19"/>
  <c r="Q94" i="19" s="1"/>
  <c r="M94" i="19"/>
  <c r="I90" i="19"/>
  <c r="Q90" i="19" s="1"/>
  <c r="M90" i="19"/>
  <c r="I86" i="19"/>
  <c r="Q86" i="19" s="1"/>
  <c r="M86" i="19"/>
  <c r="I82" i="19"/>
  <c r="Q82" i="19" s="1"/>
  <c r="M82" i="19"/>
  <c r="I78" i="19"/>
  <c r="Q78" i="19" s="1"/>
  <c r="M78" i="19"/>
  <c r="I74" i="19"/>
  <c r="Q74" i="19" s="1"/>
  <c r="M74" i="19"/>
  <c r="I70" i="19"/>
  <c r="Q70" i="19" s="1"/>
  <c r="M70" i="19"/>
  <c r="I66" i="19"/>
  <c r="Q66" i="19" s="1"/>
  <c r="M66" i="19"/>
  <c r="I62" i="19"/>
  <c r="Q62" i="19" s="1"/>
  <c r="M62" i="19"/>
  <c r="I58" i="19"/>
  <c r="Q58" i="19" s="1"/>
  <c r="M58" i="19"/>
  <c r="I54" i="19"/>
  <c r="Q54" i="19" s="1"/>
  <c r="M54" i="19"/>
  <c r="I50" i="19"/>
  <c r="Q50" i="19" s="1"/>
  <c r="M50" i="19"/>
  <c r="I46" i="19"/>
  <c r="Q46" i="19" s="1"/>
  <c r="M46" i="19"/>
  <c r="I42" i="19"/>
  <c r="Q42" i="19" s="1"/>
  <c r="M42" i="19"/>
  <c r="I38" i="19"/>
  <c r="Q38" i="19" s="1"/>
  <c r="M38" i="19"/>
  <c r="I34" i="19"/>
  <c r="Q34" i="19" s="1"/>
  <c r="M34" i="19"/>
  <c r="I30" i="19"/>
  <c r="Q30" i="19" s="1"/>
  <c r="M30" i="19"/>
  <c r="I26" i="19"/>
  <c r="Q26" i="19" s="1"/>
  <c r="M26" i="19"/>
  <c r="I22" i="19"/>
  <c r="Q22" i="19" s="1"/>
  <c r="M22" i="19"/>
  <c r="I18" i="19"/>
  <c r="Q18" i="19" s="1"/>
  <c r="M18" i="19"/>
  <c r="I14" i="19"/>
  <c r="Q14" i="19" s="1"/>
  <c r="M14" i="19"/>
  <c r="I10" i="19"/>
  <c r="Q10" i="19" s="1"/>
  <c r="M10" i="19"/>
  <c r="I6" i="19"/>
  <c r="Q6" i="19" s="1"/>
  <c r="M6" i="19"/>
  <c r="M1802" i="19"/>
  <c r="M1354" i="19"/>
  <c r="M1322" i="19"/>
  <c r="M927" i="19"/>
  <c r="M799" i="19"/>
  <c r="M442" i="19"/>
  <c r="M314" i="19"/>
  <c r="L1283" i="19"/>
  <c r="L1831" i="19"/>
  <c r="L1823" i="19"/>
  <c r="L1815" i="19"/>
  <c r="L1807" i="19"/>
  <c r="L1799" i="19"/>
  <c r="L1787" i="19"/>
  <c r="L1779" i="19"/>
  <c r="L1771" i="19"/>
  <c r="L1763" i="19"/>
  <c r="L1755" i="19"/>
  <c r="L1747" i="19"/>
  <c r="L1739" i="19"/>
  <c r="L1731" i="19"/>
  <c r="L1719" i="19"/>
  <c r="L1711" i="19"/>
  <c r="L1699" i="19"/>
  <c r="L1691" i="19"/>
  <c r="L1683" i="19"/>
  <c r="L1671" i="19"/>
  <c r="L1663" i="19"/>
  <c r="L1655" i="19"/>
  <c r="L1647" i="19"/>
  <c r="L1639" i="19"/>
  <c r="L1631" i="19"/>
  <c r="L1623" i="19"/>
  <c r="L1615" i="19"/>
  <c r="L1607" i="19"/>
  <c r="L1603" i="19"/>
  <c r="L1595" i="19"/>
  <c r="L1587" i="19"/>
  <c r="L1583" i="19"/>
  <c r="L1575" i="19"/>
  <c r="L1567" i="19"/>
  <c r="L1563" i="19"/>
  <c r="L1555" i="19"/>
  <c r="L1547" i="19"/>
  <c r="L1539" i="19"/>
  <c r="L1531" i="19"/>
  <c r="L1519" i="19"/>
  <c r="L1511" i="19"/>
  <c r="L1503" i="19"/>
  <c r="L1495" i="19"/>
  <c r="L1491" i="19"/>
  <c r="L1483" i="19"/>
  <c r="L1475" i="19"/>
  <c r="L1467" i="19"/>
  <c r="L1459" i="19"/>
  <c r="L1455" i="19"/>
  <c r="L1447" i="19"/>
  <c r="L1439" i="19"/>
  <c r="L1431" i="19"/>
  <c r="L1423" i="19"/>
  <c r="L1415" i="19"/>
  <c r="L1407" i="19"/>
  <c r="L1399" i="19"/>
  <c r="L1391" i="19"/>
  <c r="L1383" i="19"/>
  <c r="L1375" i="19"/>
  <c r="L1367" i="19"/>
  <c r="L1359" i="19"/>
  <c r="L1351" i="19"/>
  <c r="L1343" i="19"/>
  <c r="L1335" i="19"/>
  <c r="L1331" i="19"/>
  <c r="L1323" i="19"/>
  <c r="L1319" i="19"/>
  <c r="L1315" i="19"/>
  <c r="L1311" i="19"/>
  <c r="L1307" i="19"/>
  <c r="L1303" i="19"/>
  <c r="L1299" i="19"/>
  <c r="L1295" i="19"/>
  <c r="L1291" i="19"/>
  <c r="L1287" i="19"/>
  <c r="L1279" i="19"/>
  <c r="L1275" i="19"/>
  <c r="L1267" i="19"/>
  <c r="L1259" i="19"/>
  <c r="L1255" i="19"/>
  <c r="L1247" i="19"/>
  <c r="L1239" i="19"/>
  <c r="L1231" i="19"/>
  <c r="L1223" i="19"/>
  <c r="L1215" i="19"/>
  <c r="L1207" i="19"/>
  <c r="L1199" i="19"/>
  <c r="L1191" i="19"/>
  <c r="L1183" i="19"/>
  <c r="L1175" i="19"/>
  <c r="L1167" i="19"/>
  <c r="L1159" i="19"/>
  <c r="L1151" i="19"/>
  <c r="L1147" i="19"/>
  <c r="L1139" i="19"/>
  <c r="L1131" i="19"/>
  <c r="L1123" i="19"/>
  <c r="L1119" i="19"/>
  <c r="L1115" i="19"/>
  <c r="L1055" i="19"/>
  <c r="L899" i="19"/>
  <c r="L703" i="19"/>
  <c r="L231" i="19"/>
  <c r="L3" i="19"/>
  <c r="L1827" i="19"/>
  <c r="L1819" i="19"/>
  <c r="L1811" i="19"/>
  <c r="L1803" i="19"/>
  <c r="L1791" i="19"/>
  <c r="L1783" i="19"/>
  <c r="L1775" i="19"/>
  <c r="L1767" i="19"/>
  <c r="L1759" i="19"/>
  <c r="L1751" i="19"/>
  <c r="L1743" i="19"/>
  <c r="L1735" i="19"/>
  <c r="L1727" i="19"/>
  <c r="L1723" i="19"/>
  <c r="L1715" i="19"/>
  <c r="L1707" i="19"/>
  <c r="L1703" i="19"/>
  <c r="L1695" i="19"/>
  <c r="L1687" i="19"/>
  <c r="L1679" i="19"/>
  <c r="L1675" i="19"/>
  <c r="L1667" i="19"/>
  <c r="L1659" i="19"/>
  <c r="L1651" i="19"/>
  <c r="L1643" i="19"/>
  <c r="L1635" i="19"/>
  <c r="L1627" i="19"/>
  <c r="L1619" i="19"/>
  <c r="L1611" i="19"/>
  <c r="L1599" i="19"/>
  <c r="L1591" i="19"/>
  <c r="L1579" i="19"/>
  <c r="L1571" i="19"/>
  <c r="L1559" i="19"/>
  <c r="L1551" i="19"/>
  <c r="L1543" i="19"/>
  <c r="L1535" i="19"/>
  <c r="L1527" i="19"/>
  <c r="L1523" i="19"/>
  <c r="L1515" i="19"/>
  <c r="L1507" i="19"/>
  <c r="L1499" i="19"/>
  <c r="L1487" i="19"/>
  <c r="L1479" i="19"/>
  <c r="L1471" i="19"/>
  <c r="L1463" i="19"/>
  <c r="L1451" i="19"/>
  <c r="L1443" i="19"/>
  <c r="L1435" i="19"/>
  <c r="L1427" i="19"/>
  <c r="L1419" i="19"/>
  <c r="L1411" i="19"/>
  <c r="L1403" i="19"/>
  <c r="L1395" i="19"/>
  <c r="L1387" i="19"/>
  <c r="L1379" i="19"/>
  <c r="L1371" i="19"/>
  <c r="L1363" i="19"/>
  <c r="L1355" i="19"/>
  <c r="L1347" i="19"/>
  <c r="L1339" i="19"/>
  <c r="L1327" i="19"/>
  <c r="L1271" i="19"/>
  <c r="L1263" i="19"/>
  <c r="L1251" i="19"/>
  <c r="L1243" i="19"/>
  <c r="L1235" i="19"/>
  <c r="L1227" i="19"/>
  <c r="L1219" i="19"/>
  <c r="L1211" i="19"/>
  <c r="L1203" i="19"/>
  <c r="L1195" i="19"/>
  <c r="L1187" i="19"/>
  <c r="L1179" i="19"/>
  <c r="L1171" i="19"/>
  <c r="L1163" i="19"/>
  <c r="L1155" i="19"/>
  <c r="L1143" i="19"/>
  <c r="L1135" i="19"/>
  <c r="L1127" i="19"/>
  <c r="L999" i="19"/>
  <c r="L675" i="19"/>
  <c r="L1778" i="19"/>
  <c r="I1778" i="19"/>
  <c r="Q1778" i="19" s="1"/>
  <c r="L1774" i="19"/>
  <c r="I1774" i="19"/>
  <c r="Q1774" i="19" s="1"/>
  <c r="L1770" i="19"/>
  <c r="I1770" i="19"/>
  <c r="Q1770" i="19" s="1"/>
  <c r="L1762" i="19"/>
  <c r="I1762" i="19"/>
  <c r="Q1762" i="19" s="1"/>
  <c r="L1758" i="19"/>
  <c r="I1758" i="19"/>
  <c r="Q1758" i="19" s="1"/>
  <c r="L1754" i="19"/>
  <c r="I1754" i="19"/>
  <c r="Q1754" i="19" s="1"/>
  <c r="L1746" i="19"/>
  <c r="I1746" i="19"/>
  <c r="Q1746" i="19" s="1"/>
  <c r="L1742" i="19"/>
  <c r="I1742" i="19"/>
  <c r="Q1742" i="19" s="1"/>
  <c r="L1738" i="19"/>
  <c r="I1738" i="19"/>
  <c r="Q1738" i="19" s="1"/>
  <c r="L1730" i="19"/>
  <c r="I1730" i="19"/>
  <c r="Q1730" i="19" s="1"/>
  <c r="L1726" i="19"/>
  <c r="I1726" i="19"/>
  <c r="Q1726" i="19" s="1"/>
  <c r="L1722" i="19"/>
  <c r="I1722" i="19"/>
  <c r="Q1722" i="19" s="1"/>
  <c r="L1714" i="19"/>
  <c r="I1714" i="19"/>
  <c r="Q1714" i="19" s="1"/>
  <c r="L1710" i="19"/>
  <c r="I1710" i="19"/>
  <c r="Q1710" i="19" s="1"/>
  <c r="L1706" i="19"/>
  <c r="I1706" i="19"/>
  <c r="Q1706" i="19" s="1"/>
  <c r="L1698" i="19"/>
  <c r="I1698" i="19"/>
  <c r="Q1698" i="19" s="1"/>
  <c r="L1694" i="19"/>
  <c r="I1694" i="19"/>
  <c r="Q1694" i="19" s="1"/>
  <c r="L1690" i="19"/>
  <c r="I1690" i="19"/>
  <c r="Q1690" i="19" s="1"/>
  <c r="L1682" i="19"/>
  <c r="I1682" i="19"/>
  <c r="Q1682" i="19" s="1"/>
  <c r="L1678" i="19"/>
  <c r="I1678" i="19"/>
  <c r="Q1678" i="19" s="1"/>
  <c r="L1674" i="19"/>
  <c r="I1674" i="19"/>
  <c r="Q1674" i="19" s="1"/>
  <c r="L1666" i="19"/>
  <c r="I1666" i="19"/>
  <c r="Q1666" i="19" s="1"/>
  <c r="L1662" i="19"/>
  <c r="I1662" i="19"/>
  <c r="Q1662" i="19" s="1"/>
  <c r="L1658" i="19"/>
  <c r="I1658" i="19"/>
  <c r="Q1658" i="19" s="1"/>
  <c r="L1650" i="19"/>
  <c r="I1650" i="19"/>
  <c r="Q1650" i="19" s="1"/>
  <c r="L1646" i="19"/>
  <c r="I1646" i="19"/>
  <c r="Q1646" i="19" s="1"/>
  <c r="L1642" i="19"/>
  <c r="I1642" i="19"/>
  <c r="Q1642" i="19" s="1"/>
  <c r="L1634" i="19"/>
  <c r="I1634" i="19"/>
  <c r="Q1634" i="19" s="1"/>
  <c r="L1630" i="19"/>
  <c r="I1630" i="19"/>
  <c r="Q1630" i="19" s="1"/>
  <c r="L1626" i="19"/>
  <c r="I1626" i="19"/>
  <c r="Q1626" i="19" s="1"/>
  <c r="L1618" i="19"/>
  <c r="I1618" i="19"/>
  <c r="Q1618" i="19" s="1"/>
  <c r="L1614" i="19"/>
  <c r="I1614" i="19"/>
  <c r="Q1614" i="19" s="1"/>
  <c r="L1610" i="19"/>
  <c r="I1610" i="19"/>
  <c r="Q1610" i="19" s="1"/>
  <c r="L1602" i="19"/>
  <c r="I1602" i="19"/>
  <c r="Q1602" i="19" s="1"/>
  <c r="L1598" i="19"/>
  <c r="I1598" i="19"/>
  <c r="Q1598" i="19" s="1"/>
  <c r="L1594" i="19"/>
  <c r="I1594" i="19"/>
  <c r="Q1594" i="19" s="1"/>
  <c r="L1586" i="19"/>
  <c r="I1586" i="19"/>
  <c r="Q1586" i="19" s="1"/>
  <c r="L1578" i="19"/>
  <c r="I1578" i="19"/>
  <c r="Q1578" i="19" s="1"/>
  <c r="L1570" i="19"/>
  <c r="I1570" i="19"/>
  <c r="Q1570" i="19" s="1"/>
  <c r="L1566" i="19"/>
  <c r="I1566" i="19"/>
  <c r="Q1566" i="19" s="1"/>
  <c r="L1562" i="19"/>
  <c r="I1562" i="19"/>
  <c r="Q1562" i="19" s="1"/>
  <c r="L1554" i="19"/>
  <c r="I1554" i="19"/>
  <c r="Q1554" i="19" s="1"/>
  <c r="L1550" i="19"/>
  <c r="I1550" i="19"/>
  <c r="Q1550" i="19" s="1"/>
  <c r="L1546" i="19"/>
  <c r="I1546" i="19"/>
  <c r="Q1546" i="19" s="1"/>
  <c r="L1538" i="19"/>
  <c r="I1538" i="19"/>
  <c r="Q1538" i="19" s="1"/>
  <c r="L1534" i="19"/>
  <c r="I1534" i="19"/>
  <c r="Q1534" i="19" s="1"/>
  <c r="L1530" i="19"/>
  <c r="I1530" i="19"/>
  <c r="Q1530" i="19" s="1"/>
  <c r="L1522" i="19"/>
  <c r="I1522" i="19"/>
  <c r="Q1522" i="19" s="1"/>
  <c r="L1518" i="19"/>
  <c r="I1518" i="19"/>
  <c r="Q1518" i="19" s="1"/>
  <c r="L1514" i="19"/>
  <c r="I1514" i="19"/>
  <c r="Q1514" i="19" s="1"/>
  <c r="L1506" i="19"/>
  <c r="I1506" i="19"/>
  <c r="Q1506" i="19" s="1"/>
  <c r="L1502" i="19"/>
  <c r="I1502" i="19"/>
  <c r="Q1502" i="19" s="1"/>
  <c r="L1498" i="19"/>
  <c r="I1498" i="19"/>
  <c r="Q1498" i="19" s="1"/>
  <c r="L1490" i="19"/>
  <c r="I1490" i="19"/>
  <c r="Q1490" i="19" s="1"/>
  <c r="L1486" i="19"/>
  <c r="I1486" i="19"/>
  <c r="Q1486" i="19" s="1"/>
  <c r="L1482" i="19"/>
  <c r="I1482" i="19"/>
  <c r="Q1482" i="19" s="1"/>
  <c r="L1474" i="19"/>
  <c r="I1474" i="19"/>
  <c r="Q1474" i="19" s="1"/>
  <c r="L1470" i="19"/>
  <c r="I1470" i="19"/>
  <c r="Q1470" i="19" s="1"/>
  <c r="L1466" i="19"/>
  <c r="I1466" i="19"/>
  <c r="Q1466" i="19" s="1"/>
  <c r="L1458" i="19"/>
  <c r="I1458" i="19"/>
  <c r="Q1458" i="19" s="1"/>
  <c r="L1454" i="19"/>
  <c r="I1454" i="19"/>
  <c r="Q1454" i="19" s="1"/>
  <c r="L1450" i="19"/>
  <c r="I1450" i="19"/>
  <c r="Q1450" i="19" s="1"/>
  <c r="L1442" i="19"/>
  <c r="I1442" i="19"/>
  <c r="Q1442" i="19" s="1"/>
  <c r="L1438" i="19"/>
  <c r="I1438" i="19"/>
  <c r="Q1438" i="19" s="1"/>
  <c r="L1434" i="19"/>
  <c r="I1434" i="19"/>
  <c r="Q1434" i="19" s="1"/>
  <c r="L1426" i="19"/>
  <c r="I1426" i="19"/>
  <c r="Q1426" i="19" s="1"/>
  <c r="L1422" i="19"/>
  <c r="I1422" i="19"/>
  <c r="Q1422" i="19" s="1"/>
  <c r="L1418" i="19"/>
  <c r="I1418" i="19"/>
  <c r="Q1418" i="19" s="1"/>
  <c r="L1410" i="19"/>
  <c r="I1410" i="19"/>
  <c r="Q1410" i="19" s="1"/>
  <c r="L1406" i="19"/>
  <c r="I1406" i="19"/>
  <c r="Q1406" i="19" s="1"/>
  <c r="L1402" i="19"/>
  <c r="I1402" i="19"/>
  <c r="Q1402" i="19" s="1"/>
  <c r="L1394" i="19"/>
  <c r="I1394" i="19"/>
  <c r="Q1394" i="19" s="1"/>
  <c r="L1390" i="19"/>
  <c r="I1390" i="19"/>
  <c r="Q1390" i="19" s="1"/>
  <c r="L1386" i="19"/>
  <c r="I1386" i="19"/>
  <c r="Q1386" i="19" s="1"/>
  <c r="L1378" i="19"/>
  <c r="I1378" i="19"/>
  <c r="Q1378" i="19" s="1"/>
  <c r="L1374" i="19"/>
  <c r="I1374" i="19"/>
  <c r="Q1374" i="19" s="1"/>
  <c r="L1370" i="19"/>
  <c r="I1370" i="19"/>
  <c r="Q1370" i="19" s="1"/>
  <c r="L1362" i="19"/>
  <c r="I1362" i="19"/>
  <c r="Q1362" i="19" s="1"/>
  <c r="L1358" i="19"/>
  <c r="I1358" i="19"/>
  <c r="Q1358" i="19" s="1"/>
  <c r="L1346" i="19"/>
  <c r="I1346" i="19"/>
  <c r="Q1346" i="19" s="1"/>
  <c r="L1342" i="19"/>
  <c r="I1342" i="19"/>
  <c r="Q1342" i="19" s="1"/>
  <c r="L1338" i="19"/>
  <c r="L1330" i="19"/>
  <c r="I1330" i="19"/>
  <c r="Q1330" i="19" s="1"/>
  <c r="L1326" i="19"/>
  <c r="I1326" i="19"/>
  <c r="Q1326" i="19" s="1"/>
  <c r="L1322" i="19"/>
  <c r="L1314" i="19"/>
  <c r="I1314" i="19"/>
  <c r="Q1314" i="19" s="1"/>
  <c r="L1310" i="19"/>
  <c r="I1310" i="19"/>
  <c r="Q1310" i="19" s="1"/>
  <c r="L1306" i="19"/>
  <c r="L1294" i="19"/>
  <c r="I1294" i="19"/>
  <c r="Q1294" i="19" s="1"/>
  <c r="L1290" i="19"/>
  <c r="L1282" i="19"/>
  <c r="I1282" i="19"/>
  <c r="Q1282" i="19" s="1"/>
  <c r="L1278" i="19"/>
  <c r="I1278" i="19"/>
  <c r="Q1278" i="19" s="1"/>
  <c r="L1274" i="19"/>
  <c r="L1266" i="19"/>
  <c r="I1266" i="19"/>
  <c r="Q1266" i="19" s="1"/>
  <c r="L1262" i="19"/>
  <c r="I1262" i="19"/>
  <c r="Q1262" i="19" s="1"/>
  <c r="L1258" i="19"/>
  <c r="I1258" i="19"/>
  <c r="Q1258" i="19" s="1"/>
  <c r="L1250" i="19"/>
  <c r="I1250" i="19"/>
  <c r="Q1250" i="19" s="1"/>
  <c r="L1246" i="19"/>
  <c r="I1246" i="19"/>
  <c r="Q1246" i="19" s="1"/>
  <c r="L1242" i="19"/>
  <c r="I1242" i="19"/>
  <c r="Q1242" i="19" s="1"/>
  <c r="L1234" i="19"/>
  <c r="I1234" i="19"/>
  <c r="Q1234" i="19" s="1"/>
  <c r="L1230" i="19"/>
  <c r="I1230" i="19"/>
  <c r="Q1230" i="19" s="1"/>
  <c r="L1226" i="19"/>
  <c r="I1226" i="19"/>
  <c r="Q1226" i="19" s="1"/>
  <c r="L1218" i="19"/>
  <c r="I1218" i="19"/>
  <c r="Q1218" i="19" s="1"/>
  <c r="L1214" i="19"/>
  <c r="I1214" i="19"/>
  <c r="Q1214" i="19" s="1"/>
  <c r="L1210" i="19"/>
  <c r="I1210" i="19"/>
  <c r="Q1210" i="19" s="1"/>
  <c r="L1202" i="19"/>
  <c r="I1202" i="19"/>
  <c r="Q1202" i="19" s="1"/>
  <c r="L1198" i="19"/>
  <c r="I1198" i="19"/>
  <c r="Q1198" i="19" s="1"/>
  <c r="L1194" i="19"/>
  <c r="I1194" i="19"/>
  <c r="Q1194" i="19" s="1"/>
  <c r="L1186" i="19"/>
  <c r="I1186" i="19"/>
  <c r="Q1186" i="19" s="1"/>
  <c r="L1182" i="19"/>
  <c r="I1182" i="19"/>
  <c r="Q1182" i="19" s="1"/>
  <c r="L1178" i="19"/>
  <c r="I1178" i="19"/>
  <c r="Q1178" i="19" s="1"/>
  <c r="L1170" i="19"/>
  <c r="I1170" i="19"/>
  <c r="Q1170" i="19" s="1"/>
  <c r="L1166" i="19"/>
  <c r="I1166" i="19"/>
  <c r="Q1166" i="19" s="1"/>
  <c r="L1162" i="19"/>
  <c r="I1162" i="19"/>
  <c r="Q1162" i="19" s="1"/>
  <c r="L1154" i="19"/>
  <c r="I1154" i="19"/>
  <c r="Q1154" i="19" s="1"/>
  <c r="L1150" i="19"/>
  <c r="I1150" i="19"/>
  <c r="Q1150" i="19" s="1"/>
  <c r="L1146" i="19"/>
  <c r="I1146" i="19"/>
  <c r="Q1146" i="19" s="1"/>
  <c r="L1138" i="19"/>
  <c r="I1138" i="19"/>
  <c r="Q1138" i="19" s="1"/>
  <c r="L1134" i="19"/>
  <c r="I1134" i="19"/>
  <c r="Q1134" i="19" s="1"/>
  <c r="L1130" i="19"/>
  <c r="I1130" i="19"/>
  <c r="Q1130" i="19" s="1"/>
  <c r="L1122" i="19"/>
  <c r="I1122" i="19"/>
  <c r="Q1122" i="19" s="1"/>
  <c r="L1118" i="19"/>
  <c r="I1118" i="19"/>
  <c r="Q1118" i="19" s="1"/>
  <c r="L1114" i="19"/>
  <c r="I1114" i="19"/>
  <c r="Q1114" i="19" s="1"/>
  <c r="L1106" i="19"/>
  <c r="I1106" i="19"/>
  <c r="Q1106" i="19" s="1"/>
  <c r="L1102" i="19"/>
  <c r="I1102" i="19"/>
  <c r="Q1102" i="19" s="1"/>
  <c r="L1098" i="19"/>
  <c r="I1098" i="19"/>
  <c r="Q1098" i="19" s="1"/>
  <c r="L1090" i="19"/>
  <c r="I1090" i="19"/>
  <c r="Q1090" i="19" s="1"/>
  <c r="L1086" i="19"/>
  <c r="I1086" i="19"/>
  <c r="Q1086" i="19" s="1"/>
  <c r="L1082" i="19"/>
  <c r="I1082" i="19"/>
  <c r="Q1082" i="19" s="1"/>
  <c r="L1074" i="19"/>
  <c r="I1074" i="19"/>
  <c r="Q1074" i="19" s="1"/>
  <c r="L1066" i="19"/>
  <c r="I1066" i="19"/>
  <c r="Q1066" i="19" s="1"/>
  <c r="L1058" i="19"/>
  <c r="I1058" i="19"/>
  <c r="Q1058" i="19" s="1"/>
  <c r="L1054" i="19"/>
  <c r="I1054" i="19"/>
  <c r="Q1054" i="19" s="1"/>
  <c r="L1050" i="19"/>
  <c r="I1050" i="19"/>
  <c r="Q1050" i="19" s="1"/>
  <c r="L1042" i="19"/>
  <c r="I1042" i="19"/>
  <c r="Q1042" i="19" s="1"/>
  <c r="L1038" i="19"/>
  <c r="I1038" i="19"/>
  <c r="Q1038" i="19" s="1"/>
  <c r="L1034" i="19"/>
  <c r="I1034" i="19"/>
  <c r="Q1034" i="19" s="1"/>
  <c r="L1026" i="19"/>
  <c r="I1026" i="19"/>
  <c r="Q1026" i="19" s="1"/>
  <c r="L1022" i="19"/>
  <c r="I1022" i="19"/>
  <c r="Q1022" i="19" s="1"/>
  <c r="L1018" i="19"/>
  <c r="I1018" i="19"/>
  <c r="Q1018" i="19" s="1"/>
  <c r="L1010" i="19"/>
  <c r="I1010" i="19"/>
  <c r="Q1010" i="19" s="1"/>
  <c r="L1006" i="19"/>
  <c r="I1006" i="19"/>
  <c r="Q1006" i="19" s="1"/>
  <c r="L1002" i="19"/>
  <c r="I1002" i="19"/>
  <c r="Q1002" i="19" s="1"/>
  <c r="L994" i="19"/>
  <c r="I994" i="19"/>
  <c r="Q994" i="19" s="1"/>
  <c r="L990" i="19"/>
  <c r="I990" i="19"/>
  <c r="Q990" i="19" s="1"/>
  <c r="L986" i="19"/>
  <c r="I986" i="19"/>
  <c r="Q986" i="19" s="1"/>
  <c r="L978" i="19"/>
  <c r="I978" i="19"/>
  <c r="Q978" i="19" s="1"/>
  <c r="L974" i="19"/>
  <c r="I974" i="19"/>
  <c r="Q974" i="19" s="1"/>
  <c r="L970" i="19"/>
  <c r="I970" i="19"/>
  <c r="Q970" i="19" s="1"/>
  <c r="L962" i="19"/>
  <c r="I962" i="19"/>
  <c r="Q962" i="19" s="1"/>
  <c r="L958" i="19"/>
  <c r="I958" i="19"/>
  <c r="Q958" i="19" s="1"/>
  <c r="L954" i="19"/>
  <c r="I954" i="19"/>
  <c r="Q954" i="19" s="1"/>
  <c r="L946" i="19"/>
  <c r="I946" i="19"/>
  <c r="Q946" i="19" s="1"/>
  <c r="L942" i="19"/>
  <c r="I942" i="19"/>
  <c r="Q942" i="19" s="1"/>
  <c r="L938" i="19"/>
  <c r="I938" i="19"/>
  <c r="Q938" i="19" s="1"/>
  <c r="L930" i="19"/>
  <c r="I930" i="19"/>
  <c r="Q930" i="19" s="1"/>
  <c r="L926" i="19"/>
  <c r="I926" i="19"/>
  <c r="Q926" i="19" s="1"/>
  <c r="L922" i="19"/>
  <c r="I922" i="19"/>
  <c r="Q922" i="19" s="1"/>
  <c r="L914" i="19"/>
  <c r="I914" i="19"/>
  <c r="Q914" i="19" s="1"/>
  <c r="L910" i="19"/>
  <c r="I910" i="19"/>
  <c r="Q910" i="19" s="1"/>
  <c r="L906" i="19"/>
  <c r="I906" i="19"/>
  <c r="Q906" i="19" s="1"/>
  <c r="L898" i="19"/>
  <c r="I898" i="19"/>
  <c r="Q898" i="19" s="1"/>
  <c r="L894" i="19"/>
  <c r="I894" i="19"/>
  <c r="Q894" i="19" s="1"/>
  <c r="L890" i="19"/>
  <c r="I890" i="19"/>
  <c r="Q890" i="19" s="1"/>
  <c r="L882" i="19"/>
  <c r="I882" i="19"/>
  <c r="Q882" i="19" s="1"/>
  <c r="L878" i="19"/>
  <c r="I878" i="19"/>
  <c r="Q878" i="19" s="1"/>
  <c r="L874" i="19"/>
  <c r="I874" i="19"/>
  <c r="Q874" i="19" s="1"/>
  <c r="L866" i="19"/>
  <c r="I866" i="19"/>
  <c r="Q866" i="19" s="1"/>
  <c r="L862" i="19"/>
  <c r="I862" i="19"/>
  <c r="Q862" i="19" s="1"/>
  <c r="L858" i="19"/>
  <c r="I858" i="19"/>
  <c r="Q858" i="19" s="1"/>
  <c r="L850" i="19"/>
  <c r="I850" i="19"/>
  <c r="Q850" i="19" s="1"/>
  <c r="L846" i="19"/>
  <c r="I846" i="19"/>
  <c r="Q846" i="19" s="1"/>
  <c r="L842" i="19"/>
  <c r="I842" i="19"/>
  <c r="Q842" i="19" s="1"/>
  <c r="L830" i="19"/>
  <c r="I830" i="19"/>
  <c r="Q830" i="19" s="1"/>
  <c r="L814" i="19"/>
  <c r="I814" i="19"/>
  <c r="Q814" i="19" s="1"/>
  <c r="L810" i="19"/>
  <c r="I810" i="19"/>
  <c r="Q810" i="19" s="1"/>
  <c r="L802" i="19"/>
  <c r="I802" i="19"/>
  <c r="Q802" i="19" s="1"/>
  <c r="L794" i="19"/>
  <c r="I794" i="19"/>
  <c r="Q794" i="19" s="1"/>
  <c r="L786" i="19"/>
  <c r="I786" i="19"/>
  <c r="Q786" i="19" s="1"/>
  <c r="L782" i="19"/>
  <c r="I782" i="19"/>
  <c r="Q782" i="19" s="1"/>
  <c r="L778" i="19"/>
  <c r="I778" i="19"/>
  <c r="Q778" i="19" s="1"/>
  <c r="L766" i="19"/>
  <c r="I766" i="19"/>
  <c r="Q766" i="19" s="1"/>
  <c r="L754" i="19"/>
  <c r="I754" i="19"/>
  <c r="Q754" i="19" s="1"/>
  <c r="L750" i="19"/>
  <c r="I750" i="19"/>
  <c r="Q750" i="19" s="1"/>
  <c r="L746" i="19"/>
  <c r="I746" i="19"/>
  <c r="Q746" i="19" s="1"/>
  <c r="L738" i="19"/>
  <c r="I738" i="19"/>
  <c r="Q738" i="19" s="1"/>
  <c r="L730" i="19"/>
  <c r="I730" i="19"/>
  <c r="Q730" i="19" s="1"/>
  <c r="L718" i="19"/>
  <c r="I718" i="19"/>
  <c r="Q718" i="19" s="1"/>
  <c r="L702" i="19"/>
  <c r="I702" i="19"/>
  <c r="Q702" i="19" s="1"/>
  <c r="L690" i="19"/>
  <c r="I690" i="19"/>
  <c r="Q690" i="19" s="1"/>
  <c r="L682" i="19"/>
  <c r="I682" i="19"/>
  <c r="Q682" i="19" s="1"/>
  <c r="L674" i="19"/>
  <c r="I674" i="19"/>
  <c r="Q674" i="19" s="1"/>
  <c r="L666" i="19"/>
  <c r="I666" i="19"/>
  <c r="Q666" i="19" s="1"/>
  <c r="L654" i="19"/>
  <c r="I654" i="19"/>
  <c r="Q654" i="19" s="1"/>
  <c r="L638" i="19"/>
  <c r="I638" i="19"/>
  <c r="Q638" i="19" s="1"/>
  <c r="L626" i="19"/>
  <c r="I626" i="19"/>
  <c r="Q626" i="19" s="1"/>
  <c r="L618" i="19"/>
  <c r="I618" i="19"/>
  <c r="Q618" i="19" s="1"/>
  <c r="L610" i="19"/>
  <c r="I610" i="19"/>
  <c r="Q610" i="19" s="1"/>
  <c r="L602" i="19"/>
  <c r="I602" i="19"/>
  <c r="Q602" i="19" s="1"/>
  <c r="L574" i="19"/>
  <c r="I574" i="19"/>
  <c r="Q574" i="19" s="1"/>
  <c r="L562" i="19"/>
  <c r="I562" i="19"/>
  <c r="Q562" i="19" s="1"/>
  <c r="L554" i="19"/>
  <c r="I554" i="19"/>
  <c r="Q554" i="19" s="1"/>
  <c r="L546" i="19"/>
  <c r="I546" i="19"/>
  <c r="Q546" i="19" s="1"/>
  <c r="L538" i="19"/>
  <c r="I538" i="19"/>
  <c r="Q538" i="19" s="1"/>
  <c r="L526" i="19"/>
  <c r="I526" i="19"/>
  <c r="Q526" i="19" s="1"/>
  <c r="L510" i="19"/>
  <c r="I510" i="19"/>
  <c r="Q510" i="19" s="1"/>
  <c r="L498" i="19"/>
  <c r="I498" i="19"/>
  <c r="Q498" i="19" s="1"/>
  <c r="L490" i="19"/>
  <c r="I490" i="19"/>
  <c r="Q490" i="19" s="1"/>
  <c r="L402" i="19"/>
  <c r="I402" i="19"/>
  <c r="Q402" i="19" s="1"/>
  <c r="L386" i="19"/>
  <c r="I386" i="19"/>
  <c r="Q386" i="19" s="1"/>
  <c r="L374" i="19"/>
  <c r="I374" i="19"/>
  <c r="Q374" i="19" s="1"/>
  <c r="L370" i="19"/>
  <c r="I370" i="19"/>
  <c r="Q370" i="19" s="1"/>
  <c r="L354" i="19"/>
  <c r="I354" i="19"/>
  <c r="Q354" i="19" s="1"/>
  <c r="L342" i="19"/>
  <c r="I342" i="19"/>
  <c r="Q342" i="19" s="1"/>
  <c r="I1338" i="19"/>
  <c r="Q1338" i="19" s="1"/>
  <c r="I1274" i="19"/>
  <c r="Q1274" i="19" s="1"/>
  <c r="L1111" i="19"/>
  <c r="L1107" i="19"/>
  <c r="L1103" i="19"/>
  <c r="L1099" i="19"/>
  <c r="L1095" i="19"/>
  <c r="L1091" i="19"/>
  <c r="L1087" i="19"/>
  <c r="L1083" i="19"/>
  <c r="L1079" i="19"/>
  <c r="L1075" i="19"/>
  <c r="L1071" i="19"/>
  <c r="L1067" i="19"/>
  <c r="L1063" i="19"/>
  <c r="L1059" i="19"/>
  <c r="L1051" i="19"/>
  <c r="L1047" i="19"/>
  <c r="L1043" i="19"/>
  <c r="L1039" i="19"/>
  <c r="L1035" i="19"/>
  <c r="L1031" i="19"/>
  <c r="L1027" i="19"/>
  <c r="L1023" i="19"/>
  <c r="L1019" i="19"/>
  <c r="L1015" i="19"/>
  <c r="L1011" i="19"/>
  <c r="L1007" i="19"/>
  <c r="L1003" i="19"/>
  <c r="L995" i="19"/>
  <c r="L991" i="19"/>
  <c r="L987" i="19"/>
  <c r="L983" i="19"/>
  <c r="L979" i="19"/>
  <c r="L975" i="19"/>
  <c r="L971" i="19"/>
  <c r="L967" i="19"/>
  <c r="L963" i="19"/>
  <c r="L959" i="19"/>
  <c r="L955" i="19"/>
  <c r="L951" i="19"/>
  <c r="L947" i="19"/>
  <c r="L943" i="19"/>
  <c r="L939" i="19"/>
  <c r="L935" i="19"/>
  <c r="L931" i="19"/>
  <c r="L927" i="19"/>
  <c r="L923" i="19"/>
  <c r="L919" i="19"/>
  <c r="L915" i="19"/>
  <c r="L911" i="19"/>
  <c r="L907" i="19"/>
  <c r="L903" i="19"/>
  <c r="L895" i="19"/>
  <c r="L891" i="19"/>
  <c r="L887" i="19"/>
  <c r="L883" i="19"/>
  <c r="L879" i="19"/>
  <c r="L875" i="19"/>
  <c r="L871" i="19"/>
  <c r="L867" i="19"/>
  <c r="L863" i="19"/>
  <c r="L859" i="19"/>
  <c r="L855" i="19"/>
  <c r="L851" i="19"/>
  <c r="L847" i="19"/>
  <c r="L843" i="19"/>
  <c r="L839" i="19"/>
  <c r="L835" i="19"/>
  <c r="L831" i="19"/>
  <c r="L827" i="19"/>
  <c r="L823" i="19"/>
  <c r="L819" i="19"/>
  <c r="L815" i="19"/>
  <c r="L811" i="19"/>
  <c r="L807" i="19"/>
  <c r="L803" i="19"/>
  <c r="L799" i="19"/>
  <c r="L795" i="19"/>
  <c r="L791" i="19"/>
  <c r="L787" i="19"/>
  <c r="L783" i="19"/>
  <c r="L779" i="19"/>
  <c r="L775" i="19"/>
  <c r="L771" i="19"/>
  <c r="L767" i="19"/>
  <c r="L763" i="19"/>
  <c r="L759" i="19"/>
  <c r="L755" i="19"/>
  <c r="L751" i="19"/>
  <c r="L747" i="19"/>
  <c r="L743" i="19"/>
  <c r="L739" i="19"/>
  <c r="L735" i="19"/>
  <c r="L731" i="19"/>
  <c r="L727" i="19"/>
  <c r="L723" i="19"/>
  <c r="L719" i="19"/>
  <c r="L715" i="19"/>
  <c r="L711" i="19"/>
  <c r="L707" i="19"/>
  <c r="L699" i="19"/>
  <c r="L695" i="19"/>
  <c r="L691" i="19"/>
  <c r="L687" i="19"/>
  <c r="L683" i="19"/>
  <c r="L679" i="19"/>
  <c r="L671" i="19"/>
  <c r="L667" i="19"/>
  <c r="L663" i="19"/>
  <c r="L659" i="19"/>
  <c r="L655" i="19"/>
  <c r="L651" i="19"/>
  <c r="L647" i="19"/>
  <c r="L643" i="19"/>
  <c r="L639" i="19"/>
  <c r="L635" i="19"/>
  <c r="L631" i="19"/>
  <c r="L627" i="19"/>
  <c r="L623" i="19"/>
  <c r="L619" i="19"/>
  <c r="L615" i="19"/>
  <c r="L611" i="19"/>
  <c r="L607" i="19"/>
  <c r="L603" i="19"/>
  <c r="L599" i="19"/>
  <c r="L595" i="19"/>
  <c r="L591" i="19"/>
  <c r="L587" i="19"/>
  <c r="L583" i="19"/>
  <c r="L579" i="19"/>
  <c r="L575" i="19"/>
  <c r="L571" i="19"/>
  <c r="L567" i="19"/>
  <c r="L563" i="19"/>
  <c r="L559" i="19"/>
  <c r="L555" i="19"/>
  <c r="L551" i="19"/>
  <c r="L547" i="19"/>
  <c r="L543" i="19"/>
  <c r="L539" i="19"/>
  <c r="L535" i="19"/>
  <c r="L531" i="19"/>
  <c r="L527" i="19"/>
  <c r="L523" i="19"/>
  <c r="L519" i="19"/>
  <c r="L515" i="19"/>
  <c r="L511" i="19"/>
  <c r="L507" i="19"/>
  <c r="L503" i="19"/>
  <c r="L499" i="19"/>
  <c r="L495" i="19"/>
  <c r="L491" i="19"/>
  <c r="L487" i="19"/>
  <c r="L483" i="19"/>
  <c r="L479" i="19"/>
  <c r="L475" i="19"/>
  <c r="L471" i="19"/>
  <c r="L467" i="19"/>
  <c r="L463" i="19"/>
  <c r="L459" i="19"/>
  <c r="L455" i="19"/>
  <c r="L451" i="19"/>
  <c r="L447" i="19"/>
  <c r="L443" i="19"/>
  <c r="L439" i="19"/>
  <c r="L435" i="19"/>
  <c r="L431" i="19"/>
  <c r="L427" i="19"/>
  <c r="L423" i="19"/>
  <c r="L419" i="19"/>
  <c r="L415" i="19"/>
  <c r="L411" i="19"/>
  <c r="L407" i="19"/>
  <c r="L403" i="19"/>
  <c r="L399" i="19"/>
  <c r="L395" i="19"/>
  <c r="L391" i="19"/>
  <c r="L387" i="19"/>
  <c r="L383" i="19"/>
  <c r="L379" i="19"/>
  <c r="L375" i="19"/>
  <c r="L371" i="19"/>
  <c r="L367" i="19"/>
  <c r="L363" i="19"/>
  <c r="L359" i="19"/>
  <c r="L355" i="19"/>
  <c r="L351" i="19"/>
  <c r="L347" i="19"/>
  <c r="L343" i="19"/>
  <c r="L339" i="19"/>
  <c r="L335" i="19"/>
  <c r="L331" i="19"/>
  <c r="L327" i="19"/>
  <c r="L323" i="19"/>
  <c r="L319" i="19"/>
  <c r="L315" i="19"/>
  <c r="L311" i="19"/>
  <c r="L307" i="19"/>
  <c r="L303" i="19"/>
  <c r="L299" i="19"/>
  <c r="L295" i="19"/>
  <c r="L291" i="19"/>
  <c r="L287" i="19"/>
  <c r="L283" i="19"/>
  <c r="L279" i="19"/>
  <c r="L275" i="19"/>
  <c r="L271" i="19"/>
  <c r="L267" i="19"/>
  <c r="L263" i="19"/>
  <c r="L259" i="19"/>
  <c r="L255" i="19"/>
  <c r="L251" i="19"/>
  <c r="L247" i="19"/>
  <c r="L243" i="19"/>
  <c r="L239" i="19"/>
  <c r="L235" i="19"/>
  <c r="L227" i="19"/>
  <c r="L223" i="19"/>
  <c r="L219" i="19"/>
  <c r="L215" i="19"/>
  <c r="L211" i="19"/>
  <c r="L207" i="19"/>
  <c r="L203" i="19"/>
  <c r="L199" i="19"/>
  <c r="L195" i="19"/>
  <c r="L191" i="19"/>
  <c r="L187" i="19"/>
  <c r="L183" i="19"/>
  <c r="L179" i="19"/>
  <c r="L175" i="19"/>
  <c r="L171" i="19"/>
  <c r="L167" i="19"/>
  <c r="L163" i="19"/>
  <c r="L159" i="19"/>
  <c r="L155" i="19"/>
  <c r="L151" i="19"/>
  <c r="L147" i="19"/>
  <c r="L143" i="19"/>
  <c r="L139" i="19"/>
  <c r="L135" i="19"/>
  <c r="L131" i="19"/>
  <c r="L127" i="19"/>
  <c r="L123" i="19"/>
  <c r="L119" i="19"/>
  <c r="L115" i="19"/>
  <c r="L111" i="19"/>
  <c r="L107" i="19"/>
  <c r="L103" i="19"/>
  <c r="L99" i="19"/>
  <c r="L95" i="19"/>
  <c r="L91" i="19"/>
  <c r="L87" i="19"/>
  <c r="L83" i="19"/>
  <c r="L79" i="19"/>
  <c r="L75" i="19"/>
  <c r="L71" i="19"/>
  <c r="L67" i="19"/>
  <c r="L63" i="19"/>
  <c r="L59" i="19"/>
  <c r="L55" i="19"/>
  <c r="L51" i="19"/>
  <c r="L47" i="19"/>
  <c r="L43" i="19"/>
  <c r="L39" i="19"/>
  <c r="L35" i="19"/>
  <c r="L31" i="19"/>
  <c r="L27" i="19"/>
  <c r="L23" i="19"/>
  <c r="L19" i="19"/>
  <c r="L15" i="19"/>
  <c r="L11" i="19"/>
  <c r="L7" i="19"/>
  <c r="I1290" i="19"/>
  <c r="Q1290" i="19" s="1"/>
  <c r="I1306" i="19"/>
  <c r="Q1306" i="19" s="1"/>
  <c r="L2" i="19"/>
  <c r="L1830" i="19"/>
  <c r="L1826" i="19"/>
  <c r="L1822" i="19"/>
  <c r="L1818" i="19"/>
  <c r="L1814" i="19"/>
  <c r="L1810" i="19"/>
  <c r="L1806" i="19"/>
  <c r="L1802" i="19"/>
  <c r="L1798" i="19"/>
  <c r="L1794" i="19"/>
  <c r="L1790" i="19"/>
  <c r="L1786" i="19"/>
  <c r="L1782" i="19"/>
  <c r="L1766" i="19"/>
  <c r="L1750" i="19"/>
  <c r="L1734" i="19"/>
  <c r="L1718" i="19"/>
  <c r="L1702" i="19"/>
  <c r="L1686" i="19"/>
  <c r="L1670" i="19"/>
  <c r="L1654" i="19"/>
  <c r="L1638" i="19"/>
  <c r="L1622" i="19"/>
  <c r="L1606" i="19"/>
  <c r="L1590" i="19"/>
  <c r="L1574" i="19"/>
  <c r="L1558" i="19"/>
  <c r="L1542" i="19"/>
  <c r="L1526" i="19"/>
  <c r="L1510" i="19"/>
  <c r="L1494" i="19"/>
  <c r="L1478" i="19"/>
  <c r="L1462" i="19"/>
  <c r="L1446" i="19"/>
  <c r="L1430" i="19"/>
  <c r="L1414" i="19"/>
  <c r="L1398" i="19"/>
  <c r="L1382" i="19"/>
  <c r="L1366" i="19"/>
  <c r="L1350" i="19"/>
  <c r="L1334" i="19"/>
  <c r="L1318" i="19"/>
  <c r="L1302" i="19"/>
  <c r="L1286" i="19"/>
  <c r="L1270" i="19"/>
  <c r="L1254" i="19"/>
  <c r="L1238" i="19"/>
  <c r="L1222" i="19"/>
  <c r="L1206" i="19"/>
  <c r="L1190" i="19"/>
  <c r="L1174" i="19"/>
  <c r="L1158" i="19"/>
  <c r="L1142" i="19"/>
  <c r="L1126" i="19"/>
  <c r="L1110" i="19"/>
  <c r="L1094" i="19"/>
  <c r="L1078" i="19"/>
  <c r="L1062" i="19"/>
  <c r="L1046" i="19"/>
  <c r="L1030" i="19"/>
  <c r="L1014" i="19"/>
  <c r="L998" i="19"/>
  <c r="L982" i="19"/>
  <c r="L966" i="19"/>
  <c r="L950" i="19"/>
  <c r="L934" i="19"/>
  <c r="L918" i="19"/>
  <c r="L902" i="19"/>
  <c r="L886" i="19"/>
  <c r="L870" i="19"/>
  <c r="L854" i="19"/>
  <c r="L834" i="19"/>
  <c r="L826" i="19"/>
  <c r="L798" i="19"/>
  <c r="L770" i="19"/>
  <c r="L762" i="19"/>
  <c r="L734" i="19"/>
  <c r="L722" i="19"/>
  <c r="L714" i="19"/>
  <c r="L706" i="19"/>
  <c r="L698" i="19"/>
  <c r="L686" i="19"/>
  <c r="L670" i="19"/>
  <c r="L658" i="19"/>
  <c r="L650" i="19"/>
  <c r="L642" i="19"/>
  <c r="L634" i="19"/>
  <c r="L622" i="19"/>
  <c r="L606" i="19"/>
  <c r="L594" i="19"/>
  <c r="L586" i="19"/>
  <c r="L578" i="19"/>
  <c r="L570" i="19"/>
  <c r="L558" i="19"/>
  <c r="L542" i="19"/>
  <c r="L530" i="19"/>
  <c r="L522" i="19"/>
  <c r="L514" i="19"/>
  <c r="L506" i="19"/>
  <c r="L494" i="19"/>
  <c r="L418" i="19"/>
  <c r="L406" i="19"/>
  <c r="L838" i="19"/>
  <c r="L822" i="19"/>
  <c r="L806" i="19"/>
  <c r="L790" i="19"/>
  <c r="L774" i="19"/>
  <c r="L758" i="19"/>
  <c r="L742" i="19"/>
  <c r="L726" i="19"/>
  <c r="L710" i="19"/>
  <c r="L694" i="19"/>
  <c r="L678" i="19"/>
  <c r="L662" i="19"/>
  <c r="L646" i="19"/>
  <c r="L630" i="19"/>
  <c r="L614" i="19"/>
  <c r="L598" i="19"/>
  <c r="L582" i="19"/>
  <c r="L566" i="19"/>
  <c r="L550" i="19"/>
  <c r="L534" i="19"/>
  <c r="L518" i="19"/>
  <c r="L502" i="19"/>
  <c r="L486" i="19"/>
  <c r="L482" i="19"/>
  <c r="L478" i="19"/>
  <c r="L474" i="19"/>
  <c r="L470" i="19"/>
  <c r="L466" i="19"/>
  <c r="L462" i="19"/>
  <c r="L458" i="19"/>
  <c r="L454" i="19"/>
  <c r="L450" i="19"/>
  <c r="L446" i="19"/>
  <c r="L442" i="19"/>
  <c r="L438" i="19"/>
  <c r="L434" i="19"/>
  <c r="L430" i="19"/>
  <c r="L426" i="19"/>
  <c r="L422" i="19"/>
  <c r="L414" i="19"/>
  <c r="L410" i="19"/>
  <c r="L398" i="19"/>
  <c r="L394" i="19"/>
  <c r="L390" i="19"/>
  <c r="L382" i="19"/>
  <c r="L378" i="19"/>
  <c r="L366" i="19"/>
  <c r="L362" i="19"/>
  <c r="L358" i="19"/>
  <c r="L350" i="19"/>
  <c r="L346" i="19"/>
  <c r="L338" i="19"/>
  <c r="L334" i="19"/>
  <c r="L330" i="19"/>
  <c r="L326" i="19"/>
  <c r="L322" i="19"/>
  <c r="L318" i="19"/>
  <c r="L314" i="19"/>
  <c r="L310" i="19"/>
  <c r="L306" i="19"/>
  <c r="L302" i="19"/>
  <c r="L298" i="19"/>
  <c r="L294" i="19"/>
  <c r="L290" i="19"/>
  <c r="L286" i="19"/>
  <c r="L282" i="19"/>
  <c r="L278" i="19"/>
  <c r="L274" i="19"/>
  <c r="L270" i="19"/>
  <c r="L266" i="19"/>
  <c r="L262" i="19"/>
  <c r="L258" i="19"/>
  <c r="L254" i="19"/>
  <c r="L250" i="19"/>
  <c r="L246" i="19"/>
  <c r="L242" i="19"/>
  <c r="L238" i="19"/>
  <c r="L234" i="19"/>
  <c r="L230" i="19"/>
  <c r="L226" i="19"/>
  <c r="L222" i="19"/>
  <c r="L218" i="19"/>
  <c r="L214" i="19"/>
  <c r="L210" i="19"/>
  <c r="L206" i="19"/>
  <c r="L202" i="19"/>
  <c r="L198" i="19"/>
  <c r="L194" i="19"/>
  <c r="L190" i="19"/>
  <c r="L186" i="19"/>
  <c r="L182" i="19"/>
  <c r="L178" i="19"/>
  <c r="L174" i="19"/>
  <c r="L170" i="19"/>
  <c r="L166" i="19"/>
  <c r="L162" i="19"/>
  <c r="L158" i="19"/>
  <c r="L154" i="19"/>
  <c r="L150" i="19"/>
  <c r="L146" i="19"/>
  <c r="L142" i="19"/>
  <c r="L138" i="19"/>
  <c r="L134" i="19"/>
  <c r="L130" i="19"/>
  <c r="L126" i="19"/>
  <c r="L122" i="19"/>
  <c r="L118" i="19"/>
  <c r="L114" i="19"/>
  <c r="L110" i="19"/>
  <c r="L106" i="19"/>
  <c r="L102" i="19"/>
  <c r="L98" i="19"/>
  <c r="L94" i="19"/>
  <c r="L90" i="19"/>
  <c r="L86" i="19"/>
  <c r="L82" i="19"/>
  <c r="L78" i="19"/>
  <c r="L74" i="19"/>
  <c r="L70" i="19"/>
  <c r="L66" i="19"/>
  <c r="L62" i="19"/>
  <c r="L58" i="19"/>
  <c r="L54" i="19"/>
  <c r="L50" i="19"/>
  <c r="L46" i="19"/>
  <c r="L42" i="19"/>
  <c r="L38" i="19"/>
  <c r="L34" i="19"/>
  <c r="L30" i="19"/>
  <c r="L26" i="19"/>
  <c r="L22" i="19"/>
  <c r="L18" i="19"/>
  <c r="L14" i="19"/>
  <c r="L10" i="19"/>
  <c r="L6" i="19"/>
  <c r="E2" i="24" l="1"/>
  <c r="B16" i="23"/>
  <c r="B23" i="24" l="1"/>
  <c r="B24" i="24"/>
  <c r="B25" i="24"/>
  <c r="B26" i="24"/>
  <c r="F2" i="24"/>
</calcChain>
</file>

<file path=xl/sharedStrings.xml><?xml version="1.0" encoding="utf-8"?>
<sst xmlns="http://schemas.openxmlformats.org/spreadsheetml/2006/main" count="6369" uniqueCount="1794">
  <si>
    <t>name</t>
  </si>
  <si>
    <t>mrp</t>
  </si>
  <si>
    <t>discountPercent</t>
  </si>
  <si>
    <t>availableQuantity</t>
  </si>
  <si>
    <t>discountedSellingPrice</t>
  </si>
  <si>
    <t>weightInGms</t>
  </si>
  <si>
    <t>outOfStock</t>
  </si>
  <si>
    <t>quantity</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</si>
  <si>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</si>
  <si>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</si>
  <si>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</si>
  <si>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</si>
  <si>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</si>
  <si>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</si>
  <si>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</si>
  <si>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</si>
  <si>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</si>
  <si>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</si>
  <si>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</si>
  <si>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</si>
  <si>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</si>
  <si>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</si>
  <si>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</si>
  <si>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</si>
  <si>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</si>
  <si>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</si>
  <si>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</si>
  <si>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</si>
  <si>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</si>
  <si>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</si>
  <si>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</si>
  <si>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</si>
  <si>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</si>
  <si>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</si>
  <si>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</si>
  <si>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</si>
  <si>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</si>
  <si>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</si>
  <si>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</si>
  <si>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</si>
  <si>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</si>
  <si>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</si>
  <si>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</si>
  <si>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</si>
  <si>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</si>
  <si>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</si>
  <si>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</si>
  <si>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</si>
  <si>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</si>
  <si>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</si>
  <si>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</si>
  <si>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</si>
  <si>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</si>
  <si>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</si>
  <si>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</si>
  <si>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</si>
  <si>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</si>
  <si>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</si>
  <si>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</si>
  <si>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</si>
  <si>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</si>
  <si>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</si>
  <si>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</si>
  <si>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</si>
  <si>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</si>
  <si>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</si>
  <si>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</si>
  <si>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</si>
  <si>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</si>
  <si>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</si>
  <si>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</si>
  <si>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</si>
  <si>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</si>
  <si>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</si>
  <si>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</si>
  <si>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</si>
  <si>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</si>
  <si>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</si>
  <si>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</si>
  <si>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</si>
  <si>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</si>
  <si>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</si>
  <si>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</si>
  <si>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</si>
  <si>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</si>
  <si>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</si>
  <si>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</si>
  <si>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</si>
  <si>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</si>
  <si>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</si>
  <si>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</si>
  <si>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</si>
  <si>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</si>
  <si>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</si>
  <si>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</si>
  <si>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</si>
  <si>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</si>
  <si>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</si>
  <si>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</si>
  <si>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</si>
  <si>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</si>
  <si>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</si>
  <si>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</si>
  <si>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</si>
  <si>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</si>
  <si>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</si>
  <si>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</si>
  <si>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</si>
  <si>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</si>
  <si>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</si>
  <si>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</si>
  <si>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</si>
  <si>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</si>
  <si>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</si>
  <si>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</si>
  <si>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</si>
  <si>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</si>
  <si>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</si>
  <si>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</si>
  <si>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</si>
  <si>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</si>
  <si>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</si>
  <si>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</si>
  <si>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</si>
  <si>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</si>
  <si>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</si>
  <si>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</si>
  <si>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</si>
  <si>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</si>
  <si>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</si>
  <si>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</si>
  <si>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</si>
  <si>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</si>
  <si>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</si>
  <si>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</si>
  <si>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</si>
  <si>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</si>
  <si>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</si>
  <si>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</si>
  <si>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</si>
  <si>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</si>
  <si>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</si>
  <si>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</si>
  <si>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</si>
  <si>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</si>
  <si>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</si>
  <si>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</si>
  <si>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</si>
  <si>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</si>
  <si>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</si>
  <si>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</si>
  <si>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</si>
  <si>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</si>
  <si>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</si>
  <si>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</si>
  <si>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</si>
  <si>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</si>
  <si>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</si>
  <si>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</si>
  <si>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</si>
  <si>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</si>
  <si>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</si>
  <si>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</si>
  <si>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</si>
  <si>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</si>
  <si>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</si>
  <si>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</si>
  <si>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</si>
  <si>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</si>
  <si>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</si>
  <si>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</si>
  <si>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</si>
  <si>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</si>
  <si>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</si>
  <si>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</si>
  <si>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</si>
  <si>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</si>
  <si>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</si>
  <si>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</si>
  <si>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</si>
  <si>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</si>
  <si>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</si>
  <si>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</si>
  <si>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</si>
  <si>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</si>
  <si>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</si>
  <si>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</si>
  <si>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</si>
  <si>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</si>
  <si>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</si>
  <si>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</si>
  <si>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</si>
  <si>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</si>
  <si>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</si>
  <si>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</si>
  <si>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</si>
  <si>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</si>
  <si>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</si>
  <si>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</si>
  <si>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</si>
  <si>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</si>
  <si>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</si>
  <si>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</si>
  <si>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</si>
  <si>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</si>
  <si>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</si>
  <si>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</si>
  <si>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</si>
  <si>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</si>
  <si>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</si>
  <si>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</si>
  <si>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</si>
  <si>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</si>
  <si>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</si>
  <si>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</si>
  <si>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</si>
  <si>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</si>
  <si>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</si>
  <si>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</si>
  <si>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</si>
  <si>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</si>
  <si>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</si>
  <si>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</si>
  <si>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</si>
  <si>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</si>
  <si>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</si>
  <si>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</si>
  <si>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</si>
  <si>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</si>
  <si>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</si>
  <si>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</si>
  <si>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</si>
  <si>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</si>
  <si>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</si>
  <si>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</si>
  <si>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</si>
  <si>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</si>
  <si>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</si>
  <si>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</si>
  <si>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</si>
  <si>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</si>
  <si>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</si>
  <si>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</si>
  <si>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</si>
  <si>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</si>
  <si>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</si>
  <si>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</si>
  <si>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</si>
  <si>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</si>
  <si>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</si>
  <si>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</si>
  <si>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</si>
  <si>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</si>
  <si>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</si>
  <si>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</si>
  <si>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</si>
  <si>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</si>
  <si>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</si>
  <si>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</si>
  <si>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</si>
  <si>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</si>
  <si>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</si>
  <si>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</si>
  <si>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</si>
  <si>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</si>
  <si>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</si>
  <si>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</si>
  <si>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</si>
  <si>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</si>
  <si>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</si>
  <si>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</si>
  <si>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</si>
  <si>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</si>
  <si>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</si>
  <si>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</si>
  <si>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</si>
  <si>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</si>
  <si>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</si>
  <si>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</si>
  <si>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</si>
  <si>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</si>
  <si>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</si>
  <si>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</si>
  <si>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</si>
  <si>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</si>
  <si>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</si>
  <si>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</si>
  <si>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</si>
  <si>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</si>
  <si>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</si>
  <si>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</si>
  <si>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</si>
  <si>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</si>
  <si>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</si>
  <si>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</si>
  <si>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</si>
  <si>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</si>
  <si>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</si>
  <si>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</si>
  <si>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</si>
  <si>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</si>
  <si>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</si>
  <si>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</si>
  <si>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</si>
  <si>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</si>
  <si>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</si>
  <si>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</si>
  <si>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</si>
  <si>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</si>
  <si>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</si>
  <si>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</si>
  <si>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</si>
  <si>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</si>
  <si>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</si>
  <si>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</si>
  <si>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</si>
  <si>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</si>
  <si>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</si>
  <si>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</si>
  <si>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</si>
  <si>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</si>
  <si>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</si>
  <si>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</si>
  <si>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</si>
  <si>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</si>
  <si>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</si>
  <si>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</si>
  <si>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</si>
  <si>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</si>
  <si>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</si>
  <si>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</si>
  <si>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</si>
  <si>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</si>
  <si>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</si>
  <si>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</si>
  <si>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</si>
  <si>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</si>
  <si>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</si>
  <si>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</si>
  <si>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</si>
  <si>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</si>
  <si>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</si>
  <si>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</si>
  <si>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</si>
  <si>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</si>
  <si>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</si>
  <si>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</si>
  <si>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</si>
  <si>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</si>
  <si>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</si>
  <si>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</si>
  <si>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</si>
  <si>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</si>
  <si>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</si>
  <si>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</si>
  <si>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</si>
  <si>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</si>
  <si>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</si>
  <si>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</si>
  <si>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</si>
  <si>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</si>
  <si>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</si>
  <si>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</si>
  <si>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</si>
  <si>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</si>
  <si>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</si>
  <si>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</si>
  <si>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</si>
  <si>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</si>
  <si>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</si>
  <si>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</si>
  <si>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</si>
  <si>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</si>
  <si>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</si>
  <si>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</si>
  <si>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</si>
  <si>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</si>
  <si>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</si>
  <si>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</si>
  <si>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</si>
  <si>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</si>
  <si>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</si>
  <si>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</si>
  <si>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</si>
  <si>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</si>
  <si>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</si>
  <si>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</si>
  <si>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</si>
  <si>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</si>
  <si>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</si>
  <si>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</si>
  <si>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</si>
  <si>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</si>
  <si>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</si>
  <si>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</si>
  <si>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</si>
  <si>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</si>
  <si>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</si>
  <si>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</si>
  <si>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</si>
  <si>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</si>
  <si>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</si>
  <si>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</si>
  <si>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</si>
  <si>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</si>
  <si>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</si>
  <si>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</si>
  <si>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</si>
  <si>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</si>
  <si>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</si>
  <si>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</si>
  <si>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</si>
  <si>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</si>
  <si>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</si>
  <si>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</si>
  <si>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</si>
  <si>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</si>
  <si>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</si>
  <si>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</si>
  <si>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</si>
  <si>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</si>
  <si>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</si>
  <si>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</si>
  <si>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</si>
  <si>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</si>
  <si>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</si>
  <si>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</si>
  <si>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</si>
  <si>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</si>
  <si>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</si>
  <si>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</si>
  <si>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</si>
  <si>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</si>
  <si>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</si>
  <si>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</si>
  <si>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</si>
  <si>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</si>
  <si>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</si>
  <si>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</si>
  <si>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</si>
  <si>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</si>
  <si>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</si>
  <si>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</si>
  <si>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</si>
  <si>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</si>
  <si>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</si>
  <si>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</si>
  <si>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</si>
  <si>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</si>
  <si>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</si>
  <si>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</si>
  <si>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</si>
  <si>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</si>
  <si>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</si>
  <si>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</si>
  <si>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</si>
  <si>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</si>
  <si>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</si>
  <si>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</si>
  <si>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</si>
  <si>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</si>
  <si>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</si>
  <si>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</si>
  <si>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</si>
  <si>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</si>
  <si>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</si>
  <si>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</si>
  <si>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</si>
  <si>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</si>
  <si>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</si>
  <si>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</si>
  <si>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</si>
  <si>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</si>
  <si>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</si>
  <si>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</si>
  <si>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</si>
  <si>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</si>
  <si>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</si>
  <si>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</si>
  <si>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</si>
  <si>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</si>
  <si>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</si>
  <si>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</si>
  <si>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</si>
  <si>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</si>
  <si>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</si>
  <si>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</si>
  <si>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</si>
  <si>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</si>
  <si>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</si>
  <si>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</si>
  <si>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</si>
  <si>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</si>
  <si>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</si>
  <si>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</si>
  <si>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</si>
  <si>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</si>
  <si>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</si>
  <si>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</si>
  <si>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</si>
  <si>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</si>
  <si>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</si>
  <si>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</si>
  <si>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</si>
  <si>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</si>
  <si>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</si>
  <si>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</si>
  <si>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</si>
  <si>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</si>
  <si>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</si>
  <si>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</si>
  <si>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</si>
  <si>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</si>
  <si>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</si>
  <si>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</si>
  <si>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</si>
  <si>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</si>
  <si>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</si>
  <si>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</si>
  <si>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</si>
  <si>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</si>
  <si>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</si>
  <si>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</si>
  <si>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</si>
  <si>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</si>
  <si>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</si>
  <si>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</si>
  <si>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</si>
  <si>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</si>
  <si>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</si>
  <si>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</si>
  <si>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</si>
  <si>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</si>
  <si>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</si>
  <si>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</si>
  <si>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</si>
  <si>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</si>
  <si>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</si>
  <si>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</si>
  <si>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</si>
  <si>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</si>
  <si>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</si>
  <si>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</si>
  <si>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</si>
  <si>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</si>
  <si>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</si>
  <si>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</si>
  <si>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</si>
  <si>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</si>
  <si>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</si>
  <si>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</si>
  <si>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</si>
  <si>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</si>
  <si>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</si>
  <si>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</si>
  <si>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</si>
  <si>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</si>
  <si>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</si>
  <si>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</si>
  <si>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</si>
  <si>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</si>
  <si>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</si>
  <si>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</si>
  <si>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</si>
  <si>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</si>
  <si>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</si>
  <si>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</si>
  <si>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</si>
  <si>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</si>
  <si>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</si>
  <si>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</si>
  <si>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</si>
  <si>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</si>
  <si>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</si>
  <si>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</si>
  <si>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</si>
  <si>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</si>
  <si>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</si>
  <si>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</si>
  <si>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</si>
  <si>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</si>
  <si>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</si>
  <si>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</si>
  <si>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</si>
  <si>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</si>
  <si>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</si>
  <si>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</si>
  <si>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</si>
  <si>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</si>
  <si>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</si>
  <si>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</si>
  <si>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</si>
  <si>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</si>
  <si>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</si>
  <si>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</si>
  <si>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</si>
  <si>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</si>
  <si>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</si>
  <si>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</si>
  <si>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</si>
  <si>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</si>
  <si>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</si>
  <si>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</si>
  <si>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</si>
  <si>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</si>
  <si>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</si>
  <si>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</si>
  <si>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</si>
  <si>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</si>
  <si>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</si>
  <si>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</si>
  <si>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</si>
  <si>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</si>
  <si>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</si>
  <si>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</si>
  <si>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</si>
  <si>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</si>
  <si>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</si>
  <si>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</si>
  <si>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</si>
  <si>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</si>
  <si>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</si>
  <si>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</si>
  <si>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</si>
  <si>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</si>
  <si>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</si>
  <si>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</si>
  <si>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</si>
  <si>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</si>
  <si>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</si>
  <si>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</si>
  <si>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</si>
  <si>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</si>
  <si>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</si>
  <si>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</si>
  <si>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</si>
  <si>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</si>
  <si>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</si>
  <si>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</si>
  <si>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</si>
  <si>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</si>
  <si>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</si>
  <si>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</si>
  <si>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</si>
  <si>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</si>
  <si>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</si>
  <si>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</si>
  <si>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</si>
  <si>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</si>
  <si>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</si>
  <si>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</si>
  <si>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</si>
  <si>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</si>
  <si>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</si>
  <si>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</si>
  <si>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</si>
  <si>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</si>
  <si>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</si>
  <si>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</si>
  <si>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</si>
  <si>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</si>
  <si>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</si>
  <si>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</si>
  <si>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</si>
  <si>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</si>
  <si>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</si>
  <si>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</si>
  <si>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</si>
  <si>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</si>
  <si>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</si>
  <si>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</si>
  <si>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</si>
  <si>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</si>
  <si>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</si>
  <si>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</si>
  <si>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</si>
  <si>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</si>
  <si>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</si>
  <si>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</si>
  <si>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</si>
  <si>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</si>
  <si>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</si>
  <si>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</si>
  <si>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</si>
  <si>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</si>
  <si>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</si>
  <si>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</si>
  <si>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</si>
  <si>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</si>
  <si>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</si>
  <si>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</si>
  <si>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</si>
  <si>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</si>
  <si>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</si>
  <si>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</si>
  <si>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</si>
  <si>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</si>
  <si>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</si>
  <si>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</si>
  <si>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</si>
  <si>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</si>
  <si>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</si>
  <si>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</si>
  <si>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</si>
  <si>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</si>
  <si>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</si>
  <si>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</si>
  <si>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</si>
  <si>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</si>
  <si>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</si>
  <si>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</si>
  <si>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</si>
  <si>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</si>
  <si>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</si>
  <si>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</si>
  <si>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</si>
  <si>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</si>
  <si>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</si>
  <si>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</si>
  <si>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</si>
  <si>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</si>
  <si>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</si>
  <si>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</si>
  <si>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</si>
  <si>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</si>
  <si>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</si>
  <si>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</si>
  <si>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</si>
  <si>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</si>
  <si>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</si>
  <si>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</si>
  <si>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</si>
  <si>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</si>
  <si>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</si>
  <si>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</si>
  <si>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</si>
  <si>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</si>
  <si>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</si>
  <si>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</si>
  <si>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</si>
  <si>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</si>
  <si>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</si>
  <si>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</si>
  <si>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</si>
  <si>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</si>
  <si>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</si>
  <si>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</si>
  <si>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</si>
  <si>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</si>
  <si>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</si>
  <si>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</si>
  <si>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</si>
  <si>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</si>
  <si>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</si>
  <si>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</si>
  <si>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</si>
  <si>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</si>
  <si>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</si>
  <si>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</si>
  <si>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</si>
  <si>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</si>
  <si>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</si>
  <si>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</si>
  <si>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</si>
  <si>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</si>
  <si>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</si>
  <si>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</si>
  <si>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</si>
  <si>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</si>
  <si>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</si>
  <si>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</si>
  <si>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</si>
  <si>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</si>
  <si>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</si>
  <si>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</si>
  <si>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</si>
  <si>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</si>
  <si>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</si>
  <si>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</si>
  <si>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</si>
  <si>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</si>
  <si>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</si>
  <si>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</si>
  <si>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</si>
  <si>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</si>
  <si>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</si>
  <si>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</si>
  <si>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</si>
  <si>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</si>
  <si>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</si>
  <si>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</si>
  <si>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</si>
  <si>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</si>
  <si>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</si>
  <si>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</si>
  <si>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</si>
  <si>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</si>
  <si>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</si>
  <si>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</si>
  <si>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</si>
  <si>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</si>
  <si>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</si>
  <si>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</si>
  <si>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</si>
  <si>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</si>
  <si>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</si>
  <si>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</si>
  <si>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</si>
  <si>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</si>
  <si>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</si>
  <si>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</si>
  <si>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</si>
  <si>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</si>
  <si>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</si>
  <si>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</si>
  <si>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</si>
  <si>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</si>
  <si>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</si>
  <si>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</si>
  <si>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</si>
  <si>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</si>
  <si>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</si>
  <si>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</si>
  <si>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</si>
  <si>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</si>
  <si>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</si>
  <si>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</si>
  <si>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</si>
  <si>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</si>
  <si>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</si>
  <si>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</si>
  <si>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</si>
  <si>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</si>
  <si>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</si>
  <si>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</si>
  <si>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</si>
  <si>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</si>
  <si>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</si>
  <si>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</si>
  <si>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</si>
  <si>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</si>
  <si>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</si>
  <si>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</si>
  <si>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</si>
  <si>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</si>
  <si>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</si>
  <si>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</si>
  <si>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</si>
  <si>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</si>
  <si>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</si>
  <si>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</si>
  <si>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</si>
  <si>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</si>
  <si>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</si>
  <si>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</si>
  <si>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</si>
  <si>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</si>
  <si>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</si>
  <si>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</si>
  <si>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</si>
  <si>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</si>
  <si>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</si>
  <si>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</si>
  <si>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</si>
  <si>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</si>
  <si>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</si>
  <si>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</si>
  <si>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</si>
  <si>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</si>
  <si>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</si>
  <si>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</si>
  <si>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</si>
  <si>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</si>
  <si>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</si>
  <si>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</si>
  <si>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</si>
  <si>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</si>
  <si>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</si>
  <si>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</si>
  <si>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</si>
  <si>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</si>
  <si>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</si>
  <si>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</si>
  <si>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</si>
  <si>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</si>
  <si>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</si>
  <si>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</si>
  <si>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</si>
  <si>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</si>
  <si>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</si>
  <si>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</si>
  <si>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</si>
  <si>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</si>
  <si>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</si>
  <si>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</si>
  <si>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</si>
  <si>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</si>
  <si>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</si>
  <si>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</si>
  <si>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</si>
  <si>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</si>
  <si>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</si>
  <si>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</si>
  <si>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</si>
  <si>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</si>
  <si>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</si>
  <si>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</si>
  <si>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</si>
  <si>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</si>
  <si>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</si>
  <si>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</si>
  <si>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</si>
  <si>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</si>
  <si>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</si>
  <si>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</si>
  <si>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</si>
  <si>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</si>
  <si>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</si>
  <si>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</si>
  <si>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</si>
  <si>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</si>
  <si>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</si>
  <si>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</si>
  <si>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</si>
  <si>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</si>
  <si>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</si>
  <si>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</si>
  <si>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</si>
  <si>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</si>
  <si>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</si>
  <si>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</si>
  <si>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</si>
  <si>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</si>
  <si>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</si>
  <si>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</si>
  <si>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</si>
  <si>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</si>
  <si>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</si>
  <si>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</si>
  <si>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</si>
  <si>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</si>
  <si>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</si>
  <si>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</si>
  <si>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</si>
  <si>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</si>
  <si>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</si>
  <si>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</si>
  <si>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</si>
  <si>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</si>
  <si>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</si>
  <si>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</si>
  <si>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</si>
  <si>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</si>
  <si>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</si>
  <si>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</si>
  <si>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</si>
  <si>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</si>
  <si>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</si>
  <si>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</si>
  <si>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</si>
  <si>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</si>
  <si>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</si>
  <si>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</si>
  <si>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</si>
  <si>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</si>
  <si>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</si>
  <si>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</si>
  <si>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</si>
  <si>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</si>
  <si>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</si>
  <si>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</si>
  <si>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</si>
  <si>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</si>
  <si>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</si>
  <si>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</si>
  <si>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</si>
  <si>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</si>
  <si>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</si>
  <si>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</si>
  <si>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</si>
  <si>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</si>
  <si>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</si>
  <si>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</si>
  <si>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</si>
  <si>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</si>
  <si>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</si>
  <si>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</si>
  <si>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</si>
  <si>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</si>
  <si>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</si>
  <si>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</si>
  <si>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</si>
  <si>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</si>
  <si>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</si>
  <si>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</si>
  <si>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</si>
  <si>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</si>
  <si>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</si>
  <si>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</si>
  <si>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</si>
  <si>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</si>
  <si>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</si>
  <si>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</si>
  <si>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</si>
  <si>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</si>
  <si>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</si>
  <si>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</si>
  <si>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</si>
  <si>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</si>
  <si>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</si>
  <si>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</si>
  <si>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</si>
  <si>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</si>
  <si>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</si>
  <si>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</si>
  <si>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</si>
  <si>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</si>
  <si>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</si>
  <si>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</si>
  <si>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</si>
  <si>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</si>
  <si>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</si>
  <si>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</si>
  <si>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</si>
  <si>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</si>
  <si>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</si>
  <si>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</si>
  <si>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</si>
  <si>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</si>
  <si>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</si>
  <si>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</si>
  <si>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</si>
  <si>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</si>
  <si>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</si>
  <si>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</si>
  <si>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</si>
  <si>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</si>
  <si>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</si>
  <si>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</si>
  <si>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</si>
  <si>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</si>
  <si>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</si>
  <si>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</si>
  <si>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</si>
  <si>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</si>
  <si>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</si>
  <si>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</si>
  <si>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</si>
  <si>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</si>
  <si>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</si>
  <si>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</si>
  <si>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</si>
  <si>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</si>
  <si>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</si>
  <si>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</si>
  <si>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</si>
  <si>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</si>
  <si>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</si>
  <si>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</si>
  <si>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</si>
  <si>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</si>
  <si>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</si>
  <si>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</si>
  <si>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</si>
  <si>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</si>
  <si>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</si>
  <si>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</si>
  <si>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</si>
  <si>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</si>
  <si>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</si>
  <si>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</si>
  <si>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</si>
  <si>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</si>
  <si>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</si>
  <si>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</si>
  <si>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</si>
  <si>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</si>
  <si>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</si>
  <si>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</si>
  <si>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</si>
  <si>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</si>
  <si>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</si>
  <si>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</si>
  <si>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</si>
  <si>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</si>
  <si>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</si>
  <si>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</si>
  <si>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</si>
  <si>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</si>
  <si>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</si>
  <si>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</si>
  <si>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</si>
  <si>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</si>
  <si>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</si>
  <si>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</si>
  <si>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</si>
  <si>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</si>
  <si>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</si>
  <si>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</si>
  <si>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</si>
  <si>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</si>
  <si>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</si>
  <si>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</si>
  <si>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</si>
  <si>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</si>
  <si>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</si>
  <si>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</si>
  <si>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</si>
  <si>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</si>
  <si>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</si>
  <si>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</si>
  <si>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</si>
  <si>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</si>
  <si>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</si>
  <si>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</si>
  <si>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</si>
  <si>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</si>
  <si>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</si>
  <si>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</si>
  <si>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</si>
  <si>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</si>
  <si>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</si>
  <si>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</si>
  <si>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</si>
  <si>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</si>
  <si>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</si>
  <si>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</si>
  <si>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</si>
  <si>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</si>
  <si>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</si>
  <si>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</si>
  <si>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</si>
  <si>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</si>
  <si>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</si>
  <si>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</si>
  <si>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</si>
  <si>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</si>
  <si>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</si>
  <si>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</si>
  <si>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</si>
  <si>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</si>
  <si>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</si>
  <si>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</si>
  <si>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</si>
  <si>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</si>
  <si>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</si>
  <si>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</si>
  <si>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</si>
  <si>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</si>
  <si>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</si>
  <si>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</si>
  <si>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</si>
  <si>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</si>
  <si>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</si>
  <si>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</si>
  <si>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</si>
  <si>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</si>
  <si>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</si>
  <si>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</si>
  <si>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</si>
  <si>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</si>
  <si>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</si>
  <si>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</si>
  <si>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</si>
  <si>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</si>
  <si>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</si>
  <si>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</si>
  <si>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</si>
  <si>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</si>
  <si>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</si>
  <si>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</si>
  <si>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</si>
  <si>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</si>
  <si>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</si>
  <si>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</si>
  <si>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</si>
  <si>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</si>
  <si>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</si>
  <si>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</si>
  <si>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</si>
  <si>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</si>
  <si>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</si>
  <si>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</si>
  <si>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</si>
  <si>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</si>
  <si>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</si>
  <si>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</si>
  <si>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</si>
  <si>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</si>
  <si>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</si>
  <si>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</si>
  <si>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</si>
  <si>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</si>
  <si>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</si>
  <si>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</si>
  <si>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</si>
  <si>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</si>
  <si>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</si>
  <si>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</si>
  <si>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</si>
  <si>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</si>
  <si>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</si>
  <si>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</si>
  <si>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</si>
  <si>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</si>
  <si>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</si>
  <si>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</si>
  <si>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</si>
  <si>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</si>
  <si>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</si>
  <si>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</si>
  <si>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</si>
  <si>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</si>
  <si>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</si>
  <si>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</si>
  <si>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</si>
  <si>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</si>
  <si>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</si>
  <si>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</si>
  <si>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</si>
  <si>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</si>
  <si>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</si>
  <si>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</si>
  <si>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</si>
  <si>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</si>
  <si>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</si>
  <si>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</si>
  <si>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</si>
  <si>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</si>
  <si>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</si>
  <si>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</si>
  <si>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</si>
  <si>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</si>
  <si>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</si>
  <si>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</si>
  <si>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</si>
  <si>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</si>
  <si>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</si>
  <si>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</si>
  <si>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</si>
  <si>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</si>
  <si>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</si>
  <si>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</si>
  <si>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</si>
  <si>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</si>
  <si>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</si>
  <si>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</si>
  <si>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</si>
  <si>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</si>
  <si>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</si>
  <si>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</si>
  <si>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</si>
  <si>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</si>
  <si>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</si>
  <si>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</si>
  <si>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</si>
  <si>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</si>
  <si>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</si>
  <si>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</si>
  <si>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</si>
  <si>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</si>
  <si>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</si>
  <si>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</si>
  <si>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</si>
  <si>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</si>
  <si>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</si>
  <si>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</si>
  <si>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</si>
  <si>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</si>
  <si>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</si>
  <si>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</si>
  <si>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</si>
  <si>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</si>
  <si>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</si>
  <si>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</si>
  <si>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</si>
  <si>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</si>
  <si>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</si>
  <si>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</si>
  <si>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</si>
  <si>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</si>
  <si>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</si>
  <si>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</si>
  <si>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</si>
  <si>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</si>
  <si>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</si>
  <si>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</si>
  <si>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</si>
  <si>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</si>
  <si>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</si>
  <si>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</si>
  <si>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</si>
  <si>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</si>
  <si>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</si>
  <si>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</si>
  <si>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</si>
  <si>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</si>
  <si>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</si>
  <si>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</si>
  <si>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</si>
  <si>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</si>
  <si>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</si>
  <si>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</si>
  <si>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</si>
  <si>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</si>
  <si>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</si>
  <si>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</si>
  <si>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</si>
  <si>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</si>
  <si>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</si>
  <si>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</si>
  <si>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</si>
  <si>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</si>
  <si>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</si>
  <si>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</si>
  <si>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</si>
  <si>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</si>
  <si>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</si>
  <si>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</si>
  <si>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</si>
  <si>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</si>
  <si>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</si>
  <si>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</si>
  <si>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</si>
  <si>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</si>
  <si>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</si>
  <si>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</si>
  <si>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</si>
  <si>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</si>
  <si>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</si>
  <si>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</si>
  <si>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</si>
  <si>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</si>
  <si>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</si>
  <si>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</si>
  <si>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</si>
  <si>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</si>
  <si>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</si>
  <si>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</si>
  <si>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</si>
  <si>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</si>
  <si>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</si>
  <si>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</si>
  <si>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</si>
  <si>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</si>
  <si>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</si>
  <si>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</si>
  <si>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</si>
  <si>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</si>
  <si>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</si>
  <si>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</si>
  <si>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</si>
  <si>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</si>
  <si>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</si>
  <si>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</si>
  <si>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</si>
  <si>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</si>
  <si>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</si>
  <si>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</si>
  <si>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</si>
  <si>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</si>
  <si>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</si>
  <si>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</si>
  <si>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</si>
  <si>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</si>
  <si>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</si>
  <si>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</si>
  <si>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</si>
  <si>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</si>
  <si>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</si>
  <si>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</si>
  <si>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</si>
  <si>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</si>
  <si>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</si>
  <si>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</si>
  <si>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</si>
  <si>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</si>
  <si>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</si>
  <si>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</si>
  <si>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</si>
  <si>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</si>
  <si>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</si>
  <si>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</si>
  <si>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</si>
  <si>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</si>
  <si>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</si>
  <si>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</si>
  <si>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</si>
  <si>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</si>
  <si>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</si>
  <si>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</si>
  <si>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</si>
  <si>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</si>
  <si>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</si>
  <si>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</si>
  <si>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</si>
  <si>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</si>
  <si>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</si>
  <si>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</si>
  <si>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</si>
  <si>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</si>
  <si>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</si>
  <si>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</si>
  <si>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</si>
  <si>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</si>
  <si>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</si>
  <si>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</si>
  <si>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</si>
  <si>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</si>
  <si>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</si>
  <si>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</si>
  <si>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</si>
  <si>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</si>
  <si>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</si>
  <si>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</si>
  <si>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</si>
  <si>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</si>
  <si>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</si>
  <si>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</si>
  <si>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</si>
  <si>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</si>
  <si>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</si>
  <si>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</si>
  <si>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</si>
  <si>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</si>
  <si>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</si>
  <si>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</si>
  <si>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</si>
  <si>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</si>
  <si>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</si>
  <si>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</si>
  <si>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</si>
  <si>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</si>
  <si>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</si>
  <si>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</si>
  <si>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</si>
  <si>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</si>
  <si>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</si>
  <si>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</si>
  <si>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</si>
  <si>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</si>
  <si>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</si>
  <si>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</si>
  <si>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</si>
  <si>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</si>
  <si>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</si>
  <si>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</si>
  <si>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</si>
  <si>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</si>
  <si>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</si>
  <si>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</si>
  <si>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</si>
  <si>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</si>
  <si>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</si>
  <si>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</si>
  <si>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</si>
  <si>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</si>
  <si>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</si>
  <si>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</si>
  <si>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</si>
  <si>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</si>
  <si>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</si>
  <si>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</si>
  <si>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</si>
  <si>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</si>
  <si>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</si>
  <si>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</si>
  <si>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</si>
  <si>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</si>
  <si>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</si>
  <si>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</si>
  <si>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</si>
  <si>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</si>
  <si>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</si>
  <si>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</si>
  <si>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</si>
  <si>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</si>
  <si>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</si>
  <si>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</si>
  <si>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</si>
  <si>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</si>
  <si>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</si>
  <si>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</si>
  <si>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</si>
  <si>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</si>
  <si>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</si>
  <si>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</si>
  <si>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</si>
  <si>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</si>
  <si>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</si>
  <si>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</si>
  <si>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</si>
  <si>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</si>
  <si>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</si>
  <si>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</si>
  <si>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</si>
  <si>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</si>
  <si>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</si>
  <si>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</si>
  <si>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</si>
  <si>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</si>
  <si>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</si>
  <si>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</si>
  <si>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</si>
  <si>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</si>
  <si>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</si>
  <si>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</si>
  <si>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</si>
  <si>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</si>
  <si>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</si>
  <si>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</si>
  <si>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</si>
  <si>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</si>
  <si>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</si>
  <si>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</si>
  <si>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</si>
  <si>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</si>
  <si>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</si>
  <si>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</si>
  <si>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</si>
  <si>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</si>
  <si>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</si>
  <si>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</si>
  <si>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</si>
  <si>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</si>
  <si>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</si>
  <si>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</si>
  <si>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</si>
  <si>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</si>
  <si>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</si>
  <si>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</si>
  <si>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</si>
  <si>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</si>
  <si>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</si>
  <si>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</si>
  <si>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</si>
  <si>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</si>
  <si>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</si>
  <si>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</si>
  <si>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</si>
  <si>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</si>
  <si>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</si>
  <si>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</si>
  <si>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</si>
  <si>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</si>
  <si>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</si>
  <si>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</si>
  <si>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</si>
  <si>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</si>
  <si>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</si>
  <si>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</si>
  <si>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</si>
  <si>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</si>
  <si>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</si>
  <si>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</si>
  <si>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</si>
  <si>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</si>
  <si>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</si>
  <si>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</si>
  <si>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</si>
  <si>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</si>
  <si>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</si>
  <si>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</si>
  <si>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</si>
  <si>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</si>
  <si>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</si>
  <si>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</si>
  <si>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</si>
  <si>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</si>
  <si>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</si>
  <si>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</si>
  <si>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</si>
  <si>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</si>
  <si>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</si>
  <si>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</si>
  <si>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</si>
  <si>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</si>
  <si>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</si>
  <si>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</si>
  <si>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</si>
  <si>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</si>
  <si>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</si>
  <si>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</si>
  <si>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</si>
  <si>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</si>
  <si>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</si>
  <si>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</si>
  <si>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</si>
  <si>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</si>
  <si>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</si>
  <si>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</si>
  <si>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</si>
  <si>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</si>
  <si>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</si>
  <si>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</si>
  <si>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</si>
  <si>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</si>
  <si>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</si>
  <si>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</si>
  <si>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</si>
  <si>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</si>
  <si>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</si>
  <si>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</si>
  <si>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</si>
  <si>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</si>
  <si>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</si>
  <si>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</si>
  <si>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</si>
  <si>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</si>
  <si>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</si>
  <si>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</si>
  <si>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</si>
  <si>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</si>
  <si>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</si>
  <si>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</si>
  <si>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</si>
  <si>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</si>
  <si>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</si>
  <si>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</si>
  <si>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</si>
  <si>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</si>
  <si>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</si>
  <si>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</si>
  <si>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</si>
  <si>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</si>
  <si>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</si>
  <si>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</si>
  <si>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</si>
  <si>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</si>
  <si>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</si>
  <si>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</si>
  <si>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</si>
  <si>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</si>
  <si>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</si>
  <si>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</si>
  <si>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</si>
  <si>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</si>
  <si>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</si>
  <si>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</si>
  <si>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</si>
  <si>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</si>
  <si>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</si>
  <si>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</si>
  <si>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</si>
  <si>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</si>
  <si>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</si>
  <si>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</si>
  <si>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</si>
  <si>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</si>
  <si>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</si>
  <si>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</si>
  <si>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</si>
  <si>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</si>
  <si>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</si>
  <si>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</si>
  <si>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</si>
  <si>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</si>
  <si>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</si>
  <si>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</si>
  <si>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</si>
  <si>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</si>
  <si>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</si>
  <si>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</si>
  <si>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</si>
  <si>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</si>
  <si>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</si>
  <si>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</si>
  <si>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</si>
  <si>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</si>
  <si>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</si>
  <si>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</si>
  <si>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</si>
  <si>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</si>
  <si>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</si>
  <si>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</si>
  <si>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</si>
  <si>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</si>
  <si>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</si>
  <si>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</si>
  <si>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</si>
  <si>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</si>
  <si>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</si>
  <si>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</si>
  <si>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</si>
  <si>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</si>
  <si>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</si>
  <si>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</si>
  <si>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</si>
  <si>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</si>
  <si>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Schweppes Soft Drink - Original Ginger Ale</t>
  </si>
  <si>
    <t xml:space="preserve">Coolberg Cranberry Non Alcoholic Beer </t>
  </si>
  <si>
    <t>Schweppes Indian Tonic Water</t>
  </si>
  <si>
    <t>Coolberg Peach  Non Alcoholic Beer</t>
  </si>
  <si>
    <t>Pringles Sour Cream And Onion Potato Crisps</t>
  </si>
  <si>
    <t xml:space="preserve">Coolberg Malt Non Alcoholic Beer </t>
  </si>
  <si>
    <t xml:space="preserve">Coolberg Strawberry Non Alcoholic Beer </t>
  </si>
  <si>
    <t>Coolberg Mint Non Alcoholic Beer</t>
  </si>
  <si>
    <t>4700BC Gourmet Popcorn - Himalayan Salt Caramel</t>
  </si>
  <si>
    <t xml:space="preserve">Coolberg Ginger Non Alcoholic Beer </t>
  </si>
  <si>
    <t>Pringles Original Potato Crisps</t>
  </si>
  <si>
    <t>Jimmy's Cocktails Mango Chilli Mojito</t>
  </si>
  <si>
    <t>4700BC Sour Cream &amp; Wasabi Cheese Popcorn</t>
  </si>
  <si>
    <t>4700BC Microwave Popcorn - Cheese Bag</t>
  </si>
  <si>
    <t>4700BC Gourmet Popcorn - Sriracha Lime Cheese</t>
  </si>
  <si>
    <t>4700BC Microwave Popcorn - Butter</t>
  </si>
  <si>
    <t>4700BC Microwave Popcorn - BBQ Bag</t>
  </si>
  <si>
    <t xml:space="preserve">Kettle Studio Rock Sea Salt &amp; English Vinegar </t>
  </si>
  <si>
    <t>24 Mantra Flax Seed</t>
  </si>
  <si>
    <t>4700BC Himalayan Salt Caramel Popcorn</t>
  </si>
  <si>
    <t>4700BC Microwave Popcorn Natural</t>
  </si>
  <si>
    <t>Popular Essentials Flax Seeds</t>
  </si>
  <si>
    <t>4700BC Gourmet Popcorn Himalayan Salt Caramel</t>
  </si>
  <si>
    <t>Svami Non Alcoholic Gin &amp; Tonic Water</t>
  </si>
  <si>
    <t>&amp;Stirred Margarita - Lemon &amp; Lime</t>
  </si>
  <si>
    <t>Tong Garden Salted Pumpkins</t>
  </si>
  <si>
    <t>&amp;Stirred Cosmopolitan - Cranberry &amp; Orange</t>
  </si>
  <si>
    <t>Sleepy Owl Original Hot Brew Bags - Set of 10</t>
  </si>
  <si>
    <t>&amp;Stirred Mojito - Lemon &amp; Mint</t>
  </si>
  <si>
    <t>Row Labels</t>
  </si>
  <si>
    <t>Grand Total</t>
  </si>
  <si>
    <t>Discount Band</t>
  </si>
  <si>
    <t>Price per gram</t>
  </si>
  <si>
    <t>Average of Price per gram</t>
  </si>
  <si>
    <t>Price Band</t>
  </si>
  <si>
    <t>Discount %</t>
  </si>
  <si>
    <t>Product Name</t>
  </si>
  <si>
    <t>MRP</t>
  </si>
  <si>
    <t>original MRP</t>
  </si>
  <si>
    <t>Selling Price</t>
  </si>
  <si>
    <t>Weight (g)</t>
  </si>
  <si>
    <t>Out Of Stock</t>
  </si>
  <si>
    <t>Quantity</t>
  </si>
  <si>
    <t>Total Available Quantity</t>
  </si>
  <si>
    <t>Out-of-Stock Products</t>
  </si>
  <si>
    <t>Total Potential Savings</t>
  </si>
  <si>
    <t>Zepto Product &amp; Inventory Analysis</t>
  </si>
  <si>
    <t>Available Quantity</t>
  </si>
  <si>
    <t>Discount Amount</t>
  </si>
  <si>
    <t>Count of Product Name</t>
  </si>
  <si>
    <t>Sum of Discount Amount</t>
  </si>
  <si>
    <t>Average of MRP</t>
  </si>
  <si>
    <t>Average of Discount %</t>
  </si>
  <si>
    <t>Average of Selling Price</t>
  </si>
  <si>
    <t>Cooking Essentials</t>
  </si>
  <si>
    <t>16-20%</t>
  </si>
  <si>
    <t>Medium</t>
  </si>
  <si>
    <t>In Stock</t>
  </si>
  <si>
    <t>Low</t>
  </si>
  <si>
    <t>High</t>
  </si>
  <si>
    <t>0-5%</t>
  </si>
  <si>
    <t>6-10%</t>
  </si>
  <si>
    <t>11-15%</t>
  </si>
  <si>
    <t>21%+</t>
  </si>
  <si>
    <t>Quality Check</t>
  </si>
  <si>
    <t>Check</t>
  </si>
  <si>
    <t>Result</t>
  </si>
  <si>
    <t xml:space="preserve">Total Products </t>
  </si>
  <si>
    <t>Zero MRP Records</t>
  </si>
  <si>
    <t>Zero Product Weight</t>
  </si>
  <si>
    <t>Zero Selling Price</t>
  </si>
  <si>
    <t>Missing Weight</t>
  </si>
  <si>
    <t>In Stock Records</t>
  </si>
  <si>
    <t>Data Quality Flag</t>
  </si>
  <si>
    <t>A14</t>
  </si>
  <si>
    <t>VLOOKUP Practice</t>
  </si>
  <si>
    <t>A15</t>
  </si>
  <si>
    <t>B15</t>
  </si>
  <si>
    <t>A16</t>
  </si>
  <si>
    <t>B16</t>
  </si>
  <si>
    <t>True or False</t>
  </si>
  <si>
    <t>Missing Name</t>
  </si>
  <si>
    <t>Missing Selling Price</t>
  </si>
  <si>
    <t>Calculated Price per gram</t>
  </si>
  <si>
    <t>PPG Validation</t>
  </si>
  <si>
    <t>PPG Check</t>
  </si>
  <si>
    <t>Matching Records</t>
  </si>
  <si>
    <t>Mismatch</t>
  </si>
  <si>
    <t>Review</t>
  </si>
  <si>
    <t>Check Data Records</t>
  </si>
  <si>
    <t xml:space="preserve">            </t>
  </si>
  <si>
    <t>Second Check Data Record</t>
  </si>
  <si>
    <t>Discount Validation</t>
  </si>
  <si>
    <t>Match Discount</t>
  </si>
  <si>
    <t>Check data</t>
  </si>
  <si>
    <t>Discount with decimals</t>
  </si>
  <si>
    <t>Discount Validation — Whole %</t>
  </si>
  <si>
    <t>Match without decimal</t>
  </si>
  <si>
    <t>Mismatch without decimal</t>
  </si>
  <si>
    <t>check data</t>
  </si>
  <si>
    <t>Zero discount</t>
  </si>
  <si>
    <t>Out of Stock</t>
  </si>
  <si>
    <t>Column Labels</t>
  </si>
  <si>
    <t>FALSE</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</si>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</sst>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7" x14ac:knownFonts="1">
    <font>
      <sz val="11"/>
      <color theme="1"/>
      <name val="Calibri"/>
      <family val="2"/>
      <scheme val="minor"/>
    </font>
    <font>
      <b/>
      <sz val="11"/>
      <name val="Calibri"/>
    </font>
    <font>
      <b/>
      <sz val="11"/>
      <name val="Calibri"/>
      <family val="2"/>
    </font>
    <font>
      <sz val="8"/>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7F5FA"/>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2" fillId="0" borderId="2" xfId="0"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44" fontId="0" fillId="0" borderId="0" xfId="0" applyNumberFormat="1"/>
    <xf numFmtId="49" fontId="0" fillId="0" borderId="0" xfId="0" applyNumberFormat="1"/>
    <xf numFmtId="0" fontId="1" fillId="0" borderId="2" xfId="0" applyFont="1" applyBorder="1" applyAlignment="1">
      <alignment horizontal="center" vertical="top"/>
    </xf>
    <xf numFmtId="0" fontId="4" fillId="0" borderId="0" xfId="0" applyFont="1"/>
    <xf numFmtId="0" fontId="5" fillId="0" borderId="0" xfId="0" applyFont="1"/>
    <xf numFmtId="0" fontId="0" fillId="2" borderId="0" xfId="0" applyFill="1"/>
    <xf numFmtId="0" fontId="6" fillId="0" borderId="0" xfId="0" applyFont="1" applyAlignment="1">
      <alignment horizontal="center"/>
    </xf>
  </cellXfs>
  <cellStyles count="1">
    <cellStyle name="Normal" xfId="0" builtinId="0"/>
  </cellStyles>
  <dxfs count="17">
    <dxf>
      <numFmt numFmtId="2" formatCode="0.00"/>
    </dxf>
    <dxf>
      <numFmt numFmtId="2" formatCode="0.00"/>
    </dxf>
    <dxf>
      <numFmt numFmtId="2" formatCode="0.00"/>
    </dxf>
    <dxf>
      <numFmt numFmtId="2" formatCode="0.00"/>
    </dxf>
    <dxf>
      <numFmt numFmtId="164" formatCode="0.000000000"/>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9751CB"/>
        </patternFill>
      </fill>
    </dxf>
    <dxf>
      <fill>
        <patternFill>
          <fgColor rgb="FF9751CB"/>
          <bgColor theme="2"/>
        </patternFill>
      </fill>
    </dxf>
  </dxfs>
  <tableStyles count="1" defaultTableStyle="TableStyleMedium9" defaultPivotStyle="PivotStyleLight16">
    <tableStyle name="Slicer Style 1" pivot="0" table="0" count="6" xr9:uid="{2AC65BF8-CBE2-467A-B98E-A1DC5A999D54}">
      <tableStyleElement type="wholeTable" dxfId="16"/>
      <tableStyleElement type="headerRow" dxfId="15"/>
    </tableStyle>
  </tableStyles>
  <colors>
    <mruColors>
      <color rgb="FF4C1D95"/>
      <color rgb="FF6F2DBD"/>
      <color rgb="FF34303B"/>
      <color rgb="FFB8E986"/>
      <color rgb="FFE9DDF8"/>
      <color rgb="FFF7F5FA"/>
      <color rgb="FFC35855"/>
      <color rgb="FF1C334E"/>
      <color rgb="FF9751CB"/>
      <color rgb="FFEEECE1"/>
    </mruColors>
  </colors>
  <extLst>
    <ext xmlns:x14="http://schemas.microsoft.com/office/spreadsheetml/2009/9/main" uri="{46F421CA-312F-682f-3DD2-61675219B42D}">
      <x14:dxfs count="4">
        <dxf>
          <fill>
            <patternFill>
              <bgColor theme="7" tint="0.59996337778862885"/>
            </patternFill>
          </fill>
        </dxf>
        <dxf>
          <fill>
            <patternFill>
              <bgColor theme="6" tint="0.79998168889431442"/>
            </patternFill>
          </fill>
        </dxf>
        <dxf>
          <fill>
            <patternFill>
              <bgColor theme="7" tint="0.39994506668294322"/>
            </patternFill>
          </fill>
        </dxf>
        <dxf>
          <fill>
            <patternFill>
              <bgColor theme="5"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95000"/>
                    <a:lumOff val="5000"/>
                  </a:schemeClr>
                </a:solidFill>
                <a:latin typeface="Sitka Subheading Semibold" pitchFamily="2" charset="0"/>
                <a:ea typeface="+mn-ea"/>
                <a:cs typeface="+mn-cs"/>
              </a:defRPr>
            </a:pPr>
            <a:r>
              <a:rPr lang="en-IN" sz="1600">
                <a:solidFill>
                  <a:schemeClr val="tx1">
                    <a:lumMod val="95000"/>
                    <a:lumOff val="5000"/>
                  </a:schemeClr>
                </a:solidFill>
                <a:latin typeface="Sitka Subheading Semibold" pitchFamily="2" charset="0"/>
              </a:rPr>
              <a:t>Top 10 Products with Highest Savings (₹) </a:t>
            </a:r>
          </a:p>
        </c:rich>
      </c:tx>
      <c:layout>
        <c:manualLayout>
          <c:xMode val="edge"/>
          <c:yMode val="edge"/>
          <c:x val="0.1087264119809646"/>
          <c:y val="5.714285714285714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95000"/>
                  <a:lumOff val="5000"/>
                </a:schemeClr>
              </a:solidFill>
              <a:latin typeface="Sitka Subheading Semibold" pitchFamily="2" charset="0"/>
              <a:ea typeface="+mn-ea"/>
              <a:cs typeface="+mn-cs"/>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31801637946946"/>
          <c:y val="0.28500439705994113"/>
          <c:w val="0.48043899798626677"/>
          <c:h val="0.67363066867881916"/>
        </c:manualLayout>
      </c:layout>
      <c:barChart>
        <c:barDir val="bar"/>
        <c:grouping val="clustered"/>
        <c:varyColors val="0"/>
        <c:dLbls>
          <c:showLegendKey val="0"/>
          <c:showVal val="0"/>
          <c:showCatName val="0"/>
          <c:showSerName val="0"/>
          <c:showPercent val="0"/>
          <c:showBubbleSize val="0"/>
        </c:dLbls>
        <c:gapWidth val="219"/>
        <c:axId val="611174000"/>
        <c:axId val="611174960"/>
      </c:barChart>
      <c:catAx>
        <c:axId val="61117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11174960"/>
        <c:crosses val="autoZero"/>
        <c:auto val="1"/>
        <c:lblAlgn val="ctr"/>
        <c:lblOffset val="100"/>
        <c:noMultiLvlLbl val="0"/>
      </c:catAx>
      <c:valAx>
        <c:axId val="611174960"/>
        <c:scaling>
          <c:orientation val="minMax"/>
        </c:scaling>
        <c:delete val="1"/>
        <c:axPos val="b"/>
        <c:numFmt formatCode="General" sourceLinked="1"/>
        <c:majorTickMark val="none"/>
        <c:minorTickMark val="none"/>
        <c:tickLblPos val="nextTo"/>
        <c:crossAx val="61117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Sitka Subheading Semibold" pitchFamily="2" charset="0"/>
                <a:ea typeface="+mn-ea"/>
                <a:cs typeface="+mn-cs"/>
              </a:defRPr>
            </a:pPr>
            <a:r>
              <a:rPr lang="en-US" sz="1600">
                <a:solidFill>
                  <a:schemeClr val="tx1"/>
                </a:solidFill>
                <a:latin typeface="Sitka Subheading Semibold" pitchFamily="2" charset="0"/>
              </a:rPr>
              <a:t>Top 10</a:t>
            </a:r>
            <a:r>
              <a:rPr lang="en-US" sz="1600" baseline="0">
                <a:solidFill>
                  <a:schemeClr val="tx1"/>
                </a:solidFill>
                <a:latin typeface="Sitka Subheading Semibold" pitchFamily="2" charset="0"/>
              </a:rPr>
              <a:t> Premium Products</a:t>
            </a:r>
          </a:p>
        </c:rich>
      </c:tx>
      <c:layout>
        <c:manualLayout>
          <c:xMode val="edge"/>
          <c:yMode val="edge"/>
          <c:x val="0.260090113735783"/>
          <c:y val="5.614035087719298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Sitka Subheading Semibold" pitchFamily="2" charset="0"/>
              <a:ea typeface="+mn-ea"/>
              <a:cs typeface="+mn-cs"/>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611175440"/>
        <c:axId val="611168720"/>
      </c:barChart>
      <c:catAx>
        <c:axId val="61117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1168720"/>
        <c:crosses val="autoZero"/>
        <c:auto val="1"/>
        <c:lblAlgn val="ctr"/>
        <c:lblOffset val="100"/>
        <c:noMultiLvlLbl val="0"/>
      </c:catAx>
      <c:valAx>
        <c:axId val="611168720"/>
        <c:scaling>
          <c:orientation val="minMax"/>
        </c:scaling>
        <c:delete val="1"/>
        <c:axPos val="b"/>
        <c:numFmt formatCode="General" sourceLinked="1"/>
        <c:majorTickMark val="none"/>
        <c:minorTickMark val="none"/>
        <c:tickLblPos val="nextTo"/>
        <c:crossAx val="61117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Sitka Subheading Semibold" pitchFamily="2" charset="0"/>
                <a:ea typeface="+mn-ea"/>
                <a:cs typeface="+mn-cs"/>
              </a:defRPr>
            </a:pPr>
            <a:r>
              <a:rPr lang="en-US" sz="1600">
                <a:solidFill>
                  <a:schemeClr val="tx1"/>
                </a:solidFill>
                <a:latin typeface="Sitka Subheading Semibold" pitchFamily="2" charset="0"/>
              </a:rPr>
              <a:t>Discount Distribution</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Sitka Subheading Semibold" pitchFamily="2" charset="0"/>
              <a:ea typeface="+mn-ea"/>
              <a:cs typeface="+mn-cs"/>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541666666666668"/>
          <c:w val="0.98055555555555551"/>
          <c:h val="0.75678497880072682"/>
        </c:manualLayout>
      </c:layout>
      <c:barChart>
        <c:barDir val="col"/>
        <c:grouping val="clustered"/>
        <c:varyColors val="0"/>
        <c:dLbls>
          <c:showLegendKey val="0"/>
          <c:showVal val="0"/>
          <c:showCatName val="0"/>
          <c:showSerName val="0"/>
          <c:showPercent val="0"/>
          <c:showBubbleSize val="0"/>
        </c:dLbls>
        <c:gapWidth val="219"/>
        <c:overlap val="-27"/>
        <c:axId val="199461392"/>
        <c:axId val="199457552"/>
      </c:barChart>
      <c:catAx>
        <c:axId val="19946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457552"/>
        <c:crosses val="autoZero"/>
        <c:auto val="1"/>
        <c:lblAlgn val="ctr"/>
        <c:lblOffset val="100"/>
        <c:noMultiLvlLbl val="0"/>
      </c:catAx>
      <c:valAx>
        <c:axId val="199457552"/>
        <c:scaling>
          <c:orientation val="minMax"/>
        </c:scaling>
        <c:delete val="1"/>
        <c:axPos val="l"/>
        <c:numFmt formatCode="General" sourceLinked="1"/>
        <c:majorTickMark val="none"/>
        <c:minorTickMark val="none"/>
        <c:tickLblPos val="nextTo"/>
        <c:crossAx val="1994613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Sitka Subheading Semibold" pitchFamily="2" charset="0"/>
                <a:ea typeface="+mn-ea"/>
                <a:cs typeface="+mn-cs"/>
              </a:defRPr>
            </a:pPr>
            <a:r>
              <a:rPr lang="en-US" sz="1600">
                <a:solidFill>
                  <a:schemeClr val="tx1"/>
                </a:solidFill>
                <a:latin typeface="Sitka Subheading Semibold" pitchFamily="2" charset="0"/>
              </a:rPr>
              <a:t>Top 10</a:t>
            </a:r>
            <a:r>
              <a:rPr lang="en-US" sz="1600" baseline="0">
                <a:solidFill>
                  <a:schemeClr val="tx1"/>
                </a:solidFill>
                <a:latin typeface="Sitka Subheading Semibold" pitchFamily="2" charset="0"/>
              </a:rPr>
              <a:t> Highest Price Per Gram</a:t>
            </a:r>
          </a:p>
        </c:rich>
      </c:tx>
      <c:layout>
        <c:manualLayout>
          <c:xMode val="edge"/>
          <c:yMode val="edge"/>
          <c:x val="0.19512489063867017"/>
          <c:y val="5.23807961504811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Sitka Subheading Semibold" pitchFamily="2" charset="0"/>
              <a:ea typeface="+mn-ea"/>
              <a:cs typeface="+mn-cs"/>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611172080"/>
        <c:axId val="611173040"/>
      </c:barChart>
      <c:catAx>
        <c:axId val="611172080"/>
        <c:scaling>
          <c:orientation val="minMax"/>
        </c:scaling>
        <c:delete val="1"/>
        <c:axPos val="l"/>
        <c:numFmt formatCode="General" sourceLinked="1"/>
        <c:majorTickMark val="none"/>
        <c:minorTickMark val="none"/>
        <c:tickLblPos val="nextTo"/>
        <c:crossAx val="611173040"/>
        <c:crosses val="autoZero"/>
        <c:auto val="1"/>
        <c:lblAlgn val="ctr"/>
        <c:lblOffset val="100"/>
        <c:noMultiLvlLbl val="0"/>
      </c:catAx>
      <c:valAx>
        <c:axId val="611173040"/>
        <c:scaling>
          <c:orientation val="minMax"/>
        </c:scaling>
        <c:delete val="1"/>
        <c:axPos val="b"/>
        <c:numFmt formatCode="General" sourceLinked="1"/>
        <c:majorTickMark val="none"/>
        <c:minorTickMark val="none"/>
        <c:tickLblPos val="nextTo"/>
        <c:crossAx val="61117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[Zepto_Data_Analysis.xlsx]Analysis!PivotTable17</c:name>
    <c:fmtId val="4"/>
  </c:pivotSource>
  <c:chart>
    <c:title>
      <c:tx>
        <c:rich>
          <a:bodyPr rot="0" spcFirstLastPara="1" vertOverflow="ellipsis" vert="horz" wrap="square" anchor="ctr" anchorCtr="1"/>
          <a:lstStyle/>
          <a:p>
            <a:pPr>
              <a:defRPr lang="en-IN" sz="2000" b="1" i="0" u="none" strike="noStrike" kern="1200" spc="0" baseline="0">
                <a:solidFill>
                  <a:srgbClr val="6F2DBD"/>
                </a:solidFill>
                <a:latin typeface="Times New Roman" panose="02020603050405020304" pitchFamily="18" charset="0"/>
                <a:ea typeface="+mn-ea"/>
                <a:cs typeface="Times New Roman" panose="02020603050405020304" pitchFamily="18" charset="0"/>
              </a:defRPr>
            </a:pPr>
            <a:r>
              <a:rPr lang="en-IN" sz="2000" b="1" i="0" u="none" strike="noStrike" kern="1200" spc="0" baseline="0">
                <a:solidFill>
                  <a:srgbClr val="6F2DBD"/>
                </a:solidFill>
                <a:latin typeface="Sitka Subheading Semibold" pitchFamily="2" charset="0"/>
                <a:ea typeface="+mn-ea"/>
                <a:cs typeface="Times New Roman" panose="02020603050405020304" pitchFamily="18" charset="0"/>
              </a:rPr>
              <a:t>Product Distribution by Discount Band</a:t>
            </a:r>
          </a:p>
        </c:rich>
      </c:tx>
      <c:layout>
        <c:manualLayout>
          <c:xMode val="edge"/>
          <c:yMode val="edge"/>
          <c:x val="0.10844476845726017"/>
          <c:y val="5.0925925925925923E-2"/>
        </c:manualLayout>
      </c:layout>
      <c:overlay val="0"/>
      <c:spPr>
        <a:noFill/>
        <a:ln>
          <a:noFill/>
        </a:ln>
        <a:effectLst/>
      </c:spPr>
      <c:txPr>
        <a:bodyPr rot="0" spcFirstLastPara="1" vertOverflow="ellipsis" vert="horz" wrap="square" anchor="ctr" anchorCtr="1"/>
        <a:lstStyle/>
        <a:p>
          <a:pPr>
            <a:defRPr lang="en-IN" sz="2000" b="1" i="0" u="none" strike="noStrike" kern="1200" spc="0" baseline="0">
              <a:solidFill>
                <a:srgbClr val="6F2DB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C1D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Analysis!$F$4</c:f>
              <c:strCache>
                <c:ptCount val="1"/>
                <c:pt idx="0">
                  <c:v>Total</c:v>
                </c:pt>
              </c:strCache>
            </c:strRef>
          </c:tx>
          <c:spPr>
            <a:solidFill>
              <a:srgbClr val="4C1D9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Analysis!$E$5:$E$10</c:f>
              <c:strCache>
                <c:ptCount val="5"/>
                <c:pt idx="0">
                  <c:v>0-5%</c:v>
                </c:pt>
                <c:pt idx="1">
                  <c:v>6-10%</c:v>
                </c:pt>
                <c:pt idx="2">
                  <c:v>11-15%</c:v>
                </c:pt>
                <c:pt idx="3">
                  <c:v>16-20%</c:v>
                </c:pt>
                <c:pt idx="4">
                  <c:v>21%+</c:v>
                </c:pt>
              </c:strCache>
            </c:strRef>
          </c:cat>
          <c:val>
            <c:numRef>
              <c:f>Analysis!$F$5:$F$10</c:f>
              <c:numCache>
                <c:formatCode>General</c:formatCode>
                <c:ptCount val="5"/>
                <c:pt idx="0">
                  <c:v>851</c:v>
                </c:pt>
                <c:pt idx="1">
                  <c:v>551</c:v>
                </c:pt>
                <c:pt idx="2">
                  <c:v>181</c:v>
                </c:pt>
                <c:pt idx="3">
                  <c:v>137</c:v>
                </c:pt>
                <c:pt idx="4">
                  <c:v>110</c:v>
                </c:pt>
              </c:numCache>
            </c:numRef>
          </c:val>
          <c:extLst>
            <c:ext xmlns:c16="http://schemas.microsoft.com/office/drawing/2014/chart" uri="{C3380CC4-5D6E-409C-BE32-E72D297353CC}">
              <c16:uniqueId val="{00000000-5858-4801-AB59-A5102A5993B2}"/>
            </c:ext>
          </c:extLst>
        </c:ser>
        <c:dLbls>
          <c:showLegendKey val="0"/>
          <c:showVal val="0"/>
          <c:showCatName val="0"/>
          <c:showSerName val="0"/>
          <c:showPercent val="0"/>
          <c:showBubbleSize val="0"/>
        </c:dLbls>
        <c:gapWidth val="219"/>
        <c:overlap val="-27"/>
        <c:axId val="1379271455"/>
        <c:axId val="1146714543"/>
      </c:barChart>
      <c:catAx>
        <c:axId val="13792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46714543"/>
        <c:crosses val="autoZero"/>
        <c:auto val="1"/>
        <c:lblAlgn val="ctr"/>
        <c:lblOffset val="100"/>
        <c:noMultiLvlLbl val="0"/>
      </c:catAx>
      <c:valAx>
        <c:axId val="1146714543"/>
        <c:scaling>
          <c:orientation val="minMax"/>
        </c:scaling>
        <c:delete val="1"/>
        <c:axPos val="l"/>
        <c:numFmt formatCode="General" sourceLinked="1"/>
        <c:majorTickMark val="none"/>
        <c:minorTickMark val="none"/>
        <c:tickLblPos val="nextTo"/>
        <c:crossAx val="137927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[Zepto_Data_Analysis.xlsx]Analysis!PivotTable22</c:name>
    <c:fmtId val="12"/>
  </c:pivotSource>
  <c:chart>
    <c:title>
      <c:tx>
        <c:rich>
          <a:bodyPr rot="0" spcFirstLastPara="1" vertOverflow="ellipsis" vert="horz" wrap="square" anchor="ctr" anchorCtr="1"/>
          <a:lstStyle/>
          <a:p>
            <a:pPr>
              <a:defRPr sz="1400" b="0" i="0" u="none" strike="noStrike" kern="1200" spc="0" baseline="0">
                <a:solidFill>
                  <a:srgbClr val="6F2DBD"/>
                </a:solidFill>
                <a:latin typeface="+mn-lt"/>
                <a:ea typeface="+mn-ea"/>
                <a:cs typeface="+mn-cs"/>
              </a:defRPr>
            </a:pPr>
            <a:r>
              <a:rPr lang="en-IN" sz="2000" b="1" i="0" u="none" strike="noStrike" baseline="0">
                <a:solidFill>
                  <a:srgbClr val="6F2DBD"/>
                </a:solidFill>
                <a:latin typeface="Sitka Subheading Semibold" pitchFamily="2" charset="0"/>
                <a:cs typeface="Times New Roman" panose="02020603050405020304" pitchFamily="18" charset="0"/>
              </a:rPr>
              <a:t>Top 10 Products by Savings (₹)</a:t>
            </a:r>
            <a:endParaRPr lang="en-US" sz="2000" b="1">
              <a:solidFill>
                <a:srgbClr val="6F2DBD"/>
              </a:solidFill>
              <a:latin typeface="Sitka Subheading Semibold" pitchFamily="2" charset="0"/>
              <a:cs typeface="Times New Roman" panose="02020603050405020304" pitchFamily="18" charset="0"/>
            </a:endParaRPr>
          </a:p>
        </c:rich>
      </c:tx>
      <c:layout>
        <c:manualLayout>
          <c:xMode val="edge"/>
          <c:yMode val="edge"/>
          <c:x val="0.1699190742148979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6F2DBD"/>
              </a:solidFill>
              <a:latin typeface="+mn-lt"/>
              <a:ea typeface="+mn-ea"/>
              <a:cs typeface="+mn-cs"/>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F2DBD"/>
          </a:solidFill>
          <a:ln>
            <a:solidFill>
              <a:srgbClr val="4C1D9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315033279382362"/>
          <c:y val="0.15291098718225588"/>
          <c:w val="0.4948199912510936"/>
          <c:h val="0.81727175407421904"/>
        </c:manualLayout>
      </c:layout>
      <c:barChart>
        <c:barDir val="bar"/>
        <c:grouping val="clustered"/>
        <c:varyColors val="0"/>
        <c:ser>
          <c:idx val="0"/>
          <c:order val="0"/>
          <c:tx>
            <c:strRef>
              <c:f>Analysis!$I$4</c:f>
              <c:strCache>
                <c:ptCount val="1"/>
                <c:pt idx="0">
                  <c:v>Total</c:v>
                </c:pt>
              </c:strCache>
            </c:strRef>
          </c:tx>
          <c:spPr>
            <a:solidFill>
              <a:srgbClr val="6F2DBD"/>
            </a:solidFill>
            <a:ln>
              <a:solidFill>
                <a:srgbClr val="4C1D9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Analysis!$H$5:$H$15</c:f>
              <c:strCache>
                <c:ptCount val="10"/>
                <c:pt idx="0">
                  <c:v>Pampers Pants - Medium</c:v>
                </c:pt>
                <c:pt idx="1">
                  <c:v>RRO Mascarpone Cheese</c:v>
                </c:pt>
                <c:pt idx="2">
                  <c:v>Pampers Premium Care Pants - Large</c:v>
                </c:pt>
                <c:pt idx="3">
                  <c:v>Pampers Premium Care Pants - Medium</c:v>
                </c:pt>
                <c:pt idx="4">
                  <c:v>Dhara Health Refined Sun Flower Oil Jar</c:v>
                </c:pt>
                <c:pt idx="5">
                  <c:v>Pampers Active Baby Diapers New Born Extra Small </c:v>
                </c:pt>
                <c:pt idx="6">
                  <c:v>Kelloggs Chocos - Moons &amp; Stars</c:v>
                </c:pt>
                <c:pt idx="7">
                  <c:v>Popular Essentials Californian Almond</c:v>
                </c:pt>
                <c:pt idx="8">
                  <c:v>Pampers Pants - Large</c:v>
                </c:pt>
                <c:pt idx="9">
                  <c:v>Borges Extra Light Olive Oil Bottle </c:v>
                </c:pt>
              </c:strCache>
            </c:strRef>
          </c:cat>
          <c:val>
            <c:numRef>
              <c:f>Analysis!$I$5:$I$15</c:f>
              <c:numCache>
                <c:formatCode>General</c:formatCode>
                <c:ptCount val="10"/>
                <c:pt idx="0">
                  <c:v>150</c:v>
                </c:pt>
                <c:pt idx="1">
                  <c:v>178</c:v>
                </c:pt>
                <c:pt idx="2">
                  <c:v>200</c:v>
                </c:pt>
                <c:pt idx="3">
                  <c:v>200</c:v>
                </c:pt>
                <c:pt idx="4">
                  <c:v>216</c:v>
                </c:pt>
                <c:pt idx="5">
                  <c:v>250</c:v>
                </c:pt>
                <c:pt idx="6">
                  <c:v>264</c:v>
                </c:pt>
                <c:pt idx="7">
                  <c:v>324</c:v>
                </c:pt>
                <c:pt idx="8">
                  <c:v>700</c:v>
                </c:pt>
                <c:pt idx="9">
                  <c:v>1201</c:v>
                </c:pt>
              </c:numCache>
            </c:numRef>
          </c:val>
          <c:extLst>
            <c:ext xmlns:c16="http://schemas.microsoft.com/office/drawing/2014/chart" uri="{C3380CC4-5D6E-409C-BE32-E72D297353CC}">
              <c16:uniqueId val="{00000000-7BDE-44A3-BE6F-373092A063AC}"/>
            </c:ext>
          </c:extLst>
        </c:ser>
        <c:dLbls>
          <c:showLegendKey val="0"/>
          <c:showVal val="0"/>
          <c:showCatName val="0"/>
          <c:showSerName val="0"/>
          <c:showPercent val="0"/>
          <c:showBubbleSize val="0"/>
        </c:dLbls>
        <c:gapWidth val="182"/>
        <c:axId val="1454476111"/>
        <c:axId val="932839375"/>
      </c:barChart>
      <c:catAx>
        <c:axId val="145447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4303B"/>
                </a:solidFill>
                <a:latin typeface="+mn-lt"/>
                <a:ea typeface="+mn-ea"/>
                <a:cs typeface="+mn-cs"/>
              </a:defRPr>
            </a:pPr>
            <a:endParaRPr lang="en-US"/>
          </a:p>
        </c:txPr>
        <c:crossAx val="932839375"/>
        <c:crosses val="autoZero"/>
        <c:auto val="1"/>
        <c:lblAlgn val="ctr"/>
        <c:lblOffset val="100"/>
        <c:noMultiLvlLbl val="0"/>
      </c:catAx>
      <c:valAx>
        <c:axId val="932839375"/>
        <c:scaling>
          <c:orientation val="minMax"/>
        </c:scaling>
        <c:delete val="1"/>
        <c:axPos val="b"/>
        <c:numFmt formatCode="General" sourceLinked="1"/>
        <c:majorTickMark val="none"/>
        <c:minorTickMark val="none"/>
        <c:tickLblPos val="nextTo"/>
        <c:crossAx val="145447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[Zepto_Data_Analysis.xlsx]Analysis!PivotTable23</c:name>
    <c:fmtId val="20"/>
  </c:pivotSource>
  <c:chart>
    <c:title>
      <c:tx>
        <c:rich>
          <a:bodyPr rot="0" spcFirstLastPara="1" vertOverflow="ellipsis" vert="horz" wrap="square" anchor="ctr" anchorCtr="1"/>
          <a:lstStyle/>
          <a:p>
            <a:pPr algn="ctr" rtl="0">
              <a:defRPr lang="en-IN" sz="2000" b="1" i="0" u="none" strike="noStrike" kern="1200" spc="0" baseline="0">
                <a:solidFill>
                  <a:srgbClr val="6F2DBD"/>
                </a:solidFill>
                <a:latin typeface="Times New Roman" panose="02020603050405020304" pitchFamily="18" charset="0"/>
                <a:ea typeface="+mn-ea"/>
                <a:cs typeface="Times New Roman" panose="02020603050405020304" pitchFamily="18" charset="0"/>
              </a:defRPr>
            </a:pPr>
            <a:r>
              <a:rPr lang="en-IN" sz="2000" b="1" i="0" u="none" strike="noStrike" kern="1200" spc="0" baseline="0">
                <a:solidFill>
                  <a:srgbClr val="6F2DBD"/>
                </a:solidFill>
                <a:latin typeface="Sitka Subheading Semibold" pitchFamily="2" charset="0"/>
                <a:ea typeface="+mn-ea"/>
                <a:cs typeface="Times New Roman" panose="02020603050405020304" pitchFamily="18" charset="0"/>
              </a:rPr>
              <a:t>Product Distribution by Price Band</a:t>
            </a:r>
          </a:p>
        </c:rich>
      </c:tx>
      <c:layout>
        <c:manualLayout>
          <c:xMode val="edge"/>
          <c:yMode val="edge"/>
          <c:x val="0.11975944820207116"/>
          <c:y val="0"/>
        </c:manualLayout>
      </c:layout>
      <c:overlay val="0"/>
      <c:spPr>
        <a:noFill/>
        <a:ln>
          <a:noFill/>
        </a:ln>
        <a:effectLst/>
      </c:spPr>
      <c:txPr>
        <a:bodyPr rot="0" spcFirstLastPara="1" vertOverflow="ellipsis" vert="horz" wrap="square" anchor="ctr" anchorCtr="1"/>
        <a:lstStyle/>
        <a:p>
          <a:pPr algn="ctr" rtl="0">
            <a:defRPr lang="en-IN" sz="2000" b="1" i="0" u="none" strike="noStrike" kern="1200" spc="0" baseline="0">
              <a:solidFill>
                <a:srgbClr val="6F2DB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751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C1D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Analysis!$L$4</c:f>
              <c:strCache>
                <c:ptCount val="1"/>
                <c:pt idx="0">
                  <c:v>Count of Product Name</c:v>
                </c:pt>
              </c:strCache>
            </c:strRef>
          </c:tx>
          <c:spPr>
            <a:solidFill>
              <a:srgbClr val="9751C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Analysis!$K$5:$K$8</c:f>
              <c:strCache>
                <c:ptCount val="3"/>
                <c:pt idx="0">
                  <c:v>Low</c:v>
                </c:pt>
                <c:pt idx="1">
                  <c:v>Medium</c:v>
                </c:pt>
                <c:pt idx="2">
                  <c:v>High</c:v>
                </c:pt>
              </c:strCache>
            </c:strRef>
          </c:cat>
          <c:val>
            <c:numRef>
              <c:f>Analysis!$L$5:$L$8</c:f>
              <c:numCache>
                <c:formatCode>0.00%</c:formatCode>
                <c:ptCount val="3"/>
                <c:pt idx="0">
                  <c:v>0.23661202185792349</c:v>
                </c:pt>
                <c:pt idx="1">
                  <c:v>0.55956284153005464</c:v>
                </c:pt>
                <c:pt idx="2">
                  <c:v>0.20382513661202187</c:v>
                </c:pt>
              </c:numCache>
            </c:numRef>
          </c:val>
          <c:extLst>
            <c:ext xmlns:c16="http://schemas.microsoft.com/office/drawing/2014/chart" uri="{C3380CC4-5D6E-409C-BE32-E72D297353CC}">
              <c16:uniqueId val="{00000000-D17C-49E7-9025-DBD0A01833CA}"/>
            </c:ext>
          </c:extLst>
        </c:ser>
        <c:ser>
          <c:idx val="1"/>
          <c:order val="1"/>
          <c:tx>
            <c:strRef>
              <c:f>Analysis!$M$4</c:f>
              <c:strCache>
                <c:ptCount val="1"/>
                <c:pt idx="0">
                  <c:v>Average of Selling Price</c:v>
                </c:pt>
              </c:strCache>
            </c:strRef>
          </c:tx>
          <c:spPr>
            <a:solidFill>
              <a:srgbClr val="4C1D95"/>
            </a:solidFill>
            <a:ln>
              <a:noFill/>
            </a:ln>
            <a:effectLst/>
          </c:spPr>
          <c:invertIfNegative val="0"/>
          <c:cat>
            <c:strRef>
              <c:f>Analysis!$K$5:$K$8</c:f>
              <c:strCache>
                <c:ptCount val="3"/>
                <c:pt idx="0">
                  <c:v>Low</c:v>
                </c:pt>
                <c:pt idx="1">
                  <c:v>Medium</c:v>
                </c:pt>
                <c:pt idx="2">
                  <c:v>High</c:v>
                </c:pt>
              </c:strCache>
            </c:strRef>
          </c:cat>
          <c:val>
            <c:numRef>
              <c:f>Analysis!$M$5:$M$8</c:f>
              <c:numCache>
                <c:formatCode>0.00</c:formatCode>
                <c:ptCount val="3"/>
                <c:pt idx="0">
                  <c:v>30.627020785219401</c:v>
                </c:pt>
                <c:pt idx="1">
                  <c:v>109.14072265625001</c:v>
                </c:pt>
                <c:pt idx="2">
                  <c:v>339.48793565683644</c:v>
                </c:pt>
              </c:numCache>
            </c:numRef>
          </c:val>
          <c:extLst>
            <c:ext xmlns:c16="http://schemas.microsoft.com/office/drawing/2014/chart" uri="{C3380CC4-5D6E-409C-BE32-E72D297353CC}">
              <c16:uniqueId val="{00000000-5852-416F-B2D9-CF204F637783}"/>
            </c:ext>
          </c:extLst>
        </c:ser>
        <c:dLbls>
          <c:showLegendKey val="0"/>
          <c:showVal val="0"/>
          <c:showCatName val="0"/>
          <c:showSerName val="0"/>
          <c:showPercent val="0"/>
          <c:showBubbleSize val="0"/>
        </c:dLbls>
        <c:gapWidth val="219"/>
        <c:overlap val="-27"/>
        <c:axId val="1454402335"/>
        <c:axId val="1408587535"/>
      </c:barChart>
      <c:catAx>
        <c:axId val="145440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408587535"/>
        <c:crosses val="autoZero"/>
        <c:auto val="1"/>
        <c:lblAlgn val="ctr"/>
        <c:lblOffset val="100"/>
        <c:noMultiLvlLbl val="0"/>
      </c:catAx>
      <c:valAx>
        <c:axId val="1408587535"/>
        <c:scaling>
          <c:orientation val="minMax"/>
        </c:scaling>
        <c:delete val="1"/>
        <c:axPos val="l"/>
        <c:numFmt formatCode="0.00%" sourceLinked="1"/>
        <c:majorTickMark val="none"/>
        <c:minorTickMark val="none"/>
        <c:tickLblPos val="nextTo"/>
        <c:crossAx val="145440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[Zepto_Data_Analysis.xlsx]Analysis!PivotTable24</c:name>
    <c:fmtId val="27"/>
  </c:pivotSource>
  <c:chart>
    <c:title>
      <c:tx>
        <c:rich>
          <a:bodyPr rot="0" spcFirstLastPara="1" vertOverflow="ellipsis" vert="horz" wrap="square" anchor="ctr" anchorCtr="1"/>
          <a:lstStyle/>
          <a:p>
            <a:pPr>
              <a:defRPr lang="en-US" sz="2000" b="1" i="0" u="none" strike="noStrike" kern="1200" spc="0" baseline="0">
                <a:solidFill>
                  <a:srgbClr val="6F2DBD"/>
                </a:solidFill>
                <a:latin typeface="Times New Roman" panose="02020603050405020304" pitchFamily="18" charset="0"/>
                <a:ea typeface="+mn-ea"/>
                <a:cs typeface="Times New Roman" panose="02020603050405020304" pitchFamily="18" charset="0"/>
              </a:defRPr>
            </a:pPr>
            <a:r>
              <a:rPr lang="en-US" sz="2000" b="1" i="0" u="none" strike="noStrike" kern="1200" spc="0" baseline="0">
                <a:solidFill>
                  <a:srgbClr val="6F2DBD"/>
                </a:solidFill>
                <a:latin typeface="Sitka Subheading Semibold" pitchFamily="2" charset="0"/>
                <a:ea typeface="+mn-ea"/>
                <a:cs typeface="Times New Roman" panose="02020603050405020304" pitchFamily="18" charset="0"/>
              </a:rPr>
              <a:t>Stock Availability</a:t>
            </a:r>
          </a:p>
        </c:rich>
      </c:tx>
      <c:layout>
        <c:manualLayout>
          <c:xMode val="edge"/>
          <c:yMode val="edge"/>
          <c:x val="0.31921721856964297"/>
          <c:y val="9.2592592592592587E-3"/>
        </c:manualLayout>
      </c:layout>
      <c:overlay val="0"/>
      <c:spPr>
        <a:noFill/>
        <a:ln>
          <a:noFill/>
        </a:ln>
        <a:effectLst/>
      </c:spPr>
      <c:txPr>
        <a:bodyPr rot="0" spcFirstLastPara="1" vertOverflow="ellipsis" vert="horz" wrap="square" anchor="ctr" anchorCtr="1"/>
        <a:lstStyle/>
        <a:p>
          <a:pPr>
            <a:defRPr lang="en-US" sz="2000" b="1" i="0" u="none" strike="noStrike" kern="1200" spc="0" baseline="0">
              <a:solidFill>
                <a:srgbClr val="6F2DB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5.0925337632079971E-17"/>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AE71B3"/>
          </a:solidFill>
          <a:ln>
            <a:noFill/>
          </a:ln>
          <a:effectLst/>
        </c:spPr>
        <c:dLbl>
          <c:idx val="0"/>
          <c:layout>
            <c:manualLayout>
              <c:x val="0.15833333333333333"/>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AE71B3"/>
          </a:solidFill>
          <a:ln>
            <a:noFill/>
          </a:ln>
          <a:effectLst/>
        </c:spPr>
        <c:dLbl>
          <c:idx val="0"/>
          <c:layout>
            <c:manualLayout>
              <c:x val="0.15833333333333333"/>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0925337632079971E-17"/>
              <c:y val="-0.152777777777777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B8E986"/>
          </a:solidFill>
          <a:ln>
            <a:solidFill>
              <a:srgbClr val="6F2DBD"/>
            </a:solidFill>
          </a:ln>
          <a:effectLst>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rgbClr val="34303B"/>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B8E986"/>
          </a:solidFill>
          <a:ln>
            <a:solidFill>
              <a:srgbClr val="6F2DBD"/>
            </a:solidFill>
          </a:ln>
          <a:effectLst>
            <a:softEdge rad="12700"/>
          </a:effectLst>
        </c:spPr>
        <c:dLbl>
          <c:idx val="0"/>
          <c:layout>
            <c:manualLayout>
              <c:x val="0.18476432433639201"/>
              <c:y val="-1.8703875313213818E-2"/>
            </c:manualLayout>
          </c:layout>
          <c:tx>
            <c:rich>
              <a:bodyPr rot="0" spcFirstLastPara="1" vertOverflow="ellipsis" vert="horz" wrap="square" lIns="38100" tIns="19050" rIns="38100" bIns="19050" anchor="ctr" anchorCtr="1">
                <a:spAutoFit/>
              </a:bodyPr>
              <a:lstStyle/>
              <a:p>
                <a:pPr>
                  <a:defRPr lang="en-US" sz="1000" b="0" i="0" u="none" strike="noStrike" kern="1200" spc="0" baseline="0">
                    <a:solidFill>
                      <a:srgbClr val="34303B"/>
                    </a:solidFill>
                    <a:latin typeface="Times New Roman" panose="02020603050405020304" pitchFamily="18" charset="0"/>
                    <a:ea typeface="+mn-ea"/>
                    <a:cs typeface="Times New Roman" panose="02020603050405020304" pitchFamily="18" charset="0"/>
                  </a:defRPr>
                </a:pPr>
                <a:fld id="{DE8A3C9F-5BE4-43CF-9A46-1A37E1DFAA1C}" type="PERCENTAGE">
                  <a:rPr lang="en-US" sz="1200" b="0" i="0" u="none" strike="noStrike" kern="1200" spc="0" baseline="0">
                    <a:solidFill>
                      <a:srgbClr val="34303B"/>
                    </a:solidFill>
                    <a:latin typeface="Times New Roman" panose="02020603050405020304" pitchFamily="18" charset="0"/>
                    <a:ea typeface="+mn-ea"/>
                    <a:cs typeface="Times New Roman" panose="02020603050405020304" pitchFamily="18" charset="0"/>
                  </a:rPr>
                  <a:pPr>
                    <a:defRPr lang="en-US" sz="1000" spc="0">
                      <a:solidFill>
                        <a:srgbClr val="34303B"/>
                      </a:solidFill>
                      <a:latin typeface="Times New Roman" panose="02020603050405020304" pitchFamily="18" charset="0"/>
                      <a:cs typeface="Times New Roman" panose="02020603050405020304" pitchFamily="18" charset="0"/>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rgbClr val="34303B"/>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6F2DBD"/>
          </a:solidFill>
          <a:ln>
            <a:solidFill>
              <a:srgbClr val="6F2DBD"/>
            </a:solidFill>
          </a:ln>
          <a:effectLst>
            <a:softEdge rad="12700"/>
          </a:effectLst>
        </c:spPr>
        <c:dLbl>
          <c:idx val="0"/>
          <c:layout>
            <c:manualLayout>
              <c:x val="-3.38193260519703E-2"/>
              <c:y val="-0.15277777777777782"/>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spc="0" baseline="0">
                  <a:solidFill>
                    <a:srgbClr val="34303B"/>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864656848226925"/>
          <c:y val="0.21062627588218139"/>
          <c:w val="0.3836753509642567"/>
          <c:h val="0.73150226013414998"/>
        </c:manualLayout>
      </c:layout>
      <c:doughnutChart>
        <c:varyColors val="1"/>
        <c:ser>
          <c:idx val="0"/>
          <c:order val="0"/>
          <c:tx>
            <c:strRef>
              <c:f>Analysis!$P$4</c:f>
              <c:strCache>
                <c:ptCount val="1"/>
                <c:pt idx="0">
                  <c:v>Total</c:v>
                </c:pt>
              </c:strCache>
            </c:strRef>
          </c:tx>
          <c:spPr>
            <a:solidFill>
              <a:srgbClr val="B8E986"/>
            </a:solidFill>
            <a:ln>
              <a:solidFill>
                <a:srgbClr val="6F2DBD"/>
              </a:solidFill>
            </a:ln>
            <a:effectLst>
              <a:softEdge rad="12700"/>
            </a:effectLst>
          </c:spPr>
          <c:dPt>
            <c:idx val="0"/>
            <c:bubble3D val="0"/>
            <c:spPr>
              <a:solidFill>
                <a:srgbClr val="B8E986"/>
              </a:solidFill>
              <a:ln>
                <a:solidFill>
                  <a:srgbClr val="6F2DBD"/>
                </a:solidFill>
              </a:ln>
              <a:effectLst>
                <a:softEdge rad="12700"/>
              </a:effectLst>
            </c:spPr>
            <c:extLst>
              <c:ext xmlns:c16="http://schemas.microsoft.com/office/drawing/2014/chart" uri="{C3380CC4-5D6E-409C-BE32-E72D297353CC}">
                <c16:uniqueId val="{00000001-8B16-4B65-AF2E-2B9DDCAFA64B}"/>
              </c:ext>
            </c:extLst>
          </c:dPt>
          <c:dPt>
            <c:idx val="1"/>
            <c:bubble3D val="0"/>
            <c:spPr>
              <a:solidFill>
                <a:srgbClr val="6F2DBD"/>
              </a:solidFill>
              <a:ln>
                <a:solidFill>
                  <a:srgbClr val="6F2DBD"/>
                </a:solidFill>
              </a:ln>
              <a:effectLst>
                <a:softEdge rad="12700"/>
              </a:effectLst>
            </c:spPr>
            <c:extLst>
              <c:ext xmlns:c16="http://schemas.microsoft.com/office/drawing/2014/chart" uri="{C3380CC4-5D6E-409C-BE32-E72D297353CC}">
                <c16:uniqueId val="{00000003-8B16-4B65-AF2E-2B9DDCAFA64B}"/>
              </c:ext>
            </c:extLst>
          </c:dPt>
          <c:dLbls>
            <c:dLbl>
              <c:idx val="0"/>
              <c:layout>
                <c:manualLayout>
                  <c:x val="0.18476432433639201"/>
                  <c:y val="-1.8703875313213818E-2"/>
                </c:manualLayout>
              </c:layout>
              <c:tx>
                <c:rich>
                  <a:bodyPr/>
                  <a:lstStyle/>
                  <a:p>
                    <a:fld id="{DE8A3C9F-5BE4-43CF-9A46-1A37E1DFAA1C}" type="PERCENTAGE">
                      <a:rPr lang="en-US" sz="1200" b="0" i="0" u="none" strike="noStrike" kern="1200" spc="0" baseline="0">
                        <a:solidFill>
                          <a:srgbClr val="34303B"/>
                        </a:solidFill>
                        <a:latin typeface="Times New Roman" panose="02020603050405020304" pitchFamily="18" charset="0"/>
                        <a:ea typeface="+mn-ea"/>
                        <a:cs typeface="Times New Roman" panose="02020603050405020304" pitchFamily="18" charset="0"/>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B16-4B65-AF2E-2B9DDCAFA64B}"/>
                </c:ext>
              </c:extLst>
            </c:dLbl>
            <c:dLbl>
              <c:idx val="1"/>
              <c:layout>
                <c:manualLayout>
                  <c:x val="-3.38193260519703E-2"/>
                  <c:y val="-0.15277777777777782"/>
                </c:manualLayout>
              </c:layout>
              <c:spPr>
                <a:noFill/>
                <a:ln>
                  <a:noFill/>
                </a:ln>
                <a:effectLst/>
              </c:spPr>
              <c:txPr>
                <a:bodyPr rot="0" spcFirstLastPara="1" vertOverflow="ellipsis" vert="horz" wrap="square" lIns="38100" tIns="19050" rIns="38100" bIns="19050" anchor="ctr" anchorCtr="1">
                  <a:spAutoFit/>
                </a:bodyPr>
                <a:lstStyle/>
                <a:p>
                  <a:pPr>
                    <a:defRPr lang="en-US" sz="1200" b="0" i="0" u="none" strike="noStrike" kern="1200" spc="0" baseline="0">
                      <a:solidFill>
                        <a:srgbClr val="34303B"/>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B16-4B65-AF2E-2B9DDCAFA64B}"/>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solidFill>
                      <a:srgbClr val="34303B"/>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Analysis!$O$5:$O$7</c:f>
              <c:strCache>
                <c:ptCount val="2"/>
                <c:pt idx="0">
                  <c:v>In Stock</c:v>
                </c:pt>
                <c:pt idx="1">
                  <c:v>Out of Stock</c:v>
                </c:pt>
              </c:strCache>
            </c:strRef>
          </c:cat>
          <c:val>
            <c:numRef>
              <c:f>Analysis!$P$5:$P$7</c:f>
              <c:numCache>
                <c:formatCode>General</c:formatCode>
                <c:ptCount val="2"/>
                <c:pt idx="0">
                  <c:v>1612</c:v>
                </c:pt>
                <c:pt idx="1">
                  <c:v>218</c:v>
                </c:pt>
              </c:numCache>
            </c:numRef>
          </c:val>
          <c:extLst>
            <c:ext xmlns:c16="http://schemas.microsoft.com/office/drawing/2014/chart" uri="{C3380CC4-5D6E-409C-BE32-E72D297353CC}">
              <c16:uniqueId val="{00000004-8B16-4B65-AF2E-2B9DDCAFA64B}"/>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rgbClr val="34303B"/>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rgbClr val="34303B"/>
                </a:solidFill>
                <a:latin typeface="+mn-lt"/>
                <a:ea typeface="+mn-ea"/>
                <a:cs typeface="+mn-cs"/>
              </a:defRPr>
            </a:pPr>
            <a:endParaRPr lang="en-US"/>
          </a:p>
        </c:txPr>
      </c:legendEntry>
      <c:layout>
        <c:manualLayout>
          <c:xMode val="edge"/>
          <c:yMode val="edge"/>
          <c:x val="0.71946662432437336"/>
          <c:y val="0.40754643051705558"/>
          <c:w val="0.16238432851608067"/>
          <c:h val="0.25347331583552057"/>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430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[Zepto_Data_Analysis.xlsx]Analysis!PivotTable25</c:name>
    <c:fmtId val="32"/>
  </c:pivotSource>
  <c:chart>
    <c:title>
      <c:tx>
        <c:rich>
          <a:bodyPr rot="0" spcFirstLastPara="1" vertOverflow="ellipsis" vert="horz" wrap="square" anchor="ctr" anchorCtr="1"/>
          <a:lstStyle/>
          <a:p>
            <a:pPr>
              <a:defRPr lang="en-US" sz="2000" b="1" i="0" u="none" strike="noStrike" kern="1200" spc="0" baseline="0">
                <a:solidFill>
                  <a:srgbClr val="6F2DBD"/>
                </a:solidFill>
                <a:latin typeface="Times New Roman" panose="02020603050405020304" pitchFamily="18" charset="0"/>
                <a:ea typeface="+mn-ea"/>
                <a:cs typeface="Times New Roman" panose="02020603050405020304" pitchFamily="18" charset="0"/>
              </a:defRPr>
            </a:pPr>
            <a:r>
              <a:rPr lang="en-US" sz="2000" b="1" i="0" u="none" strike="noStrike" kern="1200" spc="0" baseline="0">
                <a:solidFill>
                  <a:srgbClr val="6F2DBD"/>
                </a:solidFill>
                <a:latin typeface="Sitka Subheading Semibold" pitchFamily="2" charset="0"/>
                <a:ea typeface="+mn-ea"/>
                <a:cs typeface="Times New Roman" panose="02020603050405020304" pitchFamily="18" charset="0"/>
              </a:rPr>
              <a:t>Top 10 Products by Price per Gram </a:t>
            </a:r>
          </a:p>
        </c:rich>
      </c:tx>
      <c:layout>
        <c:manualLayout>
          <c:xMode val="edge"/>
          <c:yMode val="edge"/>
          <c:x val="9.1991647051851491E-2"/>
          <c:y val="4.6296296296296294E-2"/>
        </c:manualLayout>
      </c:layout>
      <c:overlay val="0"/>
      <c:spPr>
        <a:noFill/>
        <a:ln>
          <a:noFill/>
        </a:ln>
        <a:effectLst/>
      </c:spPr>
      <c:txPr>
        <a:bodyPr rot="0" spcFirstLastPara="1" vertOverflow="ellipsis" vert="horz" wrap="square" anchor="ctr" anchorCtr="1"/>
        <a:lstStyle/>
        <a:p>
          <a:pPr>
            <a:defRPr lang="en-US" sz="2000" b="1" i="0" u="none" strike="noStrike" kern="1200" spc="0" baseline="0">
              <a:solidFill>
                <a:srgbClr val="6F2DBD"/>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F2D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097535839927612"/>
          <c:y val="0.20178062553775816"/>
          <c:w val="0.43705530775640061"/>
          <c:h val="0.68839757795731749"/>
        </c:manualLayout>
      </c:layout>
      <c:barChart>
        <c:barDir val="bar"/>
        <c:grouping val="clustered"/>
        <c:varyColors val="0"/>
        <c:ser>
          <c:idx val="0"/>
          <c:order val="0"/>
          <c:tx>
            <c:strRef>
              <c:f>Analysis!$S$4</c:f>
              <c:strCache>
                <c:ptCount val="1"/>
                <c:pt idx="0">
                  <c:v>Total</c:v>
                </c:pt>
              </c:strCache>
            </c:strRef>
          </c:tx>
          <c:spPr>
            <a:solidFill>
              <a:srgbClr val="6F2D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Analysis!$R$5:$R$15</c:f>
              <c:strCache>
                <c:ptCount val="10"/>
                <c:pt idx="0">
                  <c:v>Pampers Premium Care New Baby Pants</c:v>
                </c:pt>
                <c:pt idx="1">
                  <c:v>Pampers Active Baby Diapers New Born Extra Small</c:v>
                </c:pt>
                <c:pt idx="2">
                  <c:v>MamyPoko Pants Standard Diapers, Extra Large (12 - 17 kg)</c:v>
                </c:pt>
                <c:pt idx="3">
                  <c:v>Comfy Baby Pants XL 12-17 kg</c:v>
                </c:pt>
                <c:pt idx="4">
                  <c:v>Pampers Premium Care Pants - Medium</c:v>
                </c:pt>
                <c:pt idx="5">
                  <c:v>Mamaearth Skin Correct Face Serum</c:v>
                </c:pt>
                <c:pt idx="6">
                  <c:v>Pampers Premium Care Pants - Large</c:v>
                </c:pt>
                <c:pt idx="7">
                  <c:v>Nivea Lip Balm Original Care for 24h Moisture with Shea Butter &amp; Natural Oils</c:v>
                </c:pt>
                <c:pt idx="8">
                  <c:v>Nivea Lip Balm Soft Rose for 24h Moisture with Natural Oils Delicate Rose Shine</c:v>
                </c:pt>
                <c:pt idx="9">
                  <c:v>Everest Saffron Kesar</c:v>
                </c:pt>
              </c:strCache>
            </c:strRef>
          </c:cat>
          <c:val>
            <c:numRef>
              <c:f>Analysis!$S$5:$S$15</c:f>
              <c:numCache>
                <c:formatCode>0.00</c:formatCode>
                <c:ptCount val="10"/>
                <c:pt idx="0">
                  <c:v>13.333333333333334</c:v>
                </c:pt>
                <c:pt idx="1">
                  <c:v>13.5</c:v>
                </c:pt>
                <c:pt idx="2">
                  <c:v>14.192307692307692</c:v>
                </c:pt>
                <c:pt idx="3">
                  <c:v>15.166666666666666</c:v>
                </c:pt>
                <c:pt idx="4">
                  <c:v>16.648148148148149</c:v>
                </c:pt>
                <c:pt idx="5">
                  <c:v>16.966666666666665</c:v>
                </c:pt>
                <c:pt idx="6">
                  <c:v>20.431818181818183</c:v>
                </c:pt>
                <c:pt idx="7">
                  <c:v>23.8</c:v>
                </c:pt>
                <c:pt idx="8">
                  <c:v>33.799999999999997</c:v>
                </c:pt>
                <c:pt idx="9">
                  <c:v>120</c:v>
                </c:pt>
              </c:numCache>
            </c:numRef>
          </c:val>
          <c:extLst>
            <c:ext xmlns:c16="http://schemas.microsoft.com/office/drawing/2014/chart" uri="{C3380CC4-5D6E-409C-BE32-E72D297353CC}">
              <c16:uniqueId val="{00000000-5C1E-427E-8112-D3A726D8051B}"/>
            </c:ext>
          </c:extLst>
        </c:ser>
        <c:dLbls>
          <c:showLegendKey val="0"/>
          <c:showVal val="0"/>
          <c:showCatName val="0"/>
          <c:showSerName val="0"/>
          <c:showPercent val="0"/>
          <c:showBubbleSize val="0"/>
        </c:dLbls>
        <c:gapWidth val="182"/>
        <c:axId val="1454438527"/>
        <c:axId val="1150194991"/>
      </c:barChart>
      <c:catAx>
        <c:axId val="1454438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34303B"/>
                </a:solidFill>
                <a:latin typeface="+mn-lt"/>
                <a:ea typeface="+mn-ea"/>
                <a:cs typeface="+mn-cs"/>
              </a:defRPr>
            </a:pPr>
            <a:endParaRPr lang="en-US"/>
          </a:p>
        </c:txPr>
        <c:crossAx val="1150194991"/>
        <c:crosses val="autoZero"/>
        <c:auto val="1"/>
        <c:lblAlgn val="ctr"/>
        <c:lblOffset val="100"/>
        <c:noMultiLvlLbl val="0"/>
      </c:catAx>
      <c:valAx>
        <c:axId val="1150194991"/>
        <c:scaling>
          <c:orientation val="minMax"/>
        </c:scaling>
        <c:delete val="1"/>
        <c:axPos val="b"/>
        <c:numFmt formatCode="0.00" sourceLinked="1"/>
        <c:majorTickMark val="none"/>
        <c:minorTickMark val="none"/>
        <c:tickLblPos val="nextTo"/>
        <c:crossAx val="145443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solidFill>
                <a:latin typeface="Sitka Subheading Semibold" pitchFamily="2" charset="0"/>
                <a:ea typeface="+mn-ea"/>
                <a:cs typeface="+mn-cs"/>
              </a:defRPr>
            </a:pPr>
            <a:r>
              <a:rPr lang="en-US" sz="1600">
                <a:solidFill>
                  <a:schemeClr val="tx1"/>
                </a:solidFill>
                <a:latin typeface="Sitka Subheading Semibold" pitchFamily="2" charset="0"/>
              </a:rPr>
              <a:t>Top 10</a:t>
            </a:r>
            <a:r>
              <a:rPr lang="en-US" sz="1600" baseline="0">
                <a:solidFill>
                  <a:schemeClr val="tx1"/>
                </a:solidFill>
                <a:latin typeface="Sitka Subheading Semibold" pitchFamily="2" charset="0"/>
              </a:rPr>
              <a:t> Premium Products</a:t>
            </a:r>
          </a:p>
        </c:rich>
      </c:tx>
      <c:layout>
        <c:manualLayout>
          <c:xMode val="edge"/>
          <c:yMode val="edge"/>
          <c:x val="0.260090113735783"/>
          <c:y val="5.614035087719298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Sitka Subheading Semibold" pitchFamily="2" charset="0"/>
              <a:ea typeface="+mn-ea"/>
              <a:cs typeface="+mn-cs"/>
            </a:defRPr>
          </a:pPr>
          <a:endParaRPr lang="en-US"/>
        </a:p>
      </c:txPr>
    </c:title>
    <c:autoTitleDeleted val="0"/>
    <c:pivotFmts>
      <c:pivotFmt>
        <c:idx val="0"/>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E71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611175440"/>
        <c:axId val="611168720"/>
      </c:barChart>
      <c:catAx>
        <c:axId val="61117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11168720"/>
        <c:crosses val="autoZero"/>
        <c:auto val="1"/>
        <c:lblAlgn val="ctr"/>
        <c:lblOffset val="100"/>
        <c:noMultiLvlLbl val="0"/>
      </c:catAx>
      <c:valAx>
        <c:axId val="611168720"/>
        <c:scaling>
          <c:orientation val="minMax"/>
        </c:scaling>
        <c:delete val="1"/>
        <c:axPos val="b"/>
        <c:numFmt formatCode="General" sourceLinked="1"/>
        <c:majorTickMark val="none"/>
        <c:minorTickMark val="none"/>
        <c:tickLblPos val="nextTo"/>
        <c:crossAx val="61117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[Zepto_Data_Analysis.xlsx]Analysis!PivotTable5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000" b="1" i="0" u="none" strike="noStrike" kern="1200" spc="0" baseline="0">
                <a:solidFill>
                  <a:srgbClr val="6F2DBD"/>
                </a:solidFill>
                <a:latin typeface="Sitka Subheading Semibold" pitchFamily="2" charset="0"/>
                <a:ea typeface="+mn-ea"/>
                <a:cs typeface="Times New Roman" panose="02020603050405020304" pitchFamily="18" charset="0"/>
              </a:defRPr>
            </a:pPr>
            <a:r>
              <a:rPr lang="en-IN" sz="2000" b="1" i="0" u="none" strike="noStrike" kern="1200" spc="0" baseline="0">
                <a:solidFill>
                  <a:srgbClr val="6F2DBD"/>
                </a:solidFill>
                <a:latin typeface="Sitka Subheading Semibold" pitchFamily="2" charset="0"/>
                <a:ea typeface="+mn-ea"/>
                <a:cs typeface="Times New Roman" panose="02020603050405020304" pitchFamily="18" charset="0"/>
              </a:rPr>
              <a:t>Stock Rate by Discount Band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2000" b="1" i="0" u="none" strike="noStrike" kern="1200" spc="0" baseline="0">
              <a:solidFill>
                <a:srgbClr val="6F2DBD"/>
              </a:solidFill>
              <a:latin typeface="Sitka Subheading Semibold" pitchFamily="2"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1D9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8E9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8E98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8E98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C1D95"/>
          </a:solidFill>
          <a:ln>
            <a:noFill/>
          </a:ln>
          <a:effectLst/>
        </c:spPr>
      </c:pivotFmt>
      <c:pivotFmt>
        <c:idx val="9"/>
        <c:spPr>
          <a:solidFill>
            <a:srgbClr val="B8E986"/>
          </a:solidFill>
          <a:ln>
            <a:noFill/>
          </a:ln>
          <a:effectLst/>
        </c:spPr>
      </c:pivotFmt>
    </c:pivotFmts>
    <c:plotArea>
      <c:layout/>
      <c:barChart>
        <c:barDir val="col"/>
        <c:grouping val="clustered"/>
        <c:varyColors val="0"/>
        <c:ser>
          <c:idx val="0"/>
          <c:order val="0"/>
          <c:tx>
            <c:strRef>
              <c:f>Analysis!$B$23:$B$24</c:f>
              <c:strCache>
                <c:ptCount val="1"/>
                <c:pt idx="0">
                  <c:v>FALSE</c:v>
                </c:pt>
              </c:strCache>
            </c:strRef>
          </c:tx>
          <c:spPr>
            <a:solidFill>
              <a:srgbClr val="4C1D9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Analysis!$A$25:$A$30</c:f>
              <c:strCache>
                <c:ptCount val="5"/>
                <c:pt idx="0">
                  <c:v>0-5%</c:v>
                </c:pt>
                <c:pt idx="1">
                  <c:v>11-15%</c:v>
                </c:pt>
                <c:pt idx="2">
                  <c:v>16-20%</c:v>
                </c:pt>
                <c:pt idx="3">
                  <c:v>21%+</c:v>
                </c:pt>
                <c:pt idx="4">
                  <c:v>6-10%</c:v>
                </c:pt>
              </c:strCache>
            </c:strRef>
          </c:cat>
          <c:val>
            <c:numRef>
              <c:f>Analysis!$B$25:$B$30</c:f>
              <c:numCache>
                <c:formatCode>0.00%</c:formatCode>
                <c:ptCount val="5"/>
                <c:pt idx="0">
                  <c:v>0.84488836662749711</c:v>
                </c:pt>
                <c:pt idx="1">
                  <c:v>0.93922651933701662</c:v>
                </c:pt>
                <c:pt idx="2">
                  <c:v>0.94160583941605835</c:v>
                </c:pt>
                <c:pt idx="3">
                  <c:v>0.91818181818181821</c:v>
                </c:pt>
                <c:pt idx="4">
                  <c:v>0.89473684210526316</c:v>
                </c:pt>
              </c:numCache>
            </c:numRef>
          </c:val>
          <c:extLst>
            <c:ext xmlns:c16="http://schemas.microsoft.com/office/drawing/2014/chart" uri="{C3380CC4-5D6E-409C-BE32-E72D297353CC}">
              <c16:uniqueId val="{00000000-F762-4472-9683-A5867A58B8F3}"/>
            </c:ext>
          </c:extLst>
        </c:ser>
        <c:ser>
          <c:idx val="1"/>
          <c:order val="1"/>
          <c:tx>
            <c:strRef>
              <c:f>Analysis!$C$23:$C$24</c:f>
              <c:strCache>
                <c:ptCount val="1"/>
                <c:pt idx="0">
                  <c:v>TRUE</c:v>
                </c:pt>
              </c:strCache>
            </c:strRef>
          </c:tx>
          <c:spPr>
            <a:solidFill>
              <a:srgbClr val="B8E98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430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Analysis!$A$25:$A$30</c:f>
              <c:strCache>
                <c:ptCount val="5"/>
                <c:pt idx="0">
                  <c:v>0-5%</c:v>
                </c:pt>
                <c:pt idx="1">
                  <c:v>11-15%</c:v>
                </c:pt>
                <c:pt idx="2">
                  <c:v>16-20%</c:v>
                </c:pt>
                <c:pt idx="3">
                  <c:v>21%+</c:v>
                </c:pt>
                <c:pt idx="4">
                  <c:v>6-10%</c:v>
                </c:pt>
              </c:strCache>
            </c:strRef>
          </c:cat>
          <c:val>
            <c:numRef>
              <c:f>Analysis!$C$25:$C$30</c:f>
              <c:numCache>
                <c:formatCode>0.00%</c:formatCode>
                <c:ptCount val="5"/>
                <c:pt idx="0">
                  <c:v>0.15511163337250294</c:v>
                </c:pt>
                <c:pt idx="1">
                  <c:v>6.0773480662983423E-2</c:v>
                </c:pt>
                <c:pt idx="2">
                  <c:v>5.8394160583941604E-2</c:v>
                </c:pt>
                <c:pt idx="3">
                  <c:v>8.1818181818181818E-2</c:v>
                </c:pt>
                <c:pt idx="4">
                  <c:v>0.10526315789473684</c:v>
                </c:pt>
              </c:numCache>
            </c:numRef>
          </c:val>
          <c:extLst>
            <c:ext xmlns:c16="http://schemas.microsoft.com/office/drawing/2014/chart" uri="{C3380CC4-5D6E-409C-BE32-E72D297353CC}">
              <c16:uniqueId val="{00000004-F762-4472-9683-A5867A58B8F3}"/>
            </c:ext>
          </c:extLst>
        </c:ser>
        <c:dLbls>
          <c:showLegendKey val="0"/>
          <c:showVal val="0"/>
          <c:showCatName val="0"/>
          <c:showSerName val="0"/>
          <c:showPercent val="0"/>
          <c:showBubbleSize val="0"/>
        </c:dLbls>
        <c:gapWidth val="219"/>
        <c:overlap val="-27"/>
        <c:axId val="1784660863"/>
        <c:axId val="943564783"/>
      </c:barChart>
      <c:catAx>
        <c:axId val="17846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4303B"/>
                </a:solidFill>
                <a:latin typeface="+mn-lt"/>
                <a:ea typeface="+mn-ea"/>
                <a:cs typeface="+mn-cs"/>
              </a:defRPr>
            </a:pPr>
            <a:endParaRPr lang="en-US"/>
          </a:p>
        </c:txPr>
        <c:crossAx val="943564783"/>
        <c:crosses val="autoZero"/>
        <c:auto val="1"/>
        <c:lblAlgn val="ctr"/>
        <c:lblOffset val="100"/>
        <c:noMultiLvlLbl val="0"/>
      </c:catAx>
      <c:valAx>
        <c:axId val="943564783"/>
        <c:scaling>
          <c:orientation val="minMax"/>
        </c:scaling>
        <c:delete val="1"/>
        <c:axPos val="l"/>
        <c:numFmt formatCode="0.00%" sourceLinked="1"/>
        <c:majorTickMark val="none"/>
        <c:minorTickMark val="none"/>
        <c:tickLblPos val="nextTo"/>
        <c:crossAx val="1784660863"/>
        <c:crosses val="autoZero"/>
        <c:crossBetween val="between"/>
      </c:valAx>
      <c:spPr>
        <a:noFill/>
        <a:ln>
          <a:noFill/>
        </a:ln>
        <a:effectLst/>
      </c:spPr>
    </c:plotArea>
    <c:legend>
      <c:legendPos val="r"/>
      <c:layout>
        <c:manualLayout>
          <c:xMode val="edge"/>
          <c:yMode val="edge"/>
          <c:x val="0.85883207607012224"/>
          <c:y val="0.41801415047870588"/>
          <c:w val="8.9448135264598549E-2"/>
          <c:h val="0.15322962350730637"/>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3430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207819</xdr:colOff>
      <xdr:row>29</xdr:row>
      <xdr:rowOff>175779</xdr:rowOff>
    </xdr:from>
    <xdr:to>
      <xdr:col>12</xdr:col>
      <xdr:colOff>265836</xdr:colOff>
      <xdr:row>44</xdr:row>
      <xdr:rowOff>71005</xdr:rowOff>
    </xdr:to>
    <xdr:sp macro="" textlink="">
      <xdr:nvSpPr>
        <xdr:cNvPr id="32" name="Rectangle: Rounded Corners 31">
          <a:extLst>
            <a:ext uri="{FF2B5EF4-FFF2-40B4-BE49-F238E27FC236}">
              <a16:creationId xmlns:a16="http://schemas.microsoft.com/office/drawing/2014/main" id="{0B0E0409-7C77-8AB4-9729-83A3AE9C4029}"/>
            </a:ext>
          </a:extLst>
        </xdr:cNvPr>
        <xdr:cNvSpPr/>
      </xdr:nvSpPr>
      <xdr:spPr>
        <a:xfrm>
          <a:off x="2632364" y="5700279"/>
          <a:ext cx="4907108" cy="2752726"/>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331695</xdr:colOff>
      <xdr:row>15</xdr:row>
      <xdr:rowOff>69273</xdr:rowOff>
    </xdr:from>
    <xdr:to>
      <xdr:col>12</xdr:col>
      <xdr:colOff>190500</xdr:colOff>
      <xdr:row>29</xdr:row>
      <xdr:rowOff>17318</xdr:rowOff>
    </xdr:to>
    <xdr:sp macro="" textlink="">
      <xdr:nvSpPr>
        <xdr:cNvPr id="7" name="Rectangle: Rounded Corners 6">
          <a:extLst>
            <a:ext uri="{FF2B5EF4-FFF2-40B4-BE49-F238E27FC236}">
              <a16:creationId xmlns:a16="http://schemas.microsoft.com/office/drawing/2014/main" id="{A44DF6F3-6511-8581-6A43-63320C863006}"/>
            </a:ext>
          </a:extLst>
        </xdr:cNvPr>
        <xdr:cNvSpPr/>
      </xdr:nvSpPr>
      <xdr:spPr>
        <a:xfrm>
          <a:off x="2756240" y="2926773"/>
          <a:ext cx="4707896" cy="2615045"/>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365588</xdr:colOff>
      <xdr:row>7</xdr:row>
      <xdr:rowOff>79490</xdr:rowOff>
    </xdr:from>
    <xdr:to>
      <xdr:col>10</xdr:col>
      <xdr:colOff>562812</xdr:colOff>
      <xdr:row>14</xdr:row>
      <xdr:rowOff>104055</xdr:rowOff>
    </xdr:to>
    <xdr:grpSp>
      <xdr:nvGrpSpPr>
        <xdr:cNvPr id="39" name="Group 38">
          <a:extLst>
            <a:ext uri="{FF2B5EF4-FFF2-40B4-BE49-F238E27FC236}">
              <a16:creationId xmlns:a16="http://schemas.microsoft.com/office/drawing/2014/main" id="{B161181C-A608-3CF3-B4D1-CA5E8B946BF4}"/>
            </a:ext>
          </a:extLst>
        </xdr:cNvPr>
        <xdr:cNvGrpSpPr/>
      </xdr:nvGrpSpPr>
      <xdr:grpSpPr>
        <a:xfrm>
          <a:off x="4023188" y="1412990"/>
          <a:ext cx="2635624" cy="1358065"/>
          <a:chOff x="152474" y="1350601"/>
          <a:chExt cx="2629762" cy="1407086"/>
        </a:xfrm>
      </xdr:grpSpPr>
      <xdr:sp macro="" textlink="">
        <xdr:nvSpPr>
          <xdr:cNvPr id="2" name="Rectangle: Rounded Corners 1">
            <a:extLst>
              <a:ext uri="{FF2B5EF4-FFF2-40B4-BE49-F238E27FC236}">
                <a16:creationId xmlns:a16="http://schemas.microsoft.com/office/drawing/2014/main" id="{581E94E6-1E58-DE4F-C328-C3E1E06BCD0F}"/>
              </a:ext>
            </a:extLst>
          </xdr:cNvPr>
          <xdr:cNvSpPr/>
        </xdr:nvSpPr>
        <xdr:spPr>
          <a:xfrm>
            <a:off x="190500" y="1376082"/>
            <a:ext cx="2488567" cy="1381605"/>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blipFill>
                <a:blip xmlns:r="http://schemas.openxmlformats.org/officeDocument/2006/relationships" r:embed="rId1"/>
                <a:tile tx="0" ty="0" sx="100000" sy="100000" flip="none" algn="tl"/>
              </a:blipFill>
            </a:endParaRPr>
          </a:p>
        </xdr:txBody>
      </xdr:sp>
      <xdr:sp macro="" textlink="">
        <xdr:nvSpPr>
          <xdr:cNvPr id="9" name="TextBox 8">
            <a:extLst>
              <a:ext uri="{FF2B5EF4-FFF2-40B4-BE49-F238E27FC236}">
                <a16:creationId xmlns:a16="http://schemas.microsoft.com/office/drawing/2014/main" id="{8B8FE181-21C4-2965-3A0D-7C2115BA4346}"/>
              </a:ext>
            </a:extLst>
          </xdr:cNvPr>
          <xdr:cNvSpPr txBox="1"/>
        </xdr:nvSpPr>
        <xdr:spPr>
          <a:xfrm>
            <a:off x="152474" y="1350601"/>
            <a:ext cx="2629762" cy="444087"/>
          </a:xfrm>
          <a:prstGeom prst="rect">
            <a:avLst/>
          </a:prstGeom>
          <a:no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6F2DBD"/>
                </a:solidFill>
                <a:latin typeface="Sitka Subheading Semibold" pitchFamily="2" charset="0"/>
              </a:rPr>
              <a:t>Total Products</a:t>
            </a:r>
          </a:p>
        </xdr:txBody>
      </xdr:sp>
    </xdr:grpSp>
    <xdr:clientData/>
  </xdr:twoCellAnchor>
  <xdr:twoCellAnchor>
    <xdr:from>
      <xdr:col>18</xdr:col>
      <xdr:colOff>13966</xdr:colOff>
      <xdr:row>7</xdr:row>
      <xdr:rowOff>57618</xdr:rowOff>
    </xdr:from>
    <xdr:to>
      <xdr:col>23</xdr:col>
      <xdr:colOff>388560</xdr:colOff>
      <xdr:row>14</xdr:row>
      <xdr:rowOff>106761</xdr:rowOff>
    </xdr:to>
    <xdr:grpSp>
      <xdr:nvGrpSpPr>
        <xdr:cNvPr id="37" name="Group 36">
          <a:extLst>
            <a:ext uri="{FF2B5EF4-FFF2-40B4-BE49-F238E27FC236}">
              <a16:creationId xmlns:a16="http://schemas.microsoft.com/office/drawing/2014/main" id="{59639E2B-EF09-E255-5942-226139DE8403}"/>
            </a:ext>
          </a:extLst>
        </xdr:cNvPr>
        <xdr:cNvGrpSpPr/>
      </xdr:nvGrpSpPr>
      <xdr:grpSpPr>
        <a:xfrm>
          <a:off x="10986766" y="1391118"/>
          <a:ext cx="3422594" cy="1382643"/>
          <a:chOff x="6044713" y="1352631"/>
          <a:chExt cx="3418083" cy="1382643"/>
        </a:xfrm>
      </xdr:grpSpPr>
      <xdr:sp macro="" textlink="">
        <xdr:nvSpPr>
          <xdr:cNvPr id="5" name="Rectangle: Rounded Corners 4">
            <a:extLst>
              <a:ext uri="{FF2B5EF4-FFF2-40B4-BE49-F238E27FC236}">
                <a16:creationId xmlns:a16="http://schemas.microsoft.com/office/drawing/2014/main" id="{141F6A8B-F74B-2AE0-B75C-131B895DF56D}"/>
              </a:ext>
            </a:extLst>
          </xdr:cNvPr>
          <xdr:cNvSpPr/>
        </xdr:nvSpPr>
        <xdr:spPr>
          <a:xfrm>
            <a:off x="6044713" y="1353669"/>
            <a:ext cx="3067007" cy="1381605"/>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1E977184-F69E-AC03-BC88-869A4ECF2CD1}"/>
              </a:ext>
            </a:extLst>
          </xdr:cNvPr>
          <xdr:cNvSpPr txBox="1"/>
        </xdr:nvSpPr>
        <xdr:spPr>
          <a:xfrm>
            <a:off x="6117882" y="1352631"/>
            <a:ext cx="3344914" cy="634493"/>
          </a:xfrm>
          <a:prstGeom prst="rect">
            <a:avLst/>
          </a:prstGeom>
          <a:no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a:solidFill>
                  <a:srgbClr val="6F2DBD"/>
                </a:solidFill>
                <a:latin typeface="Sitka Subheading Semibold" pitchFamily="2" charset="0"/>
                <a:ea typeface="+mn-ea"/>
                <a:cs typeface="+mn-cs"/>
              </a:rPr>
              <a:t>Avg Selling Price   </a:t>
            </a:r>
          </a:p>
        </xdr:txBody>
      </xdr:sp>
    </xdr:grpSp>
    <xdr:clientData/>
  </xdr:twoCellAnchor>
  <xdr:twoCellAnchor>
    <xdr:from>
      <xdr:col>23</xdr:col>
      <xdr:colOff>560740</xdr:colOff>
      <xdr:row>6</xdr:row>
      <xdr:rowOff>184196</xdr:rowOff>
    </xdr:from>
    <xdr:to>
      <xdr:col>31</xdr:col>
      <xdr:colOff>277094</xdr:colOff>
      <xdr:row>14</xdr:row>
      <xdr:rowOff>84202</xdr:rowOff>
    </xdr:to>
    <xdr:grpSp>
      <xdr:nvGrpSpPr>
        <xdr:cNvPr id="36" name="Group 35">
          <a:extLst>
            <a:ext uri="{FF2B5EF4-FFF2-40B4-BE49-F238E27FC236}">
              <a16:creationId xmlns:a16="http://schemas.microsoft.com/office/drawing/2014/main" id="{CEDDDF96-EA67-F15A-66FA-D01FC4B3648B}"/>
            </a:ext>
          </a:extLst>
        </xdr:cNvPr>
        <xdr:cNvGrpSpPr/>
      </xdr:nvGrpSpPr>
      <xdr:grpSpPr>
        <a:xfrm>
          <a:off x="14581540" y="1327196"/>
          <a:ext cx="4593154" cy="1424006"/>
          <a:chOff x="9364474" y="1332708"/>
          <a:chExt cx="4584266" cy="1390642"/>
        </a:xfrm>
      </xdr:grpSpPr>
      <xdr:sp macro="" textlink="">
        <xdr:nvSpPr>
          <xdr:cNvPr id="6" name="Rectangle: Rounded Corners 5">
            <a:extLst>
              <a:ext uri="{FF2B5EF4-FFF2-40B4-BE49-F238E27FC236}">
                <a16:creationId xmlns:a16="http://schemas.microsoft.com/office/drawing/2014/main" id="{51FE8495-6E46-0384-CEDB-0578F539F5E0}"/>
              </a:ext>
            </a:extLst>
          </xdr:cNvPr>
          <xdr:cNvSpPr/>
        </xdr:nvSpPr>
        <xdr:spPr>
          <a:xfrm>
            <a:off x="9364474" y="1332708"/>
            <a:ext cx="3156666" cy="1381605"/>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925F17A2-9693-5EEA-15CA-F3BA2C9AEB99}"/>
              </a:ext>
            </a:extLst>
          </xdr:cNvPr>
          <xdr:cNvSpPr txBox="1"/>
        </xdr:nvSpPr>
        <xdr:spPr>
          <a:xfrm>
            <a:off x="9759081" y="1376734"/>
            <a:ext cx="4189659" cy="1346616"/>
          </a:xfrm>
          <a:prstGeom prst="rect">
            <a:avLst/>
          </a:prstGeom>
          <a:no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800">
                <a:solidFill>
                  <a:srgbClr val="6F2DBD"/>
                </a:solidFill>
                <a:latin typeface="Sitka Subheading Semibold" pitchFamily="2" charset="0"/>
                <a:ea typeface="+mn-ea"/>
                <a:cs typeface="+mn-cs"/>
              </a:rPr>
              <a:t>Avg</a:t>
            </a:r>
            <a:r>
              <a:rPr lang="en-IN" sz="2800" baseline="0">
                <a:solidFill>
                  <a:srgbClr val="6F2DBD"/>
                </a:solidFill>
                <a:latin typeface="Sitka Subheading Semibold" pitchFamily="2" charset="0"/>
                <a:ea typeface="+mn-ea"/>
                <a:cs typeface="+mn-cs"/>
              </a:rPr>
              <a:t> </a:t>
            </a:r>
            <a:r>
              <a:rPr lang="en-IN" sz="2800">
                <a:solidFill>
                  <a:srgbClr val="6F2DBD"/>
                </a:solidFill>
                <a:latin typeface="Sitka Subheading Semibold" pitchFamily="2" charset="0"/>
                <a:ea typeface="+mn-ea"/>
                <a:cs typeface="+mn-cs"/>
              </a:rPr>
              <a:t>Discount</a:t>
            </a:r>
          </a:p>
          <a:p>
            <a:r>
              <a:rPr lang="en-IN" sz="3200">
                <a:effectLst/>
                <a:latin typeface="Sitka Subheading Semibold" pitchFamily="2" charset="0"/>
              </a:rPr>
              <a:t> </a:t>
            </a:r>
            <a:endParaRPr lang="en-IN" sz="3200">
              <a:latin typeface="Sitka Subheading Semibold" pitchFamily="2" charset="0"/>
            </a:endParaRPr>
          </a:p>
        </xdr:txBody>
      </xdr:sp>
    </xdr:grpSp>
    <xdr:clientData/>
  </xdr:twoCellAnchor>
  <xdr:twoCellAnchor>
    <xdr:from>
      <xdr:col>5</xdr:col>
      <xdr:colOff>211792</xdr:colOff>
      <xdr:row>14</xdr:row>
      <xdr:rowOff>59951</xdr:rowOff>
    </xdr:from>
    <xdr:to>
      <xdr:col>13</xdr:col>
      <xdr:colOff>192741</xdr:colOff>
      <xdr:row>28</xdr:row>
      <xdr:rowOff>156161</xdr:rowOff>
    </xdr:to>
    <xdr:graphicFrame macro="">
      <xdr:nvGraphicFramePr>
        <xdr:cNvPr id="19" name="Chart 18">
          <a:extLst>
            <a:ext uri="{FF2B5EF4-FFF2-40B4-BE49-F238E27FC236}">
              <a16:creationId xmlns:a16="http://schemas.microsoft.com/office/drawing/2014/main" id="{222B6DA8-1A66-4F77-8892-932B557FC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400051</xdr:colOff>
      <xdr:row>14</xdr:row>
      <xdr:rowOff>95250</xdr:rowOff>
    </xdr:from>
    <xdr:to>
      <xdr:col>21</xdr:col>
      <xdr:colOff>69272</xdr:colOff>
      <xdr:row>29</xdr:row>
      <xdr:rowOff>50303</xdr:rowOff>
    </xdr:to>
    <xdr:grpSp>
      <xdr:nvGrpSpPr>
        <xdr:cNvPr id="31" name="Group 30">
          <a:extLst>
            <a:ext uri="{FF2B5EF4-FFF2-40B4-BE49-F238E27FC236}">
              <a16:creationId xmlns:a16="http://schemas.microsoft.com/office/drawing/2014/main" id="{9DA736C9-4575-B2DB-C02E-B844AED34568}"/>
            </a:ext>
          </a:extLst>
        </xdr:cNvPr>
        <xdr:cNvGrpSpPr/>
      </xdr:nvGrpSpPr>
      <xdr:grpSpPr>
        <a:xfrm>
          <a:off x="7715251" y="2762250"/>
          <a:ext cx="5155621" cy="2812553"/>
          <a:chOff x="5000626" y="1600200"/>
          <a:chExt cx="4629150" cy="2714625"/>
        </a:xfrm>
      </xdr:grpSpPr>
      <xdr:sp macro="" textlink="">
        <xdr:nvSpPr>
          <xdr:cNvPr id="21" name="Rectangle: Rounded Corners 20">
            <a:extLst>
              <a:ext uri="{FF2B5EF4-FFF2-40B4-BE49-F238E27FC236}">
                <a16:creationId xmlns:a16="http://schemas.microsoft.com/office/drawing/2014/main" id="{5F92D2D0-4BF5-0370-CDD6-61304BC7F5A3}"/>
              </a:ext>
            </a:extLst>
          </xdr:cNvPr>
          <xdr:cNvSpPr/>
        </xdr:nvSpPr>
        <xdr:spPr>
          <a:xfrm>
            <a:off x="5000626" y="1724025"/>
            <a:ext cx="4629150" cy="2533650"/>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BCB9E48B-B68A-49BE-BC55-160FBC8F51FD}"/>
              </a:ext>
            </a:extLst>
          </xdr:cNvPr>
          <xdr:cNvGraphicFramePr>
            <a:graphicFrameLocks/>
          </xdr:cNvGraphicFramePr>
        </xdr:nvGraphicFramePr>
        <xdr:xfrm>
          <a:off x="5000626" y="1600200"/>
          <a:ext cx="4572000" cy="271462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4</xdr:col>
      <xdr:colOff>209551</xdr:colOff>
      <xdr:row>30</xdr:row>
      <xdr:rowOff>19049</xdr:rowOff>
    </xdr:from>
    <xdr:to>
      <xdr:col>11</xdr:col>
      <xdr:colOff>514351</xdr:colOff>
      <xdr:row>43</xdr:row>
      <xdr:rowOff>108387</xdr:rowOff>
    </xdr:to>
    <xdr:graphicFrame macro="">
      <xdr:nvGraphicFramePr>
        <xdr:cNvPr id="26" name="Chart 25">
          <a:extLst>
            <a:ext uri="{FF2B5EF4-FFF2-40B4-BE49-F238E27FC236}">
              <a16:creationId xmlns:a16="http://schemas.microsoft.com/office/drawing/2014/main" id="{1794B2CF-29C3-4045-B173-1BE85D19C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444213</xdr:colOff>
      <xdr:row>30</xdr:row>
      <xdr:rowOff>2597</xdr:rowOff>
    </xdr:from>
    <xdr:to>
      <xdr:col>21</xdr:col>
      <xdr:colOff>173182</xdr:colOff>
      <xdr:row>44</xdr:row>
      <xdr:rowOff>69273</xdr:rowOff>
    </xdr:to>
    <xdr:sp macro="" textlink="">
      <xdr:nvSpPr>
        <xdr:cNvPr id="27" name="Rectangle: Rounded Corners 26">
          <a:extLst>
            <a:ext uri="{FF2B5EF4-FFF2-40B4-BE49-F238E27FC236}">
              <a16:creationId xmlns:a16="http://schemas.microsoft.com/office/drawing/2014/main" id="{3975F2DC-76D4-03CB-020B-A0D29887EF57}"/>
            </a:ext>
          </a:extLst>
        </xdr:cNvPr>
        <xdr:cNvSpPr/>
      </xdr:nvSpPr>
      <xdr:spPr>
        <a:xfrm>
          <a:off x="7717849" y="5717597"/>
          <a:ext cx="5184197" cy="2733676"/>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390526</xdr:colOff>
      <xdr:row>29</xdr:row>
      <xdr:rowOff>28574</xdr:rowOff>
    </xdr:from>
    <xdr:to>
      <xdr:col>20</xdr:col>
      <xdr:colOff>85726</xdr:colOff>
      <xdr:row>44</xdr:row>
      <xdr:rowOff>13233</xdr:rowOff>
    </xdr:to>
    <xdr:graphicFrame macro="">
      <xdr:nvGraphicFramePr>
        <xdr:cNvPr id="28" name="Chart 27">
          <a:extLst>
            <a:ext uri="{FF2B5EF4-FFF2-40B4-BE49-F238E27FC236}">
              <a16:creationId xmlns:a16="http://schemas.microsoft.com/office/drawing/2014/main" id="{4D545E81-3F83-4B91-B9A7-BDA4A84E1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519545</xdr:colOff>
      <xdr:row>0</xdr:row>
      <xdr:rowOff>0</xdr:rowOff>
    </xdr:from>
    <xdr:to>
      <xdr:col>27</xdr:col>
      <xdr:colOff>420582</xdr:colOff>
      <xdr:row>6</xdr:row>
      <xdr:rowOff>54429</xdr:rowOff>
    </xdr:to>
    <xdr:sp macro="" textlink="">
      <xdr:nvSpPr>
        <xdr:cNvPr id="16" name="TextBox 15">
          <a:extLst>
            <a:ext uri="{FF2B5EF4-FFF2-40B4-BE49-F238E27FC236}">
              <a16:creationId xmlns:a16="http://schemas.microsoft.com/office/drawing/2014/main" id="{4F68314A-F15B-B3E8-FF60-C7C5E1A93FCB}"/>
            </a:ext>
          </a:extLst>
        </xdr:cNvPr>
        <xdr:cNvSpPr txBox="1"/>
      </xdr:nvSpPr>
      <xdr:spPr>
        <a:xfrm>
          <a:off x="4762500" y="0"/>
          <a:ext cx="12023764" cy="1197429"/>
        </a:xfrm>
        <a:prstGeom prst="rect">
          <a:avLst/>
        </a:prstGeom>
        <a:no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800" b="0" i="0" cap="none" spc="0" baseline="0">
              <a:ln w="12700">
                <a:noFill/>
                <a:prstDash val="solid"/>
              </a:ln>
              <a:solidFill>
                <a:srgbClr val="6F2DBD"/>
              </a:solidFill>
              <a:effectLst/>
              <a:latin typeface="Segoe UI Black" panose="020B0A02040204020203" pitchFamily="34" charset="0"/>
              <a:ea typeface="Segoe UI Black" panose="020B0A02040204020203" pitchFamily="34" charset="0"/>
            </a:rPr>
            <a:t>Zepto Product &amp; Inventory Analysis</a:t>
          </a:r>
          <a:endParaRPr lang="en-IN" sz="4800" b="0" i="0" cap="none" spc="0">
            <a:ln w="12700">
              <a:noFill/>
              <a:prstDash val="solid"/>
            </a:ln>
            <a:solidFill>
              <a:srgbClr val="6F2DBD"/>
            </a:solidFill>
            <a:effectLst/>
            <a:latin typeface="Segoe UI Black" panose="020B0A02040204020203" pitchFamily="34" charset="0"/>
            <a:ea typeface="Segoe UI Black" panose="020B0A02040204020203" pitchFamily="34" charset="0"/>
          </a:endParaRPr>
        </a:p>
      </xdr:txBody>
    </xdr:sp>
    <xdr:clientData/>
  </xdr:twoCellAnchor>
  <xdr:twoCellAnchor>
    <xdr:from>
      <xdr:col>12</xdr:col>
      <xdr:colOff>135272</xdr:colOff>
      <xdr:row>14</xdr:row>
      <xdr:rowOff>144221</xdr:rowOff>
    </xdr:from>
    <xdr:to>
      <xdr:col>21</xdr:col>
      <xdr:colOff>407415</xdr:colOff>
      <xdr:row>29</xdr:row>
      <xdr:rowOff>29921</xdr:rowOff>
    </xdr:to>
    <xdr:graphicFrame macro="">
      <xdr:nvGraphicFramePr>
        <xdr:cNvPr id="8" name="Chart 7">
          <a:extLst>
            <a:ext uri="{FF2B5EF4-FFF2-40B4-BE49-F238E27FC236}">
              <a16:creationId xmlns:a16="http://schemas.microsoft.com/office/drawing/2014/main" id="{B092E855-BD94-4FDC-AF0B-DF6E1A013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311728</xdr:colOff>
      <xdr:row>15</xdr:row>
      <xdr:rowOff>69273</xdr:rowOff>
    </xdr:from>
    <xdr:to>
      <xdr:col>12</xdr:col>
      <xdr:colOff>34637</xdr:colOff>
      <xdr:row>29</xdr:row>
      <xdr:rowOff>0</xdr:rowOff>
    </xdr:to>
    <xdr:graphicFrame macro="">
      <xdr:nvGraphicFramePr>
        <xdr:cNvPr id="14" name="Chart 13">
          <a:extLst>
            <a:ext uri="{FF2B5EF4-FFF2-40B4-BE49-F238E27FC236}">
              <a16:creationId xmlns:a16="http://schemas.microsoft.com/office/drawing/2014/main" id="{B2FD864D-3F51-4657-BD83-BA8D4C03C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467590</xdr:colOff>
      <xdr:row>30</xdr:row>
      <xdr:rowOff>27708</xdr:rowOff>
    </xdr:from>
    <xdr:to>
      <xdr:col>21</xdr:col>
      <xdr:colOff>190497</xdr:colOff>
      <xdr:row>44</xdr:row>
      <xdr:rowOff>103908</xdr:rowOff>
    </xdr:to>
    <xdr:graphicFrame macro="">
      <xdr:nvGraphicFramePr>
        <xdr:cNvPr id="20" name="Chart 19">
          <a:extLst>
            <a:ext uri="{FF2B5EF4-FFF2-40B4-BE49-F238E27FC236}">
              <a16:creationId xmlns:a16="http://schemas.microsoft.com/office/drawing/2014/main" id="{5A781085-82DB-4897-B49E-0A392A1F3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575187</xdr:colOff>
      <xdr:row>30</xdr:row>
      <xdr:rowOff>629</xdr:rowOff>
    </xdr:from>
    <xdr:to>
      <xdr:col>30</xdr:col>
      <xdr:colOff>294410</xdr:colOff>
      <xdr:row>44</xdr:row>
      <xdr:rowOff>121226</xdr:rowOff>
    </xdr:to>
    <xdr:sp macro="" textlink="">
      <xdr:nvSpPr>
        <xdr:cNvPr id="25" name="Rectangle: Rounded Corners 24">
          <a:extLst>
            <a:ext uri="{FF2B5EF4-FFF2-40B4-BE49-F238E27FC236}">
              <a16:creationId xmlns:a16="http://schemas.microsoft.com/office/drawing/2014/main" id="{3F9057D1-63A5-2501-8E5B-B2BC8B63A8C4}"/>
            </a:ext>
          </a:extLst>
        </xdr:cNvPr>
        <xdr:cNvSpPr/>
      </xdr:nvSpPr>
      <xdr:spPr>
        <a:xfrm>
          <a:off x="13304051" y="5715629"/>
          <a:ext cx="5174450" cy="2787597"/>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407414</xdr:colOff>
      <xdr:row>29</xdr:row>
      <xdr:rowOff>103909</xdr:rowOff>
    </xdr:from>
    <xdr:to>
      <xdr:col>31</xdr:col>
      <xdr:colOff>467590</xdr:colOff>
      <xdr:row>44</xdr:row>
      <xdr:rowOff>155864</xdr:rowOff>
    </xdr:to>
    <xdr:graphicFrame macro="">
      <xdr:nvGraphicFramePr>
        <xdr:cNvPr id="23" name="Chart 22">
          <a:extLst>
            <a:ext uri="{FF2B5EF4-FFF2-40B4-BE49-F238E27FC236}">
              <a16:creationId xmlns:a16="http://schemas.microsoft.com/office/drawing/2014/main" id="{05C44DA1-19E9-4042-9E17-CC68F8D08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133707</xdr:colOff>
      <xdr:row>46</xdr:row>
      <xdr:rowOff>75983</xdr:rowOff>
    </xdr:from>
    <xdr:to>
      <xdr:col>21</xdr:col>
      <xdr:colOff>295274</xdr:colOff>
      <xdr:row>60</xdr:row>
      <xdr:rowOff>156791</xdr:rowOff>
    </xdr:to>
    <xdr:sp macro="" textlink="">
      <xdr:nvSpPr>
        <xdr:cNvPr id="12" name="Rectangle: Rounded Corners 11">
          <a:extLst>
            <a:ext uri="{FF2B5EF4-FFF2-40B4-BE49-F238E27FC236}">
              <a16:creationId xmlns:a16="http://schemas.microsoft.com/office/drawing/2014/main" id="{B4587E95-C28B-0053-54AC-0D4C0C7C9341}"/>
            </a:ext>
          </a:extLst>
        </xdr:cNvPr>
        <xdr:cNvSpPr/>
      </xdr:nvSpPr>
      <xdr:spPr>
        <a:xfrm>
          <a:off x="2572107" y="8838983"/>
          <a:ext cx="10524767" cy="2747808"/>
        </a:xfrm>
        <a:prstGeom prst="roundRect">
          <a:avLst/>
        </a:prstGeom>
        <a:solidFill>
          <a:srgbClr val="E9DDF8"/>
        </a:solidFill>
        <a:ln>
          <a:solidFill>
            <a:srgbClr val="1C334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232558</xdr:colOff>
      <xdr:row>29</xdr:row>
      <xdr:rowOff>68036</xdr:rowOff>
    </xdr:from>
    <xdr:to>
      <xdr:col>13</xdr:col>
      <xdr:colOff>42058</xdr:colOff>
      <xdr:row>45</xdr:row>
      <xdr:rowOff>163285</xdr:rowOff>
    </xdr:to>
    <xdr:graphicFrame macro="">
      <xdr:nvGraphicFramePr>
        <xdr:cNvPr id="29" name="Chart 28">
          <a:extLst>
            <a:ext uri="{FF2B5EF4-FFF2-40B4-BE49-F238E27FC236}">
              <a16:creationId xmlns:a16="http://schemas.microsoft.com/office/drawing/2014/main" id="{D569D0D0-D5C8-4171-8ADF-3AD5457D1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291353</xdr:colOff>
      <xdr:row>9</xdr:row>
      <xdr:rowOff>46423</xdr:rowOff>
    </xdr:from>
    <xdr:to>
      <xdr:col>10</xdr:col>
      <xdr:colOff>372997</xdr:colOff>
      <xdr:row>13</xdr:row>
      <xdr:rowOff>19208</xdr:rowOff>
    </xdr:to>
    <xdr:sp macro="" textlink="Analysis!B5">
      <xdr:nvSpPr>
        <xdr:cNvPr id="44" name="TextBox 43">
          <a:extLst>
            <a:ext uri="{FF2B5EF4-FFF2-40B4-BE49-F238E27FC236}">
              <a16:creationId xmlns:a16="http://schemas.microsoft.com/office/drawing/2014/main" id="{4178632A-C373-85D1-B72A-422348BBA5EB}"/>
            </a:ext>
          </a:extLst>
        </xdr:cNvPr>
        <xdr:cNvSpPr txBox="1"/>
      </xdr:nvSpPr>
      <xdr:spPr>
        <a:xfrm>
          <a:off x="4527177" y="1760923"/>
          <a:ext cx="1896996" cy="734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D44AAFA-D4EE-47FE-9486-182E71449189}" type="TxLink">
            <a:rPr lang="en-US" sz="4000" b="0" i="0" u="none" strike="noStrike">
              <a:ln>
                <a:noFill/>
              </a:ln>
              <a:solidFill>
                <a:srgbClr val="000000"/>
              </a:solidFill>
              <a:latin typeface="Segoe UI Variable Small Semibol" pitchFamily="2" charset="0"/>
              <a:ea typeface="Calibri"/>
              <a:cs typeface="Calibri"/>
            </a:rPr>
            <a:pPr/>
            <a:t>1830</a:t>
          </a:fld>
          <a:endParaRPr lang="en-IN" sz="4000">
            <a:ln>
              <a:noFill/>
            </a:ln>
            <a:latin typeface="Segoe UI Variable Small Semibol" pitchFamily="2" charset="0"/>
          </a:endParaRPr>
        </a:p>
      </xdr:txBody>
    </xdr:sp>
    <xdr:clientData/>
  </xdr:twoCellAnchor>
  <xdr:twoCellAnchor>
    <xdr:from>
      <xdr:col>11</xdr:col>
      <xdr:colOff>522645</xdr:colOff>
      <xdr:row>7</xdr:row>
      <xdr:rowOff>65633</xdr:rowOff>
    </xdr:from>
    <xdr:to>
      <xdr:col>16</xdr:col>
      <xdr:colOff>430758</xdr:colOff>
      <xdr:row>14</xdr:row>
      <xdr:rowOff>122860</xdr:rowOff>
    </xdr:to>
    <xdr:grpSp>
      <xdr:nvGrpSpPr>
        <xdr:cNvPr id="65" name="Group 64">
          <a:extLst>
            <a:ext uri="{FF2B5EF4-FFF2-40B4-BE49-F238E27FC236}">
              <a16:creationId xmlns:a16="http://schemas.microsoft.com/office/drawing/2014/main" id="{F34AC7FD-6CCF-1D18-66BA-1BC380D56212}"/>
            </a:ext>
          </a:extLst>
        </xdr:cNvPr>
        <xdr:cNvGrpSpPr/>
      </xdr:nvGrpSpPr>
      <xdr:grpSpPr>
        <a:xfrm>
          <a:off x="7228245" y="1399133"/>
          <a:ext cx="2956113" cy="1390727"/>
          <a:chOff x="7996969" y="1376722"/>
          <a:chExt cx="2933701" cy="1390727"/>
        </a:xfrm>
      </xdr:grpSpPr>
      <xdr:grpSp>
        <xdr:nvGrpSpPr>
          <xdr:cNvPr id="38" name="Group 37">
            <a:extLst>
              <a:ext uri="{FF2B5EF4-FFF2-40B4-BE49-F238E27FC236}">
                <a16:creationId xmlns:a16="http://schemas.microsoft.com/office/drawing/2014/main" id="{F3DFA5C1-287B-CDF8-4885-0EC7BCD6E76F}"/>
              </a:ext>
            </a:extLst>
          </xdr:cNvPr>
          <xdr:cNvGrpSpPr/>
        </xdr:nvGrpSpPr>
        <xdr:grpSpPr>
          <a:xfrm>
            <a:off x="7996969" y="1376722"/>
            <a:ext cx="2933701" cy="1390727"/>
            <a:chOff x="2826985" y="1365279"/>
            <a:chExt cx="2948786" cy="1390727"/>
          </a:xfrm>
          <a:solidFill>
            <a:srgbClr val="EEECE1"/>
          </a:solidFill>
        </xdr:grpSpPr>
        <xdr:sp macro="" textlink="">
          <xdr:nvSpPr>
            <xdr:cNvPr id="4" name="Rectangle: Rounded Corners 3">
              <a:extLst>
                <a:ext uri="{FF2B5EF4-FFF2-40B4-BE49-F238E27FC236}">
                  <a16:creationId xmlns:a16="http://schemas.microsoft.com/office/drawing/2014/main" id="{2B1D73F0-B9FD-C996-10AA-A50F8CE52749}"/>
                </a:ext>
              </a:extLst>
            </xdr:cNvPr>
            <xdr:cNvSpPr/>
          </xdr:nvSpPr>
          <xdr:spPr>
            <a:xfrm>
              <a:off x="2826985" y="1374401"/>
              <a:ext cx="2948786" cy="1381605"/>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767D358D-D0D4-4E0D-AC0C-1D45C78914B3}"/>
                </a:ext>
              </a:extLst>
            </xdr:cNvPr>
            <xdr:cNvSpPr txBox="1"/>
          </xdr:nvSpPr>
          <xdr:spPr>
            <a:xfrm>
              <a:off x="3070057" y="1365279"/>
              <a:ext cx="2365416" cy="534841"/>
            </a:xfrm>
            <a:prstGeom prst="rect">
              <a:avLst/>
            </a:prstGeom>
            <a:noFill/>
            <a:ln w="9525" cmpd="sng">
              <a:no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rgbClr val="6F2DBD"/>
                  </a:solidFill>
                  <a:latin typeface="Sitka Subheading Semibold" pitchFamily="2" charset="0"/>
                  <a:ea typeface="+mn-ea"/>
                  <a:cs typeface="+mn-cs"/>
                </a:rPr>
                <a:t>Average MRP</a:t>
              </a:r>
            </a:p>
            <a:p>
              <a:endParaRPr lang="en-IN" sz="2800">
                <a:latin typeface="Sitka Subheading Semibold" pitchFamily="2" charset="0"/>
              </a:endParaRPr>
            </a:p>
          </xdr:txBody>
        </xdr:sp>
      </xdr:grpSp>
      <xdr:sp macro="" textlink="Analysis!B8">
        <xdr:nvSpPr>
          <xdr:cNvPr id="45" name="TextBox 44">
            <a:extLst>
              <a:ext uri="{FF2B5EF4-FFF2-40B4-BE49-F238E27FC236}">
                <a16:creationId xmlns:a16="http://schemas.microsoft.com/office/drawing/2014/main" id="{39D98669-1A65-1D32-D09B-31494153A8DC}"/>
              </a:ext>
            </a:extLst>
          </xdr:cNvPr>
          <xdr:cNvSpPr txBox="1"/>
        </xdr:nvSpPr>
        <xdr:spPr>
          <a:xfrm>
            <a:off x="8226803" y="1835104"/>
            <a:ext cx="2427129" cy="794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3D1F9F-4935-4F54-90F2-457F7B181A3A}" type="TxLink">
              <a:rPr lang="en-US" sz="4000" b="0" i="0" u="none" strike="noStrike">
                <a:solidFill>
                  <a:srgbClr val="000000"/>
                </a:solidFill>
                <a:latin typeface="Segoe UI Variable Small Semibol" pitchFamily="2" charset="0"/>
                <a:ea typeface="Calibri"/>
                <a:cs typeface="Calibri"/>
              </a:rPr>
              <a:pPr/>
              <a:t> ₹ 151.95 </a:t>
            </a:fld>
            <a:endParaRPr lang="en-IN" sz="4000" b="1">
              <a:solidFill>
                <a:schemeClr val="tx1"/>
              </a:solidFill>
              <a:latin typeface="Segoe UI Variable Small Semibol" pitchFamily="2" charset="0"/>
              <a:ea typeface="HP Simplified Hans" panose="020B0500000000000000" pitchFamily="34" charset="-122"/>
              <a:cs typeface="Cascadia Mono SemiBold" panose="020B0609020000020004" pitchFamily="49" charset="0"/>
            </a:endParaRPr>
          </a:p>
        </xdr:txBody>
      </xdr:sp>
    </xdr:grpSp>
    <xdr:clientData/>
  </xdr:twoCellAnchor>
  <xdr:twoCellAnchor>
    <xdr:from>
      <xdr:col>18</xdr:col>
      <xdr:colOff>369321</xdr:colOff>
      <xdr:row>9</xdr:row>
      <xdr:rowOff>140584</xdr:rowOff>
    </xdr:from>
    <xdr:to>
      <xdr:col>22</xdr:col>
      <xdr:colOff>229081</xdr:colOff>
      <xdr:row>13</xdr:row>
      <xdr:rowOff>173183</xdr:rowOff>
    </xdr:to>
    <xdr:sp macro="" textlink="Analysis!B19">
      <xdr:nvSpPr>
        <xdr:cNvPr id="47" name="TextBox 46">
          <a:extLst>
            <a:ext uri="{FF2B5EF4-FFF2-40B4-BE49-F238E27FC236}">
              <a16:creationId xmlns:a16="http://schemas.microsoft.com/office/drawing/2014/main" id="{DD809FC6-679F-F604-AB12-CAD497483E75}"/>
            </a:ext>
          </a:extLst>
        </xdr:cNvPr>
        <xdr:cNvSpPr txBox="1"/>
      </xdr:nvSpPr>
      <xdr:spPr>
        <a:xfrm>
          <a:off x="11279776" y="1855084"/>
          <a:ext cx="2284305" cy="794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7814F4-8599-41CA-9F02-9FD42A0E6C7C}" type="TxLink">
            <a:rPr lang="en-US" sz="4000" b="0" i="0" u="none" strike="noStrike">
              <a:solidFill>
                <a:srgbClr val="000000"/>
              </a:solidFill>
              <a:latin typeface="Segoe UI Variable Small Semibol" pitchFamily="2" charset="0"/>
              <a:ea typeface="Calibri"/>
              <a:cs typeface="Calibri"/>
            </a:rPr>
            <a:pPr/>
            <a:t> ₹ 137.51 </a:t>
          </a:fld>
          <a:endParaRPr lang="en-IN" sz="4000" b="1">
            <a:solidFill>
              <a:schemeClr val="tx1"/>
            </a:solidFill>
            <a:latin typeface="Segoe UI Variable Small Semibol" pitchFamily="2" charset="0"/>
          </a:endParaRPr>
        </a:p>
      </xdr:txBody>
    </xdr:sp>
    <xdr:clientData/>
  </xdr:twoCellAnchor>
  <xdr:twoCellAnchor>
    <xdr:from>
      <xdr:col>25</xdr:col>
      <xdr:colOff>145324</xdr:colOff>
      <xdr:row>9</xdr:row>
      <xdr:rowOff>143071</xdr:rowOff>
    </xdr:from>
    <xdr:to>
      <xdr:col>28</xdr:col>
      <xdr:colOff>298686</xdr:colOff>
      <xdr:row>13</xdr:row>
      <xdr:rowOff>167564</xdr:rowOff>
    </xdr:to>
    <xdr:sp macro="" textlink="Analysis!B12">
      <xdr:nvSpPr>
        <xdr:cNvPr id="48" name="TextBox 47">
          <a:extLst>
            <a:ext uri="{FF2B5EF4-FFF2-40B4-BE49-F238E27FC236}">
              <a16:creationId xmlns:a16="http://schemas.microsoft.com/office/drawing/2014/main" id="{3FAEE273-4009-CE86-E168-B13F259877D7}"/>
            </a:ext>
          </a:extLst>
        </xdr:cNvPr>
        <xdr:cNvSpPr txBox="1"/>
      </xdr:nvSpPr>
      <xdr:spPr>
        <a:xfrm>
          <a:off x="15298733" y="1857571"/>
          <a:ext cx="1971771" cy="786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C79652-46FC-4F60-BB46-0C36126160C2}" type="TxLink">
            <a:rPr lang="en-US" sz="4000" b="0" i="0" u="none" strike="noStrike">
              <a:solidFill>
                <a:srgbClr val="000000"/>
              </a:solidFill>
              <a:latin typeface="Segoe UI Variable Small Semibol" pitchFamily="2" charset="0"/>
              <a:ea typeface="Calibri"/>
              <a:cs typeface="Calibri"/>
            </a:rPr>
            <a:pPr/>
            <a:t>7.81%</a:t>
          </a:fld>
          <a:endParaRPr lang="en-IN" sz="4000" b="1">
            <a:solidFill>
              <a:schemeClr val="tx1"/>
            </a:solidFill>
            <a:latin typeface="Segoe UI Variable Small Semibol" pitchFamily="2" charset="0"/>
          </a:endParaRPr>
        </a:p>
      </xdr:txBody>
    </xdr:sp>
    <xdr:clientData/>
  </xdr:twoCellAnchor>
  <xdr:twoCellAnchor editAs="oneCell">
    <xdr:from>
      <xdr:col>0</xdr:col>
      <xdr:colOff>429244</xdr:colOff>
      <xdr:row>23</xdr:row>
      <xdr:rowOff>102674</xdr:rowOff>
    </xdr:from>
    <xdr:to>
      <xdr:col>3</xdr:col>
      <xdr:colOff>421080</xdr:colOff>
      <xdr:row>32</xdr:row>
      <xdr:rowOff>129885</xdr:rowOff>
    </xdr:to>
    <mc:AlternateContent xmlns:mc="http://schemas.openxmlformats.org/markup-compatibility/2006" xmlns:a14="http://schemas.microsoft.com/office/drawing/2010/main">
      <mc:Choice Requires="a14">
        <xdr:graphicFrame macro="">
          <xdr:nvGraphicFramePr>
            <xdr:cNvPr id="49" name="Discount Band 1">
              <a:extLst>
                <a:ext uri="{FF2B5EF4-FFF2-40B4-BE49-F238E27FC236}">
                  <a16:creationId xmlns:a16="http://schemas.microsoft.com/office/drawing/2014/main" id="{21B4CB48-F066-4955-A752-74DB2F2827BD}"/>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mlns="">
        <xdr:sp macro="" textlink="">
          <xdr:nvSpPr>
            <xdr:cNvPr id="0" name=""/>
            <xdr:cNvSpPr>
              <a:spLocks noTextEdit="1"/>
            </xdr:cNvSpPr>
          </xdr:nvSpPr>
          <xdr:spPr>
            <a:xfrm>
              <a:off x="429244" y="4484174"/>
              <a:ext cx="1810245" cy="1741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442847</xdr:colOff>
      <xdr:row>14</xdr:row>
      <xdr:rowOff>133597</xdr:rowOff>
    </xdr:from>
    <xdr:to>
      <xdr:col>3</xdr:col>
      <xdr:colOff>434683</xdr:colOff>
      <xdr:row>21</xdr:row>
      <xdr:rowOff>11132</xdr:rowOff>
    </xdr:to>
    <mc:AlternateContent xmlns:mc="http://schemas.openxmlformats.org/markup-compatibility/2006" xmlns:a14="http://schemas.microsoft.com/office/drawing/2010/main">
      <mc:Choice Requires="a14">
        <xdr:graphicFrame macro="">
          <xdr:nvGraphicFramePr>
            <xdr:cNvPr id="50" name="Price Band 1">
              <a:extLst>
                <a:ext uri="{FF2B5EF4-FFF2-40B4-BE49-F238E27FC236}">
                  <a16:creationId xmlns:a16="http://schemas.microsoft.com/office/drawing/2014/main" id="{A6830605-0424-4080-930F-396E2F06CE6B}"/>
                </a:ext>
              </a:extLst>
            </xdr:cNvPr>
            <xdr:cNvGraphicFramePr/>
          </xdr:nvGraphicFramePr>
          <xdr:xfrm>
            <a:off x="0" y="0"/>
            <a:ext cx="0" cy="0"/>
          </xdr:xfrm>
          <a:graphic>
            <a:graphicData uri="http://schemas.microsoft.com/office/drawing/2010/slicer">
              <sle:slicer xmlns:sle="http://schemas.microsoft.com/office/drawing/2010/slicer" name="Price Band 1"/>
            </a:graphicData>
          </a:graphic>
        </xdr:graphicFrame>
      </mc:Choice>
      <mc:Fallback xmlns="">
        <xdr:sp macro="" textlink="">
          <xdr:nvSpPr>
            <xdr:cNvPr id="0" name=""/>
            <xdr:cNvSpPr>
              <a:spLocks noTextEdit="1"/>
            </xdr:cNvSpPr>
          </xdr:nvSpPr>
          <xdr:spPr>
            <a:xfrm>
              <a:off x="442847" y="2800597"/>
              <a:ext cx="1810245" cy="1211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425533</xdr:colOff>
      <xdr:row>8</xdr:row>
      <xdr:rowOff>7422</xdr:rowOff>
    </xdr:from>
    <xdr:to>
      <xdr:col>3</xdr:col>
      <xdr:colOff>417369</xdr:colOff>
      <xdr:row>12</xdr:row>
      <xdr:rowOff>159822</xdr:rowOff>
    </xdr:to>
    <mc:AlternateContent xmlns:mc="http://schemas.openxmlformats.org/markup-compatibility/2006" xmlns:a14="http://schemas.microsoft.com/office/drawing/2010/main">
      <mc:Choice Requires="a14">
        <xdr:graphicFrame macro="">
          <xdr:nvGraphicFramePr>
            <xdr:cNvPr id="52" name="Out Of Stock 1">
              <a:extLst>
                <a:ext uri="{FF2B5EF4-FFF2-40B4-BE49-F238E27FC236}">
                  <a16:creationId xmlns:a16="http://schemas.microsoft.com/office/drawing/2014/main" id="{B1471C05-9A32-41E0-BA77-56891C39048A}"/>
                </a:ext>
              </a:extLst>
            </xdr:cNvPr>
            <xdr:cNvGraphicFramePr/>
          </xdr:nvGraphicFramePr>
          <xdr:xfrm>
            <a:off x="0" y="0"/>
            <a:ext cx="0" cy="0"/>
          </xdr:xfrm>
          <a:graphic>
            <a:graphicData uri="http://schemas.microsoft.com/office/drawing/2010/slicer">
              <sle:slicer xmlns:sle="http://schemas.microsoft.com/office/drawing/2010/slicer" name="Out Of Stock 1"/>
            </a:graphicData>
          </a:graphic>
        </xdr:graphicFrame>
      </mc:Choice>
      <mc:Fallback xmlns="">
        <xdr:sp macro="" textlink="">
          <xdr:nvSpPr>
            <xdr:cNvPr id="0" name=""/>
            <xdr:cNvSpPr>
              <a:spLocks noTextEdit="1"/>
            </xdr:cNvSpPr>
          </xdr:nvSpPr>
          <xdr:spPr>
            <a:xfrm>
              <a:off x="425533" y="1531422"/>
              <a:ext cx="1810245"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126319</xdr:colOff>
      <xdr:row>46</xdr:row>
      <xdr:rowOff>37999</xdr:rowOff>
    </xdr:from>
    <xdr:to>
      <xdr:col>21</xdr:col>
      <xdr:colOff>295275</xdr:colOff>
      <xdr:row>48</xdr:row>
      <xdr:rowOff>71618</xdr:rowOff>
    </xdr:to>
    <xdr:sp macro="" textlink="">
      <xdr:nvSpPr>
        <xdr:cNvPr id="35" name="TextBox 34">
          <a:extLst>
            <a:ext uri="{FF2B5EF4-FFF2-40B4-BE49-F238E27FC236}">
              <a16:creationId xmlns:a16="http://schemas.microsoft.com/office/drawing/2014/main" id="{2580C643-F272-6668-A724-3C28F218A8FD}"/>
            </a:ext>
          </a:extLst>
        </xdr:cNvPr>
        <xdr:cNvSpPr txBox="1"/>
      </xdr:nvSpPr>
      <xdr:spPr>
        <a:xfrm>
          <a:off x="2564719" y="8800999"/>
          <a:ext cx="10532156" cy="414619"/>
        </a:xfrm>
        <a:prstGeom prst="rect">
          <a:avLst/>
        </a:prstGeom>
        <a:solidFill>
          <a:srgbClr val="6F2DBD"/>
        </a:solidFill>
        <a:ln w="9525" cmpd="sng">
          <a:solidFill>
            <a:srgbClr val="1C334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rgbClr val="B8E986"/>
              </a:solidFill>
              <a:latin typeface="Sitka Subheading" pitchFamily="2" charset="0"/>
              <a:ea typeface="+mn-ea"/>
              <a:cs typeface="+mn-cs"/>
            </a:rPr>
            <a:t> </a:t>
          </a:r>
          <a:r>
            <a:rPr lang="en-IN" sz="2000" b="1" baseline="0">
              <a:solidFill>
                <a:srgbClr val="B8E986"/>
              </a:solidFill>
              <a:latin typeface="Sitka Subheading" pitchFamily="2" charset="0"/>
              <a:ea typeface="+mn-ea"/>
              <a:cs typeface="+mn-cs"/>
            </a:rPr>
            <a:t>      </a:t>
          </a:r>
          <a:r>
            <a:rPr lang="en-IN" sz="2000" b="1">
              <a:solidFill>
                <a:srgbClr val="B8E986"/>
              </a:solidFill>
              <a:latin typeface="Sitka Subheading" pitchFamily="2" charset="0"/>
              <a:ea typeface="+mn-ea"/>
              <a:cs typeface="+mn-cs"/>
            </a:rPr>
            <a:t>KEY</a:t>
          </a:r>
          <a:r>
            <a:rPr lang="en-IN" sz="2000" b="0" baseline="0">
              <a:solidFill>
                <a:srgbClr val="B8E986"/>
              </a:solidFill>
              <a:latin typeface="+mn-lt"/>
              <a:ea typeface="+mn-ea"/>
              <a:cs typeface="+mn-cs"/>
            </a:rPr>
            <a:t> </a:t>
          </a:r>
          <a:r>
            <a:rPr lang="en-IN" sz="2000" b="1">
              <a:solidFill>
                <a:srgbClr val="B8E986"/>
              </a:solidFill>
              <a:latin typeface="Sitka Subheading" pitchFamily="2" charset="0"/>
              <a:ea typeface="+mn-ea"/>
              <a:cs typeface="+mn-cs"/>
            </a:rPr>
            <a:t>FINDINGS</a:t>
          </a:r>
        </a:p>
      </xdr:txBody>
    </xdr:sp>
    <xdr:clientData/>
  </xdr:twoCellAnchor>
  <xdr:twoCellAnchor>
    <xdr:from>
      <xdr:col>21</xdr:col>
      <xdr:colOff>569768</xdr:colOff>
      <xdr:row>14</xdr:row>
      <xdr:rowOff>126423</xdr:rowOff>
    </xdr:from>
    <xdr:to>
      <xdr:col>30</xdr:col>
      <xdr:colOff>238990</xdr:colOff>
      <xdr:row>29</xdr:row>
      <xdr:rowOff>81476</xdr:rowOff>
    </xdr:to>
    <xdr:grpSp>
      <xdr:nvGrpSpPr>
        <xdr:cNvPr id="3" name="Group 2">
          <a:extLst>
            <a:ext uri="{FF2B5EF4-FFF2-40B4-BE49-F238E27FC236}">
              <a16:creationId xmlns:a16="http://schemas.microsoft.com/office/drawing/2014/main" id="{416FCA78-4B41-5B1E-3DD7-11590814D754}"/>
            </a:ext>
          </a:extLst>
        </xdr:cNvPr>
        <xdr:cNvGrpSpPr/>
      </xdr:nvGrpSpPr>
      <xdr:grpSpPr>
        <a:xfrm>
          <a:off x="13371368" y="2793423"/>
          <a:ext cx="5155622" cy="2812553"/>
          <a:chOff x="5000626" y="1600200"/>
          <a:chExt cx="4629150" cy="2714625"/>
        </a:xfrm>
      </xdr:grpSpPr>
      <xdr:sp macro="" textlink="">
        <xdr:nvSpPr>
          <xdr:cNvPr id="24" name="Rectangle: Rounded Corners 23">
            <a:extLst>
              <a:ext uri="{FF2B5EF4-FFF2-40B4-BE49-F238E27FC236}">
                <a16:creationId xmlns:a16="http://schemas.microsoft.com/office/drawing/2014/main" id="{222D992C-461B-D1A0-39D2-094B5DCB8B71}"/>
              </a:ext>
            </a:extLst>
          </xdr:cNvPr>
          <xdr:cNvSpPr/>
        </xdr:nvSpPr>
        <xdr:spPr>
          <a:xfrm>
            <a:off x="5000626" y="1724025"/>
            <a:ext cx="4629150" cy="2533650"/>
          </a:xfrm>
          <a:prstGeom prst="roundRect">
            <a:avLst/>
          </a:prstGeom>
          <a:solidFill>
            <a:srgbClr val="E9DDF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1" name="Chart 40">
            <a:extLst>
              <a:ext uri="{FF2B5EF4-FFF2-40B4-BE49-F238E27FC236}">
                <a16:creationId xmlns:a16="http://schemas.microsoft.com/office/drawing/2014/main" id="{E90CCC17-7A95-8FB9-6A94-73DA8DBE4277}"/>
              </a:ext>
            </a:extLst>
          </xdr:cNvPr>
          <xdr:cNvGraphicFramePr>
            <a:graphicFrameLocks/>
          </xdr:cNvGraphicFramePr>
        </xdr:nvGraphicFramePr>
        <xdr:xfrm>
          <a:off x="5000626" y="1600200"/>
          <a:ext cx="4572000" cy="271462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22</xdr:col>
      <xdr:colOff>33619</xdr:colOff>
      <xdr:row>14</xdr:row>
      <xdr:rowOff>134472</xdr:rowOff>
    </xdr:from>
    <xdr:to>
      <xdr:col>30</xdr:col>
      <xdr:colOff>515472</xdr:colOff>
      <xdr:row>29</xdr:row>
      <xdr:rowOff>74264</xdr:rowOff>
    </xdr:to>
    <xdr:graphicFrame macro="">
      <xdr:nvGraphicFramePr>
        <xdr:cNvPr id="42" name="Chart 41">
          <a:extLst>
            <a:ext uri="{FF2B5EF4-FFF2-40B4-BE49-F238E27FC236}">
              <a16:creationId xmlns:a16="http://schemas.microsoft.com/office/drawing/2014/main" id="{250AC591-B276-459B-AD81-C75B78379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142874</xdr:colOff>
      <xdr:row>48</xdr:row>
      <xdr:rowOff>104775</xdr:rowOff>
    </xdr:from>
    <xdr:to>
      <xdr:col>12</xdr:col>
      <xdr:colOff>280146</xdr:colOff>
      <xdr:row>54</xdr:row>
      <xdr:rowOff>0</xdr:rowOff>
    </xdr:to>
    <xdr:sp macro="" textlink="">
      <xdr:nvSpPr>
        <xdr:cNvPr id="10" name="TextBox 9">
          <a:extLst>
            <a:ext uri="{FF2B5EF4-FFF2-40B4-BE49-F238E27FC236}">
              <a16:creationId xmlns:a16="http://schemas.microsoft.com/office/drawing/2014/main" id="{54CEB3AC-4723-C53E-38BD-82868CA6DD60}"/>
            </a:ext>
          </a:extLst>
        </xdr:cNvPr>
        <xdr:cNvSpPr txBox="1"/>
      </xdr:nvSpPr>
      <xdr:spPr>
        <a:xfrm>
          <a:off x="2563345" y="9248775"/>
          <a:ext cx="4978213" cy="103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rgbClr val="4C1D95"/>
              </a:solidFill>
            </a:rPr>
            <a:t>01</a:t>
          </a:r>
          <a:r>
            <a:rPr lang="en-IN" sz="1200" b="1" baseline="0">
              <a:solidFill>
                <a:srgbClr val="4C1D95"/>
              </a:solidFill>
            </a:rPr>
            <a:t> |</a:t>
          </a:r>
          <a:r>
            <a:rPr lang="en-IN" sz="1200" b="1">
              <a:solidFill>
                <a:srgbClr val="4C1D95"/>
              </a:solidFill>
            </a:rPr>
            <a:t> DISCOUNT DISTRIBUTION</a:t>
          </a:r>
        </a:p>
        <a:p>
          <a:pPr algn="l"/>
          <a:r>
            <a:rPr lang="en-IN" sz="2000" b="1">
              <a:solidFill>
                <a:srgbClr val="6F2DBD"/>
              </a:solidFill>
            </a:rPr>
            <a:t>76.6%</a:t>
          </a:r>
        </a:p>
        <a:p>
          <a:r>
            <a:rPr lang="en-IN" sz="1200" b="1">
              <a:solidFill>
                <a:srgbClr val="34303B"/>
              </a:solidFill>
              <a:latin typeface="+mn-lt"/>
              <a:ea typeface="+mn-ea"/>
              <a:cs typeface="+mn-cs"/>
            </a:rPr>
            <a:t>of product records have recorded discounts of 10% or less, indicating that lower discounts dominate the dataset.</a:t>
          </a:r>
        </a:p>
        <a:p>
          <a:endParaRPr lang="en-IN" sz="1100"/>
        </a:p>
      </xdr:txBody>
    </xdr:sp>
    <xdr:clientData/>
  </xdr:twoCellAnchor>
  <xdr:twoCellAnchor>
    <xdr:from>
      <xdr:col>13</xdr:col>
      <xdr:colOff>333375</xdr:colOff>
      <xdr:row>48</xdr:row>
      <xdr:rowOff>104775</xdr:rowOff>
    </xdr:from>
    <xdr:to>
      <xdr:col>21</xdr:col>
      <xdr:colOff>304800</xdr:colOff>
      <xdr:row>54</xdr:row>
      <xdr:rowOff>0</xdr:rowOff>
    </xdr:to>
    <xdr:sp macro="" textlink="">
      <xdr:nvSpPr>
        <xdr:cNvPr id="40" name="TextBox 39">
          <a:extLst>
            <a:ext uri="{FF2B5EF4-FFF2-40B4-BE49-F238E27FC236}">
              <a16:creationId xmlns:a16="http://schemas.microsoft.com/office/drawing/2014/main" id="{8E71A964-B68B-3475-CD64-9A76E15C3C57}"/>
            </a:ext>
          </a:extLst>
        </xdr:cNvPr>
        <xdr:cNvSpPr txBox="1"/>
      </xdr:nvSpPr>
      <xdr:spPr>
        <a:xfrm>
          <a:off x="8258175" y="9248775"/>
          <a:ext cx="4848225" cy="103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4C1D95"/>
              </a:solidFill>
              <a:latin typeface="+mn-lt"/>
              <a:ea typeface="+mn-ea"/>
              <a:cs typeface="+mn-cs"/>
            </a:rPr>
            <a:t>02 | STOCK AVAILABILITY</a:t>
          </a:r>
        </a:p>
        <a:p>
          <a:pPr marL="0" indent="0"/>
          <a:r>
            <a:rPr lang="en-IN" sz="2000" b="1">
              <a:solidFill>
                <a:srgbClr val="6F2DBD"/>
              </a:solidFill>
              <a:latin typeface="+mn-lt"/>
              <a:ea typeface="+mn-ea"/>
              <a:cs typeface="+mn-cs"/>
            </a:rPr>
            <a:t>218 products · 11.9%</a:t>
          </a:r>
        </a:p>
        <a:p>
          <a:pPr marL="0" indent="0"/>
          <a:r>
            <a:rPr lang="en-IN" sz="1200" b="1">
              <a:solidFill>
                <a:srgbClr val="34303B"/>
              </a:solidFill>
              <a:latin typeface="+mn-lt"/>
              <a:ea typeface="+mn-ea"/>
              <a:cs typeface="+mn-cs"/>
            </a:rPr>
            <a:t>of all product records are marked out of stock, highlighting an area for further inventory review.</a:t>
          </a:r>
        </a:p>
        <a:p>
          <a:endParaRPr lang="en-IN" sz="1100"/>
        </a:p>
      </xdr:txBody>
    </xdr:sp>
    <xdr:clientData/>
  </xdr:twoCellAnchor>
  <xdr:twoCellAnchor>
    <xdr:from>
      <xdr:col>4</xdr:col>
      <xdr:colOff>142875</xdr:colOff>
      <xdr:row>53</xdr:row>
      <xdr:rowOff>152400</xdr:rowOff>
    </xdr:from>
    <xdr:to>
      <xdr:col>12</xdr:col>
      <xdr:colOff>114300</xdr:colOff>
      <xdr:row>60</xdr:row>
      <xdr:rowOff>9525</xdr:rowOff>
    </xdr:to>
    <xdr:sp macro="" textlink="">
      <xdr:nvSpPr>
        <xdr:cNvPr id="43" name="TextBox 42">
          <a:extLst>
            <a:ext uri="{FF2B5EF4-FFF2-40B4-BE49-F238E27FC236}">
              <a16:creationId xmlns:a16="http://schemas.microsoft.com/office/drawing/2014/main" id="{95A6870A-4625-992B-C662-CA336D745D6C}"/>
            </a:ext>
          </a:extLst>
        </xdr:cNvPr>
        <xdr:cNvSpPr txBox="1"/>
      </xdr:nvSpPr>
      <xdr:spPr>
        <a:xfrm>
          <a:off x="2581275" y="10248900"/>
          <a:ext cx="4848225" cy="1190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b="1">
              <a:solidFill>
                <a:srgbClr val="4C1D95"/>
              </a:solidFill>
              <a:latin typeface="+mn-lt"/>
              <a:ea typeface="+mn-ea"/>
              <a:cs typeface="+mn-cs"/>
            </a:rPr>
            <a:t>03 | STOCKOUT PATTERN</a:t>
          </a:r>
        </a:p>
        <a:p>
          <a:r>
            <a:rPr lang="en-IN" sz="2000" b="1">
              <a:solidFill>
                <a:srgbClr val="6F2DBD"/>
              </a:solidFill>
              <a:latin typeface="+mn-lt"/>
              <a:ea typeface="+mn-ea"/>
              <a:cs typeface="+mn-cs"/>
            </a:rPr>
            <a:t>15.51% vs. 5.84%</a:t>
          </a:r>
        </a:p>
        <a:p>
          <a:r>
            <a:rPr lang="en-IN" sz="1200" b="1">
              <a:solidFill>
                <a:srgbClr val="34303B"/>
              </a:solidFill>
              <a:latin typeface="+mn-lt"/>
              <a:ea typeface="+mn-ea"/>
              <a:cs typeface="+mn-cs"/>
            </a:rPr>
            <a:t>The 0–5% discount band has the highest observed stockout rate (15.51%), while the 11–15% band has the lowest (5.84%). This is an association, not proof of causation.</a:t>
          </a:r>
        </a:p>
        <a:p>
          <a:endParaRPr lang="en-IN" sz="1100"/>
        </a:p>
      </xdr:txBody>
    </xdr:sp>
    <xdr:clientData/>
  </xdr:twoCellAnchor>
  <xdr:twoCellAnchor>
    <xdr:from>
      <xdr:col>13</xdr:col>
      <xdr:colOff>419100</xdr:colOff>
      <xdr:row>54</xdr:row>
      <xdr:rowOff>9525</xdr:rowOff>
    </xdr:from>
    <xdr:to>
      <xdr:col>21</xdr:col>
      <xdr:colOff>390525</xdr:colOff>
      <xdr:row>59</xdr:row>
      <xdr:rowOff>95250</xdr:rowOff>
    </xdr:to>
    <xdr:sp macro="" textlink="">
      <xdr:nvSpPr>
        <xdr:cNvPr id="46" name="TextBox 45">
          <a:extLst>
            <a:ext uri="{FF2B5EF4-FFF2-40B4-BE49-F238E27FC236}">
              <a16:creationId xmlns:a16="http://schemas.microsoft.com/office/drawing/2014/main" id="{095C15B6-CFC8-F669-A450-696A7DC73D69}"/>
            </a:ext>
          </a:extLst>
        </xdr:cNvPr>
        <xdr:cNvSpPr txBox="1"/>
      </xdr:nvSpPr>
      <xdr:spPr>
        <a:xfrm>
          <a:off x="8343900" y="10296525"/>
          <a:ext cx="4848225" cy="1038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4C1D95"/>
              </a:solidFill>
            </a:rPr>
            <a:t>04 | DATA QUALITY</a:t>
          </a:r>
        </a:p>
        <a:p>
          <a:r>
            <a:rPr lang="en-IN" sz="2000" b="1">
              <a:solidFill>
                <a:srgbClr val="6F2DBD"/>
              </a:solidFill>
              <a:latin typeface="+mn-lt"/>
              <a:ea typeface="+mn-ea"/>
              <a:cs typeface="+mn-cs"/>
            </a:rPr>
            <a:t>2 records flagged</a:t>
          </a:r>
        </a:p>
        <a:p>
          <a:pPr marL="0" indent="0"/>
          <a:r>
            <a:rPr lang="en-IN" sz="1200" b="1">
              <a:solidFill>
                <a:srgbClr val="34303B"/>
              </a:solidFill>
              <a:latin typeface="+mn-lt"/>
              <a:ea typeface="+mn-ea"/>
              <a:cs typeface="+mn-cs"/>
            </a:rPr>
            <a:t>Two products have zero recorded weight, making their price-per-gram values invalid. They were flagged for verification rather than deleted.</a:t>
          </a:r>
        </a:p>
        <a:p>
          <a:endParaRPr lang="en-IN" sz="1100"/>
        </a:p>
      </xdr:txBody>
    </xdr:sp>
    <xdr:clientData/>
  </xdr:twoCellAnchor>
  <xdr:twoCellAnchor>
    <xdr:from>
      <xdr:col>4</xdr:col>
      <xdr:colOff>133707</xdr:colOff>
      <xdr:row>53</xdr:row>
      <xdr:rowOff>89647</xdr:rowOff>
    </xdr:from>
    <xdr:to>
      <xdr:col>21</xdr:col>
      <xdr:colOff>280147</xdr:colOff>
      <xdr:row>53</xdr:row>
      <xdr:rowOff>116387</xdr:rowOff>
    </xdr:to>
    <xdr:cxnSp macro="">
      <xdr:nvCxnSpPr>
        <xdr:cNvPr id="53" name="Straight Connector 52">
          <a:extLst>
            <a:ext uri="{FF2B5EF4-FFF2-40B4-BE49-F238E27FC236}">
              <a16:creationId xmlns:a16="http://schemas.microsoft.com/office/drawing/2014/main" id="{B94E46CF-7C14-BBE7-9BE0-BEC4B74696E2}"/>
            </a:ext>
          </a:extLst>
        </xdr:cNvPr>
        <xdr:cNvCxnSpPr>
          <a:stCxn id="12" idx="1"/>
          <a:endCxn id="12" idx="3"/>
        </xdr:cNvCxnSpPr>
      </xdr:nvCxnSpPr>
      <xdr:spPr>
        <a:xfrm flipV="1">
          <a:off x="2554178" y="10186147"/>
          <a:ext cx="10433440" cy="267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517050</xdr:colOff>
      <xdr:row>48</xdr:row>
      <xdr:rowOff>78441</xdr:rowOff>
    </xdr:from>
    <xdr:to>
      <xdr:col>12</xdr:col>
      <xdr:colOff>526676</xdr:colOff>
      <xdr:row>60</xdr:row>
      <xdr:rowOff>156882</xdr:rowOff>
    </xdr:to>
    <xdr:cxnSp macro="">
      <xdr:nvCxnSpPr>
        <xdr:cNvPr id="55" name="Straight Connector 54">
          <a:extLst>
            <a:ext uri="{FF2B5EF4-FFF2-40B4-BE49-F238E27FC236}">
              <a16:creationId xmlns:a16="http://schemas.microsoft.com/office/drawing/2014/main" id="{3B335C9F-48F8-FB25-9F79-169E839B75AC}"/>
            </a:ext>
          </a:extLst>
        </xdr:cNvPr>
        <xdr:cNvCxnSpPr/>
      </xdr:nvCxnSpPr>
      <xdr:spPr>
        <a:xfrm flipH="1">
          <a:off x="7778462" y="9222441"/>
          <a:ext cx="9626" cy="236444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aef Khan" refreshedDate="46282.665914814817" createdVersion="8" refreshedVersion="8" minRefreshableVersion="3" recordCount="1830" xr:uid="{2AD874A0-D4D6-4F14-A80F-82C0B3526118}">
  <cacheSource type="worksheet">
    <worksheetSource name="Full_Data"/>
  </cacheSource>
  <cacheFields count="14">
    <cacheField name="Product Name" numFmtId="0">
      <sharedItems count="1706">
        <s v="Onion"/>
        <s v="Tomato Hybrid"/>
        <s v="Tender Coconut"/>
        <s v="Coriander Leaves"/>
        <s v="Ladies Finger "/>
        <s v="Potato"/>
        <s v="Lemon"/>
        <s v="Watermelon "/>
        <s v="Capsicum Green "/>
        <s v="Chilli Green "/>
        <s v="Banana Robusta"/>
        <s v="Garlic Indian "/>
        <s v="Cauliflower"/>
        <s v="Ginger"/>
        <s v="Spinach"/>
        <s v="Muskmelon"/>
        <s v="Cabbage "/>
        <s v="Methi"/>
        <s v="Broccoli"/>
        <s v="Sapota"/>
        <s v="Orange Nagpur"/>
        <s v="Mint Leaves "/>
        <s v="Beans French"/>
        <s v="Bottle Gourd "/>
        <s v="Banana Elaichi "/>
        <s v="Coconut Big"/>
        <s v="Curry Leaves"/>
        <s v="Brinjal Bharta"/>
        <s v="Lettuce Iceberg"/>
        <s v="Papaya"/>
        <s v="Apple Shimla"/>
        <s v="Bitter Gourd"/>
        <s v="Brinjal Small"/>
        <s v="Sweet Corn"/>
        <s v="Spring Onion "/>
        <s v="Bell Peppers Red &amp; Yellow "/>
        <s v="Pomegranate "/>
        <s v="Sweet Lime"/>
        <s v="Baby Potato"/>
        <s v="Coccinia"/>
        <s v="Guava"/>
        <s v="Apple Washington"/>
        <s v="Amla"/>
        <s v="Beans Cluster"/>
        <s v="Apple Royal Gala"/>
        <s v="Chilli Bhaji"/>
        <s v="Lettuce Green"/>
        <s v="Baby Corn Peeled"/>
        <s v="Mixed Sprouts"/>
        <s v="Zucchini Green"/>
        <s v="Beans Broad"/>
        <s v="Raw Banana"/>
        <s v="Colocasia "/>
        <s v="Tomato Cherry "/>
        <s v="Sweet Potato "/>
        <s v="Pineapple Slice"/>
        <s v="Orange"/>
        <s v="Dragon Fruit Imported"/>
        <s v="Zucchini Yellow"/>
        <s v="Apple Kinnaur"/>
        <s v="Pineapple"/>
        <s v="Basil"/>
        <s v="Parsley"/>
        <s v="Ridge Gourd"/>
        <s v="Papaya Cut"/>
        <s v="Pomegranate Peeled"/>
        <s v="Pear Green Imported"/>
        <s v="Guava Thai"/>
        <s v="Lettuce Red"/>
        <s v="Mango Raw"/>
        <s v="Biryani /Pulav Mix"/>
        <s v="Banana Nendran"/>
        <s v="Pumpkin Cut"/>
        <s v="Banana Red"/>
        <s v="Radish White"/>
        <s v="Avocado Indian Premium"/>
        <s v="Banana Leaf"/>
        <s v="Sponge Gourd"/>
        <s v="Zama Organics Carrot"/>
        <s v="Safal Frozen - Mixed Vegetables"/>
        <s v="Zama Organics Sweet Potato"/>
        <s v="Beetroot"/>
        <s v="Capsicum"/>
        <s v="Carrot"/>
        <s v="Garlic"/>
        <s v="Moong Sprouts"/>
        <s v="Safal Frozen Mixed Vegetables"/>
        <s v="Safal Frozen Corn"/>
        <s v="Safal Frozen - Sweet Corn"/>
        <s v="Maggi 2 Minute Masala Noodles"/>
        <s v="iD Idli &amp; Dosa Batter "/>
        <s v="Tata Salt"/>
        <s v="Arden Eggs White"/>
        <s v="Fortune Sunlite Refined Sunflower (Pouch)"/>
        <s v="Aashirvaad Superior MP Atta"/>
        <s v="Amul Pure Ghee (Pouch)"/>
        <s v="Arden Eggs Brown"/>
        <s v="Tata Salt Lite"/>
        <s v="Saffola Gold Oil (Pouch)"/>
        <s v="Fortune Sunlite Refined Sunflower (Jar)"/>
        <s v="Fortune Rice Bran (Pouch)"/>
        <s v="Saffola Active Oil"/>
        <s v="Aashirvaad Atta"/>
        <s v="Popular Essentials Toor Dal (Un-Polished)"/>
        <s v="Amul Ghee (Tin)"/>
        <s v="Amul Fresh Cream"/>
        <s v="Popular Essentials Pure Jaggery"/>
        <s v="Aashirvaad Multigrain Atta"/>
        <s v="Fortune Soyabean Oil"/>
        <s v="Popular Essentials Sunflower Seeds"/>
        <s v="Tata Sampann kabuli chana"/>
        <s v="Dhara Groundnut Oil (Pouch)"/>
        <s v="Dhara Health Refined Sun Flower Oil Jar"/>
        <s v="24 Mantra Organic Jaggery Powder"/>
        <s v="Tata Sampann High Protien Kabuli Chana"/>
        <s v="Dhara Kachi Ghani Mustard Oil Jar"/>
        <s v="D'lecta Dairy Cream"/>
        <s v="Ching's Secret Instant Hot Garlic Noodles"/>
        <s v="Dabur Ginger Garlic Paste"/>
        <s v="Ching's Secret Instant Schezwan Noodles"/>
        <s v="Gowardhan Ghee/Tuppa Jar"/>
        <s v="Tata Sampann Unpolished Moong Dal "/>
        <s v="Aashirvaad Select Atta"/>
        <s v="Popular Essentials Misri Dana (Diamond Sugar) "/>
        <s v="Gowardhan Ghee Jar"/>
        <s v="Top Ramen  Noodles Curry Veg Pouch"/>
        <s v="Popular Essentials Refined Sugar"/>
        <s v="Fortune Kachi Ghani Mustard Oil Bottle"/>
        <s v="Saffola Veggie Twist Masala Oats"/>
        <s v="Satyam Puffed Rice Kurmura (R)"/>
        <s v="Quaker Oats"/>
        <s v="Aashirvaad Select Sharbati Atta"/>
        <s v="Gowardhan Cow Ghee Pouch"/>
        <s v="Dhara Nourish Refined Sunflower Oil Pouch"/>
        <s v="Parachute Oil "/>
        <s v="Popular Essentials Plain Puffed Rice (Murmura/Muri)"/>
        <s v="Amul Mithai Mate Condensed Sweetened Milk"/>
        <s v="Saffola Gold (Jar)"/>
        <s v="McCain New Mini Samosa with Cheese Pizza Style Filling"/>
        <s v="Fortune Rice Bran Health Oil (Jar)"/>
        <s v="Arden Desi Eggs"/>
        <s v="Fortune Rozana Basmati Rice"/>
        <s v="Fortune Biriyani Special Basmati Rice"/>
        <s v="Everest Garam Masala"/>
        <s v="Popular Essentials Pumpkin Seeds"/>
        <s v="Fortune Soya Health Refined Soybean Oil"/>
        <s v="Gowardhan Pure Ghee Pouch"/>
        <s v="Popular Essentials Jeera/Cumin Seeds"/>
        <s v="Weikfield Baking Soda"/>
        <s v="Everest Pav Bhaji Masala"/>
        <s v="Tata Sampann Unpolished Chana Dal"/>
        <s v="Amul Mithai Mate EOE Tin"/>
        <s v="Pillsbury Chakki Fresh Atta"/>
        <s v="Everest Chicken Masala"/>
        <s v="Dhara Life Refined Ricebran Oil (Pouch)"/>
        <s v="Borges Extra Virgin Olive Oil"/>
        <s v="Everest Shahi Biryani Masala"/>
        <s v="Popular Essentials Californian Almond"/>
        <s v="Popular Essentials Ajwain Whole"/>
        <s v="Everest Tikhalal Chilli Powder"/>
        <s v="Popular Essentials Kabuli Chana Regular"/>
        <s v="Popular Essentials Saunf/Fennel Seeds"/>
        <s v="Popular Essentials Bansi Sooji"/>
        <s v="Happilo Premium International Queen Kalmi Dates"/>
        <s v="Tata Sampann Unpolished Urad Whole"/>
        <s v="Popular Essentials Cashew Split"/>
        <s v="Popular Essentials Chana Dal (Un-Polished)"/>
        <s v="Tata Sampann Unpolished Rajma (Chitra)"/>
        <s v="Everest Kitchen King Masala"/>
        <s v="24 Mantra Organic Cumin"/>
        <s v="Nestle Milkmaid"/>
        <s v="Popular Essentials Sona Masouri Steam Rice"/>
        <s v="24 Mantra Organic Tur Dal"/>
        <s v="Gits Gulab Jamun Instant Dessert Mix"/>
        <s v="Popular Essentials Black Masoor Whole (Un-Polished)"/>
        <s v="24 Mantra Organic Peanuts"/>
        <s v="Everest Hingraj Powder"/>
        <s v="Everest Black Pepper Powder"/>
        <s v="Tata Sampann Masoor Dal Stand"/>
        <s v="24 Mantra Organic Besan"/>
        <s v="Saffola Gold Refined Cooking Oil (Jar)"/>
        <s v="Nestle Everyday Dairy Whitener"/>
        <s v="24 Mantra Organic Red Poha"/>
        <s v="Everest Powder - Tea Masala"/>
        <s v="Tata Sampann Urad Dal Split"/>
        <s v="Popular Essentials Idli Sooji "/>
        <s v="Popular Essentials Dessicated Coconut"/>
        <s v="Sunfeast Yippee! Mood Masala Noodles"/>
        <s v="Chef's Basket Durum Wheat Elbow Pasta"/>
        <s v="MTR Breakfast Khatta Meetha Poha Mix"/>
        <s v="Satyam Khobra"/>
        <s v="Betty Crocker Complete Pancake Mix Original"/>
        <s v="Borges Durum Wheat Fusilli Pasta "/>
        <s v="24 Mantra Organic Green Moong Dal - Split"/>
        <s v="Weikfield Vanilla Flavoured Custard Powder"/>
        <s v="Tata Sampann Moong Dal Split"/>
        <s v="Tata Sampann Kala Chana"/>
        <s v="Saffola Soya Chunks Mealmaker"/>
        <s v="24 Mantra Bura Sugar (Demerara)"/>
        <s v="Popular Essentials Green Cardamom (Elaichi)"/>
        <s v="Hershey's Syrup Delicious Strawberry"/>
        <s v="Popular Essentials Anjeer"/>
        <s v="Popular Essentials Mustard Seeds Rai Small"/>
        <s v="Weikfield Baking Powder"/>
        <s v="Dabur Honey Squeezy"/>
        <s v="Tata Sampann High Protein Kali Urad"/>
        <s v="Chef's Basket Durum Wheat Fusilli Pasta"/>
        <s v="TilSona Til Oil"/>
        <s v="Top Ramen Chicken Noodles"/>
        <s v="Everest Chaat Masala"/>
        <s v="Keya Wonder Red Hot Chilli Flakes"/>
        <s v="Popular Essentials White Peas (Un-Polished)"/>
        <s v="Ching’s Secret Chowmein Hakka Noodles Masala "/>
        <s v="Dhara Filtered Groundnut Oil (Jar)"/>
        <s v="Pillsbury Choco Chip Pancake Mix"/>
        <s v="Hershey's Caramel Syrup"/>
        <s v="Pillsbury Multi Grain Atta"/>
        <s v="McCain New Mini Samosa with Cheese Corn Style Filling"/>
        <s v="Satyam Puffed Rice Kurmura (A)"/>
        <s v="MTR 3 Min Poha"/>
        <s v="Ching's Manchurian Instant Noodles"/>
        <s v="Hershey's Chocolate Flavour Syrup"/>
        <s v="Popular Essentials Dhania (Coriander Seeds)"/>
        <s v="24 Mantra Red Chilly Whole"/>
        <s v="Dabur Honey - World's No.1"/>
        <s v="24 Mantra Organic Puffed Rice"/>
        <s v="24 Mantra Organic Wheat Daliya "/>
        <s v="24 Mantra Organic Ragi Flour"/>
        <s v="Popular Essentials Cinnamon Whole (Dalchini)"/>
        <s v="Sundrop Super Lite Advanced - Sunflower Oil"/>
        <s v="Pillsbury Atta/Godihittu - Chakki Fresh"/>
        <s v="Popular Essentials Green Moong Chilka/Chilka (Un-Polished)"/>
        <s v="Popular Essentials HMT Kolam Steam"/>
        <s v="Popular Essentials Black Urad Split"/>
        <s v="Keya Oregano"/>
        <s v="Popular Essentials Pink Rajma"/>
        <s v="Everest Shahi Paneer Masala"/>
        <s v="Godrej Yummiez Chicken Nuggets"/>
        <s v="Flying Bird Vanilla Essence"/>
        <s v="Everest Sabji Masala"/>
        <s v="Cornitos Cornitos Taco Shells - 4 Inches"/>
        <s v="Everest Rajma Masala"/>
        <s v="Popular Essentials White Til"/>
        <s v="Amul Dark Compound Chocolate Slab"/>
        <s v="Mothers Recipe Papad Chana Masala"/>
        <s v="Ching's Schezwan Masala Instant Noodles"/>
        <s v="Amul Milk Compound Chocolate Slab"/>
        <s v="Eastern Chicken Masala"/>
        <s v="Popular Essentials Methi Seeds"/>
        <s v="Saffola Yummy Masala Noodles "/>
        <s v="Cadbury Hot Chocolate"/>
        <s v="Ching's Chicken Chilli Masala"/>
        <s v="Dabur Keora water - Authentic flavour for Biryani's and Desserts"/>
        <s v="Popular Essentials Black Cardamom/Elaichi "/>
        <s v="Popular Essentials Idli Rice"/>
        <s v="Everest Chole Masala"/>
        <s v="Dabur Hommade Tamarind Paste"/>
        <s v="&quot;Maggi Magic Cubes, Vegetarian Masala (Free 2 Cubes Inside)&quot;"/>
        <s v="Popular Essentials Cooking Soda"/>
        <s v="RRO Primio Refined Groundnut Oil Pet Bottle"/>
        <s v="Everest Pani Puri Masala"/>
        <s v="Nissin Cup Noodles Tangy Tomato"/>
        <s v="Ching's Veg Manchurian Masala"/>
        <s v="Ceres Foods Fish Mustard Instant Liquid Masala"/>
        <s v="24 Mantra Organic Jowar Flour"/>
        <s v="Maggi Coconut Milkpowder"/>
        <s v="On1y Pepper Grinder"/>
        <s v="Popular Essentials Rice Flour"/>
        <s v="Sunfeast Yippee! Pasta Treat - Sour Cream Onion"/>
        <s v="24 Mantra Organic Brown Sona Masoori Rice"/>
        <s v="Happilo Premium Afghani Anjeer"/>
        <s v="Popular Essentials Chiroti Sooji"/>
        <s v="RRO Til Dil Premium Til Oil Bottle"/>
        <s v="Popular Essentials Red Rajma"/>
        <s v="Cornitos Peanut - Premium Salted "/>
        <s v="Popular Essentials Black Pepper"/>
        <s v="24 Mantra Organic Tur Dal - Split"/>
        <s v="Sugarfree Gold Low Calorie Sweetner"/>
        <s v="Ching's Secret Paneer Chilli Masala"/>
        <s v="Dabur Honey "/>
        <s v="Everest Tea Masala"/>
        <s v="Ching's Paneer Chilli Masala"/>
        <s v="Sunfeast YiPPee! Magic Masala Noodles"/>
        <s v="Everest Meat Masala Powder"/>
        <s v="Pillsbury Atta With Multigrains Wheat Grains"/>
        <s v="Mother's Recipe Tamarind Paste"/>
        <s v="Quaker Oats Breakfast Cereals - With Flavour Mix Nutritious Rich Source Of Energy"/>
        <s v="Popular Essentials Cloves (Lavang)"/>
        <s v="Sunfeast Yippee! Power Up Atta Noodles"/>
        <s v="Suhana Paneer Tikka Masala Mix"/>
        <s v="24 Mantra Turmeric Powder"/>
        <s v="24 Mantra Super Grain Quinoa"/>
        <s v="Everest Powder - Egg Curry Masala"/>
        <s v="Popular Essentials Pe Shah Jeera "/>
        <s v="24 Mantra Organic Sattu Atta"/>
        <s v="Smith &amp; Jones Pasta Masala"/>
        <s v="Weikfield Vanilla Custard Powder"/>
        <s v="Sugarfree Natura Low Calorie Sweetner "/>
        <s v="Pillsbury Vanilla Custard Powder"/>
        <s v="24 Mantra Organic Rajma"/>
        <s v="Popular Essentials Broken Wheat/Daliya"/>
        <s v="Zorabian Chicken Smoked Ham"/>
        <s v="Smith &amp; Jones Peri Peri Masala"/>
        <s v="Popular Essentials Urad Dal Split (Un-Polished)"/>
        <s v="Popular Essentials Bajra Whole"/>
        <s v="Weikfield Veg Jelly Crystals - Strawberry"/>
        <s v="Weikfield Veg Jelly Crystals - Raspberry"/>
        <s v="Popular Essentials Masoor Dal Split (Un-Polished)"/>
        <s v="Popular Essentials Pista Salted (With Shell)"/>
        <s v="The Bake Shop Bread Crumbs"/>
        <s v="Popular Essentials Horse Gram"/>
        <s v="Hershey's Chocolate Syrup"/>
        <s v="Godrej Yummiez Chilli Chicken Sausages "/>
        <s v="Everest Kasuri Methi"/>
        <s v="Satyam Makhana"/>
        <s v="Everest Tandoori Chicken Masala"/>
        <s v="Weikfield Falooda Mix - Kesar Pista"/>
        <s v="Weikfield Cocoa Powder"/>
        <s v="Pantai Coconut Cream"/>
        <s v="Popular Essentials Coriander Seeds"/>
        <s v="Ching's Singapore Curry Instant Noodles"/>
        <s v="Eastern Fish Masala"/>
        <s v="Oleev Smart Oil Fortified with VIT A, D, E &amp; K (Pouch)"/>
        <s v="Everest Dry Ginger Powder"/>
        <s v="Pillsbury Cooker Cake Mix - Choco"/>
        <s v="Hersheys Chocolate Almond Syrup"/>
        <s v="Satyam Nighties Spices  Chilli Pandi"/>
        <s v="Popular Essentials Popular Essential Pista Salted (With Shell)"/>
        <s v="Godrej Yummiez Chicken Punjabi Tikka "/>
        <s v="Popular Essentials Rozana Sona Masuri Raw Rice"/>
        <s v="24 Mantra Mustard Oil (Cold Pressed) "/>
        <s v="24 Mantra Organic Black Pepper"/>
        <s v="Popular Essentials Green Moong Whole"/>
        <s v="24 Mantra Organic Masoor Dal - Split"/>
        <s v="Praakritik Organic Natural Rock Salt"/>
        <s v="24 Mantra Sunflower Oil (Cold Pressed) Pet Bottle"/>
        <s v="Ching's Secret Instant Noodles, Hot Garlic"/>
        <s v="Saffola Everyday Peppy Tomato Masala Oats"/>
        <s v="Dabur 100% Pure Honey - Worlds No.1"/>
        <s v="Popular Essentials Star Anise"/>
        <s v="Ching's Secret Chicken 65 Masala - Chicken"/>
        <s v="Cadbury Cocoa Powder"/>
        <s v="Praakritik Natural Desi Gir Cow A2 Ghee"/>
        <s v="Praakritik Organic Poha"/>
        <s v="Praakritik Organic Natural Wild Forest Honey"/>
        <s v="Popular Essentials Dry Dates (Kharak)"/>
        <s v="Popular Essentials Kashmiri Red Rajma"/>
        <s v="Dabur Hommade - Garlic Paste"/>
        <s v="Dabur 100% Pure Honey"/>
        <s v="Ching's Schezwan Fried Rice(Miracle Masala)"/>
        <s v="&quot;Maggi Magic Cubes, Vegetarian Masala&quot;"/>
        <s v="Popular Essentials Red Poha"/>
        <s v="Pillsbury Oven Cake Mix - Rich Chocolate"/>
        <s v="Eastern Super Garam Masala"/>
        <s v="Maggi Magic Cubes Extra Chicken"/>
        <s v="Satyam Nighties Spices  Chilli Kashmiri"/>
        <s v="Eastern Cumin Powder"/>
        <s v="Popular Essentials Urad Gola White(Un-Polished)"/>
        <s v="24 Mantra Organic Chana Dal"/>
        <s v="Delight Nuts Cashew Roasted &amp; Salted"/>
        <s v="Popular Essentials Mace/Javitri"/>
        <s v="Dlicia Whip Topping Bottle"/>
        <s v="Mother's Recipe Paste Ginger &amp; Garlic"/>
        <s v="24 Mantra Groundnut Oil (Cold Pressed) Pet Bottle"/>
        <s v="Satyam Pulses Masur Dal"/>
        <s v="Delight Nuts Pista Roasted &amp; Salted"/>
        <s v="Top Ramen Noodles, Atta"/>
        <s v="Hershey's Cocoa Powder"/>
        <s v="Praakritik Organic Singhara Atta"/>
        <s v="Gits Veg Biryani Ready to Eat"/>
        <s v="Delight Nuts Cranberries Sliced "/>
        <s v="Borges Durum Wheat Pasta Superior Quality"/>
        <s v="Ceres Foods Laal Maas Instant Liquid Masala"/>
        <s v="Popular Essentials Sattu Atta"/>
        <s v="Popular Essentials Mustard Seeds Rai Yellow"/>
        <s v="Praakritik Organic Extra Virgin Coconut Oil"/>
        <s v="Praakritik Organic Garlic Powder"/>
        <s v="Sugarfree Gold Low Calorie Sweetner "/>
        <s v="Aashirvaad Breakfast Instant Mix - Rice Idli"/>
        <s v="Kitchens Of India Mutter Paneer"/>
        <s v="Ching's Secret Veg Manchurian Masala"/>
        <s v="Popular Essentials Jowa Flour"/>
        <s v="Popular Essentials Black Til"/>
        <s v="Popular Essentials Pancharatna Dal"/>
        <s v="Saffola 100% Pure Honey"/>
        <s v="Popular Essentials Tamarind"/>
        <s v="Gits Rice Dosa Instant Breakfast Mix"/>
        <s v="Popular Essentials Poppy Seeds (Gasagase)"/>
        <s v="Hershey's Hot Chocolate Powder"/>
        <s v="Borges Farfalle Durum Wheat Pasta "/>
        <s v="Satyam Chilli  Bedgi"/>
        <s v="Aashirvaad Instant Mix - Rice Dosa"/>
        <s v="Hershey's Cocoa - Natural Unsweetened"/>
        <s v="Weikfield Veg Jelly Crystals - Mango"/>
        <s v="Praakritik Orrganic Cold Pressed Sesame Oil"/>
        <s v="Amulya Dairy Whitener "/>
        <s v="ITC Master Chef Hyderabadi Biryani"/>
        <s v="Flying Bird Butter Scotch Essence"/>
        <s v="Dabur Hommade - Ginger Paste"/>
        <s v="Popular Essentials Green Peas (Un-Polished)"/>
        <s v="Quaker Oats Pouch"/>
        <s v="24 Mantra Organic Urad White Whole"/>
        <s v="Popular Essentials Guntur Chilli Stemless"/>
        <s v="Popular Essentials Moth Whole"/>
        <s v="Keya Pizza Seasoning"/>
        <s v="Keya Piri Piri | Exotic Spices Mix"/>
        <s v="24 Mantra Organic Moong Dal"/>
        <s v="Betty Crocker French Vanilla Cake Mix"/>
        <s v="Delight Nuts Dried Cranberries "/>
        <s v="Everest Kesari Milk Masala"/>
        <s v="Tong Garden Salted Cocktail Nuts"/>
        <s v="MTR Uttapam Mix"/>
        <s v="Gits Khaman Dhokla Instant Snack Mix"/>
        <s v="Happilo Premium 100% Natural Whole Cashews"/>
        <s v="Everest Dry Mango Powder"/>
        <s v="Dabur Hommade - Ginger Garlic Past Tub"/>
        <s v="Gits Medu Vada Instant Snack Mix"/>
        <s v="Weikfield Drinking Chocolate Powder"/>
        <s v="Popular Essentials Regular White Lobia"/>
        <s v="Puro Healthy Salt Crystal"/>
        <s v="Popular Essentials Premium Jeera Rice"/>
        <s v="Smith &amp; Jones Shahi Paneer Masala Mix"/>
        <s v="Betty Crocker Mug Treats - Chocolate Mix - Pack of 4"/>
        <s v="Catch Black Pepper Sprinkler"/>
        <s v="Weikfield Cooker Cake Mix - Chocolate"/>
        <s v="ITC Master Chef Butter Chicken"/>
        <s v="Masala Oats Masala &amp; Coriander "/>
        <s v="Smith &amp; Jones Mutter Paneer Masala"/>
        <s v="Kitchens of India Dal Bukhara Gravy Mix"/>
        <s v="Popular Essentials Fried Gram (Bengal Gram)"/>
        <s v="Gits Jalebi with Maker Dessert Mix"/>
        <s v="Popular Essentials Soya Beans "/>
        <s v="24 Mantra Organic Roasted Bengal Gram Dal"/>
        <s v="Keya Italian Seasoning"/>
        <s v="MTR Idli/Dosa/Chilly Chutney Powder"/>
        <s v="Delight Nuts Trail Mix "/>
        <s v="Praakritik Organic Chilka Moong Dal"/>
        <s v="Smith &amp; Jones Garlic &amp; Herbs Masala Mix"/>
        <s v="Eastern Tamarind"/>
        <s v="Tong Garden Wasabi Coated Greenpeas Tin"/>
        <s v="Flying Bird Pineapple Artifical Food Essence"/>
        <s v="Japanese Choice Udon Noodles"/>
        <s v="Pantai Coconut Milk"/>
        <s v="Praakritik Organic Masoor Dal"/>
        <s v="Popular Essentials Classic Sona Masuri Rice"/>
        <s v="Popular Essentials Salted Murmure "/>
        <s v="Oleev Active Oil (Pouch)"/>
        <s v="Delight Nuts Dried Blueberries "/>
        <s v="Popular Essentials Double Beans White"/>
        <s v="Delight Nuts Almond Natural "/>
        <s v="Praakritik Organic Jaggery"/>
        <s v="Praakritik Organic Raw Sugar"/>
        <s v="MTR Masala - Sambar Powder"/>
        <s v="ITC Master Chef Vegetable Biryani Cooking Paste"/>
        <s v="Jivana Jaggery"/>
        <s v="Praakritik Organic Besan"/>
        <s v="MTR Instant Gulab Jamun Mix"/>
        <s v="On1y Mixed Herbs"/>
        <s v="Popular Essentials Urad Gola Black (Un-Polished)"/>
        <s v="Gits Dessert Mix China Grass Bombay Halwa"/>
        <s v="Praakritik Organic Basmati Rice"/>
        <s v="Ceres Foods Nalli Nihari Instant Liquid Masala"/>
        <s v="Borges Canola Oil Pet Bottle"/>
        <s v="Suhana Biryani Masala"/>
        <s v="On1y Black Salt Grinder"/>
        <s v="Popular Essentials Nylon Til"/>
        <s v="Pillsbury Rich Choco Oven Cake Mix - Egg Free"/>
        <s v="Weikfield Tomato Salsa Instant Pasta"/>
        <s v="Praakritik Organic Jowar Atta"/>
        <s v="Epicurea Thai Jasmine Rice"/>
        <s v="Yummiez Chicken Garlic Fingers Pouch"/>
        <s v="RRO Primio Refined Groundnut (Jar)"/>
        <s v="Praakritik Organic Tuvar Dal"/>
        <s v="Cantina Beans Mexican Beans"/>
        <s v="Pillsbury Oven Cake Mix - Vanilla"/>
        <s v="Hershey's Chocolate Milk Booster"/>
        <s v="Popular Essentials Byadagi Chilli Stemless"/>
        <s v="Suhana Spice Mix - Chicken Biryani"/>
        <s v="Praakritik Organic Yellow Moon Dal"/>
        <s v="24 Mantra Sona Masuri Brown Rice"/>
        <s v="24 Mantra Organic Pancharatna Dal - Split"/>
        <s v="24 Mantra Organic Cumin Powder"/>
        <s v="Popular Essentials Samba Broken Wheat"/>
        <s v="Betty Crocker Chocolate Fudge Cake Mix"/>
        <s v="Borges Extra Light Olive Oil Bottle "/>
        <s v="Flying Bird Premium Orange Artificial Food Essence"/>
        <s v="Popular Essentials Red Cherry/Gundu Chilli"/>
        <s v="Super Saver Kolam Rice Sortex Clean "/>
        <s v="Flying Bird Food Essence - Kewra"/>
        <s v="MTR Vada Breakfast"/>
        <s v="On1y Pasta Seasoning"/>
        <s v="Praakritik Organic Indrayani Rice"/>
        <s v="On1y Pizza Seasoning"/>
        <s v="Kitchens of India Mutter Paneer Mix"/>
        <s v="Aashirvaad Svasti Cow Ghee Tetra Pack"/>
        <s v="Weikfield Cooker Cake Mix - Vanilla"/>
        <s v="Praakritik Organic Kapli Wheat Atta"/>
        <s v="Epicurea Sushi Rice"/>
        <s v="Sugarfree Natural Green Stevia Leaves Zero Calorie"/>
        <s v="Smith &amp; Jones Italian Spices Masala Mix"/>
        <s v="Satyam Nighties Spices  Chilli Bore"/>
        <s v="Weikfield Veg Jelly Crystals - Orange"/>
        <s v="Praakritik Organic Jumbo Rolled Oats"/>
        <s v="On1y Sea Salt Grinder"/>
        <s v="Delight Nuts Berries Mix "/>
        <s v="Praakritik Organic Ginger Powder"/>
        <s v="Suhana Mutton Gravy Mix"/>
        <s v="On1y Salad Seasoning Grinder"/>
        <s v="Figaro Pure Olive Oil"/>
        <s v="Madhur Sugar"/>
        <s v="Madhur Pure And Hygienic Sugar"/>
        <s v="Satyam Poha Jada"/>
        <s v="Aashirvaad Superior MP Whole Wheat Atta"/>
        <s v="Maggi Masala Ae Magic"/>
        <s v="Aashirvaad Iodised Salt "/>
        <s v="Maggi 2-Minute Instant Noodles - Masala"/>
        <s v="Popular Essentials Phool Makhana (Jumbo Size)"/>
        <s v="Aashirvaad Atta With Mutigrains"/>
        <s v="Tata Sampann Poha"/>
        <s v="Fortune Besan Flour"/>
        <s v="Everest Tikhalal Hot &amp; Red Chilly Powder"/>
        <s v="Popular Essentials Chia Seeds"/>
        <s v="Tata Sampann Unpolished Toor Dal/Arhar Dal"/>
        <s v="Everest Coriander Powder"/>
        <s v="Satyam Thin Poha Patla"/>
        <s v="Popular Essentials Sona Masouri Raw Rice"/>
        <s v="Tata Sampann High Protien Chana Dal - Split"/>
        <s v="Satyam Singdana "/>
        <s v="Tata Sampann Moong Chilka "/>
        <s v="Tata Sampann High Protien Toor Dal - Split"/>
        <s v="Ching's Chow Mein Hakka Noodles Masala"/>
        <s v="Everest Chat Masala"/>
        <s v="Popular Essentials Black Brown Chana (Un-Polished)"/>
        <s v="Ching's Secret Veg Hakka Noodles"/>
        <s v="Saffola Oats 100 % Natural"/>
        <s v="Everest Kashmiri Lal Chilli Powder"/>
        <s v="Popular Essentials Black Raisins Seedless"/>
        <s v="Daawat Rozana Super Basmati Rice"/>
        <s v="Everest Cumin Powder (Jeera)"/>
        <s v="Everest Sambhar Masala"/>
        <s v="Maggi Chilly Chow Cuppa Noodles"/>
        <s v="Popular Essentials Mustard Seeds Rai Big"/>
        <s v="Patanjali Cow's Ghee"/>
        <s v="Everest Amchur Powder"/>
        <s v="Daawat Super Basmati Rice"/>
        <s v="Popular Essentials Sabudana"/>
        <s v="Popular Essentials Brown Sugar"/>
        <s v="Tata Tea Gold"/>
        <s v="Daawat Rozana Gold Basmati Rice"/>
        <s v="Top Ramen Masala"/>
        <s v="Everest Turmeric Powder"/>
        <s v="Popular Essentials Buckwheat Flour (Kuttu Atta)"/>
        <s v="Keya Italian Pizza Oregano"/>
        <s v="Chef's Basket Durum Wheat Penne Pasta"/>
        <s v="India Gate Basmati Rice"/>
        <s v="24 Mantra Organic Whole Wheat Atta"/>
        <s v="Zorabian Chicken Kheema Parathas"/>
        <s v="Sunfeast Pasta Treat Pack of Tomato Cheese"/>
        <s v="Sugarlite 50% Less Calories Sugar Pouch"/>
        <s v="Popular Essentials Sabja/Basil Seeds"/>
        <s v="Patanjali Pure Honey"/>
        <s v="Weikfield Falooda Mix - Mango"/>
        <s v="Pro Nature Organic Sonamasoori Brown Rice"/>
        <s v="Maggi Special Masala Spicy Yummy Noodles"/>
        <s v="Godrej Yummiez Chicken Breakfast Salami"/>
        <s v="Everest Saffron Kesar"/>
        <s v="Mother Dairy Toned Milk Pouch"/>
        <s v="Mother Dairy Classic Curd"/>
        <s v="Mother Dairy Ultra Full Cream Milk"/>
        <s v="Amul Butter - Pasteurised"/>
        <s v="Britannia Sandwich White Bread"/>
        <s v="iD Curd Pouch"/>
        <s v="Britannia 100% Whole Wheat Bread"/>
        <s v="Britannia Healthy Slice Sandwich Bread"/>
        <s v="Gowardhan Classic Block Fresh Paneer"/>
        <s v="Amul Processed Cheese Cubes"/>
        <s v="Britannia Pav"/>
        <s v="Nestle A+ Nourish Dahi"/>
        <s v="Britannia Burger Bun with Sesame Seed"/>
        <s v="Amul Frozen Malai Paneer"/>
        <s v="iD Natural Paneer"/>
        <s v="Britannia Fruit Bun"/>
        <s v="Amul Cheese - Processed Slices"/>
        <s v="iD Curd Cup"/>
        <s v="The Bake Shop Premium White Sandwich Bread"/>
        <s v="Britannia Multigrain Bread "/>
        <s v="Amul Processed Cheese Block"/>
        <s v="Epigamia Misti Doi"/>
        <s v="Amul Cheese - Block"/>
        <s v="Amul Butter - Pasteurised (School Pack)"/>
        <s v="Britannia Brown Bread "/>
        <s v="Epigamia Natural Greek Yogurt"/>
        <s v="The Bake Shop Pizza Base"/>
        <s v="Amul Delicious Fat Spread - Cholesterol Free"/>
        <s v="Nestle A+ Actiplus Probiotic Dahi Plain Curd"/>
        <s v="Bio Nutrients Pure Diet Tofu Gold "/>
        <s v="Amul Cheese - Pepper"/>
        <s v="Amul Cheese Spread Creamy"/>
        <s v="The Bake Shop Foot Long"/>
        <s v="Amul Cheese Slices"/>
        <s v="Suguna Sharp Egg "/>
        <s v="Amul Cheese Sauce Mexican Salsa"/>
        <s v="Amul Pizza Cheese Processed"/>
        <s v="Amul Lite Spread"/>
        <s v="Go Cheese Slice - Plain"/>
        <s v="RRO Sour Cream"/>
        <s v="D'lecta Natural Feta Cheese Block"/>
        <s v="Suguna Active - DHA"/>
        <s v="Go Cheese Processed Angles Plain"/>
        <s v="Epigamia Greek Yogurt - Natural"/>
        <s v="Amul Unsalted Cooking Butter"/>
        <s v="The Whole Truth Dark Chocolate Peanut Butter - Creamy"/>
        <s v="The Laughing Cow Cheese Slices"/>
        <s v="Epigamia Almond Milk Unsweetened Dairy Free"/>
        <s v="Go Cheese  Spread Plain"/>
        <s v="So Good Almond Milk - Natural Unsweetened"/>
        <s v="Amul Cheese Sauce Jalapeno"/>
        <s v="D'lecta Cream Cheese"/>
        <s v="Dlecta Natural Cheddar Slices"/>
        <s v="Suguna Heart- Omega3"/>
        <s v="Go Cheese Spread - Garlic"/>
        <s v="Go Pizza Cheese"/>
        <s v="RRO Cheddar Block Cheese"/>
        <s v="The Whole Truth Peanut Butter With Dates - Creamy No Sugar"/>
        <s v="Suguna Fit Egg"/>
        <s v="RRO Fresh Ricotta"/>
        <s v="Dlecta Cheese Cubes 2"/>
        <s v="RRO Mozzarella Pizza Cheese"/>
        <s v="The Laughing Cow Cheese Cubes"/>
        <s v="Yogabar 100% Pure Peanut Butter Creamy &amp; Yummy Unsweetened"/>
        <s v="RRO Burrata Cheese"/>
        <s v="The Whole Truth Dark Chocolate Peanut Butter - Crunchy"/>
        <s v="Go Cheese Processed Squares"/>
        <s v="Funfoods Peanut Butter Crunchy"/>
        <s v="Amul Safed Makkhan"/>
        <s v="Go Cheese Spread - Four Pepper (Soft &amp; Creamy)"/>
        <s v="Laughing Cow Cheese 8 Portion 120Gm Imported"/>
        <s v="The Whole Truth Peanut Butter - Sweetened &amp; Crunchy"/>
        <s v="Go Processed Cheese Block"/>
        <s v="Go Cheese Processed Block"/>
        <s v="RRO Goat Milk Fetta Cheee"/>
        <s v="RRO Mascarpone Cheese"/>
        <s v="D'lecta Cheddar Cheese"/>
        <s v="Funfoods Peanut Butter Creamy"/>
        <s v="Dlecta Cheese Block"/>
        <s v="President Butter - Salted"/>
        <s v="The Laughing Cow Plain Processed Cheese Block"/>
        <s v="Yoga Bar Peanut Butter Dark Chocolate Jar"/>
        <s v="The Laughing Cow Cheese Spread Plain"/>
        <s v="Amul Malai Paneer Fresh "/>
        <s v="Amul Taaza Toned Homogenised Milk"/>
        <s v="Amul Lactose Free Milk"/>
        <s v="The Bake Shop Whole Wheat Bread"/>
        <s v="Amul Slim Trim Skimmed Milk"/>
        <s v="Amul Pizza Cheese - Mozzarella"/>
        <s v="The Bake Shop Pizza Base Whole Wheat"/>
        <s v="Nestle A+ Slim Dahi - Low Fat"/>
        <s v="Britannia Cheese Garlic Bread"/>
        <s v="The Bake Shop Whole Wheat Ladi Pav"/>
        <s v="Amul Cheese Spread Yummy Plain"/>
        <s v="Britannia Atta Kulcha"/>
        <s v="Suguna Nourish Egg"/>
        <s v="The Bake Shop Multi Grain Bread"/>
        <s v="Nestle A+ Slim Milk"/>
        <s v="Go Cheese Pizza Blend Mozzarella + Cheddar"/>
        <s v="The Whole Truth Peanut Butter - Unsweetened &amp; Crunchy"/>
        <s v="Amul Cheese Spread Spicy Garlic"/>
        <s v="The Bake Shop Burger Buns"/>
        <s v="D'lecta Shredded Mozzarella Cheese"/>
        <s v="Suguna Vitamin D Egg"/>
        <s v="Pillsbury Pancake Mix - Funfetti"/>
        <s v="Prabhat Malai Paneer Pouch"/>
        <s v="Suguna Nourish Egg "/>
        <s v="RRO Mozzarella Block Cheese"/>
        <s v="iD Malabar Parota "/>
        <s v="iD Wheat Lachha Paratha"/>
        <s v="McCain Aloo Tikki"/>
        <s v="McCain Smiles Cripsy Happy Potatoes"/>
        <s v="McCain Veggie Burger Patty"/>
        <s v="McCain Veggie Fingers"/>
        <s v="Whiskas Wet  Meal (Adult - Cat Food)  Chicken in Gravy"/>
        <s v="McCain Chilli Garlic Potato Bites Crunchy Potato Nuggets"/>
        <s v="Veeba Eggless Mayonnaise"/>
        <s v="Veeba Pasta And Pizza Sauce"/>
        <s v="Unibic Almond &amp; Oats Protein Bar"/>
        <s v="McCain French Fries"/>
        <s v="Ching's Secret Manchow Instant Soup"/>
        <s v="McCain Potato Cheese Shotz"/>
        <s v="McCain Masala - Fries"/>
        <s v="Ching's Secret Schezwan Fried Rice Masala"/>
        <s v="McCain Chilli Cheesy Nuggets"/>
        <s v="Whiskas Adult (+1 Year) Dry Cat Food, Ocean Fish Flavour"/>
        <s v="Chings Instant Soup - Hot &amp; Sour"/>
        <s v="Amul Spray Infant Milk Food"/>
        <s v="McCain Smiles - Pudina Chatka"/>
        <s v="McCain French Fries Crisp &amp; Delicious"/>
        <s v="Ferrero Nutella Hazelnut Spread"/>
        <s v="Lijjat Garlic Papad"/>
        <s v="Switz Samosa Dough Sheets"/>
        <s v="Maggi Imli Sauce Pichkoo"/>
        <s v="Whiskas Kitten (2-12 months) Dry Cat Food Food Ocean Fish"/>
        <s v="Chings Instant Soup - Sweet Corn Veg"/>
        <s v="Whiskas Wet  Meal (Kitten - Cat Food)  Chicken in Gravy"/>
        <s v="McCain Crazy Fries Masala MixHot 'n' Tangy"/>
        <s v="The Whole Truth Double Cocoa Protein Bar No Sugar"/>
        <s v="Amul Happy Treats French Fries"/>
        <s v="Ferrero Nutella Hazeulnut Spread"/>
        <s v="Veeba Chipolte Southwest Dressing"/>
        <s v="Ching's Secret Manchow Noodles Instant Soup"/>
        <s v="Yoga Bar Breakfast Protein Bar - Blueberry Pie"/>
        <s v="The Whole Truth Mini Protein Bar - Coconut Cocoa No Added Sugar"/>
        <s v="Switz Spring Roll Dough Sheets"/>
        <s v="Unibic Fruit &amp; Nut Real Cranberries &amp; Almonds Protein Bar"/>
        <s v="Ching's Secret Tomato Instant Soup"/>
        <s v="Kellogg's Crunchy Fruit &amp; Nut Breakfast Cereals Muesli"/>
        <s v="Ching's Secret Chilli Vinegar"/>
        <s v="Ching's Red Chilli Sauce"/>
        <s v="The Whole Truth Cranberry Mini Protein Bar No Sugar"/>
        <s v="The Whole Truth Mini Protein Bar - Coffee Cocoa No Added Sugar"/>
        <s v="Maggi Hot &amp; Sweet Tomato Chilli Sauce"/>
        <s v="Sunfeast YiPPee! Noodles - Magic Masala"/>
        <s v="Veeba Cheese and Chilli Sandwich Spread"/>
        <s v="The Whole Truth Peanut Cocoa Mini Protein Bar No Sugar "/>
        <s v="Gits Pav Bhaji Ready to Eat"/>
        <s v="Lijjat Udad Mini Papad"/>
        <s v="McCain Herb &amp; Garlic Crazy Fries Masala Mix "/>
        <s v="Yoga Bar Multigrain Energy Bar Nuts And Seeds"/>
        <s v="Ching's Secret Sauce, Green Chilli"/>
        <s v="Veeba Pizza Topping"/>
        <s v="Switz Paratha Puff"/>
        <s v="New Kellogg's Muesli with 21% Fruit, Nut &amp; Seeds"/>
        <s v="The Whole Truth Double Cocoa Mini Protein Bar No Sugar"/>
        <s v="Sunfeast Yippee Tricolor Pasta Seasoning"/>
        <s v="Wingreens Cheesy Chipotle Sauce"/>
        <s v="Maggi Rich Tomato Ketchup"/>
        <s v="Kellogg's Real Almond &amp; Honey Corn Flakes"/>
        <s v="The Whole Truth Vegan Almond Choco Fudge Energy Bar No Sugar"/>
        <s v="Prasuma Vegetable Momos"/>
        <s v="MTR Upma"/>
        <s v="The Whole Truth Cranberry Protein Bar No Sugar"/>
        <s v="Veeba English Mustard"/>
        <s v="Yoga Bar Breakfast Muesli - Almond Caramel (No Added Sugar)"/>
        <s v="The Whole Truth Mini Protein Bar - Peanut Butter No Added Sugar"/>
        <s v="ITC Master Chef Crispy Chicken Fries "/>
        <s v="Kelloggs Corn Flakes"/>
        <s v="Smith &amp; Jones White Pasta Sauce Mix"/>
        <s v="Mothers Recipe Tamrind Date Chutney "/>
        <s v="Veeba Mint Mayonnaise"/>
        <s v="Mccain Emotibites - Crispy Happy Potato Snack"/>
        <s v="The Whole Truth Energy Bar Choco Cranberry Fudge"/>
        <s v="Godrej Yummiez Chicken Lucknowi Seekh Kebab"/>
        <s v="Mother's Recipe Mixed Pickle"/>
        <s v="The Whole Truth Peanut Cocoa Protein Bar No Sugar"/>
        <s v="Yoga Bar Breakfast Muesli - Chocolate &amp; Cranberry "/>
        <s v="Veeba Sweet Onion Sauce"/>
        <s v="Yogabar No Added Sugar Protein Bar Brownie"/>
        <s v="Bambino Popular Vermicelli "/>
        <s v="Ching's Secret Mix Veg Instant Soup"/>
        <s v="Mother's Recipe Pickle - Red Stuffed Chilli"/>
        <s v="Kellogg's No Added Sugar Muesli"/>
        <s v="Veeba Salsa Dip"/>
        <s v="Veeba Thousand Island Dressing"/>
        <s v="Baggry's Crunchy Muesli Almond Raisins &amp; Honey"/>
        <s v="Knorr Chinese Hot And Sour Veg Soup"/>
        <s v="Kissan Pineapple Jam"/>
        <s v="Smith &amp; Jones Masala Noodles"/>
        <s v="Nestle Nestle Nan Pro Follow-Up Formula"/>
        <s v="McCain Super Wedges"/>
        <s v="Kellogg's Crunchy Granola Honey, Almonds, Strawberries &amp; Pumpkin Seeds"/>
        <s v="Kellogg's Chocos"/>
        <s v="Ching's Secret Just Soak - Whole Wheat Veg Hakka Noodle"/>
        <s v="The Whole Truth Vegan Fig Apricot &amp; Orange Energy Bar No Sugar"/>
        <s v="ITC Master Chef Classic Aloo Tikki"/>
        <s v="Smith &amp; Jones Pink Pasta Sauce Mix"/>
        <s v="Wingreens Farms Chipotle Dip"/>
        <s v="Kellogg's Crunchy Granola Chocolate &amp; Almonds"/>
        <s v="Cornitos Cornitos Taco Shells - 6 Inches"/>
        <s v="Ching's Secret Singapore Curry Instant Noodles"/>
        <s v="Mother's Recipe Pickle - Mango"/>
        <s v="Pedigree Dentastix  Dog Treat Oral Care for Adult Medium Breed "/>
        <s v="Maggi Hot &amp; Sweet - Tomato Chilli Sauce"/>
        <s v="Ching's Secret Asian Hot Instant Soup"/>
        <s v="Kellogg’s Chocos Protein And Fibre Of 1 Roti"/>
        <s v="Chings Secret Manchurian Instant Noodle"/>
        <s v="Kellogg's Original Corn Flakes"/>
        <s v="Kellogg's Almonds And Cranberries Granola"/>
        <s v="Nestle Ceregrow Multigrain Cereal with Milk and Fruits - 3 to 6 years"/>
        <s v="MTR 3 Minute Breakfast - Magic Masala Upma"/>
        <s v="Knorr Classic Tomato Soup With 100% Real Vegetabls, No Added Preservatives"/>
        <s v="Kellogg's Corn Flakes"/>
        <s v="Kelloggs Chocos"/>
        <s v="Pedigree Puppy Dry Dog Food Food Chicken &amp; Milk"/>
        <s v="Ching's Secret Lemon Coriander Instant Soup"/>
        <s v="Nestle Cerelac Baby Cereal With Milk Wheat-Rice Mixed Fruit"/>
        <s v="Kelloggs Chocos - Moons &amp; Stars"/>
        <s v="ITC Master Chef Chicken Galouti Kebab"/>
        <s v="Kitchens Of India Palak Paneer"/>
        <s v="Kelloggs Chocos Fills Double Chocolat"/>
        <s v="Soulfull Ragi Bites Choco Fills"/>
        <s v="Figaro Sliced Black Olive "/>
        <s v="Veeba Barbeque Sauce"/>
        <s v="The Whole Truth Vegan Mocha Almond Fudge Energy Bar No Sugar"/>
        <s v="The Whole Truth - Nuts, Fruits &amp; Seeds Muesli"/>
        <s v="Pantai Green Curry Paste"/>
        <s v="Kelloggs Special K"/>
        <s v="Moi Soi Sichuan Chilli Oil- For Stir Fry Marinade Spread &amp; Dip"/>
        <s v="Mother's Recipe Madras Appalam"/>
        <s v="Top Ramen Masala Oat Masala"/>
        <s v="Kitchens Of India Chicken Chettinad"/>
        <s v="Nestle Cerelac Wheat - Stage 1"/>
        <s v="Sumeru Aloo Paratha"/>
        <s v="ITC Master Chef Veggie Pizza Pocket"/>
        <s v="Wingreens Farms Tangy Cheese Pita Chips &amp; Mexican Salsa Dip"/>
        <s v="Ching's Secret Manchow Soup"/>
        <s v="Veeba Carrot &amp; Cucumber Sandwich Spread"/>
        <s v="Kitchens Of India Mughlai Paneer"/>
        <s v="Ching's Secret Just Soak - Veg Hakka Noodles"/>
        <s v="Ching's Secret Chowmein Hakka Noodles Masala"/>
        <s v="Mother's Recipe Bhel Puri Chutney"/>
        <s v="Kelloggs Chocos Moon &amp; Stars"/>
        <s v="Mother's Recipe Lime Pickle "/>
        <s v="Kitchens of India Dal Makhani"/>
        <s v="Pantai Light Soy Sauce"/>
        <s v="Ching's Secret Sweet Corn Soup"/>
        <s v="Cantina Tortilla Dip Sauce Sour Creamy Tex Mex"/>
        <s v="Dabur Hommade - Rajasthan Ki Garlic Chutne"/>
        <s v="MTR Seviyan Vermicelli "/>
        <s v="Pantai Oyster Sauce"/>
        <s v="MTR Ready To Eat Paneer Butter Masala"/>
        <s v="Nestle Lactogen Stage 2 Follow-up Formula Powder"/>
        <s v="Kellogg's Crunchy Bites Chocos"/>
        <s v="Veeba Hot Sweet Tomato Chilli Sauce"/>
        <s v="Pantai Red Curry Paste"/>
        <s v="ITC Master Chef Chicken Seekh Kabab"/>
        <s v="Del Monte Pizza &amp; Pasta Sauce Spout Pack"/>
        <s v="Pantai Sriracha Red Chilli Sauce"/>
        <s v="Hershey's Cocoa Spread"/>
        <s v="Maggi Ghee Tadka Upma Express Pouch"/>
        <s v="Ching's Secret Manchurian Noodles"/>
        <s v="Kellogg's All Bran Wheat Flakes"/>
        <s v="Yummiez Chicken Breakfast Sausages"/>
        <s v="Bagrrys Muesli Crunchy Fruit &amp; Nut With Cranberries"/>
        <s v="Prasuma Momos -  Cheesy Spicy Veg"/>
        <s v="Veeba Sriracha Chilli Garlic Sauce"/>
        <s v="Moi Soi Kung Pao Sauce - For Stir Fry Marinade Spread &amp; Dip"/>
        <s v="Figaro Plain Green Olive "/>
        <s v="Mother's Recipe Gujrati Gorkeri Pickle"/>
        <s v="Kellogg's Muesli 20% Nuts Delight"/>
        <s v="Nestle Nan Pro 4 Follow Up Formula Powder For Older Infants "/>
        <s v="Veeba Truly Tomato Ketchup"/>
        <s v="Ching's Secret Green Chilli Sauce"/>
        <s v="MTR Roasted Vermicelli "/>
        <s v="Mother's Recipe Punjabi Teekha Mang Pickle"/>
        <s v="Ching's Secret Hot Garlic Instant Noodles"/>
        <s v="Kellogg's Real Honey Corn Flakes"/>
        <s v="ITC Master Chef Lebanese Falafel Kebab"/>
        <s v="Kelloggs Chocos Fills Double Chocolaty"/>
        <s v="Organic India Apple Cider Vinegar"/>
        <s v="Ching's Secret  Noodles - Pad Thai Lemongras"/>
        <s v="Bagrrys Fruit and Nut Muesli with Cranberries"/>
        <s v="Kitchens Of India Yellow Dal Tadka"/>
        <s v="Soulfull Vanilla Fills - Ragi Bites"/>
        <s v="Pantai Teriyaki Sauce with Garlic"/>
        <s v="Whiskas Adult Pocket Tuna Cat Food"/>
        <s v="Kitchens Of India Chicken Darbari "/>
        <s v="Soulfull Millet Muesli Fruit &amp; Nut Almonds &amp; Real Fruits"/>
        <s v="Smith &amp; Jones Red Pasta Sauce Mix"/>
        <s v="Kellogg's Muesli Nuts Delight"/>
        <s v="Remia Mayonnaise"/>
        <s v="Bagrrys Fruit N Fibre Muesli - Strawberry"/>
        <s v="Ching's Secret Tomato Oats Instant Soup"/>
        <s v="Kellogg's Special K Original Corn Flakes"/>
        <s v="Moi Soi  Black Bean Sauce - Dip Spread Stir Fry &amp; Marinade"/>
        <s v="Tong Garden Wasabi Green Peas"/>
        <s v="Ching's Secret Red Chilli Sauce"/>
        <s v="Ching's Instant Hot and Sour Soup"/>
        <s v="Ching's Secret Noodles - Pad Thai Original"/>
        <s v="Aashirvaad Instant Meals - Khatta Meetha Pohaa With Millets"/>
        <s v="Del Monte Black Sliced Olives"/>
        <s v="Kitchens Of India Murgh Methi"/>
        <s v="Nestle Cerelac 5 Grains &amp; Fruits Cereal"/>
        <s v="The Whole Truth - 5 Grain Muesli No Added Sugar"/>
        <s v="Ching's Secret  Pad Thai Noodles Green Curry"/>
        <s v="Aashirvaad Suji Halwa With Jaggery"/>
        <s v="Mother's Recipe Mango Pickle "/>
        <s v="Ching's Secret Pad Thai Noodles - Extra Hot Thai Chilli"/>
        <s v="Knorr Sweet Corn Chicken Soup"/>
        <s v="Ching's Secret Tomato Soup"/>
        <s v="Kelloggs Muesli - With 22% Fruit Magic"/>
        <s v="Dabur Hommade - Kalonji Tamatar Ki Chutney"/>
        <s v="Del Monte Green Chili Sauce"/>
        <s v="Pedigree Dog Food Adult Chicken &amp; Veg"/>
        <s v="Kitchens Of India Rajma Masala"/>
        <s v="Kitchen Of India Ready-To-Eat Pindi Channa"/>
        <s v="Figaro Pitted Black Olive "/>
        <s v="Cantina Tabasco Red Sauce"/>
        <s v="Mother's Recipe Pickle - Mixed"/>
        <s v="Nestle Cerelac Baby Cereal with Milk 5 Grains &amp; Vegetables from 18 to 24 Month"/>
        <s v="Pedigree Meat Jerky Adult Dog Treat Barbecued Chicken"/>
        <s v="Veeba Peri Peri Sauce"/>
        <s v="Pantai Sriracha Yellow Chilli Sauce"/>
        <s v="Ching's Secret Just Soak - Whole Wheat Veg Hakka Noodles"/>
        <s v="Pantai Spring Roll Sauce"/>
        <s v="MTR Vermicelli Payasam"/>
        <s v="Bagrrys Corn Flakes"/>
        <s v="MTR Ready To Eat Palak Paneer "/>
        <s v="Del Monte Red Chili Sauce"/>
        <s v="MTR Dal Fry"/>
        <s v="Pantai Fish Sauce"/>
        <s v="Ching's Secret Manchurian Instant Noodle"/>
        <s v="Remia Salad Italian Dressing "/>
        <s v="Yummiez Veg Cheese Fingers Pouch"/>
        <s v="MTR Dal Makhani"/>
        <s v="MTR Ready to Eat Pav Bhaji"/>
        <s v="Nestlé CERELAC Baby Cereal with Milk"/>
        <s v="Remia Salad Caesar Dressing"/>
        <s v="Bagrrys Fruit N Fibre Muesli Mixed Fruit"/>
        <s v="MTR Paneer Butter Masala &amp; Veg Pulao"/>
        <s v="Sundrop Cocoa Nut Hazelnut Chocolatey Spread"/>
        <s v="Moi Soi Manchurian Sauce - For Stir Fry Marinade Spread &amp; Dip"/>
        <s v="Pedigree Dog Food Adult Meat &amp; Rice"/>
        <s v="Pantai Sriracha Green Chilli Sauce"/>
        <s v="Pantai Chilli Garlic Sauce"/>
        <s v="Pantai Dark Soy Sauce"/>
        <s v="Cantina Tabasco Green Sauce"/>
        <s v="Pantai Pad Thai Sauce (Non-Veg)"/>
        <s v="Pantai Sweet Chilli Sauce"/>
        <s v="Ching's Secret Schezwan Instant Noodle"/>
        <s v="Pediasure Premium Chocolate Powdered Health Drink"/>
        <s v="Chings Secret Hot Garlic Instant Noodles"/>
        <s v="Godrej Yummiez Cheese Corn Nuggets "/>
        <s v="Pantai Hot Chilli Sauce"/>
        <s v="Knorr International Mexican Tomato Corn Soup "/>
        <s v="Bagrry's Fruit Fibre Muesli Mixed Fruit "/>
        <s v="Kurkure Green Chutney, Rajasthani Style"/>
        <s v="Kellogg's Chocos Combo Pack"/>
        <s v="Kissan Mixed Fruit Jam "/>
        <s v="Lijjat Urad Papad"/>
        <s v="Mother's Recipe Ginger And Garlic Paste"/>
        <s v="Maggi Magic Cubes Chicken"/>
        <s v="Pedigree Puppy Chicken Chunks in Gravy "/>
        <s v="Lijjat Moong Papad"/>
        <s v="Mothers Recipe Papad - Sabudana With Rock Salt"/>
        <s v="Veeba Favourites Eggless Burger Mayonnaise"/>
        <s v="Kelloggs Corn Flakes With Real Strawberry Pure"/>
        <s v="Mother's Recipe Potato Papad"/>
        <s v="Mothers Recipe Rice Papad Ajwain"/>
        <s v="Dabur Hommade - Imli Sauce Saunth"/>
        <s v="MTR Vegetable Upma"/>
        <s v="Del Monte Original Blend Tomato Ketchup Pouch"/>
        <s v="Del Monte Natural Vinegar "/>
        <s v="Del Monte Eggless Mayo"/>
        <s v="ITC Master Chef Cheesy Corn Triangles"/>
        <s v="Mother's Recipe Mixed Pickle "/>
        <s v="Hershey's Cocoa + Almond Spread"/>
        <s v="Del Monte Schezwan Sauce"/>
        <s v="Yummiez Green Peas"/>
        <s v="Yummiez American Sweet Corn"/>
        <s v="Dr Oetker Cucumber &amp; Carrot Sandwich Spread Veg"/>
        <s v="Del Monte Pitted Green Olives"/>
        <s v="Godrej Real Good Chicken Whole Pre-Cut"/>
        <s v="Zorabian Chicken Breast Boneless"/>
        <s v="Godrej Real Good Chicken Curry Cut"/>
        <s v="TGFC Chicken Curry Cut Fresh"/>
        <s v="Godrej Real Good Chicken Breast Boneless"/>
        <s v="Fresh Chicken Boneless Cubes (Halal)"/>
        <s v="Godrej Real Good Chicken Kheema"/>
        <s v="TGFC Bombay Duck Whole Cleaned"/>
        <s v="Zorabian Pre Cut Chicken Skinless (Half)"/>
        <s v="Godrej Real Good Chicken Drumstick "/>
        <s v="Godrej Real Good Chicken Marinated Lollipop "/>
        <s v="Fresh Chicken Whole Leg - Skinless (Halal)"/>
        <s v="TGFC Tilapia Curry Cut"/>
        <s v="Godrej Real Good Marinated Hot &amp; Grill Chicken"/>
        <s v="TGFC Chicken Boneless Fresh Whole"/>
        <s v="TGFC Catla Bengali Cut"/>
        <s v="Godrej Real Good Chicken Leg Boneless"/>
        <s v="TGFC Rohu Bengali Cut"/>
        <s v="Godrej Real Good Chicken Lollypop"/>
        <s v="Godrej Real Good Chicken Liver Sealed "/>
        <s v="Fresh Mutton Mince - Kheema (Halal)"/>
        <s v="Fresh Mutton Curry Cut Cubes (Halal)"/>
        <s v="Godrej Real Good Chicken Legs "/>
        <s v="TGFC Basa Fillets"/>
        <s v="Zorabian Chicken Legs Skinless"/>
        <s v="Fresh Chicken Curry Cut - Skinless (Halal)"/>
        <s v="Zorabian Chicken Breast Boneless "/>
        <s v="Fresh Chicken Mince - Kheema (Halal)"/>
        <s v="Godrej Real Good Chicken Boneless Cubes "/>
        <s v="Zorabian Chicken Mince"/>
        <s v="Zorabian Chicken Leg Boneless "/>
        <s v="Zorabian Chicken Cubes"/>
        <s v="Britannia Good Day Cashew Cookies"/>
        <s v="Britannia 50-50 Maska Chaska Biscuits"/>
        <s v="Dukes Waffy Chocolate Wafers"/>
        <s v="Britannia Nutri Choice Digestive Biscuit"/>
        <s v="Britannia Goodday Chocochip Cookies"/>
        <s v="Britannia Good Day Pista Badam"/>
        <s v="Cadbury Chocobakes Chocolate Filled Cookies "/>
        <s v="Dukes Waffy Strawberry Roll"/>
        <s v="Parle Monaco Classic Salty Biscuits"/>
        <s v="Dukes Waffy Orange Wafers"/>
        <s v="Britannia Milk Bikis Biscuits Packet"/>
        <s v="Britannia Toastea (Premium Bake Rusk)"/>
        <s v="Dukes Waffy Strawberry Wafers"/>
        <s v="Britannia Toastea Premium Bake Rusk"/>
        <s v="Lotte Choco Pie "/>
        <s v="Bauli Moonfils Choco Veg Puff Roll"/>
        <s v="Sunfeast Dark Fantasy Choco Fills Cookies Packet"/>
        <s v="Britannia 50-50 Maska Chaska Biscuit"/>
        <s v="Britannnia 50-50 Sweet &amp; Salty Biscuit"/>
        <s v="Britannia Good Day Chunky Cookies"/>
        <s v="Sunfeast Marie Light"/>
        <s v="Britannia Bourbon Biscuit Buy 4 Get 1 Free"/>
        <s v="The Bake Shop Whole Wheat Oats Khari"/>
        <s v="Britannia Nutri Choice Oats Milk Almond Biscuit"/>
        <s v="Sunfeast Dark Fantasy Choco Creme"/>
        <s v="Lotte Choco Pie Chocolate Cake"/>
        <s v="Sunfeast Mom's Magic Cashew &amp; Almond Cookies Packet"/>
        <s v="Unibic SugarFree - Oatmeal Cookies"/>
        <s v="Parle Hide &amp; Seek Cookies With Added Almonds"/>
        <s v="Unibic Fruit &amp; Nut Cookies"/>
        <s v="Sunfeast Yumfills Whoopie Pie"/>
        <s v="McVitie's Marie biscuits with Goodness of Calcium"/>
        <s v="Britannia Treat Croissant Vanilla Creme Roll"/>
        <s v="Unibic Honey Oatmeal Cookies"/>
        <s v="Britannia Good Day Choco Chip Cookies"/>
        <s v="The Bake Shop Masala Cheese Crackers"/>
        <s v="Britannia Pure Magic Vanilla Creme Biscuit"/>
        <s v="Open Secret Assorted Story Box"/>
        <s v="Cadbury Oreo Dipped Biscuit"/>
        <s v="Sunfeast Farmlite Oats &amp; Almonds Biscuits Packet"/>
        <s v="Unibic SugarFree - Butter Cookies"/>
        <s v="Britannia Good Day Cashew Cookies Packet"/>
        <s v="Dukes Sour &amp; Cream Onion Nibbles Baked"/>
        <s v="Parle Hide &amp; Seek Choco Rolls"/>
        <s v="Britannia Treat Creme Wafers - Vanilla"/>
        <s v="Parle Rusk Elaichi"/>
        <s v="Sunfeast Mom's Magic Cashew &amp; Almond Biscuits"/>
        <s v="Unibic Cashew Cookies"/>
        <s v="Parle Monaco Jeffs Zeera Biscuit"/>
        <s v="Unibic Snack Bar - Multigrain, Choco"/>
        <s v="The Bake Shop Methi Khari Simply Delicious"/>
        <s v="Britannia Treat Jimjam Family Pack (Buy 4 Get 1 Free)"/>
        <s v="Open Secret Choco Almond Tiffin Pack"/>
        <s v="Baker Street Suji Rusk Large Pack"/>
        <s v="Sunfeast Dark Fantasy Vanilla Creme"/>
        <s v="Britannia Treat Burst Choco Creme Fills"/>
        <s v="Parle Milano Mixed Berries Cookies"/>
        <s v="Karachi Bakery Cashew Biscuits "/>
        <s v="Britannia Pure Magic Choco Lush Cookies"/>
        <s v="Britannia Treart Creme Wafers Chocolate"/>
        <s v="Unibic Daily Digestive (Multigrain Cookies)"/>
        <s v="Cadbury Chocobakes Choc Filled Cookies"/>
        <s v="The Bake Shop Whole Wheat Multigrain Toast (Rusk)"/>
        <s v="Unibic Choco Kiss Cookies"/>
        <s v="Britannia Treat Creme Wafers - Orange"/>
        <s v="Bauli Moonfills Pack of 4"/>
        <s v="Unibic Oatmeal Digestive Cookies "/>
        <s v="Orion Choco Pie - Chocolate Coated Soft Biscuit"/>
        <s v="Britannia Good Day Cashew Cookies Pack Of 6"/>
        <s v="Parle Fab Bourbon"/>
        <s v="Open Secret White Choco Tiffin Pack"/>
        <s v="The Bake Shop Whole Wheat Bread Sticks"/>
        <s v="Unibic Assorted Cookies "/>
        <s v="The Bake Shop Milk &amp; Raisin Toast (Rusk)"/>
        <s v="Lotte Choco Pie Cocoa Pie"/>
        <s v="Bauli Moonfils Veg - Strawberry"/>
        <s v="The Bake Shop Masala Lavash"/>
        <s v="Britannia Good Day Nut Cookies"/>
        <s v="Sunfeast Mom's Magic Rich Butter Cookies"/>
        <s v="The Bake Shop Whole Wheat Toast (Rusk) "/>
        <s v="Open Secret Peanut Butter Story Box"/>
        <s v="Open Secret White Choco Story Box"/>
        <s v="The Bake Shop Whole Wheat Multigrain Lavash"/>
        <s v="McVitie's Oat Cookies"/>
        <s v="Britannia Tiger Krunch Biscuits"/>
        <s v="McVitie's Butter Cookies"/>
        <s v="Bauli Moonfils Strawberry"/>
        <s v="Britannia Good Day Butter Cookies"/>
        <s v="The Bake Shop Jeera Ajwain Bread Sticks"/>
        <s v="Parle Fab!o Vanilla Creme Sandwich Biscuit"/>
        <s v="Sunfeast Farmlite Nuts Digestive"/>
        <s v="Britannia Pure Magic - Chocolush"/>
        <s v="The Bake Shop Maska &amp; Multigrain Cheese Crackers"/>
        <s v="Britannia Nutri Choice Ragi Cookies"/>
        <s v="Sunfeast Farmlite 5 Seed Digestive"/>
        <s v="Dukes Nibbles - Ranch Crackers"/>
        <s v="Danish Butter Cookies"/>
        <s v="The Bake Shop Sesame Seed Crackers"/>
        <s v="Good Day Butter Cookies"/>
        <s v="Britannia Marie Gold Biscuits Packet"/>
        <s v="Sunfeast Dark Fantasy Choco Fills"/>
        <s v="Britannia Nutri Choice Digestive Biscuits Packet"/>
        <s v="Britannia Classic Little Hearts "/>
        <s v="Britannia Nice Time Biscuit"/>
        <s v="Britannia Milk Bikis Cream Biscuit"/>
        <s v="Britannia Bourbon Chocolate Cream Biscuits"/>
        <s v="Dukes Waffy Chocolate Wafer Rolls "/>
        <s v="Britannia Milk Bikis Milky Sandwich"/>
        <s v="Britannia Marie Gold Biscuit"/>
        <s v="Britannia Marie Gold (Buy 4 Get 1 Free)"/>
        <s v="Unibic Choco Nut Cookies"/>
        <s v="Britannia Vita Marie Gold Biscuit"/>
        <s v="The Bake Shop Maska Khari"/>
        <s v="Parle Fab! Jam-In Cream Filled "/>
        <s v="Sunfeast Nice Biscuit"/>
        <s v="Britannia Nutrichoice 5 Grain Digestive Biscuits"/>
        <s v="Cadbury Oreo Strawberry Bicuits"/>
        <s v="Sunfeast Mom's Magic Cashew &amp; Almond Biscuit"/>
        <s v="Britannia Roll Yo! Strawberry Swiss Roll"/>
        <s v="Bauli Moonfils Choco Cream (With Egg)"/>
        <s v="Britannia Nutri Choice Oats Choco Almond Biscuit"/>
        <s v="Britannia Nutri Choice Cracker Sugar Free Biscuit"/>
        <s v="Cadbury Oreo Chocolatey Sandwich Biscuits Family Pack"/>
        <s v="Bauli Moonfils Orange Puff Roll"/>
        <s v="Britannia Treat Jimjam Cream Biscuits "/>
        <s v="The Bake Shop Jeera Khari"/>
        <s v="Cadbury Oreo Creme Biscuit - Vanilla, Original 120 g"/>
        <s v="Bauli Moonfils - Vanilla"/>
        <s v="Britannia Roll Yo! Choco Swiss Roll (With Egg)"/>
        <s v="Open Secret Choco Almond Story Box"/>
        <s v="Parle Monaco Sixer Salted Biscuits "/>
        <s v="Sunfeast Dark Fantasy Bourbon Bliss"/>
        <s v="Patanjali Atta Doodh Rusk"/>
        <s v="Clove Sensitive Toothpaste with Anti-Sensitivity &amp; Fluoride Formulation"/>
        <s v="Dettol Original Germ Protection Alcohol Based Hand Sanitizer"/>
        <s v="Colgate Visible White Toothpaste"/>
        <s v="Dettol SKincare Handwash Value Refill"/>
        <s v="Savlon Herbal Sensitive Liquid Handwash Refill Pouch"/>
        <s v="Colgate Total 12 Whole Mouth Protection Toothpaste"/>
        <s v="Lux International Creamy White Soap Bar"/>
        <s v="Colgate Herbal Toothpaste"/>
        <s v="Nivea Men Deodorant Fresh Active 48h Long lasting Freshness"/>
        <s v="Dabur Meswak Toothpaste"/>
        <s v="Colgate Max Fresh Cooling Crystals Toothpaste"/>
        <s v="Indulekha Bhringa Hair Oil"/>
        <s v="Colgate Sensitive Soft Bristles Toothbrush"/>
        <s v="Pears Pure &amp; Gentle Glycerin Bath Soap"/>
        <s v="Vaseline Skin Protecting Jelly"/>
        <s v="Dettol Original Germ Protection Bathing Soap Bar"/>
        <s v="Dettol Intense Cool Soap (B4G1)"/>
        <s v="Livon Anti-Frizz Serum"/>
        <s v="Lifebuoy Germ Protection Care Soap Bar"/>
        <s v="Godrej Nupur – 100% Pure Henna (Mehendi)"/>
        <s v="Glow &amp; Lovely Advanced Multivitamin Face Cream"/>
        <s v="Set Wet Style Vertical Hold Hair Gel"/>
        <s v="Godrej Expert Rich Crème, Natural Black"/>
        <s v="Nycil Germ Expert Cool Herbal Talc"/>
        <s v="Godrej Expert Creme Hair Natural Brown Colour "/>
        <s v="Veet Sensitive Skin Hair Removal Cream"/>
        <s v="Closeup Everfresh+ Anti-Germ Gel Toothpaste Red Hot"/>
        <s v="Pears Pure And Gentle Value Pack Of 3 Bathing Soap"/>
        <s v="Gillette Presto Ready Shaver 5 Cartridges "/>
        <s v="Godrej Expert Rich Crème, Dark Brown"/>
        <s v="Nivea Soft Light Moisturizer for Face Hand &amp; Body Non-Sticky Cream with Vitamin E &amp; Jojoba Oil "/>
        <s v="Fiama Gel Bar Celebration Pack Buy 4 Get 1 Free"/>
        <s v="Gillette Sensitive Shaving Foam"/>
        <s v="Dove Hair Fall Rescue Shampoo"/>
        <s v="Gillette Mach 3 Mens Razor Blades"/>
        <s v="Palmolive Aroma Absolute Relax Shower Gel"/>
        <s v="Godrej Protekt Germ Fighter Handwash"/>
        <s v="Dettol Hand Sanitizer"/>
        <s v="Dabur Amla Hair Oil"/>
        <s v="Dettol Original Liquid Handwash"/>
        <s v="L'Oreal Paris Total Repair 5 Conditioner"/>
        <s v="Patanjali Saundarya Aloe Vera Gel"/>
        <s v="Head &amp; Shoulders 2 In 1 Anti Dandruff Shampoo Conditioner "/>
        <s v="Clean &amp; Clear Pimple Clearing Face Wash"/>
        <s v="Himalaya Anti Dandruff Shampoo"/>
        <s v="Stayfree Secure Dry Cover Regular Sanitary Pad With Wings"/>
        <s v="Savlon Moisture Shield Hand Wash"/>
        <s v="Dove Intense Repair Conditioner"/>
        <s v="Dabur Gulabari Rose Glow Face Cleanse"/>
        <s v="Parachute Jasmine Hair Oil"/>
        <s v="Johnson's Baby Skincare Wipes"/>
        <s v="Dettol Skincare Liquid Hand Wash"/>
        <s v="Old Spice Original Lather Shaving Cream"/>
        <s v="Veet Hair Removal Cream Dry Skin"/>
        <s v="L'Oreal Paris Total Repair 5 Shampoo"/>
        <s v="Fiama Menthol &amp; Magnolia Cooling Gel Bar Soap"/>
        <s v="Nivea Lip Balm Original Care for 24h Moisture with Shea Butter &amp; Natural Oils"/>
        <s v="Oral-B Charcoal Deep Clean Stain Removal Toothbrush Soft"/>
        <s v="Neutrogena Ultra Sheer Dry Touch SPF 50+ Sunblock Sunscreen Lotion"/>
        <s v="Clinic Plus Strong &amp; Long Health Shampoo"/>
        <s v="Johnson's Baby No More Tears Baby Shampoo"/>
        <s v="Colgate Zig Zag Toothbrush"/>
        <s v="Savlon Moisture Shield Germ Protection Handwash Refill (Buy 1 Get 1 Free)"/>
        <s v="Colgate Sensitive Everyday Protection Anticavity Toothpaste"/>
        <s v="Whisper Ultra Soft XL+ Sanitary Pads"/>
        <s v="Garnier Colour Naturals Hair Colour - 1 Natural Black"/>
        <s v="Axe Pulse Men's Deodorant"/>
        <s v="Colgate Zigzag Charcoal Soft Bristle Toothbrush - 4 Pcs"/>
        <s v="Whisper Ultra Clean Wings XL+  Pouch"/>
        <s v="Whisper Choice Regular Sanitary Pads"/>
        <s v="Axe Dark Temptation Men's Deodorant"/>
        <s v="Head &amp; Shoulders Anti-Dandruff Smooth &amp; Silky Shampoo"/>
        <s v="Clinic Plus Strength &amp; Shine Shampoo With Egg Protein "/>
        <s v="Engage M1 Perfume Spray for Men "/>
        <s v="Tresemme Keratin Smooth Conditioner"/>
        <s v="Garnier Color Naturals Crème Hair Color, Shade 5 Light Brown"/>
        <s v="Origami Aloe Vera Wipes"/>
        <s v="Engage Drizzle Deodorant For Women, Floral And Lavender, Skin Friendly"/>
        <s v="Gellette Presto Ready Shaver"/>
        <s v="Colgate Max Fresh Plax Mouthwash - Fresh Mint"/>
        <s v="Colgate Zig Zag Charcoal Medium Toothbrush 4 Pcs"/>
        <s v="Godrej Protekt"/>
        <s v="Colgate Total Charcoal Anticavity Toothpaste"/>
        <s v="Colgate Kids 0-2 Extra Soft Tooth Brush"/>
        <s v="Gillete Mach3 "/>
        <s v="Maybelline New York Colossal Kajal Black"/>
        <s v="Godrej Cinthol Lime Talc"/>
        <s v="Hamam Soap Bar Neem Tulsi and Aloe Vera"/>
        <s v="Godrej Expert Rich Crème, Burgundy"/>
        <s v="Colgate Gentle Sensitive+ Toothbrush Pack Of 4"/>
        <s v="Nivea Creme All Season Multi-Purpose Cream "/>
        <s v="Oral-B Charcoal Deep Clean Stain Removal Toothbrush Medium"/>
        <s v="Mamaearth 100% Natural Berry Blast Kids Toothpaste"/>
        <s v="HImalaya Gentle Baby Wipes"/>
        <s v="Stayfree Dry Max All Night XL Dry Cover Sanitary Pads"/>
        <s v="L'Oreal Paris Excellence Creme Hair Color, 1 Black"/>
        <s v="Fem Fairness Naturals Saffron Skin Bleach"/>
        <s v="Engage Woman Blush Body Deo Spray"/>
        <s v="Dove Pink Rosa Beauty Bathinhg Bar"/>
        <s v="Sebamed Cleansing Bar"/>
        <s v="Pampers Premium Care Pants - Large"/>
        <s v="Nivea Women Deodorant Fresh Natural Long Lasting Freshness &amp; 48h Protection"/>
        <s v="L'Oreal Paris Excellence Creme Hair Color, 3 Dark Brown/Natural Darkest Brown"/>
        <s v="Patanjali Kesh Kanti Natural Hair Cleanser"/>
        <s v="Godrej No.1 Bathing Soap – Lime &amp; Aloe Vera"/>
        <s v="Pantene Advanced Control Hair Fall Solution Shampoo"/>
        <s v="Veet Full Body Waxing Kit For Dry Skin"/>
        <s v="Gillette Lemon Lime Shaving Foam"/>
        <s v="Old Spice After Shave Lotion Musk"/>
        <s v="Whisper Ultra Soft Air Fresh Sanitary Pads (XL) with Wings"/>
        <s v="Himalaya Baby Powder"/>
        <s v="Fiama Men's Refreshing Pulse Shower Gel"/>
        <s v="Whisper Ultra Clean XL Plus Sanitary Pad"/>
        <s v="Johnson's Baby Powder"/>
        <s v="Dove Cream Beauty Bathing Bar"/>
        <s v="Patanjali Kesh Kanti Shikakai Hair Cleanser"/>
        <s v="L'Oreal Paris Color Protect Conditioner"/>
        <s v="Nivea Men Active Clean with Active Charcoal Shower Gel for Body Face &amp; Hair"/>
        <s v="L'Oreal 6 Oil Nourish Conditioner"/>
        <s v="Godrej Easy Natural Black Hair Colour"/>
        <s v="Dabur Gulabari Rose Water Daily Glow"/>
        <s v="Himalaya Purifying Neem Face Wash"/>
        <s v="Fem Fairness Naturals Gold Skin Bleach"/>
        <s v="Whisper Choice Ultra XL Sanitary Pad"/>
        <s v="Dove Dandruff Care Shampoo"/>
        <s v="Head &amp; Shoulders Anti Dandruff Anti Hairfall Shampoo"/>
        <s v="L'Oreal Casting Creme Ebony Black Hair Color"/>
        <s v="Mamaearth Onion Hair Oil"/>
        <s v="L'Oreal Paris Casting Creme Gloss Hair Color (Dark Brown 400)"/>
        <s v="Palmolive Naturals Sea Minerals Liquid Hand Wash"/>
        <s v="Oral-B Extra Soft Bristles Sensitive "/>
        <s v="Engage M3 Perfume Spray for Men"/>
        <s v="Mamaearth Deeply Nourishing wash for Babies"/>
        <s v="Dettol Original Soap (B4G1)"/>
        <s v="Woodward's Gripe Water"/>
        <s v="MamyPoko Pants Extra Absorb Diapers, New Born"/>
        <s v="Johnson's Baby Soap"/>
        <s v="Engage M4 Perfume Spray For Men"/>
        <s v="Fem Fairness Naturals Hair Removal Cream Fair &amp; Soft - Gold"/>
        <s v="Dove Hair Fall Rescue Conditioner"/>
        <s v="Himalaya Anti Hair Fall Shampoo"/>
        <s v="Fiama Peach &amp; Avocado Gel Bar"/>
        <s v="Pears Pure &amp; Gentle Value Pack Of 4 Bathing Soap "/>
        <s v="Fiama Fresh Hand Wash"/>
        <s v="Palmolive Black Orchid And Milk Liquid Hand Wash"/>
        <s v="Oral-B Criss Cross Medium Toothbrush (Buy 2 Get 2 Free)"/>
        <s v="Gillette Mach 3 Turbo Razor"/>
        <s v="Himalaya Baby Lotion"/>
        <s v="Head &amp; Shoulders 2-in-1 Cool Menthol Anti Dandruff Shampoo + Conditioner"/>
        <s v="Sunsilk Lusciously Thick &amp; Long Shampoo"/>
        <s v="Fiama Di Wills Men's Refreshing Pulse Shower Gel"/>
        <s v="Sebamed Anti - Dandruff Shampoo"/>
        <s v="Listerine Cool Mint Mouthwash - Mild Taste"/>
        <s v="L'Oreal Paris Excellence Creme Hair Color, 4.25 Aishwarya's Brown"/>
        <s v="Himalaya Gentle Baby Bath"/>
        <s v="L'Oreal Paris Casting Creme Gloss Hair Color, Medium Brown 500"/>
        <s v="L'Oreal Paris Color Protect Shampoo"/>
        <s v="Fiama Di Wills Lemongrass &amp; Jojoba Gel Bar"/>
        <s v="Colgate Plax Peppermint Mouthwash"/>
        <s v="Dove Daily Shine Conditioner"/>
        <s v="Patanjali Kesh Kanti Anti Dandruff Hair Cleanser"/>
        <s v="Old Spice Original After Shave Lotion"/>
        <s v="Dettol Clinical Strength Hand Sanitizer Liquid"/>
        <s v="Nivea Soft Light Moisturizer for Face Hand &amp; Body Non-Sticky Cream with Vitamin E &amp; Jojoba Oil"/>
        <s v="Comfy Baby Pants XL 12-17 kg"/>
        <s v="Dettol Liquid Handwash With Free Liquid"/>
        <s v="Nivea Body Milk Lotion for Very Dry Skin"/>
        <s v="Lakme Sun Expert"/>
        <s v="Head &amp; shoulders Anti Dandruff Shampoo Cool Menthol"/>
        <s v="Godrej Nupur Henna"/>
        <s v="Johnson's Baby Lotion"/>
        <s v="Maybelline New York Colossal Kajal Super Black"/>
        <s v="Stayfree Dry-Max All Night Ultra-Dry Sanitary Pad"/>
        <s v="Dove Daily Shine Shampoo"/>
        <s v="Godrej Easy 5 Minute Natural Brown 4 Hair Colour"/>
        <s v="Colgate Sensitive Plus Enamel Toothpaste Tube"/>
        <s v="Colgate Max Fresh Peppermint Toothpaste "/>
        <s v="Pond's Light Moisturiser"/>
        <s v="Engage Mate For Man Deo Spray"/>
        <s v="Pantene Advanced Hair Fall Solution Shampoo - Total Damage Care"/>
        <s v="Whisper Choice Regular Wing Sanitary Pad"/>
        <s v="Colgate Slim Soft Charcoal Toothbrush"/>
        <s v="Fiama Scents Juniper &amp; Geranium Body Wash"/>
        <s v="Mamaearth Ubtan Body Lotion"/>
        <s v="Godrej Aer Power Pocket - Long Lasting Bathroom Fragrance Floral Delight"/>
        <s v="Himalaya Anti-Hair Fall Shampoo"/>
        <s v="Engage M2 Perfume Spray For Men"/>
        <s v="Mamaearth Ubtan Face Scrub Turmeric &amp; Walnut"/>
        <s v="Himalaya Purifying Neem Face Wash Tube"/>
        <s v="Johnson's Baby Top To Toe Bath Body Wash"/>
        <s v="Gillette Mach 3 Start"/>
        <s v="Scalpe Pro Anti dandruff Shampoo 100ml"/>
        <s v="Johnson's Baby Cream"/>
        <s v="Himalaya Gentle Baby Shampoo"/>
        <s v="L'Oreal Paris Shine Masque Royal Jelly Hair Colour"/>
        <s v="Engage Rush Deodorant For Men"/>
        <s v="Clean &amp; Clear Foaming Face Wash"/>
        <s v="Dettol Lather Shaving Cream"/>
        <s v="Gillette Classic Regular Pre Shave Foam"/>
        <s v="Johnson's Baby Shampoo"/>
        <s v="Park Avenue Beer Shampoo "/>
        <s v="Pantene Advanced Hair Fall Solution Silky Smooth Care Shampoo"/>
        <s v="Fem Fairness Naturals Hair Removal Cream Fair &amp; Soft - Rose"/>
        <s v="Sunsilk Stunning Black Shine Shampoo"/>
        <s v="Patanjali Kesh Kanti Reetha Hair Cleanser"/>
        <s v="Nivea Lip Balm Soft Rose for 24h Moisture with Natural Oils Delicate Rose Shine"/>
        <s v="Santoor Total Skin Care Soap With Sandal &amp; Turmeric"/>
        <s v="L'Oreal Paris Excellence Creme Hair Color, 4 Natural Brown/Natural Dark Brown"/>
        <s v="Gillette Pre Shave Foam - Classic Regular Skin"/>
        <s v="Fiama Di Wills Shower Gel Patchouli &amp; Macadamia"/>
        <s v="Listerine Fresh Burst Mouthwash"/>
        <s v="Nivea Cocoa Nourish Body Lotion With Coconut Oil &amp; Cocoa Butter For Very Dry Skin "/>
        <s v="Pantene Hair Fall Control Shampoo"/>
        <s v="Fogg Master - Royal Intense"/>
        <s v="TRESemme Smooth And Shine Conditioner"/>
        <s v="Colgate Kids Toothpaste - 6+ Years, Strawberry Flavour"/>
        <s v="Nivea Soft Moisturizing Cream"/>
        <s v="Patanjali Kesh Kanti Aloe Vera Hair Cleanser"/>
        <s v="Neutrogena Deep Clean Foaming Cleanser"/>
        <s v="Clean &amp; Clear Morning Energy Berry Face Wash"/>
        <s v="Pampers Premium Care New Baby Pants"/>
        <s v="Vaseline Intensive Care Aloe Fresh"/>
        <s v="L'Oreal Paris Dream Lengths Shampoo"/>
        <s v="Johnson's Baby Oil"/>
        <s v="Engage Man Rush Deodorant"/>
        <s v="Whisper Daily Liners Clean and Fresh"/>
        <s v="Himalaya Men Pimple Clear Neem Face Wash"/>
        <s v="Pantene Adv Hairfall Solution Conditioner Silky Smooth"/>
        <s v="Himalaya Prickly Heat Baby Powder"/>
        <s v="Mamaearth Daily Moisturizing Lotion For Babies"/>
        <s v="Stayfree Advanced XL Ultra Comfort Sanitary napkins with Wings"/>
        <s v="Pampers Premium Care Pants - Medium"/>
        <s v="Vaseline Original Skin Protecting Jelly"/>
        <s v="Fiama Lemongrass and Jojoba Shower Gel"/>
        <s v="Oral-B Charcoal Cross Cross Extra Soft Toothbrush (Buy 2 Get 1 Free)"/>
        <s v="Veet Full Body Waxing Kit"/>
        <s v="Listerine Original Mouthwash"/>
        <s v="Santoor Almond Soft With Sandal &amp; Almond Milk"/>
        <s v="Nivea Body Shea Smooth with Shea Butter for Dry Skin"/>
        <s v="Neutrogena Deep Clean Facial Cleanser"/>
        <s v="L'Oreal Paris Excellence Creme Hair Color, 3.16 Burgundy"/>
        <s v="Bombay Shaving Company Charcoal Face Wash"/>
        <s v="Colgate Kids 2+ Years Extra Soft Toothbrush"/>
        <s v="Veet Hair Removal Cream (Normal Skin)"/>
        <s v="L'Oreal Anti Hair Fall Conditioner"/>
        <s v="Nivea Body Lotion Aloe Hydration For Normal Skin "/>
        <s v="Pampers Pants - Large"/>
        <s v="Engage Urge Deodorant For Men, Citrus And Woody, Skin Friendly"/>
        <s v="Head &amp; Shoulders 2 In 1 Anti Dandruff Smooth &amp; Silky Shampoo+Conditioner"/>
        <s v="Fem Fairness Natural Gold Skin Bleach"/>
        <s v="Engage Deo Frost"/>
        <s v="Stayfree Secure XL Size Sanitary Napkins"/>
        <s v="Pampers Pants - Medium"/>
        <s v="Pampers Active Baby Diapers New Born Extra Small "/>
        <s v="Nivea Creme, All Season Multi-Purpose Cream"/>
        <s v="Woodwards Gripe Water "/>
        <s v="Clean &amp; Clear Morning Energy Aqua Splash Face Wash"/>
        <s v="Mamaearth Skin Correct Face Serum"/>
        <s v="Chik Hairfall Prevent Egg Shampoo"/>
        <s v="Pantene Silky Smooth Care Shampoo"/>
        <s v="Garnier Skin Naturals, Micellar Cleansing Water"/>
        <s v="Set Wet Swag Avatar Deodorant &amp; Body Spray Perfume For Men"/>
        <s v="Pampers All Round Protection Pants - Medium"/>
        <s v="Set Wet Deodrant Charm Avatar"/>
        <s v="Nupur Heena Mehandi"/>
        <s v="Head &amp; Shoulders 2-in-1 Active Protect Shampoo"/>
        <s v="Gillette Mach 3 Turbo Cartridges"/>
        <s v="Bombay Shaving Company Sensitive Cartridges"/>
        <s v="Old Spice Lime Lather Shaving Cream"/>
        <s v="Colgate Sensitive Plus Anticavity Toothpaste "/>
        <s v="Colgate Toothpaste For Kids Motu Oatlu"/>
        <s v="Pantene Total Damage Care Shampoo"/>
        <s v="Himalaya Moisturising Aloe Vera Facial Wipes"/>
        <s v="Pampers Active Baby Diapers New Born Extra Small"/>
        <s v="Vaseline Intensive Care Deep Moisture Body Lotion"/>
        <s v="L'Oreal Paris Dream Lengths Conditioner"/>
        <s v="Nivea Soft Light Moisturizing Cream"/>
        <s v="Palmolive Feel The Massage Shower Gel"/>
        <s v="Mamaearth Moisturizing Baby Bath Soap"/>
        <s v="Dove Dryness Care Shampoo"/>
        <s v="Bombay Shaving Company Defender Razor"/>
        <s v="Head &amp; Shoulders Shampoo + Conditioner - 2-In-1, Cool Menthol"/>
        <s v="Himalaya Baby Nourishing Massage Oil"/>
        <s v="Fogg Paradise Fragrant Body Spray For Women "/>
        <s v="Revive Revive Liquid"/>
        <s v="Pantene Hairfall Control Conditioner"/>
        <s v="Mamaearth Vitamin C Face Toner"/>
        <s v="Himalaya Diaper Rash Cream"/>
        <s v="Fogg Royal Fragrance Spray"/>
        <s v="Dove Pink Rosa Beauty Bathing Bar"/>
        <s v="Dove Dryness Care Conditioner Frizzy &amp; Dry Hair"/>
        <s v="Dettol Original Liquid Handwash Refill"/>
        <s v="Parachute 100% Pure Coconut Oil"/>
        <s v="Stayfree Secure Cottony Soft Cover Sanitary Pad (Regular) with Wings"/>
        <s v="Dabur Gulabari Premium Rose Water"/>
        <s v="Parachute Advansed Gold Coconut Hair Oil"/>
        <s v="Sensodyne Sensitive Fresh Gel Toothpaste"/>
        <s v="Whisper Bindazzz Nights XL + Sanitary Pad"/>
        <s v="Whisper Choice Sanitary Pad "/>
        <s v="Godrej No.1 Bathing Soap, Jasmine"/>
        <s v="Gillette Venus Close &amp; Clean Razor "/>
        <s v="Stayfree Secure Dry Cover Extra Large Sanitary Pad"/>
        <s v="Oxylife Natural Radiance 5 Creme Bleach - With Active Oxygen"/>
        <s v="Clean &amp; Clear Morning Energy Lemon Face Wash"/>
        <s v="Bajaj Almond Drops Hair Oil"/>
        <s v="Bajaj Almond Drops Hair Oil Bottle"/>
        <s v="Whisper Bindazzz Night Sanitary Pads XL Plus"/>
        <s v="Godrej Cinthol Lime Refreshing Deo Soap"/>
        <s v="MamyPoko Pants Standard Diapers, Extra Large (12 - 17 kg)"/>
        <s v="Surf Excel Stain Eraser"/>
        <s v="Colin Glass and Surface Cleaner Liquid Spray Regular"/>
        <s v="A1 Biodegradable Garbage Dustbin Bags"/>
        <s v="Mortein Cockroach Killer Spray, Crawling insect killer with Deep-Reach Nozzle"/>
        <s v="Pril Perfect Lime Dishwash Liquid"/>
        <s v="Dettol Antiseptic Disinfectant Liquid"/>
        <s v="Godrej Aer Power Pocket Berry Rush"/>
        <s v="Hit Cockroach Killer Spray "/>
        <s v="Vim Dishwash Liquid Gel Lemon"/>
        <s v="Harpic Disinfectant Toilet Cleaner Liquid, Original - 1 L"/>
        <s v="Odomos Mosquito Repellent Cream "/>
        <s v="Harpic Disinfectant Bathroom Cleaner Liquid Lemon"/>
        <s v="Eveready AA pack of 10 "/>
        <s v="Cherry Blossom Liquid Wax Polish"/>
        <s v="Gala Scrubber Cleaner Home Everyday Scrub"/>
        <s v="Hit Flower Lime Fragrance Insect Killer Spray"/>
        <s v="Harpic Hygienic Toilet Cleaner Rim Block Jasmine"/>
        <s v="Om Bhakti - Pancha Deepa Oil "/>
        <s v="Ariel Complete Detergent Washing Powder 500 g  + 200 g Free"/>
        <s v="Surf Excel Matic Top Load Detergent Powder"/>
        <s v="Harpic Flushmatic In-Cistern Toilet Cleaner Blocks Marine"/>
        <s v="Eveready 1012 Carbon Zinc AAA Battery"/>
        <s v="Surf Excel Matic Front Load Detergent Liquid"/>
        <s v="Origami Kitchen Towels 2 In 1 Quilted 2ply"/>
        <s v="Oxi Green Phenyl - Pine "/>
        <s v="Surf Excel Easy Wash Detergent Liquid"/>
        <s v="Uno Playing Card Game"/>
        <s v="Chakaachak Mini Cloth Brush"/>
        <s v="Chakaachak Super Scrub Pad (Pack of 3)"/>
        <s v="Colin Glass and Surface Cleaner Liquid Spray Regular"/>
        <s v="Om Bhakti Cow Dung Cakes "/>
        <s v="Dettol Antiseptic Liquid"/>
        <s v="Harpic Hygienic Toilet Cleaner Rim Block Citrus"/>
        <s v="Eveready Ultima Alkaline AA Cell Battery-6 Pc Pack"/>
        <s v="Mangaldeep Rose Puja Agarbatti "/>
        <s v="Ariel Matic Top Load Detergent Washing Powder"/>
        <s v="Gala Cloth Poccha/Mop"/>
        <s v="Chakaachak Floor Cleaning Pocha"/>
        <s v="Oxi Green Floor Cleaner - Floral"/>
        <s v="Godrej Aer Pocket, Bathroom Air Fragrance - Assorted Pack Of 3"/>
        <s v="Ariel Complete Detergent Washing Powder 1 kg + 500 g Free"/>
        <s v="Chakaachak Sponge Scrubber (Pack of 2)"/>
        <s v="Lizol Disinfectant Surface &amp; Floor Cleaner Liquid Floral"/>
        <s v="Harpic Germ &amp; Stain Blaster Disinfectant Toilet Cleaner Floral"/>
        <s v="Hit Lime Fresh Flying Insect Killer"/>
        <s v="Fevistik Super Glue Stick"/>
        <s v="Godrej Ezee Liquid Detergent"/>
        <s v="Odonil Air Fresher Buy 3 Get 1 Free"/>
        <s v="&quot;Godrej Aer Power Pocket - Long Lasting Bathroom Fragrance Fresh Blossom&quot;"/>
        <s v="Genteel Liquid Detegrent"/>
        <s v="Scotch Brite Scrub Pad"/>
        <s v="Shubh kart - Nirmal Eco Box Chandan Agarbatti - 100g"/>
        <s v="Surf Excel Quick Wash"/>
        <s v="Hem Mantra Masala Agarbatti"/>
        <s v="Odonil Room Air Freshener Spray Lavender Mist"/>
        <s v="Chakaachak Mega Star Toilet Brush"/>
        <s v="Om Bhakti Wick for Diya - Cotton Long Batti "/>
        <s v="Origami Non-Woven Kitchen Towel"/>
        <s v="Shubh kart - Nirmal 5 in 1 Agarbatti Zipper - 150g"/>
        <s v="Harpic Lemon Bathroom Cleaner "/>
        <s v="Scotch Brite Sponge Wipes"/>
        <s v="Godrej Aer Spray Fresh Lush Green"/>
        <s v="Oxi Green Phenyl Concentrate"/>
        <s v="Oxi Green Max Force Green Concentrate"/>
        <s v="Godrej Aer Morning Misty Meadows Home Air Freshener"/>
        <s v="Kiwi Dranex Drain Cleaner"/>
        <s v="Origami Disposable Spoons"/>
        <s v="Pril Bar Tub"/>
        <s v="Om Bhakti Wick for Diya - Cotton Flower Batti "/>
        <s v="Chakaachak Deluxe Dustpan Grey"/>
        <s v="Lizol Disinfectant Surface &amp; Floor Cleaner Liquid Citrus"/>
        <s v="ScotchBrite Premium Kitchen Towels"/>
        <s v="Vanish All in One Powder Detergent Booster"/>
        <s v="Good Knight Fabric Personal Mosquito Repellent Roll On"/>
        <s v="Gala Iron Bull Scrub Pad"/>
        <s v="Tide Plus Extra Power Lemon &amp; Mint Detergent Powder"/>
        <s v="Chakaachak Dustpan Grey"/>
        <s v="Mortein PowerGard Rat Kill Cake"/>
        <s v="Odomos Mosquito Repellent Cream"/>
        <s v="Shubh kart - Nirmal Eco Box Sugandhi Mogra Agarbatti - 100g"/>
        <s v="Cherry Blossom Wax Shoe Polish Black"/>
        <s v="Origami Paper Plates"/>
        <s v="Gala Microfiber Magic Cloth 2-In-1"/>
        <s v="Mr Muscle Dranex Drain Cleaner Kiwi"/>
        <s v="Lizol Disinfectant Surface &amp; Floor Cleaner Liquid Jasmine"/>
        <s v="Odonil Room Spray Air Freshener Citrus Fres"/>
        <s v="Scotch Brite Power Scrub Pad"/>
        <s v="Origami Good Karma Toilet Roll"/>
        <s v="Shubh kart - Shubhkart Sambrani Cup Black 12n"/>
        <s v="Gala Scrubber Pad"/>
        <s v="Origami So Soft Tissue Roll Single - 340 Pulls 3 Ply"/>
        <s v="Odomos lotion - Mosquito Repellent"/>
        <s v="Surf Excel Matic Front Load Detergent Powder"/>
        <s v="Fevicol Mr.Original General Purpose White Glue "/>
        <s v="Aro Aluminium Container with Lid 230 ml"/>
        <s v="Harpic Power Fresh 6 Toilet Cleaner Rim Block Floral Delight"/>
        <s v="Origami So Soft Tissue Roll 3 Ply"/>
        <s v="Ariel Matic Front Load Detergent Washing Powder"/>
        <s v="Gala Double Hockey Toilet Brush"/>
        <s v="Surf Excel Detergent Bar Value Pack"/>
        <s v="Odonil Zipper Blissful Citrus"/>
        <s v="Eveready Base B22 9-Watt LED Bulb"/>
        <s v="Scotch Brite Sponge Wipe"/>
        <s v="Domex Disinfectant Floor Cleaner"/>
        <s v="Surf Excel Matic Powder Front Load "/>
        <s v="Scotch Brite Silver Sparks Scrub Pad"/>
        <s v="Airwick Room Air Freshener Spray Cool Water &amp; Aloe Vera"/>
        <s v="Shubh kart - Surabhi Camphor Pouch 50g"/>
        <s v="Pril Power Of Active Boosters"/>
        <s v="Scotch Brite Tough Scrubber Brush"/>
        <s v="Mortein Dual All Insect Killer Spray"/>
        <s v="Lizol Double Concentrate Disinfectant Floor Cleaner Lavender"/>
        <s v="Eveready Ultima Alkaline Battery AAA"/>
        <s v="Shubh kart - Tejas Twisted Cotton Wicks 1000n"/>
        <s v="Lizol Double Concentrate Disinfectant Floor Cleaner Citrus"/>
        <s v="Surf Excel Matic Top Load"/>
        <s v="Oxi Green Dish Wash Liquid - Lemon"/>
        <s v="Mangalam Camphor"/>
        <s v="Cherry Blossom Liquid Wax Polish (Dark Tan)"/>
        <s v="Gala EzeeSqueegee Wiper"/>
        <s v="Lizol Disinfectant Surface &amp; Floor Cleaner Liquid Pine"/>
        <s v="Philips Stellar Bright 16W Light Bulb"/>
        <s v="Airwick EverFresh Gel Bathroom Air Freshener - Lavender Dew"/>
        <s v="Origami Cups Plain 100 units"/>
        <s v="Airwick EverFresh Gel Bathroom Air Freshener - Citrus Splash"/>
        <s v="Ariel Matic Liquid Detergent Front Load"/>
        <s v="Om Bhakti Gangajal Packed At Gangotri"/>
        <s v="Odonil Air Freshner Lavender Meadows"/>
        <s v="Om Bhakti Haldi "/>
        <s v="Cherry Blossom Wax Shoe Polish Dark Tan"/>
        <s v="Dabur Odomos Naturals Mosquito Repellant Gel"/>
        <s v="Shubh kart - Nirmal sugandhi mogra wet dhoop zipper 20 sticks"/>
        <s v="Om Bhakti Wick for Diya - Ghee Cotton Wicks Big "/>
        <s v="Air Wick Room Air Freshener Spray - Lavender &amp; Lotus"/>
        <s v="Scotch Brite Kitchen Sink Brush"/>
        <s v="Odonil Room Air Freshener Spray - Lavender Mist"/>
        <s v="Godrej Aer Power Pocket - Long Lasting Bathroom Fragrance Lavender Bloom"/>
        <s v="Origami Good Karma Paper Serviettes "/>
        <s v="Scotch Magic Tape"/>
        <s v="Ambi Pur Car Freshener Gel - Relaxing Lavender"/>
        <s v="Origami Kitchen Towels 4 in 1 60 Pulls 2 Ply"/>
        <s v="Om Bhakti Wick for Diya - Ghee Cotton Wicks Small "/>
        <s v="Chakaachak Super Strong Scrub"/>
        <s v="Nimyle Lemongrass Floor Cleaner"/>
        <s v="Oxi Green Floor Cleaner - Citrus "/>
        <s v="Airwick Room Air Freshener Spray - Rose &amp; Saffron"/>
        <s v="Origami Luxuria Kitchen Towel 300 Pulls Single"/>
        <s v="Philips EyePro 10.5W Light Bulb"/>
        <s v="Mangalam Camphor Tablet Jar"/>
        <s v="Chakaachak Super Sponge Wipes (Pack of 3)"/>
        <s v="&quot;Origami Good Karma Paper Serviettes - 100 napkins (1 ply)&quot;"/>
        <s v="Robin Dazzling Liquid Blue After Wash"/>
        <s v="Om Bhakti Camphor Big"/>
        <s v="Om Bhakti Camphor Small"/>
        <s v="Scotch Brite Multi-Purpose Sponge Wipes"/>
        <s v="Surabhi Pure Camphor"/>
        <s v="Chakaachak Floor Pocha Large"/>
        <s v="Ariel Matic Front Load Liquid Detergent"/>
        <s v="Harpic Power Fresh 6 Toilet Cleaner Rim Block Marine Splash"/>
        <s v="Chakaachak Dust Proof Broom"/>
        <s v="Cherry Blossom Liquid Shoe Polish Neutral "/>
        <s v="Om Bhakti Kumkum "/>
        <s v="Apsara Non Dust Eraser"/>
        <s v="Chakaachak Power Scrub (Pack of 2)"/>
        <s v="Om Bhakti Wick for Diya - Vanaspati Ghee Cotton Wicks Small "/>
        <s v="Whiskas Adult +1 year Salmon in Gravy"/>
        <s v="Origami Paper Party Plates"/>
        <s v="Gala Microfiber Multipurpose Cloth"/>
        <s v="Ariel Matic Front Load Detergent Powder"/>
        <s v="Vim Dishwash Bar"/>
        <s v="Dettol Effective Protection Antiseptic Liquid"/>
        <s v="Godrej Good Night Gold Flash Liquid Vapouriser"/>
        <s v="Rin Detergent Powder"/>
        <s v="Surf Excel Easy Wash Detergent Powder"/>
        <s v="Rin Detergent Bar"/>
        <s v="Odomos Mosquito Repellent Spray"/>
        <s v="Chakaachak Super Steel Scrubber"/>
        <s v="Scotch-Brite Scrub Sponge Ideal For Dishwash Liquid"/>
        <s v="Gala No Dust Broom"/>
        <s v="Chakaachak Eazo Grass Broom New "/>
        <s v="Rin Fabric Whitener Detergent"/>
        <s v="Comfort After Wash Fabric Conditioner Lily Fresh "/>
        <s v="Ujala Superme For Super Whiteness Of Clothes"/>
        <s v="Scotch BOPP Packaging Tape"/>
        <s v="Origami Plates Plain"/>
        <s v="Epigamia Fruit Yogurt Alphonso Mango"/>
        <s v="Epigamia Fruit Yogurt Vanilla"/>
        <s v="Durex Air Ultra Thin Condoms"/>
        <s v="Durex Air Ultra Thin Condom"/>
        <s v="Dabur Regular Hajmola"/>
        <s v="Hajmola Anardana Digestive Tablets"/>
        <s v="Zandu Balm"/>
        <s v="Vicks Cough Drops Menthol"/>
        <s v="Durex Extra Time Condoms"/>
        <s v="Vicks Vaporub"/>
        <s v="Dabur Hajmola Imli Digestive Tablets"/>
        <s v="Dettol Antiseptic Liquid + Disinfectant Spray - Original"/>
        <s v="Iodex Body Pain Expert "/>
        <s v="Patanjali Hing Goli"/>
        <s v="Moov Fast Pain Relief Cream"/>
        <s v="Savlon Surface Disinfectant Spray"/>
        <s v="Durex Extra Thin Condoms"/>
        <s v="Eno Fruit Salt Lemon Flavour Energy Powder"/>
        <s v="Moov Pain Relief Specialist Spray"/>
        <s v="Savlon Germ Protection Wipes"/>
        <s v="Durex Extra Ribbed Condoms"/>
        <s v="Eno Regular Fruit Salt Energy Powder"/>
        <s v="Durex Extra Thin Bubblegum Condom"/>
        <s v="Dabur Hajmola Pudina - Digestive Tablets"/>
        <s v="Baidyanath Isabgol"/>
        <s v="Kapiva Thar Aloe Vera Juice"/>
        <s v="Fine Life Cotton Balls"/>
        <s v="Moov Pain Releiver Spray"/>
        <s v="Durex Condoms Mutual Climax"/>
        <s v="Durex Extra Dots Condoms"/>
        <s v="Zandu Balm Ulter Power For Strong Headache Bodyache &amp; Cold"/>
        <s v="Dabur Hajmola Maha Candy - Aam+Imli"/>
        <s v="Dabur Chyawanprakash - Sugar Free"/>
        <s v="Himalaya Cold Balm"/>
        <s v="Kapiva Wild Amla Juice"/>
        <s v="Dabur Chyawanprash"/>
        <s v="Amrutanjan Pain Balm Extra Power"/>
        <s v="Durex Mutual Climax Condoms"/>
        <s v="Moov Cream Regular"/>
        <s v="Moov Pain Relief Specialist"/>
        <s v="Dabur Chyawanprakash Sugar Free"/>
        <s v="Savlon Clothes Disinfectant &amp; Refreshing Spray Fresh Breeze"/>
        <s v="Dabur Chyawanprash Immunity Booster"/>
        <s v="Vicks Inhaler with Keychain"/>
        <s v="Dabur Ayurvedic Tulsi Drops (Immunity Booster)"/>
        <s v="Organic India Wheat Grass"/>
        <s v="Organic India Organic Chyawanprash"/>
        <s v="Organic India Sugar Balance 60 Capsules Bottle"/>
        <s v="Dabur - Chyawanprash"/>
        <s v="Vicks BabyRub"/>
        <s v="Organic India Brahmi Bottle"/>
        <s v="Horlicks Protein Plus Chocolate"/>
        <s v="Dabur Nature Care Isabgol - Double Action"/>
        <s v="Kapiva Wild Tulsi Giloy Juice |"/>
        <s v="Dabur Amla Juice"/>
        <s v="Epigamia Fruit Yogurt Strawberry"/>
        <s v="Eno Cooling Sachets - Cool Mint, 6 Pieces Carton"/>
        <s v="Dabur Honitus Herbal Cough Remedy Ayurvedic Syrup"/>
        <s v="Schweppes Soft Drink - Original Ginger Ale"/>
        <s v="Coolberg Cranberry Non Alcoholic Beer "/>
        <s v="Schweppes Indian Tonic Water"/>
        <s v="Coolberg Peach  Non Alcoholic Beer"/>
        <s v="Pringles Sour Cream And Onion Potato Crisps"/>
        <s v="Coolberg Malt Non Alcoholic Beer "/>
        <s v="Coolberg Strawberry Non Alcoholic Beer "/>
        <s v="Coolberg Mint Non Alcoholic Beer"/>
        <s v="4700BC Gourmet Popcorn - Himalayan Salt Caramel"/>
        <s v="Coolberg Ginger Non Alcoholic Beer "/>
        <s v="Pringles Original Potato Crisps"/>
        <s v="Jimmy's Cocktails Mango Chilli Mojito"/>
        <s v="4700BC Sour Cream &amp; Wasabi Cheese Popcorn"/>
        <s v="4700BC Microwave Popcorn - Cheese Bag"/>
        <s v="4700BC Gourmet Popcorn - Sriracha Lime Cheese"/>
        <s v="4700BC Microwave Popcorn - Butter"/>
        <s v="4700BC Microwave Popcorn - BBQ Bag"/>
        <s v="Kettle Studio Rock Sea Salt &amp; English Vinegar "/>
        <s v="24 Mantra Flax Seed"/>
        <s v="4700BC Himalayan Salt Caramel Popcorn"/>
        <s v="4700BC Microwave Popcorn Natural"/>
        <s v="Popular Essentials Flax Seeds"/>
        <s v="4700BC Gourmet Popcorn Himalayan Salt Caramel"/>
        <s v="Svami Non Alcoholic Gin &amp; Tonic Water"/>
        <s v="&amp;Stirred Margarita - Lemon &amp; Lime"/>
        <s v="Tong Garden Salted Pumpkins"/>
        <s v="&amp;Stirred Cosmopolitan - Cranberry &amp; Orange"/>
        <s v="Sleepy Owl Original Hot Brew Bags - Set of 10"/>
        <s v="&amp;Stirred Mojito - Lemon &amp; Mint"/>
      </sharedItems>
    </cacheField>
    <cacheField name="original MRP" numFmtId="0">
      <sharedItems containsSemiMixedTypes="0" containsString="0" containsNumber="1" containsInteger="1" minValue="0" maxValue="260000"/>
    </cacheField>
    <cacheField name="MRP" numFmtId="0">
      <sharedItems containsSemiMixedTypes="0" containsString="0" containsNumber="1" containsInteger="1" minValue="0" maxValue="2600"/>
    </cacheField>
    <cacheField name="Discount %" numFmtId="0">
      <sharedItems containsSemiMixedTypes="0" containsString="0" containsNumber="1" containsInteger="1" minValue="0" maxValue="51" count="42">
        <n v="16"/>
        <n v="15"/>
        <n v="14"/>
        <n v="17"/>
        <n v="18"/>
        <n v="13"/>
        <n v="4"/>
        <n v="19"/>
        <n v="21"/>
        <n v="23"/>
        <n v="5"/>
        <n v="0"/>
        <n v="2"/>
        <n v="7"/>
        <n v="10"/>
        <n v="11"/>
        <n v="1"/>
        <n v="6"/>
        <n v="3"/>
        <n v="8"/>
        <n v="25"/>
        <n v="28"/>
        <n v="9"/>
        <n v="29"/>
        <n v="12"/>
        <n v="20"/>
        <n v="50"/>
        <n v="32"/>
        <n v="27"/>
        <n v="40"/>
        <n v="30"/>
        <n v="46"/>
        <n v="33"/>
        <n v="43"/>
        <n v="31"/>
        <n v="22"/>
        <n v="49"/>
        <n v="26"/>
        <n v="24"/>
        <n v="51"/>
        <n v="35"/>
        <n v="45"/>
      </sharedItems>
    </cacheField>
    <cacheField name="Available Quantity" numFmtId="0">
      <sharedItems containsSemiMixedTypes="0" containsString="0" containsNumber="1" containsInteger="1" minValue="0" maxValue="6"/>
    </cacheField>
    <cacheField name="discountedSellingPrice" numFmtId="0">
      <sharedItems containsSemiMixedTypes="0" containsString="0" containsNumber="1" containsInteger="1" minValue="0" maxValue="139900"/>
    </cacheField>
    <cacheField name="Selling Price" numFmtId="0">
      <sharedItems containsSemiMixedTypes="0" containsString="0" containsNumber="1" minValue="0" maxValue="1399" count="350">
        <n v="21"/>
        <n v="35"/>
        <n v="43"/>
        <n v="17"/>
        <n v="12"/>
        <n v="29"/>
        <n v="63"/>
        <n v="49"/>
        <n v="19"/>
        <n v="16"/>
        <n v="24"/>
        <n v="9"/>
        <n v="22"/>
        <n v="13"/>
        <n v="25"/>
        <n v="30"/>
        <n v="57"/>
        <n v="84"/>
        <n v="69"/>
        <n v="28"/>
        <n v="11"/>
        <n v="45"/>
        <n v="119"/>
        <n v="15"/>
        <n v="99"/>
        <n v="89"/>
        <n v="27"/>
        <n v="149"/>
        <n v="159"/>
        <n v="32"/>
        <n v="75"/>
        <n v="59"/>
        <n v="79"/>
        <n v="14"/>
        <n v="39"/>
        <n v="50"/>
        <n v="10"/>
        <n v="105"/>
        <n v="31"/>
        <n v="152"/>
        <n v="68"/>
        <n v="97"/>
        <n v="55"/>
        <n v="219"/>
        <n v="245"/>
        <n v="249"/>
        <n v="36"/>
        <n v="215"/>
        <n v="925"/>
        <n v="199"/>
        <n v="210"/>
        <n v="499"/>
        <n v="399"/>
        <n v="509"/>
        <n v="191"/>
        <n v="62"/>
        <n v="999"/>
        <n v="183"/>
        <n v="203"/>
        <n v="984"/>
        <n v="94"/>
        <n v="1143"/>
        <n v="51"/>
        <n v="23"/>
        <n v="309"/>
        <n v="88"/>
        <n v="64"/>
        <n v="579"/>
        <n v="20"/>
        <n v="60"/>
        <n v="283"/>
        <n v="265"/>
        <n v="521"/>
        <n v="37"/>
        <n v="18"/>
        <n v="54"/>
        <n v="1240"/>
        <n v="118"/>
        <n v="1039"/>
        <n v="95"/>
        <n v="462"/>
        <n v="175"/>
        <n v="72"/>
        <n v="206"/>
        <n v="281"/>
        <n v="38"/>
        <n v="33"/>
        <n v="109"/>
        <n v="375"/>
        <n v="190"/>
        <n v="299"/>
        <n v="251"/>
        <n v="212"/>
        <n v="77"/>
        <n v="52"/>
        <n v="44"/>
        <n v="34"/>
        <n v="172"/>
        <n v="125"/>
        <n v="41"/>
        <n v="65"/>
        <n v="128"/>
        <n v="208"/>
        <n v="58"/>
        <n v="81"/>
        <n v="115"/>
        <n v="134"/>
        <n v="184"/>
        <n v="449"/>
        <n v="90"/>
        <n v="86"/>
        <n v="80"/>
        <n v="101"/>
        <n v="250"/>
        <n v="135"/>
        <n v="178"/>
        <n v="198"/>
        <n v="169"/>
        <n v="167"/>
        <n v="78"/>
        <n v="162"/>
        <n v="1035"/>
        <n v="230"/>
        <n v="56"/>
        <n v="70"/>
        <n v="205"/>
        <n v="46"/>
        <n v="120"/>
        <n v="47"/>
        <n v="98"/>
        <n v="333"/>
        <n v="40"/>
        <n v="293"/>
        <n v="470"/>
        <n v="122"/>
        <n v="71"/>
        <n v="107"/>
        <n v="166"/>
        <n v="239"/>
        <n v="110"/>
        <n v="142"/>
        <n v="100"/>
        <n v="144"/>
        <n v="256"/>
        <n v="294"/>
        <n v="108"/>
        <n v="61"/>
        <n v="204"/>
        <n v="67"/>
        <n v="270"/>
        <n v="145"/>
        <n v="194"/>
        <n v="171"/>
        <n v="371"/>
        <n v="48"/>
        <n v="143"/>
        <n v="275"/>
        <n v="200"/>
        <n v="266"/>
        <n v="312"/>
        <n v="157"/>
        <n v="347"/>
        <n v="387"/>
        <n v="211"/>
        <n v="1305"/>
        <n v="112"/>
        <n v="150"/>
        <n v="297"/>
        <n v="147"/>
        <n v="340"/>
        <n v="369"/>
        <n v="225"/>
        <n v="124"/>
        <n v="437"/>
        <n v="260"/>
        <n v="73"/>
        <n v="243"/>
        <n v="117"/>
        <n v="372"/>
        <n v="248"/>
        <n v="87"/>
        <n v="276"/>
        <n v="272"/>
        <n v="156"/>
        <n v="235"/>
        <n v="104"/>
        <n v="132"/>
        <n v="140"/>
        <n v="176"/>
        <n v="42"/>
        <n v="116"/>
        <n v="432"/>
        <n v="279"/>
        <n v="170"/>
        <n v="66"/>
        <n v="103"/>
        <n v="295"/>
        <n v="436"/>
        <n v="213"/>
        <n v="179"/>
        <n v="1050"/>
        <n v="423"/>
        <n v="1399"/>
        <n v="630"/>
        <n v="319"/>
        <n v="139"/>
        <n v="181"/>
        <n v="287"/>
        <n v="74"/>
        <n v="177"/>
        <n v="111"/>
        <n v="82"/>
        <n v="565"/>
        <n v="113"/>
        <n v="240"/>
        <n v="106"/>
        <n v="359"/>
        <n v="133"/>
        <n v="137"/>
        <n v="238"/>
        <n v="174"/>
        <n v="155"/>
        <n v="161"/>
        <n v="189"/>
        <n v="188"/>
        <n v="232"/>
        <n v="237"/>
        <n v="85"/>
        <n v="148"/>
        <n v="114"/>
        <n v="193"/>
        <n v="207"/>
        <n v="357"/>
        <n v="401"/>
        <n v="91"/>
        <n v="305"/>
        <n v="158"/>
        <n v="129"/>
        <n v="234"/>
        <n v="121"/>
        <n v="298"/>
        <n v="130"/>
        <n v="53"/>
        <n v="650"/>
        <n v="520"/>
        <n v="153"/>
        <n v="444"/>
        <n v="290"/>
        <n v="310"/>
        <n v="292"/>
        <n v="383"/>
        <n v="160"/>
        <n v="261"/>
        <n v="396"/>
        <n v="192"/>
        <n v="76"/>
        <n v="324"/>
        <n v="83"/>
        <n v="325"/>
        <n v="126"/>
        <n v="320"/>
        <n v="269"/>
        <n v="620"/>
        <n v="267"/>
        <n v="165"/>
        <n v="536"/>
        <n v="410"/>
        <n v="595"/>
        <n v="154"/>
        <n v="288"/>
        <n v="355"/>
        <n v="594"/>
        <n v="648"/>
        <n v="123"/>
        <n v="350"/>
        <n v="330"/>
        <n v="608"/>
        <n v="610"/>
        <n v="236"/>
        <n v="186"/>
        <n v="274"/>
        <n v="180"/>
        <n v="221"/>
        <n v="222"/>
        <n v="495"/>
        <n v="442"/>
        <n v="247"/>
        <n v="127"/>
        <n v="67.5"/>
        <n v="42.5"/>
        <n v="22.5"/>
        <n v="105.6"/>
        <n v="131"/>
        <n v="102"/>
        <n v="96"/>
        <n v="93"/>
        <n v="367"/>
        <n v="141"/>
        <n v="460"/>
        <n v="323"/>
        <n v="415"/>
        <n v="380"/>
        <n v="899"/>
        <n v="218"/>
        <n v="315"/>
        <n v="285"/>
        <n v="550"/>
        <n v="214"/>
        <n v="540"/>
        <n v="282"/>
        <n v="364"/>
        <n v="612"/>
        <n v="278"/>
        <n v="339"/>
        <n v="263"/>
        <n v="314"/>
        <n v="229"/>
        <n v="185"/>
        <n v="220"/>
        <n v="264"/>
        <n v="163"/>
        <n v="849"/>
        <n v="334"/>
        <n v="549"/>
        <n v="575"/>
        <n v="338"/>
        <n v="578"/>
        <n v="182"/>
        <n v="555"/>
        <n v="209"/>
        <n v="146"/>
        <n v="252"/>
        <n v="345"/>
        <n v="365"/>
        <n v="507"/>
        <n v="680"/>
        <n v="750"/>
        <n v="598"/>
        <n v="649"/>
        <n v="581"/>
        <n v="308"/>
        <n v="0"/>
        <n v="195"/>
        <n v="254"/>
        <n v="246"/>
        <n v="385"/>
        <n v="306"/>
        <n v="223"/>
        <n v="316"/>
        <n v="164"/>
      </sharedItems>
    </cacheField>
    <cacheField name="Weight (g)" numFmtId="0">
      <sharedItems containsSemiMixedTypes="0" containsString="0" containsNumber="1" containsInteger="1" minValue="0" maxValue="10000"/>
    </cacheField>
    <cacheField name="Price per gram" numFmtId="2">
      <sharedItems containsMixedTypes="1" containsNumber="1" minValue="0" maxValue="120"/>
    </cacheField>
    <cacheField name="Out Of Stock" numFmtId="0">
      <sharedItems count="2">
        <b v="0"/>
        <b v="1"/>
      </sharedItems>
    </cacheField>
    <cacheField name="Quantity" numFmtId="0">
      <sharedItems containsSemiMixedTypes="0" containsString="0" containsNumber="1" containsInteger="1" minValue="0" maxValue="1500" count="145">
        <n v="1"/>
        <n v="100"/>
        <n v="250"/>
        <n v="200"/>
        <n v="6"/>
        <n v="500"/>
        <n v="3"/>
        <n v="4"/>
        <n v="50"/>
        <n v="2"/>
        <n v="300"/>
        <n v="70"/>
        <n v="12"/>
        <n v="5"/>
        <n v="10"/>
        <n v="450"/>
        <n v="60"/>
        <n v="38"/>
        <n v="400"/>
        <n v="240"/>
        <n v="260"/>
        <n v="225"/>
        <n v="280"/>
        <n v="40"/>
        <n v="165"/>
        <n v="623"/>
        <n v="680"/>
        <n v="25"/>
        <n v="9"/>
        <n v="20"/>
        <n v="80"/>
        <n v="46"/>
        <n v="48"/>
        <n v="65"/>
        <n v="150"/>
        <n v="405"/>
        <n v="54"/>
        <n v="42"/>
        <n v="75"/>
        <n v="90"/>
        <n v="159"/>
        <n v="360"/>
        <n v="540"/>
        <n v="285"/>
        <n v="265"/>
        <n v="750"/>
        <n v="45"/>
        <n v="520"/>
        <n v="160"/>
        <n v="180"/>
        <n v="264"/>
        <n v="108"/>
        <n v="35"/>
        <n v="900"/>
        <n v="950"/>
        <n v="14"/>
        <n v="270"/>
        <n v="77"/>
        <n v="410"/>
        <n v="475"/>
        <n v="30"/>
        <n v="28"/>
        <n v="72"/>
        <n v="600"/>
        <n v="560"/>
        <n v="0"/>
        <n v="350"/>
        <n v="85"/>
        <n v="325"/>
        <n v="120"/>
        <n v="140"/>
        <n v="162"/>
        <n v="415"/>
        <n v="420"/>
        <n v="15"/>
        <n v="375"/>
        <n v="1100"/>
        <n v="52"/>
        <n v="425"/>
        <n v="27"/>
        <n v="170"/>
        <n v="275"/>
        <n v="190"/>
        <n v="130"/>
        <n v="24"/>
        <n v="43"/>
        <n v="480"/>
        <n v="320"/>
        <n v="875"/>
        <n v="460"/>
        <n v="53"/>
        <n v="385"/>
        <n v="1200"/>
        <n v="210"/>
        <n v="175"/>
        <n v="330"/>
        <n v="114"/>
        <n v="435"/>
        <n v="340"/>
        <n v="55"/>
        <n v="650"/>
        <n v="700"/>
        <n v="630"/>
        <n v="230"/>
        <n v="241"/>
        <n v="290"/>
        <n v="440"/>
        <n v="800"/>
        <n v="850"/>
        <n v="156"/>
        <n v="575"/>
        <n v="58"/>
        <n v="182"/>
        <n v="168"/>
        <n v="56"/>
        <n v="67"/>
        <n v="276"/>
        <n v="47"/>
        <n v="336"/>
        <n v="125"/>
        <n v="625"/>
        <n v="18"/>
        <n v="110"/>
        <n v="418"/>
        <n v="7"/>
        <n v="1500"/>
        <n v="44"/>
        <n v="172"/>
        <n v="64"/>
        <n v="196"/>
        <n v="192"/>
        <n v="87"/>
        <n v="78"/>
        <n v="82"/>
        <n v="193"/>
        <n v="26"/>
        <n v="975"/>
        <n v="8"/>
        <n v="137"/>
        <n v="245"/>
        <n v="1000"/>
        <n v="220"/>
        <n v="860"/>
        <n v="94"/>
        <n v="92"/>
      </sharedItems>
    </cacheField>
    <cacheField name="Discount Amount" numFmtId="0">
      <sharedItems containsSemiMixedTypes="0" containsString="0" containsNumber="1" minValue="0" maxValue="1201"/>
    </cacheField>
    <cacheField name="Price Band" numFmtId="0">
      <sharedItems count="3">
        <s v="Low"/>
        <s v="Medium"/>
        <s v="High"/>
      </sharedItems>
    </cacheField>
    <cacheField name="Discount Band" numFmtId="0">
      <sharedItems count="5">
        <s v="16-20%"/>
        <s v="11-15%"/>
        <s v="0-5%"/>
        <s v="21%+"/>
        <s v="6-10%"/>
      </sharedItems>
    </cacheField>
  </cacheFields>
  <extLst>
    <ext xmlns:x14="http://schemas.microsoft.com/office/spreadsheetml/2009/9/main" uri="{725AE2AE-9491-48be-B2B4-4EB974FC3084}">
      <x14:pivotCacheDefinition pivotCacheId="1063643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0">
  <r>
    <x v="0"/>
    <n v="2500"/>
    <n v="25"/>
    <x v="0"/>
    <n v="3"/>
    <n v="2100"/>
    <x v="0"/>
    <n v="1000"/>
    <n v="2.1000000000000001E-2"/>
    <x v="0"/>
    <x v="0"/>
    <n v="4"/>
    <x v="0"/>
    <x v="0"/>
  </r>
  <r>
    <x v="1"/>
    <n v="4200"/>
    <n v="42"/>
    <x v="0"/>
    <n v="3"/>
    <n v="3500"/>
    <x v="1"/>
    <n v="1000"/>
    <n v="3.5000000000000003E-2"/>
    <x v="0"/>
    <x v="0"/>
    <n v="7"/>
    <x v="0"/>
    <x v="0"/>
  </r>
  <r>
    <x v="2"/>
    <n v="5100"/>
    <n v="51"/>
    <x v="1"/>
    <n v="3"/>
    <n v="4300"/>
    <x v="2"/>
    <n v="58"/>
    <n v="0.74137931034482762"/>
    <x v="0"/>
    <x v="0"/>
    <n v="8"/>
    <x v="0"/>
    <x v="1"/>
  </r>
  <r>
    <x v="3"/>
    <n v="2000"/>
    <n v="20"/>
    <x v="1"/>
    <n v="3"/>
    <n v="1700"/>
    <x v="3"/>
    <n v="100"/>
    <n v="0.17"/>
    <x v="0"/>
    <x v="1"/>
    <n v="3"/>
    <x v="0"/>
    <x v="1"/>
  </r>
  <r>
    <x v="4"/>
    <n v="1400"/>
    <n v="14"/>
    <x v="2"/>
    <n v="3"/>
    <n v="1200"/>
    <x v="4"/>
    <n v="250"/>
    <n v="4.8000000000000001E-2"/>
    <x v="0"/>
    <x v="2"/>
    <n v="2"/>
    <x v="0"/>
    <x v="1"/>
  </r>
  <r>
    <x v="5"/>
    <n v="3500"/>
    <n v="35"/>
    <x v="3"/>
    <n v="3"/>
    <n v="2900"/>
    <x v="5"/>
    <n v="1000"/>
    <n v="2.9000000000000001E-2"/>
    <x v="0"/>
    <x v="0"/>
    <n v="6"/>
    <x v="0"/>
    <x v="0"/>
  </r>
  <r>
    <x v="6"/>
    <n v="7500"/>
    <n v="75"/>
    <x v="0"/>
    <n v="3"/>
    <n v="6300"/>
    <x v="6"/>
    <n v="200"/>
    <n v="0.315"/>
    <x v="0"/>
    <x v="3"/>
    <n v="12"/>
    <x v="1"/>
    <x v="0"/>
  </r>
  <r>
    <x v="7"/>
    <n v="5800"/>
    <n v="58"/>
    <x v="1"/>
    <n v="3"/>
    <n v="4900"/>
    <x v="7"/>
    <n v="58"/>
    <n v="0.84482758620689657"/>
    <x v="0"/>
    <x v="0"/>
    <n v="9"/>
    <x v="0"/>
    <x v="1"/>
  </r>
  <r>
    <x v="8"/>
    <n v="2300"/>
    <n v="23"/>
    <x v="3"/>
    <n v="3"/>
    <n v="1900"/>
    <x v="8"/>
    <n v="250"/>
    <n v="7.5999999999999998E-2"/>
    <x v="0"/>
    <x v="2"/>
    <n v="4"/>
    <x v="0"/>
    <x v="0"/>
  </r>
  <r>
    <x v="9"/>
    <n v="1900"/>
    <n v="19"/>
    <x v="1"/>
    <n v="3"/>
    <n v="1600"/>
    <x v="9"/>
    <n v="100"/>
    <n v="0.16"/>
    <x v="0"/>
    <x v="1"/>
    <n v="3"/>
    <x v="0"/>
    <x v="1"/>
  </r>
  <r>
    <x v="10"/>
    <n v="2900"/>
    <n v="29"/>
    <x v="3"/>
    <n v="3"/>
    <n v="2400"/>
    <x v="10"/>
    <n v="348"/>
    <n v="6.8965517241379309E-2"/>
    <x v="0"/>
    <x v="4"/>
    <n v="5"/>
    <x v="0"/>
    <x v="0"/>
  </r>
  <r>
    <x v="11"/>
    <n v="1100"/>
    <n v="11"/>
    <x v="4"/>
    <n v="3"/>
    <n v="900"/>
    <x v="11"/>
    <n v="100"/>
    <n v="0.09"/>
    <x v="0"/>
    <x v="1"/>
    <n v="2"/>
    <x v="0"/>
    <x v="0"/>
  </r>
  <r>
    <x v="12"/>
    <n v="2600"/>
    <n v="26"/>
    <x v="1"/>
    <n v="3"/>
    <n v="2200"/>
    <x v="12"/>
    <n v="58"/>
    <n v="0.37931034482758619"/>
    <x v="0"/>
    <x v="0"/>
    <n v="4"/>
    <x v="0"/>
    <x v="1"/>
  </r>
  <r>
    <x v="13"/>
    <n v="1400"/>
    <n v="14"/>
    <x v="2"/>
    <n v="3"/>
    <n v="1200"/>
    <x v="4"/>
    <n v="200"/>
    <n v="0.06"/>
    <x v="0"/>
    <x v="3"/>
    <n v="2"/>
    <x v="0"/>
    <x v="1"/>
  </r>
  <r>
    <x v="14"/>
    <n v="1900"/>
    <n v="19"/>
    <x v="1"/>
    <n v="3"/>
    <n v="1600"/>
    <x v="9"/>
    <n v="250"/>
    <n v="6.4000000000000001E-2"/>
    <x v="0"/>
    <x v="2"/>
    <n v="3"/>
    <x v="0"/>
    <x v="1"/>
  </r>
  <r>
    <x v="15"/>
    <n v="4200"/>
    <n v="42"/>
    <x v="0"/>
    <n v="3"/>
    <n v="3500"/>
    <x v="1"/>
    <n v="58"/>
    <n v="0.60344827586206895"/>
    <x v="0"/>
    <x v="0"/>
    <n v="7"/>
    <x v="0"/>
    <x v="0"/>
  </r>
  <r>
    <x v="16"/>
    <n v="1500"/>
    <n v="15"/>
    <x v="5"/>
    <n v="3"/>
    <n v="1300"/>
    <x v="13"/>
    <n v="58"/>
    <n v="0.22413793103448276"/>
    <x v="0"/>
    <x v="0"/>
    <n v="2"/>
    <x v="0"/>
    <x v="1"/>
  </r>
  <r>
    <x v="17"/>
    <n v="3000"/>
    <n v="30"/>
    <x v="0"/>
    <n v="3"/>
    <n v="2500"/>
    <x v="14"/>
    <n v="250"/>
    <n v="0.1"/>
    <x v="0"/>
    <x v="2"/>
    <n v="5"/>
    <x v="0"/>
    <x v="0"/>
  </r>
  <r>
    <x v="18"/>
    <n v="3600"/>
    <n v="36"/>
    <x v="0"/>
    <n v="3"/>
    <n v="3000"/>
    <x v="15"/>
    <n v="500"/>
    <n v="0.06"/>
    <x v="0"/>
    <x v="5"/>
    <n v="6"/>
    <x v="0"/>
    <x v="0"/>
  </r>
  <r>
    <x v="19"/>
    <n v="3000"/>
    <n v="30"/>
    <x v="0"/>
    <n v="3"/>
    <n v="2500"/>
    <x v="14"/>
    <n v="348"/>
    <n v="7.183908045977011E-2"/>
    <x v="0"/>
    <x v="4"/>
    <n v="5"/>
    <x v="0"/>
    <x v="0"/>
  </r>
  <r>
    <x v="0"/>
    <n v="6800"/>
    <n v="68"/>
    <x v="0"/>
    <n v="3"/>
    <n v="5700"/>
    <x v="16"/>
    <n v="3000"/>
    <n v="1.9E-2"/>
    <x v="0"/>
    <x v="6"/>
    <n v="11"/>
    <x v="1"/>
    <x v="0"/>
  </r>
  <r>
    <x v="5"/>
    <n v="10000"/>
    <n v="100"/>
    <x v="0"/>
    <n v="3"/>
    <n v="8400"/>
    <x v="17"/>
    <n v="3000"/>
    <n v="2.8000000000000001E-2"/>
    <x v="0"/>
    <x v="6"/>
    <n v="16"/>
    <x v="1"/>
    <x v="0"/>
  </r>
  <r>
    <x v="20"/>
    <n v="8200"/>
    <n v="82"/>
    <x v="1"/>
    <n v="3"/>
    <n v="6900"/>
    <x v="18"/>
    <n v="232"/>
    <n v="0.29741379310344829"/>
    <x v="0"/>
    <x v="7"/>
    <n v="13"/>
    <x v="1"/>
    <x v="1"/>
  </r>
  <r>
    <x v="21"/>
    <n v="1100"/>
    <n v="11"/>
    <x v="4"/>
    <n v="3"/>
    <n v="900"/>
    <x v="11"/>
    <n v="100"/>
    <n v="0.09"/>
    <x v="0"/>
    <x v="1"/>
    <n v="2"/>
    <x v="0"/>
    <x v="0"/>
  </r>
  <r>
    <x v="22"/>
    <n v="3300"/>
    <n v="33"/>
    <x v="1"/>
    <n v="3"/>
    <n v="2800"/>
    <x v="19"/>
    <n v="250"/>
    <n v="0.112"/>
    <x v="0"/>
    <x v="2"/>
    <n v="5"/>
    <x v="0"/>
    <x v="1"/>
  </r>
  <r>
    <x v="23"/>
    <n v="2600"/>
    <n v="26"/>
    <x v="1"/>
    <n v="3"/>
    <n v="2200"/>
    <x v="12"/>
    <n v="58"/>
    <n v="0.37931034482758619"/>
    <x v="0"/>
    <x v="0"/>
    <n v="4"/>
    <x v="0"/>
    <x v="1"/>
  </r>
  <r>
    <x v="24"/>
    <n v="5800"/>
    <n v="58"/>
    <x v="1"/>
    <n v="3"/>
    <n v="4900"/>
    <x v="7"/>
    <n v="348"/>
    <n v="0.14080459770114942"/>
    <x v="0"/>
    <x v="4"/>
    <n v="9"/>
    <x v="0"/>
    <x v="1"/>
  </r>
  <r>
    <x v="25"/>
    <n v="3600"/>
    <n v="36"/>
    <x v="0"/>
    <n v="3"/>
    <n v="3000"/>
    <x v="15"/>
    <n v="58"/>
    <n v="0.51724137931034486"/>
    <x v="0"/>
    <x v="0"/>
    <n v="6"/>
    <x v="0"/>
    <x v="0"/>
  </r>
  <r>
    <x v="26"/>
    <n v="1300"/>
    <n v="13"/>
    <x v="1"/>
    <n v="3"/>
    <n v="1100"/>
    <x v="20"/>
    <n v="50"/>
    <n v="0.22"/>
    <x v="0"/>
    <x v="8"/>
    <n v="2"/>
    <x v="0"/>
    <x v="1"/>
  </r>
  <r>
    <x v="27"/>
    <n v="1900"/>
    <n v="19"/>
    <x v="1"/>
    <n v="3"/>
    <n v="1600"/>
    <x v="9"/>
    <n v="58"/>
    <n v="0.27586206896551724"/>
    <x v="0"/>
    <x v="0"/>
    <n v="3"/>
    <x v="0"/>
    <x v="1"/>
  </r>
  <r>
    <x v="28"/>
    <n v="2500"/>
    <n v="25"/>
    <x v="0"/>
    <n v="3"/>
    <n v="2100"/>
    <x v="0"/>
    <n v="250"/>
    <n v="8.4000000000000005E-2"/>
    <x v="0"/>
    <x v="2"/>
    <n v="4"/>
    <x v="0"/>
    <x v="0"/>
  </r>
  <r>
    <x v="29"/>
    <n v="5400"/>
    <n v="54"/>
    <x v="0"/>
    <n v="3"/>
    <n v="4500"/>
    <x v="21"/>
    <n v="58"/>
    <n v="0.77586206896551724"/>
    <x v="0"/>
    <x v="0"/>
    <n v="9"/>
    <x v="0"/>
    <x v="0"/>
  </r>
  <r>
    <x v="30"/>
    <n v="14200"/>
    <n v="142"/>
    <x v="0"/>
    <n v="3"/>
    <n v="11900"/>
    <x v="22"/>
    <n v="232"/>
    <n v="0.51293103448275867"/>
    <x v="0"/>
    <x v="7"/>
    <n v="23"/>
    <x v="1"/>
    <x v="0"/>
  </r>
  <r>
    <x v="31"/>
    <n v="1800"/>
    <n v="18"/>
    <x v="0"/>
    <n v="3"/>
    <n v="1500"/>
    <x v="23"/>
    <n v="250"/>
    <n v="0.06"/>
    <x v="0"/>
    <x v="2"/>
    <n v="3"/>
    <x v="0"/>
    <x v="0"/>
  </r>
  <r>
    <x v="32"/>
    <n v="1800"/>
    <n v="18"/>
    <x v="0"/>
    <n v="3"/>
    <n v="1500"/>
    <x v="23"/>
    <n v="250"/>
    <n v="0.06"/>
    <x v="0"/>
    <x v="2"/>
    <n v="3"/>
    <x v="0"/>
    <x v="0"/>
  </r>
  <r>
    <x v="33"/>
    <n v="3600"/>
    <n v="36"/>
    <x v="0"/>
    <n v="3"/>
    <n v="3000"/>
    <x v="15"/>
    <n v="116"/>
    <n v="0.25862068965517243"/>
    <x v="0"/>
    <x v="9"/>
    <n v="6"/>
    <x v="0"/>
    <x v="0"/>
  </r>
  <r>
    <x v="34"/>
    <n v="1800"/>
    <n v="18"/>
    <x v="0"/>
    <n v="3"/>
    <n v="1500"/>
    <x v="23"/>
    <n v="250"/>
    <n v="0.06"/>
    <x v="0"/>
    <x v="2"/>
    <n v="3"/>
    <x v="0"/>
    <x v="0"/>
  </r>
  <r>
    <x v="35"/>
    <n v="11800"/>
    <n v="118"/>
    <x v="0"/>
    <n v="3"/>
    <n v="9900"/>
    <x v="24"/>
    <n v="116"/>
    <n v="0.85344827586206895"/>
    <x v="0"/>
    <x v="9"/>
    <n v="19"/>
    <x v="1"/>
    <x v="0"/>
  </r>
  <r>
    <x v="36"/>
    <n v="10600"/>
    <n v="106"/>
    <x v="0"/>
    <n v="3"/>
    <n v="8900"/>
    <x v="25"/>
    <n v="116"/>
    <n v="0.76724137931034486"/>
    <x v="0"/>
    <x v="9"/>
    <n v="17"/>
    <x v="1"/>
    <x v="0"/>
  </r>
  <r>
    <x v="37"/>
    <n v="3000"/>
    <n v="30"/>
    <x v="0"/>
    <n v="3"/>
    <n v="2500"/>
    <x v="14"/>
    <n v="116"/>
    <n v="0.21551724137931033"/>
    <x v="0"/>
    <x v="9"/>
    <n v="5"/>
    <x v="0"/>
    <x v="0"/>
  </r>
  <r>
    <x v="38"/>
    <n v="1900"/>
    <n v="19"/>
    <x v="1"/>
    <n v="3"/>
    <n v="1600"/>
    <x v="9"/>
    <n v="500"/>
    <n v="3.2000000000000001E-2"/>
    <x v="0"/>
    <x v="5"/>
    <n v="3"/>
    <x v="0"/>
    <x v="1"/>
  </r>
  <r>
    <x v="39"/>
    <n v="3200"/>
    <n v="32"/>
    <x v="1"/>
    <n v="3"/>
    <n v="2700"/>
    <x v="26"/>
    <n v="250"/>
    <n v="0.108"/>
    <x v="0"/>
    <x v="2"/>
    <n v="5"/>
    <x v="0"/>
    <x v="1"/>
  </r>
  <r>
    <x v="40"/>
    <n v="5400"/>
    <n v="54"/>
    <x v="0"/>
    <n v="3"/>
    <n v="4500"/>
    <x v="21"/>
    <n v="232"/>
    <n v="0.19396551724137931"/>
    <x v="0"/>
    <x v="7"/>
    <n v="9"/>
    <x v="0"/>
    <x v="0"/>
  </r>
  <r>
    <x v="41"/>
    <n v="17700"/>
    <n v="177"/>
    <x v="1"/>
    <n v="3"/>
    <n v="14900"/>
    <x v="27"/>
    <n v="232"/>
    <n v="0.64224137931034486"/>
    <x v="0"/>
    <x v="7"/>
    <n v="28"/>
    <x v="1"/>
    <x v="1"/>
  </r>
  <r>
    <x v="42"/>
    <n v="3200"/>
    <n v="32"/>
    <x v="1"/>
    <n v="3"/>
    <n v="2700"/>
    <x v="26"/>
    <n v="250"/>
    <n v="0.108"/>
    <x v="0"/>
    <x v="2"/>
    <n v="5"/>
    <x v="0"/>
    <x v="1"/>
  </r>
  <r>
    <x v="43"/>
    <n v="3000"/>
    <n v="30"/>
    <x v="0"/>
    <n v="3"/>
    <n v="2500"/>
    <x v="14"/>
    <n v="250"/>
    <n v="0.1"/>
    <x v="0"/>
    <x v="2"/>
    <n v="5"/>
    <x v="0"/>
    <x v="0"/>
  </r>
  <r>
    <x v="44"/>
    <n v="18900"/>
    <n v="189"/>
    <x v="1"/>
    <n v="3"/>
    <n v="15900"/>
    <x v="28"/>
    <n v="232"/>
    <n v="0.68534482758620685"/>
    <x v="0"/>
    <x v="7"/>
    <n v="30"/>
    <x v="1"/>
    <x v="1"/>
  </r>
  <r>
    <x v="45"/>
    <n v="3000"/>
    <n v="30"/>
    <x v="0"/>
    <n v="3"/>
    <n v="2500"/>
    <x v="14"/>
    <n v="250"/>
    <n v="0.1"/>
    <x v="0"/>
    <x v="2"/>
    <n v="5"/>
    <x v="0"/>
    <x v="0"/>
  </r>
  <r>
    <x v="46"/>
    <n v="2300"/>
    <n v="23"/>
    <x v="3"/>
    <n v="3"/>
    <n v="1900"/>
    <x v="8"/>
    <n v="100"/>
    <n v="0.19"/>
    <x v="0"/>
    <x v="1"/>
    <n v="4"/>
    <x v="0"/>
    <x v="0"/>
  </r>
  <r>
    <x v="47"/>
    <n v="3500"/>
    <n v="35"/>
    <x v="3"/>
    <n v="3"/>
    <n v="2900"/>
    <x v="5"/>
    <n v="250"/>
    <n v="0.11600000000000001"/>
    <x v="0"/>
    <x v="2"/>
    <n v="6"/>
    <x v="0"/>
    <x v="0"/>
  </r>
  <r>
    <x v="48"/>
    <n v="3500"/>
    <n v="35"/>
    <x v="3"/>
    <n v="3"/>
    <n v="2900"/>
    <x v="5"/>
    <n v="200"/>
    <n v="0.14499999999999999"/>
    <x v="0"/>
    <x v="3"/>
    <n v="6"/>
    <x v="0"/>
    <x v="0"/>
  </r>
  <r>
    <x v="49"/>
    <n v="3500"/>
    <n v="35"/>
    <x v="3"/>
    <n v="3"/>
    <n v="2900"/>
    <x v="5"/>
    <n v="250"/>
    <n v="0.11600000000000001"/>
    <x v="0"/>
    <x v="2"/>
    <n v="6"/>
    <x v="0"/>
    <x v="0"/>
  </r>
  <r>
    <x v="50"/>
    <n v="4200"/>
    <n v="42"/>
    <x v="0"/>
    <n v="3"/>
    <n v="3500"/>
    <x v="1"/>
    <n v="250"/>
    <n v="0.14000000000000001"/>
    <x v="0"/>
    <x v="2"/>
    <n v="7"/>
    <x v="0"/>
    <x v="0"/>
  </r>
  <r>
    <x v="51"/>
    <n v="2000"/>
    <n v="20"/>
    <x v="1"/>
    <n v="6"/>
    <n v="1700"/>
    <x v="3"/>
    <n v="500"/>
    <n v="3.4000000000000002E-2"/>
    <x v="0"/>
    <x v="5"/>
    <n v="3"/>
    <x v="0"/>
    <x v="1"/>
  </r>
  <r>
    <x v="52"/>
    <n v="2900"/>
    <n v="29"/>
    <x v="3"/>
    <n v="6"/>
    <n v="2400"/>
    <x v="10"/>
    <n v="500"/>
    <n v="4.8000000000000001E-2"/>
    <x v="0"/>
    <x v="5"/>
    <n v="5"/>
    <x v="0"/>
    <x v="0"/>
  </r>
  <r>
    <x v="53"/>
    <n v="3500"/>
    <n v="35"/>
    <x v="3"/>
    <n v="3"/>
    <n v="2900"/>
    <x v="5"/>
    <n v="200"/>
    <n v="0.14499999999999999"/>
    <x v="0"/>
    <x v="3"/>
    <n v="6"/>
    <x v="0"/>
    <x v="0"/>
  </r>
  <r>
    <x v="54"/>
    <n v="3800"/>
    <n v="38"/>
    <x v="1"/>
    <n v="3"/>
    <n v="3200"/>
    <x v="29"/>
    <n v="500"/>
    <n v="6.4000000000000001E-2"/>
    <x v="0"/>
    <x v="5"/>
    <n v="6"/>
    <x v="0"/>
    <x v="1"/>
  </r>
  <r>
    <x v="55"/>
    <n v="8900"/>
    <n v="89"/>
    <x v="1"/>
    <n v="3"/>
    <n v="7500"/>
    <x v="30"/>
    <n v="200"/>
    <n v="0.375"/>
    <x v="0"/>
    <x v="3"/>
    <n v="14"/>
    <x v="1"/>
    <x v="1"/>
  </r>
  <r>
    <x v="56"/>
    <n v="5400"/>
    <n v="54"/>
    <x v="0"/>
    <n v="3"/>
    <n v="4500"/>
    <x v="21"/>
    <n v="116"/>
    <n v="0.38793103448275862"/>
    <x v="0"/>
    <x v="9"/>
    <n v="9"/>
    <x v="0"/>
    <x v="0"/>
  </r>
  <r>
    <x v="57"/>
    <n v="7000"/>
    <n v="70"/>
    <x v="1"/>
    <n v="3"/>
    <n v="5900"/>
    <x v="31"/>
    <n v="58"/>
    <n v="1.0172413793103448"/>
    <x v="0"/>
    <x v="0"/>
    <n v="11"/>
    <x v="1"/>
    <x v="1"/>
  </r>
  <r>
    <x v="58"/>
    <n v="4200"/>
    <n v="42"/>
    <x v="0"/>
    <n v="3"/>
    <n v="3500"/>
    <x v="1"/>
    <n v="250"/>
    <n v="0.14000000000000001"/>
    <x v="0"/>
    <x v="5"/>
    <n v="7"/>
    <x v="0"/>
    <x v="0"/>
  </r>
  <r>
    <x v="59"/>
    <n v="14200"/>
    <n v="142"/>
    <x v="0"/>
    <n v="6"/>
    <n v="11900"/>
    <x v="22"/>
    <n v="232"/>
    <n v="0.51293103448275867"/>
    <x v="0"/>
    <x v="7"/>
    <n v="23"/>
    <x v="1"/>
    <x v="0"/>
  </r>
  <r>
    <x v="60"/>
    <n v="9400"/>
    <n v="94"/>
    <x v="1"/>
    <n v="3"/>
    <n v="7900"/>
    <x v="32"/>
    <n v="58"/>
    <n v="1.3620689655172413"/>
    <x v="0"/>
    <x v="0"/>
    <n v="15"/>
    <x v="1"/>
    <x v="1"/>
  </r>
  <r>
    <x v="61"/>
    <n v="2000"/>
    <n v="20"/>
    <x v="1"/>
    <n v="3"/>
    <n v="1700"/>
    <x v="3"/>
    <n v="100"/>
    <n v="0.17"/>
    <x v="0"/>
    <x v="1"/>
    <n v="3"/>
    <x v="0"/>
    <x v="1"/>
  </r>
  <r>
    <x v="62"/>
    <n v="1700"/>
    <n v="17"/>
    <x v="3"/>
    <n v="3"/>
    <n v="1400"/>
    <x v="33"/>
    <n v="100"/>
    <n v="0.14000000000000001"/>
    <x v="0"/>
    <x v="1"/>
    <n v="3"/>
    <x v="0"/>
    <x v="0"/>
  </r>
  <r>
    <x v="63"/>
    <n v="3000"/>
    <n v="30"/>
    <x v="0"/>
    <n v="3"/>
    <n v="2500"/>
    <x v="14"/>
    <n v="500"/>
    <n v="0.05"/>
    <x v="0"/>
    <x v="5"/>
    <n v="5"/>
    <x v="0"/>
    <x v="0"/>
  </r>
  <r>
    <x v="64"/>
    <n v="4600"/>
    <n v="46"/>
    <x v="1"/>
    <n v="3"/>
    <n v="3900"/>
    <x v="34"/>
    <n v="200"/>
    <n v="0.19500000000000001"/>
    <x v="0"/>
    <x v="3"/>
    <n v="7"/>
    <x v="0"/>
    <x v="1"/>
  </r>
  <r>
    <x v="65"/>
    <n v="5800"/>
    <n v="58"/>
    <x v="1"/>
    <n v="2"/>
    <n v="4900"/>
    <x v="7"/>
    <n v="100"/>
    <n v="0.49"/>
    <x v="0"/>
    <x v="1"/>
    <n v="9"/>
    <x v="0"/>
    <x v="1"/>
  </r>
  <r>
    <x v="66"/>
    <n v="8200"/>
    <n v="82"/>
    <x v="1"/>
    <n v="3"/>
    <n v="6900"/>
    <x v="18"/>
    <n v="116"/>
    <n v="0.59482758620689657"/>
    <x v="0"/>
    <x v="9"/>
    <n v="13"/>
    <x v="1"/>
    <x v="1"/>
  </r>
  <r>
    <x v="67"/>
    <n v="7000"/>
    <n v="70"/>
    <x v="1"/>
    <n v="3"/>
    <n v="5900"/>
    <x v="31"/>
    <n v="116"/>
    <n v="0.50862068965517238"/>
    <x v="0"/>
    <x v="9"/>
    <n v="11"/>
    <x v="1"/>
    <x v="1"/>
  </r>
  <r>
    <x v="68"/>
    <n v="2000"/>
    <n v="20"/>
    <x v="1"/>
    <n v="3"/>
    <n v="1700"/>
    <x v="3"/>
    <n v="100"/>
    <n v="0.17"/>
    <x v="0"/>
    <x v="1"/>
    <n v="3"/>
    <x v="0"/>
    <x v="1"/>
  </r>
  <r>
    <x v="69"/>
    <n v="6000"/>
    <n v="60"/>
    <x v="0"/>
    <n v="3"/>
    <n v="5000"/>
    <x v="35"/>
    <n v="500"/>
    <n v="0.1"/>
    <x v="0"/>
    <x v="5"/>
    <n v="10"/>
    <x v="1"/>
    <x v="0"/>
  </r>
  <r>
    <x v="70"/>
    <n v="5800"/>
    <n v="58"/>
    <x v="1"/>
    <n v="3"/>
    <n v="4900"/>
    <x v="7"/>
    <n v="250"/>
    <n v="0.19600000000000001"/>
    <x v="0"/>
    <x v="2"/>
    <n v="9"/>
    <x v="0"/>
    <x v="1"/>
  </r>
  <r>
    <x v="71"/>
    <n v="5400"/>
    <n v="54"/>
    <x v="0"/>
    <n v="6"/>
    <n v="4500"/>
    <x v="21"/>
    <n v="500"/>
    <n v="0.09"/>
    <x v="0"/>
    <x v="5"/>
    <n v="9"/>
    <x v="0"/>
    <x v="0"/>
  </r>
  <r>
    <x v="72"/>
    <n v="3000"/>
    <n v="30"/>
    <x v="0"/>
    <n v="3"/>
    <n v="2500"/>
    <x v="14"/>
    <n v="200"/>
    <n v="0.125"/>
    <x v="0"/>
    <x v="3"/>
    <n v="5"/>
    <x v="0"/>
    <x v="0"/>
  </r>
  <r>
    <x v="73"/>
    <n v="5400"/>
    <n v="54"/>
    <x v="0"/>
    <n v="6"/>
    <n v="4500"/>
    <x v="21"/>
    <n v="500"/>
    <n v="0.09"/>
    <x v="0"/>
    <x v="5"/>
    <n v="9"/>
    <x v="0"/>
    <x v="0"/>
  </r>
  <r>
    <x v="74"/>
    <n v="2300"/>
    <n v="23"/>
    <x v="3"/>
    <n v="6"/>
    <n v="1900"/>
    <x v="8"/>
    <n v="500"/>
    <n v="3.7999999999999999E-2"/>
    <x v="0"/>
    <x v="5"/>
    <n v="4"/>
    <x v="0"/>
    <x v="0"/>
  </r>
  <r>
    <x v="75"/>
    <n v="17700"/>
    <n v="177"/>
    <x v="1"/>
    <n v="3"/>
    <n v="14900"/>
    <x v="27"/>
    <n v="58"/>
    <n v="2.5689655172413794"/>
    <x v="0"/>
    <x v="0"/>
    <n v="28"/>
    <x v="1"/>
    <x v="1"/>
  </r>
  <r>
    <x v="76"/>
    <n v="1200"/>
    <n v="12"/>
    <x v="0"/>
    <n v="2"/>
    <n v="1000"/>
    <x v="36"/>
    <n v="58"/>
    <n v="0.17241379310344829"/>
    <x v="0"/>
    <x v="0"/>
    <n v="2"/>
    <x v="0"/>
    <x v="0"/>
  </r>
  <r>
    <x v="77"/>
    <n v="2500"/>
    <n v="25"/>
    <x v="0"/>
    <n v="2"/>
    <n v="2100"/>
    <x v="0"/>
    <n v="300"/>
    <n v="7.0000000000000007E-2"/>
    <x v="0"/>
    <x v="10"/>
    <n v="4"/>
    <x v="0"/>
    <x v="0"/>
  </r>
  <r>
    <x v="78"/>
    <n v="2000"/>
    <n v="20"/>
    <x v="1"/>
    <n v="3"/>
    <n v="1700"/>
    <x v="3"/>
    <n v="250"/>
    <n v="6.8000000000000005E-2"/>
    <x v="0"/>
    <x v="2"/>
    <n v="3"/>
    <x v="0"/>
    <x v="1"/>
  </r>
  <r>
    <x v="79"/>
    <n v="11000"/>
    <n v="110"/>
    <x v="6"/>
    <n v="2"/>
    <n v="10500"/>
    <x v="37"/>
    <n v="1000"/>
    <n v="0.105"/>
    <x v="0"/>
    <x v="0"/>
    <n v="5"/>
    <x v="1"/>
    <x v="2"/>
  </r>
  <r>
    <x v="80"/>
    <n v="3700"/>
    <n v="37"/>
    <x v="0"/>
    <n v="3"/>
    <n v="3100"/>
    <x v="38"/>
    <n v="250"/>
    <n v="0.124"/>
    <x v="0"/>
    <x v="2"/>
    <n v="6"/>
    <x v="0"/>
    <x v="0"/>
  </r>
  <r>
    <x v="81"/>
    <n v="1600"/>
    <n v="16"/>
    <x v="4"/>
    <n v="3"/>
    <n v="1300"/>
    <x v="13"/>
    <n v="500"/>
    <n v="2.5999999999999999E-2"/>
    <x v="0"/>
    <x v="5"/>
    <n v="3"/>
    <x v="0"/>
    <x v="0"/>
  </r>
  <r>
    <x v="82"/>
    <n v="2600"/>
    <n v="26"/>
    <x v="7"/>
    <n v="3"/>
    <n v="2100"/>
    <x v="0"/>
    <n v="500"/>
    <n v="4.2000000000000003E-2"/>
    <x v="0"/>
    <x v="5"/>
    <n v="5"/>
    <x v="0"/>
    <x v="0"/>
  </r>
  <r>
    <x v="83"/>
    <n v="1900"/>
    <n v="19"/>
    <x v="8"/>
    <n v="3"/>
    <n v="1500"/>
    <x v="23"/>
    <n v="500"/>
    <n v="0.03"/>
    <x v="0"/>
    <x v="5"/>
    <n v="4"/>
    <x v="0"/>
    <x v="3"/>
  </r>
  <r>
    <x v="84"/>
    <n v="1700"/>
    <n v="17"/>
    <x v="9"/>
    <n v="3"/>
    <n v="1300"/>
    <x v="13"/>
    <n v="200"/>
    <n v="6.5000000000000002E-2"/>
    <x v="0"/>
    <x v="3"/>
    <n v="4"/>
    <x v="0"/>
    <x v="3"/>
  </r>
  <r>
    <x v="83"/>
    <n v="1300"/>
    <n v="13"/>
    <x v="1"/>
    <n v="0"/>
    <n v="1100"/>
    <x v="20"/>
    <n v="250"/>
    <n v="4.3999999999999997E-2"/>
    <x v="1"/>
    <x v="3"/>
    <n v="2"/>
    <x v="0"/>
    <x v="1"/>
  </r>
  <r>
    <x v="81"/>
    <n v="1100"/>
    <n v="11"/>
    <x v="4"/>
    <n v="0"/>
    <n v="900"/>
    <x v="11"/>
    <n v="250"/>
    <n v="3.5999999999999997E-2"/>
    <x v="1"/>
    <x v="2"/>
    <n v="2"/>
    <x v="0"/>
    <x v="0"/>
  </r>
  <r>
    <x v="85"/>
    <n v="3500"/>
    <n v="35"/>
    <x v="3"/>
    <n v="0"/>
    <n v="2900"/>
    <x v="5"/>
    <n v="200"/>
    <n v="0.14499999999999999"/>
    <x v="1"/>
    <x v="3"/>
    <n v="6"/>
    <x v="0"/>
    <x v="0"/>
  </r>
  <r>
    <x v="86"/>
    <n v="6000"/>
    <n v="60"/>
    <x v="10"/>
    <n v="0"/>
    <n v="5700"/>
    <x v="16"/>
    <n v="500"/>
    <n v="0.114"/>
    <x v="1"/>
    <x v="5"/>
    <n v="3"/>
    <x v="1"/>
    <x v="2"/>
  </r>
  <r>
    <x v="87"/>
    <n v="4100"/>
    <n v="41"/>
    <x v="6"/>
    <n v="0"/>
    <n v="3900"/>
    <x v="34"/>
    <n v="200"/>
    <n v="0.19500000000000001"/>
    <x v="1"/>
    <x v="3"/>
    <n v="2"/>
    <x v="0"/>
    <x v="2"/>
  </r>
  <r>
    <x v="88"/>
    <n v="16000"/>
    <n v="160"/>
    <x v="10"/>
    <n v="0"/>
    <n v="15200"/>
    <x v="39"/>
    <n v="1000"/>
    <n v="0.152"/>
    <x v="1"/>
    <x v="0"/>
    <n v="8"/>
    <x v="1"/>
    <x v="2"/>
  </r>
  <r>
    <x v="89"/>
    <n v="1200"/>
    <n v="12"/>
    <x v="11"/>
    <n v="6"/>
    <n v="1200"/>
    <x v="4"/>
    <n v="70"/>
    <n v="0.17142857142857143"/>
    <x v="0"/>
    <x v="11"/>
    <n v="0"/>
    <x v="0"/>
    <x v="2"/>
  </r>
  <r>
    <x v="90"/>
    <n v="8000"/>
    <n v="80"/>
    <x v="1"/>
    <n v="6"/>
    <n v="6800"/>
    <x v="40"/>
    <n v="1000"/>
    <n v="6.8000000000000005E-2"/>
    <x v="0"/>
    <x v="0"/>
    <n v="12"/>
    <x v="1"/>
    <x v="1"/>
  </r>
  <r>
    <x v="91"/>
    <n v="2400"/>
    <n v="24"/>
    <x v="11"/>
    <n v="6"/>
    <n v="2400"/>
    <x v="10"/>
    <n v="1000"/>
    <n v="2.4E-2"/>
    <x v="0"/>
    <x v="0"/>
    <n v="0"/>
    <x v="0"/>
    <x v="2"/>
  </r>
  <r>
    <x v="92"/>
    <n v="9700"/>
    <n v="97"/>
    <x v="11"/>
    <n v="4"/>
    <n v="9700"/>
    <x v="41"/>
    <n v="696"/>
    <n v="0.13936781609195403"/>
    <x v="0"/>
    <x v="12"/>
    <n v="0"/>
    <x v="1"/>
    <x v="2"/>
  </r>
  <r>
    <x v="92"/>
    <n v="6500"/>
    <n v="65"/>
    <x v="1"/>
    <n v="4"/>
    <n v="5500"/>
    <x v="42"/>
    <n v="348"/>
    <n v="0.15804597701149425"/>
    <x v="0"/>
    <x v="4"/>
    <n v="10"/>
    <x v="1"/>
    <x v="1"/>
  </r>
  <r>
    <x v="93"/>
    <n v="23000"/>
    <n v="230"/>
    <x v="6"/>
    <n v="6"/>
    <n v="21900"/>
    <x v="43"/>
    <n v="1000"/>
    <n v="0.219"/>
    <x v="0"/>
    <x v="0"/>
    <n v="11"/>
    <x v="2"/>
    <x v="2"/>
  </r>
  <r>
    <x v="94"/>
    <n v="25000"/>
    <n v="250"/>
    <x v="12"/>
    <n v="6"/>
    <n v="24500"/>
    <x v="44"/>
    <n v="5000"/>
    <n v="4.9000000000000002E-2"/>
    <x v="0"/>
    <x v="13"/>
    <n v="5"/>
    <x v="2"/>
    <x v="2"/>
  </r>
  <r>
    <x v="95"/>
    <n v="25500"/>
    <n v="255"/>
    <x v="12"/>
    <n v="6"/>
    <n v="24900"/>
    <x v="45"/>
    <n v="500"/>
    <n v="0.498"/>
    <x v="0"/>
    <x v="5"/>
    <n v="6"/>
    <x v="2"/>
    <x v="2"/>
  </r>
  <r>
    <x v="96"/>
    <n v="8500"/>
    <n v="85"/>
    <x v="13"/>
    <n v="4"/>
    <n v="7900"/>
    <x v="32"/>
    <n v="348"/>
    <n v="0.22701149425287356"/>
    <x v="0"/>
    <x v="4"/>
    <n v="6"/>
    <x v="1"/>
    <x v="4"/>
  </r>
  <r>
    <x v="97"/>
    <n v="4000"/>
    <n v="40"/>
    <x v="14"/>
    <n v="6"/>
    <n v="3600"/>
    <x v="46"/>
    <n v="1000"/>
    <n v="3.5999999999999997E-2"/>
    <x v="0"/>
    <x v="0"/>
    <n v="4"/>
    <x v="0"/>
    <x v="4"/>
  </r>
  <r>
    <x v="98"/>
    <n v="21500"/>
    <n v="215"/>
    <x v="11"/>
    <n v="6"/>
    <n v="21500"/>
    <x v="47"/>
    <n v="1000"/>
    <n v="0.215"/>
    <x v="0"/>
    <x v="0"/>
    <n v="0"/>
    <x v="2"/>
    <x v="2"/>
  </r>
  <r>
    <x v="99"/>
    <n v="92500"/>
    <n v="925"/>
    <x v="11"/>
    <n v="6"/>
    <n v="92500"/>
    <x v="48"/>
    <n v="5000"/>
    <n v="0.185"/>
    <x v="0"/>
    <x v="13"/>
    <n v="0"/>
    <x v="2"/>
    <x v="2"/>
  </r>
  <r>
    <x v="100"/>
    <n v="22500"/>
    <n v="225"/>
    <x v="15"/>
    <n v="6"/>
    <n v="19900"/>
    <x v="49"/>
    <n v="1000"/>
    <n v="0.19900000000000001"/>
    <x v="0"/>
    <x v="0"/>
    <n v="26"/>
    <x v="1"/>
    <x v="1"/>
  </r>
  <r>
    <x v="101"/>
    <n v="21000"/>
    <n v="210"/>
    <x v="11"/>
    <n v="6"/>
    <n v="21000"/>
    <x v="50"/>
    <n v="1000"/>
    <n v="0.21"/>
    <x v="0"/>
    <x v="0"/>
    <n v="0"/>
    <x v="2"/>
    <x v="2"/>
  </r>
  <r>
    <x v="95"/>
    <n v="50500"/>
    <n v="505"/>
    <x v="16"/>
    <n v="2"/>
    <n v="49900"/>
    <x v="51"/>
    <n v="1000"/>
    <n v="0.499"/>
    <x v="0"/>
    <x v="0"/>
    <n v="6"/>
    <x v="2"/>
    <x v="2"/>
  </r>
  <r>
    <x v="102"/>
    <n v="46000"/>
    <n v="460"/>
    <x v="5"/>
    <n v="6"/>
    <n v="39900"/>
    <x v="52"/>
    <n v="10000"/>
    <n v="3.9899999999999998E-2"/>
    <x v="0"/>
    <x v="14"/>
    <n v="61"/>
    <x v="2"/>
    <x v="1"/>
  </r>
  <r>
    <x v="103"/>
    <n v="16000"/>
    <n v="160"/>
    <x v="17"/>
    <n v="4"/>
    <n v="14900"/>
    <x v="27"/>
    <n v="1000"/>
    <n v="0.14899999999999999"/>
    <x v="0"/>
    <x v="0"/>
    <n v="11"/>
    <x v="1"/>
    <x v="4"/>
  </r>
  <r>
    <x v="104"/>
    <n v="52000"/>
    <n v="520"/>
    <x v="12"/>
    <n v="6"/>
    <n v="50900"/>
    <x v="53"/>
    <n v="1000"/>
    <n v="0.50900000000000001"/>
    <x v="0"/>
    <x v="0"/>
    <n v="11"/>
    <x v="2"/>
    <x v="2"/>
  </r>
  <r>
    <x v="105"/>
    <n v="19700"/>
    <n v="197"/>
    <x v="18"/>
    <n v="3"/>
    <n v="19100"/>
    <x v="54"/>
    <n v="1000"/>
    <n v="0.191"/>
    <x v="0"/>
    <x v="0"/>
    <n v="6"/>
    <x v="1"/>
    <x v="2"/>
  </r>
  <r>
    <x v="106"/>
    <n v="5000"/>
    <n v="50"/>
    <x v="12"/>
    <n v="6"/>
    <n v="4900"/>
    <x v="7"/>
    <n v="450"/>
    <n v="0.10888888888888888"/>
    <x v="0"/>
    <x v="15"/>
    <n v="1"/>
    <x v="0"/>
    <x v="2"/>
  </r>
  <r>
    <x v="107"/>
    <n v="6400"/>
    <n v="64"/>
    <x v="18"/>
    <n v="2"/>
    <n v="6200"/>
    <x v="55"/>
    <n v="1000"/>
    <n v="6.2E-2"/>
    <x v="0"/>
    <x v="0"/>
    <n v="2"/>
    <x v="1"/>
    <x v="2"/>
  </r>
  <r>
    <x v="108"/>
    <n v="100500"/>
    <n v="1005"/>
    <x v="11"/>
    <n v="6"/>
    <n v="99900"/>
    <x v="56"/>
    <n v="5000"/>
    <n v="0.19980000000000001"/>
    <x v="0"/>
    <x v="13"/>
    <n v="6"/>
    <x v="2"/>
    <x v="2"/>
  </r>
  <r>
    <x v="109"/>
    <n v="2500"/>
    <n v="25"/>
    <x v="11"/>
    <n v="6"/>
    <n v="2500"/>
    <x v="14"/>
    <n v="50"/>
    <n v="0.5"/>
    <x v="0"/>
    <x v="8"/>
    <n v="0"/>
    <x v="0"/>
    <x v="2"/>
  </r>
  <r>
    <x v="110"/>
    <n v="18500"/>
    <n v="185"/>
    <x v="16"/>
    <n v="4"/>
    <n v="18300"/>
    <x v="57"/>
    <n v="1000"/>
    <n v="0.183"/>
    <x v="0"/>
    <x v="5"/>
    <n v="2"/>
    <x v="1"/>
    <x v="2"/>
  </r>
  <r>
    <x v="111"/>
    <n v="23000"/>
    <n v="230"/>
    <x v="15"/>
    <n v="6"/>
    <n v="20300"/>
    <x v="58"/>
    <n v="1000"/>
    <n v="0.20300000000000001"/>
    <x v="0"/>
    <x v="0"/>
    <n v="27"/>
    <x v="2"/>
    <x v="1"/>
  </r>
  <r>
    <x v="112"/>
    <n v="120000"/>
    <n v="1200"/>
    <x v="4"/>
    <n v="6"/>
    <n v="98400"/>
    <x v="59"/>
    <n v="5000"/>
    <n v="0.1968"/>
    <x v="0"/>
    <x v="13"/>
    <n v="216"/>
    <x v="2"/>
    <x v="0"/>
  </r>
  <r>
    <x v="113"/>
    <n v="8000"/>
    <n v="80"/>
    <x v="1"/>
    <n v="6"/>
    <n v="6800"/>
    <x v="40"/>
    <n v="500"/>
    <n v="0.13600000000000001"/>
    <x v="0"/>
    <x v="5"/>
    <n v="12"/>
    <x v="1"/>
    <x v="1"/>
  </r>
  <r>
    <x v="114"/>
    <n v="9400"/>
    <n v="94"/>
    <x v="11"/>
    <n v="1"/>
    <n v="9400"/>
    <x v="60"/>
    <n v="500"/>
    <n v="0.188"/>
    <x v="0"/>
    <x v="5"/>
    <n v="0"/>
    <x v="1"/>
    <x v="2"/>
  </r>
  <r>
    <x v="115"/>
    <n v="125000"/>
    <n v="1250"/>
    <x v="19"/>
    <n v="6"/>
    <n v="114300"/>
    <x v="61"/>
    <n v="5000"/>
    <n v="0.2286"/>
    <x v="0"/>
    <x v="13"/>
    <n v="107"/>
    <x v="2"/>
    <x v="4"/>
  </r>
  <r>
    <x v="116"/>
    <n v="5400"/>
    <n v="54"/>
    <x v="10"/>
    <n v="6"/>
    <n v="5100"/>
    <x v="62"/>
    <n v="200"/>
    <n v="0.255"/>
    <x v="0"/>
    <x v="3"/>
    <n v="3"/>
    <x v="1"/>
    <x v="2"/>
  </r>
  <r>
    <x v="117"/>
    <n v="1500"/>
    <n v="15"/>
    <x v="11"/>
    <n v="3"/>
    <n v="1500"/>
    <x v="23"/>
    <n v="60"/>
    <n v="0.25"/>
    <x v="0"/>
    <x v="16"/>
    <n v="0"/>
    <x v="0"/>
    <x v="2"/>
  </r>
  <r>
    <x v="118"/>
    <n v="2500"/>
    <n v="25"/>
    <x v="19"/>
    <n v="3"/>
    <n v="2300"/>
    <x v="63"/>
    <n v="100"/>
    <n v="0.23"/>
    <x v="0"/>
    <x v="1"/>
    <n v="2"/>
    <x v="0"/>
    <x v="4"/>
  </r>
  <r>
    <x v="119"/>
    <n v="1500"/>
    <n v="15"/>
    <x v="11"/>
    <n v="6"/>
    <n v="1500"/>
    <x v="23"/>
    <n v="60"/>
    <n v="0.25"/>
    <x v="0"/>
    <x v="16"/>
    <n v="0"/>
    <x v="0"/>
    <x v="2"/>
  </r>
  <r>
    <x v="120"/>
    <n v="31500"/>
    <n v="315"/>
    <x v="16"/>
    <n v="6"/>
    <n v="30900"/>
    <x v="64"/>
    <n v="500"/>
    <n v="0.61799999999999999"/>
    <x v="0"/>
    <x v="5"/>
    <n v="6"/>
    <x v="2"/>
    <x v="2"/>
  </r>
  <r>
    <x v="121"/>
    <n v="9200"/>
    <n v="92"/>
    <x v="6"/>
    <n v="4"/>
    <n v="8800"/>
    <x v="65"/>
    <n v="500"/>
    <n v="0.17599999999999999"/>
    <x v="0"/>
    <x v="5"/>
    <n v="4"/>
    <x v="1"/>
    <x v="2"/>
  </r>
  <r>
    <x v="122"/>
    <n v="6400"/>
    <n v="64"/>
    <x v="11"/>
    <n v="6"/>
    <n v="6400"/>
    <x v="66"/>
    <n v="1000"/>
    <n v="6.4000000000000001E-2"/>
    <x v="0"/>
    <x v="0"/>
    <n v="0"/>
    <x v="1"/>
    <x v="2"/>
  </r>
  <r>
    <x v="123"/>
    <n v="1500"/>
    <n v="15"/>
    <x v="11"/>
    <n v="4"/>
    <n v="1500"/>
    <x v="23"/>
    <n v="100"/>
    <n v="0.15"/>
    <x v="0"/>
    <x v="1"/>
    <n v="0"/>
    <x v="0"/>
    <x v="2"/>
  </r>
  <r>
    <x v="124"/>
    <n v="59800"/>
    <n v="598"/>
    <x v="18"/>
    <n v="6"/>
    <n v="57900"/>
    <x v="67"/>
    <n v="1000"/>
    <n v="0.57899999999999996"/>
    <x v="0"/>
    <x v="0"/>
    <n v="19"/>
    <x v="2"/>
    <x v="2"/>
  </r>
  <r>
    <x v="125"/>
    <n v="2000"/>
    <n v="20"/>
    <x v="11"/>
    <n v="1"/>
    <n v="2000"/>
    <x v="68"/>
    <n v="70"/>
    <n v="0.2857142857142857"/>
    <x v="0"/>
    <x v="11"/>
    <n v="0"/>
    <x v="0"/>
    <x v="2"/>
  </r>
  <r>
    <x v="126"/>
    <n v="6000"/>
    <n v="60"/>
    <x v="11"/>
    <n v="6"/>
    <n v="6000"/>
    <x v="69"/>
    <n v="1000"/>
    <n v="0.06"/>
    <x v="0"/>
    <x v="0"/>
    <n v="0"/>
    <x v="1"/>
    <x v="2"/>
  </r>
  <r>
    <x v="127"/>
    <n v="21600"/>
    <n v="216"/>
    <x v="13"/>
    <n v="6"/>
    <n v="19900"/>
    <x v="49"/>
    <n v="1000"/>
    <n v="0.19900000000000001"/>
    <x v="0"/>
    <x v="0"/>
    <n v="17"/>
    <x v="1"/>
    <x v="4"/>
  </r>
  <r>
    <x v="128"/>
    <n v="1500"/>
    <n v="15"/>
    <x v="11"/>
    <n v="6"/>
    <n v="1500"/>
    <x v="23"/>
    <n v="38"/>
    <n v="0.39473684210526316"/>
    <x v="0"/>
    <x v="17"/>
    <n v="0"/>
    <x v="0"/>
    <x v="2"/>
  </r>
  <r>
    <x v="129"/>
    <n v="2300"/>
    <n v="23"/>
    <x v="11"/>
    <n v="6"/>
    <n v="2300"/>
    <x v="63"/>
    <n v="200"/>
    <n v="0.115"/>
    <x v="0"/>
    <x v="3"/>
    <n v="0"/>
    <x v="0"/>
    <x v="2"/>
  </r>
  <r>
    <x v="130"/>
    <n v="7900"/>
    <n v="79"/>
    <x v="11"/>
    <n v="2"/>
    <n v="7900"/>
    <x v="32"/>
    <n v="400"/>
    <n v="0.19750000000000001"/>
    <x v="0"/>
    <x v="18"/>
    <n v="0"/>
    <x v="1"/>
    <x v="2"/>
  </r>
  <r>
    <x v="131"/>
    <n v="31500"/>
    <n v="315"/>
    <x v="14"/>
    <n v="6"/>
    <n v="28300"/>
    <x v="70"/>
    <n v="5000"/>
    <n v="5.6599999999999998E-2"/>
    <x v="0"/>
    <x v="13"/>
    <n v="32"/>
    <x v="2"/>
    <x v="4"/>
  </r>
  <r>
    <x v="126"/>
    <n v="29500"/>
    <n v="295"/>
    <x v="14"/>
    <n v="6"/>
    <n v="26500"/>
    <x v="71"/>
    <n v="5000"/>
    <n v="5.2999999999999999E-2"/>
    <x v="0"/>
    <x v="13"/>
    <n v="30"/>
    <x v="2"/>
    <x v="4"/>
  </r>
  <r>
    <x v="132"/>
    <n v="57900"/>
    <n v="579"/>
    <x v="14"/>
    <n v="6"/>
    <n v="52100"/>
    <x v="72"/>
    <n v="1000"/>
    <n v="0.52100000000000002"/>
    <x v="0"/>
    <x v="0"/>
    <n v="58"/>
    <x v="2"/>
    <x v="4"/>
  </r>
  <r>
    <x v="133"/>
    <n v="21000"/>
    <n v="210"/>
    <x v="10"/>
    <n v="6"/>
    <n v="19900"/>
    <x v="49"/>
    <n v="1000"/>
    <n v="0.19900000000000001"/>
    <x v="0"/>
    <x v="0"/>
    <n v="11"/>
    <x v="1"/>
    <x v="2"/>
  </r>
  <r>
    <x v="134"/>
    <n v="4000"/>
    <n v="40"/>
    <x v="13"/>
    <n v="3"/>
    <n v="3700"/>
    <x v="73"/>
    <n v="100"/>
    <n v="0.37"/>
    <x v="0"/>
    <x v="1"/>
    <n v="3"/>
    <x v="0"/>
    <x v="4"/>
  </r>
  <r>
    <x v="135"/>
    <n v="1800"/>
    <n v="18"/>
    <x v="11"/>
    <n v="6"/>
    <n v="1800"/>
    <x v="74"/>
    <n v="100"/>
    <n v="0.18"/>
    <x v="0"/>
    <x v="1"/>
    <n v="0"/>
    <x v="0"/>
    <x v="2"/>
  </r>
  <r>
    <x v="136"/>
    <n v="5600"/>
    <n v="56"/>
    <x v="18"/>
    <n v="4"/>
    <n v="5400"/>
    <x v="75"/>
    <n v="200"/>
    <n v="0.27"/>
    <x v="0"/>
    <x v="3"/>
    <n v="2"/>
    <x v="1"/>
    <x v="2"/>
  </r>
  <r>
    <x v="137"/>
    <n v="124000"/>
    <n v="1240"/>
    <x v="11"/>
    <n v="6"/>
    <n v="124000"/>
    <x v="76"/>
    <n v="5000"/>
    <n v="0.248"/>
    <x v="0"/>
    <x v="13"/>
    <n v="0"/>
    <x v="2"/>
    <x v="2"/>
  </r>
  <r>
    <x v="138"/>
    <n v="12000"/>
    <n v="120"/>
    <x v="16"/>
    <n v="3"/>
    <n v="11800"/>
    <x v="77"/>
    <n v="240"/>
    <n v="0.49166666666666664"/>
    <x v="0"/>
    <x v="19"/>
    <n v="2"/>
    <x v="1"/>
    <x v="2"/>
  </r>
  <r>
    <x v="139"/>
    <n v="105000"/>
    <n v="1050"/>
    <x v="16"/>
    <n v="6"/>
    <n v="103900"/>
    <x v="78"/>
    <n v="5000"/>
    <n v="0.20780000000000001"/>
    <x v="0"/>
    <x v="13"/>
    <n v="11"/>
    <x v="2"/>
    <x v="2"/>
  </r>
  <r>
    <x v="140"/>
    <n v="11000"/>
    <n v="110"/>
    <x v="5"/>
    <n v="4"/>
    <n v="9500"/>
    <x v="79"/>
    <n v="348"/>
    <n v="0.27298850574712646"/>
    <x v="0"/>
    <x v="4"/>
    <n v="15"/>
    <x v="1"/>
    <x v="1"/>
  </r>
  <r>
    <x v="141"/>
    <n v="58500"/>
    <n v="585"/>
    <x v="8"/>
    <n v="6"/>
    <n v="46200"/>
    <x v="80"/>
    <n v="5000"/>
    <n v="9.2399999999999996E-2"/>
    <x v="0"/>
    <x v="13"/>
    <n v="123"/>
    <x v="2"/>
    <x v="3"/>
  </r>
  <r>
    <x v="142"/>
    <n v="17500"/>
    <n v="175"/>
    <x v="11"/>
    <n v="5"/>
    <n v="17500"/>
    <x v="81"/>
    <n v="1000"/>
    <n v="0.17499999999999999"/>
    <x v="0"/>
    <x v="0"/>
    <n v="0"/>
    <x v="1"/>
    <x v="2"/>
  </r>
  <r>
    <x v="143"/>
    <n v="7800"/>
    <n v="78"/>
    <x v="13"/>
    <n v="5"/>
    <n v="7200"/>
    <x v="82"/>
    <n v="100"/>
    <n v="0.72"/>
    <x v="0"/>
    <x v="1"/>
    <n v="6"/>
    <x v="1"/>
    <x v="4"/>
  </r>
  <r>
    <x v="144"/>
    <n v="9000"/>
    <n v="90"/>
    <x v="0"/>
    <n v="6"/>
    <n v="7500"/>
    <x v="30"/>
    <n v="100"/>
    <n v="0.75"/>
    <x v="0"/>
    <x v="1"/>
    <n v="15"/>
    <x v="1"/>
    <x v="0"/>
  </r>
  <r>
    <x v="145"/>
    <n v="21000"/>
    <n v="210"/>
    <x v="16"/>
    <n v="2"/>
    <n v="20600"/>
    <x v="83"/>
    <n v="1000"/>
    <n v="0.20599999999999999"/>
    <x v="0"/>
    <x v="0"/>
    <n v="4"/>
    <x v="2"/>
    <x v="2"/>
  </r>
  <r>
    <x v="146"/>
    <n v="29500"/>
    <n v="295"/>
    <x v="6"/>
    <n v="6"/>
    <n v="28100"/>
    <x v="84"/>
    <n v="500"/>
    <n v="0.56200000000000006"/>
    <x v="0"/>
    <x v="5"/>
    <n v="14"/>
    <x v="2"/>
    <x v="2"/>
  </r>
  <r>
    <x v="147"/>
    <n v="4000"/>
    <n v="40"/>
    <x v="10"/>
    <n v="3"/>
    <n v="3800"/>
    <x v="85"/>
    <n v="100"/>
    <n v="0.38"/>
    <x v="0"/>
    <x v="1"/>
    <n v="2"/>
    <x v="0"/>
    <x v="2"/>
  </r>
  <r>
    <x v="148"/>
    <n v="3000"/>
    <n v="30"/>
    <x v="18"/>
    <n v="6"/>
    <n v="2900"/>
    <x v="5"/>
    <n v="100"/>
    <n v="0.28999999999999998"/>
    <x v="0"/>
    <x v="1"/>
    <n v="1"/>
    <x v="0"/>
    <x v="2"/>
  </r>
  <r>
    <x v="149"/>
    <n v="3700"/>
    <n v="37"/>
    <x v="14"/>
    <n v="4"/>
    <n v="3300"/>
    <x v="86"/>
    <n v="50"/>
    <n v="0.66"/>
    <x v="0"/>
    <x v="8"/>
    <n v="4"/>
    <x v="0"/>
    <x v="4"/>
  </r>
  <r>
    <x v="150"/>
    <n v="9500"/>
    <n v="95"/>
    <x v="17"/>
    <n v="2"/>
    <n v="8900"/>
    <x v="25"/>
    <n v="1000"/>
    <n v="8.8999999999999996E-2"/>
    <x v="0"/>
    <x v="5"/>
    <n v="6"/>
    <x v="1"/>
    <x v="4"/>
  </r>
  <r>
    <x v="151"/>
    <n v="11200"/>
    <n v="112"/>
    <x v="12"/>
    <n v="6"/>
    <n v="10900"/>
    <x v="87"/>
    <n v="400"/>
    <n v="0.27250000000000002"/>
    <x v="0"/>
    <x v="18"/>
    <n v="3"/>
    <x v="1"/>
    <x v="2"/>
  </r>
  <r>
    <x v="152"/>
    <n v="45000"/>
    <n v="450"/>
    <x v="0"/>
    <n v="6"/>
    <n v="37500"/>
    <x v="88"/>
    <n v="10000"/>
    <n v="3.7499999999999999E-2"/>
    <x v="0"/>
    <x v="14"/>
    <n v="75"/>
    <x v="2"/>
    <x v="0"/>
  </r>
  <r>
    <x v="153"/>
    <n v="3900"/>
    <n v="39"/>
    <x v="12"/>
    <n v="1"/>
    <n v="3800"/>
    <x v="85"/>
    <n v="50"/>
    <n v="0.76"/>
    <x v="0"/>
    <x v="8"/>
    <n v="1"/>
    <x v="0"/>
    <x v="2"/>
  </r>
  <r>
    <x v="154"/>
    <n v="20500"/>
    <n v="205"/>
    <x v="13"/>
    <n v="6"/>
    <n v="19000"/>
    <x v="89"/>
    <n v="1000"/>
    <n v="0.19"/>
    <x v="0"/>
    <x v="0"/>
    <n v="15"/>
    <x v="1"/>
    <x v="4"/>
  </r>
  <r>
    <x v="155"/>
    <n v="40000"/>
    <n v="400"/>
    <x v="20"/>
    <n v="1"/>
    <n v="29900"/>
    <x v="90"/>
    <n v="250"/>
    <n v="1.196"/>
    <x v="0"/>
    <x v="2"/>
    <n v="101"/>
    <x v="2"/>
    <x v="3"/>
  </r>
  <r>
    <x v="156"/>
    <n v="7000"/>
    <n v="70"/>
    <x v="2"/>
    <n v="6"/>
    <n v="6000"/>
    <x v="69"/>
    <n v="50"/>
    <n v="1.2"/>
    <x v="0"/>
    <x v="8"/>
    <n v="10"/>
    <x v="1"/>
    <x v="1"/>
  </r>
  <r>
    <x v="157"/>
    <n v="35000"/>
    <n v="350"/>
    <x v="21"/>
    <n v="6"/>
    <n v="25100"/>
    <x v="91"/>
    <n v="250"/>
    <n v="1.004"/>
    <x v="0"/>
    <x v="2"/>
    <n v="99"/>
    <x v="2"/>
    <x v="3"/>
  </r>
  <r>
    <x v="158"/>
    <n v="2500"/>
    <n v="25"/>
    <x v="11"/>
    <n v="4"/>
    <n v="2500"/>
    <x v="14"/>
    <n v="50"/>
    <n v="0.5"/>
    <x v="0"/>
    <x v="8"/>
    <n v="0"/>
    <x v="0"/>
    <x v="2"/>
  </r>
  <r>
    <x v="159"/>
    <n v="23500"/>
    <n v="235"/>
    <x v="22"/>
    <n v="6"/>
    <n v="21200"/>
    <x v="92"/>
    <n v="500"/>
    <n v="0.42399999999999999"/>
    <x v="0"/>
    <x v="5"/>
    <n v="23"/>
    <x v="2"/>
    <x v="4"/>
  </r>
  <r>
    <x v="160"/>
    <n v="8500"/>
    <n v="85"/>
    <x v="22"/>
    <n v="6"/>
    <n v="7700"/>
    <x v="93"/>
    <n v="500"/>
    <n v="0.154"/>
    <x v="0"/>
    <x v="5"/>
    <n v="8"/>
    <x v="1"/>
    <x v="4"/>
  </r>
  <r>
    <x v="152"/>
    <n v="5200"/>
    <n v="52"/>
    <x v="11"/>
    <n v="4"/>
    <n v="5200"/>
    <x v="94"/>
    <n v="1000"/>
    <n v="5.1999999999999998E-2"/>
    <x v="0"/>
    <x v="0"/>
    <n v="0"/>
    <x v="1"/>
    <x v="2"/>
  </r>
  <r>
    <x v="161"/>
    <n v="4500"/>
    <n v="45"/>
    <x v="12"/>
    <n v="6"/>
    <n v="4400"/>
    <x v="95"/>
    <n v="100"/>
    <n v="0.44"/>
    <x v="0"/>
    <x v="1"/>
    <n v="1"/>
    <x v="0"/>
    <x v="2"/>
  </r>
  <r>
    <x v="162"/>
    <n v="3500"/>
    <n v="35"/>
    <x v="12"/>
    <n v="3"/>
    <n v="3400"/>
    <x v="96"/>
    <n v="500"/>
    <n v="6.8000000000000005E-2"/>
    <x v="0"/>
    <x v="5"/>
    <n v="1"/>
    <x v="0"/>
    <x v="2"/>
  </r>
  <r>
    <x v="163"/>
    <n v="24500"/>
    <n v="245"/>
    <x v="23"/>
    <n v="6"/>
    <n v="17200"/>
    <x v="97"/>
    <n v="200"/>
    <n v="0.86"/>
    <x v="0"/>
    <x v="3"/>
    <n v="73"/>
    <x v="1"/>
    <x v="3"/>
  </r>
  <r>
    <x v="164"/>
    <n v="10100"/>
    <n v="101"/>
    <x v="17"/>
    <n v="4"/>
    <n v="9400"/>
    <x v="60"/>
    <n v="500"/>
    <n v="0.188"/>
    <x v="0"/>
    <x v="5"/>
    <n v="7"/>
    <x v="1"/>
    <x v="4"/>
  </r>
  <r>
    <x v="165"/>
    <n v="32500"/>
    <n v="325"/>
    <x v="24"/>
    <n v="6"/>
    <n v="28300"/>
    <x v="70"/>
    <n v="250"/>
    <n v="1.1319999999999999"/>
    <x v="0"/>
    <x v="2"/>
    <n v="42"/>
    <x v="2"/>
    <x v="1"/>
  </r>
  <r>
    <x v="166"/>
    <n v="6000"/>
    <n v="60"/>
    <x v="14"/>
    <n v="6"/>
    <n v="5400"/>
    <x v="75"/>
    <n v="500"/>
    <n v="0.108"/>
    <x v="0"/>
    <x v="5"/>
    <n v="6"/>
    <x v="1"/>
    <x v="4"/>
  </r>
  <r>
    <x v="167"/>
    <n v="13400"/>
    <n v="134"/>
    <x v="17"/>
    <n v="6"/>
    <n v="12500"/>
    <x v="98"/>
    <n v="500"/>
    <n v="0.25"/>
    <x v="0"/>
    <x v="5"/>
    <n v="9"/>
    <x v="1"/>
    <x v="4"/>
  </r>
  <r>
    <x v="143"/>
    <n v="4200"/>
    <n v="42"/>
    <x v="12"/>
    <n v="2"/>
    <n v="4100"/>
    <x v="99"/>
    <n v="50"/>
    <n v="0.82"/>
    <x v="0"/>
    <x v="8"/>
    <n v="1"/>
    <x v="0"/>
    <x v="2"/>
  </r>
  <r>
    <x v="168"/>
    <n v="7000"/>
    <n v="70"/>
    <x v="2"/>
    <n v="2"/>
    <n v="6000"/>
    <x v="69"/>
    <n v="100"/>
    <n v="0.6"/>
    <x v="0"/>
    <x v="1"/>
    <n v="10"/>
    <x v="1"/>
    <x v="1"/>
  </r>
  <r>
    <x v="169"/>
    <n v="7000"/>
    <n v="70"/>
    <x v="13"/>
    <n v="2"/>
    <n v="6500"/>
    <x v="100"/>
    <n v="100"/>
    <n v="0.65"/>
    <x v="0"/>
    <x v="1"/>
    <n v="5"/>
    <x v="1"/>
    <x v="4"/>
  </r>
  <r>
    <x v="170"/>
    <n v="13200"/>
    <n v="132"/>
    <x v="18"/>
    <n v="6"/>
    <n v="12800"/>
    <x v="101"/>
    <n v="400"/>
    <n v="0.32"/>
    <x v="0"/>
    <x v="18"/>
    <n v="4"/>
    <x v="1"/>
    <x v="2"/>
  </r>
  <r>
    <x v="171"/>
    <n v="6500"/>
    <n v="65"/>
    <x v="22"/>
    <n v="6"/>
    <n v="5900"/>
    <x v="31"/>
    <n v="1000"/>
    <n v="5.8999999999999997E-2"/>
    <x v="0"/>
    <x v="0"/>
    <n v="6"/>
    <x v="1"/>
    <x v="4"/>
  </r>
  <r>
    <x v="172"/>
    <n v="26000"/>
    <n v="260"/>
    <x v="25"/>
    <n v="6"/>
    <n v="20800"/>
    <x v="102"/>
    <n v="1000"/>
    <n v="0.20799999999999999"/>
    <x v="0"/>
    <x v="0"/>
    <n v="52"/>
    <x v="2"/>
    <x v="0"/>
  </r>
  <r>
    <x v="173"/>
    <n v="9900"/>
    <n v="99"/>
    <x v="14"/>
    <n v="6"/>
    <n v="8900"/>
    <x v="25"/>
    <n v="200"/>
    <n v="0.44500000000000001"/>
    <x v="0"/>
    <x v="3"/>
    <n v="10"/>
    <x v="1"/>
    <x v="4"/>
  </r>
  <r>
    <x v="174"/>
    <n v="6500"/>
    <n v="65"/>
    <x v="14"/>
    <n v="3"/>
    <n v="5800"/>
    <x v="103"/>
    <n v="500"/>
    <n v="0.11600000000000001"/>
    <x v="0"/>
    <x v="5"/>
    <n v="7"/>
    <x v="1"/>
    <x v="4"/>
  </r>
  <r>
    <x v="175"/>
    <n v="13500"/>
    <n v="135"/>
    <x v="13"/>
    <n v="1"/>
    <n v="12500"/>
    <x v="98"/>
    <n v="500"/>
    <n v="0.25"/>
    <x v="0"/>
    <x v="5"/>
    <n v="10"/>
    <x v="1"/>
    <x v="4"/>
  </r>
  <r>
    <x v="176"/>
    <n v="9000"/>
    <n v="90"/>
    <x v="14"/>
    <n v="2"/>
    <n v="8100"/>
    <x v="104"/>
    <n v="50"/>
    <n v="1.62"/>
    <x v="0"/>
    <x v="8"/>
    <n v="9"/>
    <x v="1"/>
    <x v="4"/>
  </r>
  <r>
    <x v="177"/>
    <n v="13500"/>
    <n v="135"/>
    <x v="2"/>
    <n v="6"/>
    <n v="11500"/>
    <x v="105"/>
    <n v="100"/>
    <n v="1.1499999999999999"/>
    <x v="0"/>
    <x v="1"/>
    <n v="20"/>
    <x v="1"/>
    <x v="1"/>
  </r>
  <r>
    <x v="178"/>
    <n v="15000"/>
    <n v="150"/>
    <x v="14"/>
    <n v="4"/>
    <n v="13400"/>
    <x v="106"/>
    <n v="1000"/>
    <n v="0.13400000000000001"/>
    <x v="0"/>
    <x v="0"/>
    <n v="16"/>
    <x v="1"/>
    <x v="4"/>
  </r>
  <r>
    <x v="179"/>
    <n v="9500"/>
    <n v="95"/>
    <x v="13"/>
    <n v="5"/>
    <n v="8800"/>
    <x v="65"/>
    <n v="500"/>
    <n v="0.17599999999999999"/>
    <x v="0"/>
    <x v="5"/>
    <n v="7"/>
    <x v="1"/>
    <x v="4"/>
  </r>
  <r>
    <x v="130"/>
    <n v="19900"/>
    <n v="199"/>
    <x v="13"/>
    <n v="6"/>
    <n v="18400"/>
    <x v="107"/>
    <n v="1000"/>
    <n v="0.184"/>
    <x v="0"/>
    <x v="0"/>
    <n v="15"/>
    <x v="1"/>
    <x v="4"/>
  </r>
  <r>
    <x v="180"/>
    <n v="48500"/>
    <n v="485"/>
    <x v="13"/>
    <n v="6"/>
    <n v="44900"/>
    <x v="108"/>
    <n v="2000"/>
    <n v="0.22450000000000001"/>
    <x v="0"/>
    <x v="9"/>
    <n v="36"/>
    <x v="2"/>
    <x v="4"/>
  </r>
  <r>
    <x v="181"/>
    <n v="21000"/>
    <n v="210"/>
    <x v="11"/>
    <n v="4"/>
    <n v="21000"/>
    <x v="50"/>
    <n v="400"/>
    <n v="0.52500000000000002"/>
    <x v="0"/>
    <x v="18"/>
    <n v="0"/>
    <x v="2"/>
    <x v="2"/>
  </r>
  <r>
    <x v="182"/>
    <n v="7500"/>
    <n v="75"/>
    <x v="19"/>
    <n v="1"/>
    <n v="6900"/>
    <x v="18"/>
    <n v="500"/>
    <n v="0.13800000000000001"/>
    <x v="0"/>
    <x v="5"/>
    <n v="6"/>
    <x v="1"/>
    <x v="4"/>
  </r>
  <r>
    <x v="183"/>
    <n v="9800"/>
    <n v="98"/>
    <x v="22"/>
    <n v="5"/>
    <n v="8900"/>
    <x v="25"/>
    <n v="100"/>
    <n v="0.89"/>
    <x v="0"/>
    <x v="1"/>
    <n v="9"/>
    <x v="1"/>
    <x v="4"/>
  </r>
  <r>
    <x v="184"/>
    <n v="9400"/>
    <n v="94"/>
    <x v="6"/>
    <n v="6"/>
    <n v="9000"/>
    <x v="109"/>
    <n v="500"/>
    <n v="0.18"/>
    <x v="0"/>
    <x v="5"/>
    <n v="4"/>
    <x v="1"/>
    <x v="2"/>
  </r>
  <r>
    <x v="185"/>
    <n v="3000"/>
    <n v="30"/>
    <x v="17"/>
    <n v="6"/>
    <n v="2800"/>
    <x v="19"/>
    <n v="500"/>
    <n v="5.6000000000000001E-2"/>
    <x v="0"/>
    <x v="5"/>
    <n v="2"/>
    <x v="0"/>
    <x v="4"/>
  </r>
  <r>
    <x v="186"/>
    <n v="9500"/>
    <n v="95"/>
    <x v="22"/>
    <n v="6"/>
    <n v="8600"/>
    <x v="110"/>
    <n v="200"/>
    <n v="0.43"/>
    <x v="0"/>
    <x v="3"/>
    <n v="9"/>
    <x v="1"/>
    <x v="4"/>
  </r>
  <r>
    <x v="187"/>
    <n v="6000"/>
    <n v="60"/>
    <x v="21"/>
    <n v="3"/>
    <n v="4300"/>
    <x v="2"/>
    <n v="260"/>
    <n v="0.16538461538461538"/>
    <x v="0"/>
    <x v="20"/>
    <n v="17"/>
    <x v="0"/>
    <x v="3"/>
  </r>
  <r>
    <x v="188"/>
    <n v="16000"/>
    <n v="160"/>
    <x v="26"/>
    <n v="6"/>
    <n v="8000"/>
    <x v="111"/>
    <n v="500"/>
    <n v="0.16"/>
    <x v="0"/>
    <x v="5"/>
    <n v="80"/>
    <x v="1"/>
    <x v="3"/>
  </r>
  <r>
    <x v="189"/>
    <n v="2500"/>
    <n v="25"/>
    <x v="25"/>
    <n v="6"/>
    <n v="2000"/>
    <x v="68"/>
    <n v="60"/>
    <n v="0.33333333333333331"/>
    <x v="0"/>
    <x v="16"/>
    <n v="5"/>
    <x v="0"/>
    <x v="0"/>
  </r>
  <r>
    <x v="190"/>
    <n v="11300"/>
    <n v="113"/>
    <x v="14"/>
    <n v="5"/>
    <n v="10100"/>
    <x v="112"/>
    <n v="200"/>
    <n v="0.505"/>
    <x v="0"/>
    <x v="3"/>
    <n v="12"/>
    <x v="1"/>
    <x v="4"/>
  </r>
  <r>
    <x v="191"/>
    <n v="11000"/>
    <n v="110"/>
    <x v="6"/>
    <n v="6"/>
    <n v="10500"/>
    <x v="37"/>
    <n v="250"/>
    <n v="0.42"/>
    <x v="0"/>
    <x v="5"/>
    <n v="5"/>
    <x v="1"/>
    <x v="2"/>
  </r>
  <r>
    <x v="192"/>
    <n v="25000"/>
    <n v="250"/>
    <x v="11"/>
    <n v="3"/>
    <n v="25000"/>
    <x v="113"/>
    <n v="500"/>
    <n v="0.5"/>
    <x v="0"/>
    <x v="5"/>
    <n v="0"/>
    <x v="2"/>
    <x v="2"/>
  </r>
  <r>
    <x v="193"/>
    <n v="13500"/>
    <n v="135"/>
    <x v="11"/>
    <n v="2"/>
    <n v="13500"/>
    <x v="114"/>
    <n v="500"/>
    <n v="0.27"/>
    <x v="0"/>
    <x v="5"/>
    <n v="0"/>
    <x v="1"/>
    <x v="2"/>
  </r>
  <r>
    <x v="194"/>
    <n v="3700"/>
    <n v="37"/>
    <x v="11"/>
    <n v="6"/>
    <n v="3700"/>
    <x v="73"/>
    <n v="100"/>
    <n v="0.37"/>
    <x v="0"/>
    <x v="1"/>
    <n v="0"/>
    <x v="0"/>
    <x v="2"/>
  </r>
  <r>
    <x v="195"/>
    <n v="18000"/>
    <n v="180"/>
    <x v="16"/>
    <n v="5"/>
    <n v="17800"/>
    <x v="115"/>
    <n v="1000"/>
    <n v="0.17799999999999999"/>
    <x v="0"/>
    <x v="3"/>
    <n v="2"/>
    <x v="1"/>
    <x v="2"/>
  </r>
  <r>
    <x v="196"/>
    <n v="6400"/>
    <n v="64"/>
    <x v="11"/>
    <n v="5"/>
    <n v="6400"/>
    <x v="66"/>
    <n v="500"/>
    <n v="0.128"/>
    <x v="0"/>
    <x v="5"/>
    <n v="0"/>
    <x v="1"/>
    <x v="2"/>
  </r>
  <r>
    <x v="197"/>
    <n v="5000"/>
    <n v="50"/>
    <x v="11"/>
    <n v="2"/>
    <n v="5000"/>
    <x v="35"/>
    <n v="200"/>
    <n v="0.25"/>
    <x v="0"/>
    <x v="3"/>
    <n v="0"/>
    <x v="1"/>
    <x v="2"/>
  </r>
  <r>
    <x v="198"/>
    <n v="8000"/>
    <n v="80"/>
    <x v="14"/>
    <n v="6"/>
    <n v="7200"/>
    <x v="82"/>
    <n v="500"/>
    <n v="0.14399999999999999"/>
    <x v="0"/>
    <x v="5"/>
    <n v="8"/>
    <x v="1"/>
    <x v="4"/>
  </r>
  <r>
    <x v="199"/>
    <n v="20000"/>
    <n v="200"/>
    <x v="16"/>
    <n v="6"/>
    <n v="19800"/>
    <x v="116"/>
    <n v="50"/>
    <n v="3.96"/>
    <x v="0"/>
    <x v="8"/>
    <n v="2"/>
    <x v="1"/>
    <x v="2"/>
  </r>
  <r>
    <x v="200"/>
    <n v="9500"/>
    <n v="95"/>
    <x v="11"/>
    <n v="1"/>
    <n v="9500"/>
    <x v="79"/>
    <n v="200"/>
    <n v="0.47499999999999998"/>
    <x v="0"/>
    <x v="3"/>
    <n v="0"/>
    <x v="1"/>
    <x v="2"/>
  </r>
  <r>
    <x v="201"/>
    <n v="19000"/>
    <n v="190"/>
    <x v="15"/>
    <n v="4"/>
    <n v="16900"/>
    <x v="117"/>
    <n v="100"/>
    <n v="1.69"/>
    <x v="0"/>
    <x v="1"/>
    <n v="21"/>
    <x v="1"/>
    <x v="1"/>
  </r>
  <r>
    <x v="202"/>
    <n v="2000"/>
    <n v="20"/>
    <x v="11"/>
    <n v="2"/>
    <n v="2000"/>
    <x v="68"/>
    <n v="100"/>
    <n v="0.2"/>
    <x v="0"/>
    <x v="1"/>
    <n v="0"/>
    <x v="0"/>
    <x v="2"/>
  </r>
  <r>
    <x v="203"/>
    <n v="3300"/>
    <n v="33"/>
    <x v="18"/>
    <n v="6"/>
    <n v="3200"/>
    <x v="29"/>
    <n v="100"/>
    <n v="0.32"/>
    <x v="0"/>
    <x v="1"/>
    <n v="1"/>
    <x v="0"/>
    <x v="2"/>
  </r>
  <r>
    <x v="204"/>
    <n v="18500"/>
    <n v="185"/>
    <x v="22"/>
    <n v="6"/>
    <n v="16700"/>
    <x v="118"/>
    <n v="225"/>
    <n v="0.74222222222222223"/>
    <x v="0"/>
    <x v="21"/>
    <n v="18"/>
    <x v="1"/>
    <x v="4"/>
  </r>
  <r>
    <x v="205"/>
    <n v="9100"/>
    <n v="91"/>
    <x v="2"/>
    <n v="6"/>
    <n v="7800"/>
    <x v="119"/>
    <n v="500"/>
    <n v="0.156"/>
    <x v="0"/>
    <x v="5"/>
    <n v="13"/>
    <x v="1"/>
    <x v="1"/>
  </r>
  <r>
    <x v="168"/>
    <n v="3700"/>
    <n v="37"/>
    <x v="12"/>
    <n v="6"/>
    <n v="3600"/>
    <x v="46"/>
    <n v="50"/>
    <n v="0.72"/>
    <x v="0"/>
    <x v="8"/>
    <n v="1"/>
    <x v="0"/>
    <x v="2"/>
  </r>
  <r>
    <x v="206"/>
    <n v="16000"/>
    <n v="160"/>
    <x v="26"/>
    <n v="6"/>
    <n v="8000"/>
    <x v="111"/>
    <n v="500"/>
    <n v="0.16"/>
    <x v="0"/>
    <x v="5"/>
    <n v="80"/>
    <x v="1"/>
    <x v="3"/>
  </r>
  <r>
    <x v="207"/>
    <n v="18000"/>
    <n v="180"/>
    <x v="14"/>
    <n v="2"/>
    <n v="16200"/>
    <x v="120"/>
    <n v="500"/>
    <n v="0.32400000000000001"/>
    <x v="0"/>
    <x v="5"/>
    <n v="18"/>
    <x v="1"/>
    <x v="4"/>
  </r>
  <r>
    <x v="208"/>
    <n v="6000"/>
    <n v="60"/>
    <x v="14"/>
    <n v="1"/>
    <n v="5400"/>
    <x v="75"/>
    <n v="280"/>
    <n v="0.19285714285714287"/>
    <x v="0"/>
    <x v="22"/>
    <n v="6"/>
    <x v="1"/>
    <x v="4"/>
  </r>
  <r>
    <x v="209"/>
    <n v="3500"/>
    <n v="35"/>
    <x v="12"/>
    <n v="1"/>
    <n v="3400"/>
    <x v="96"/>
    <n v="50"/>
    <n v="0.68"/>
    <x v="0"/>
    <x v="8"/>
    <n v="1"/>
    <x v="0"/>
    <x v="2"/>
  </r>
  <r>
    <x v="210"/>
    <n v="8900"/>
    <n v="89"/>
    <x v="14"/>
    <n v="2"/>
    <n v="8000"/>
    <x v="111"/>
    <n v="40"/>
    <n v="2"/>
    <x v="0"/>
    <x v="23"/>
    <n v="9"/>
    <x v="1"/>
    <x v="4"/>
  </r>
  <r>
    <x v="211"/>
    <n v="8000"/>
    <n v="80"/>
    <x v="14"/>
    <n v="5"/>
    <n v="7200"/>
    <x v="82"/>
    <n v="500"/>
    <n v="0.14399999999999999"/>
    <x v="0"/>
    <x v="5"/>
    <n v="8"/>
    <x v="1"/>
    <x v="4"/>
  </r>
  <r>
    <x v="212"/>
    <n v="4400"/>
    <n v="44"/>
    <x v="11"/>
    <n v="2"/>
    <n v="4400"/>
    <x v="95"/>
    <n v="60"/>
    <n v="0.73333333333333328"/>
    <x v="0"/>
    <x v="16"/>
    <n v="0"/>
    <x v="0"/>
    <x v="2"/>
  </r>
  <r>
    <x v="213"/>
    <n v="105000"/>
    <n v="1050"/>
    <x v="16"/>
    <n v="6"/>
    <n v="103500"/>
    <x v="121"/>
    <n v="5000"/>
    <n v="0.20699999999999999"/>
    <x v="0"/>
    <x v="13"/>
    <n v="15"/>
    <x v="2"/>
    <x v="2"/>
  </r>
  <r>
    <x v="214"/>
    <n v="9900"/>
    <n v="99"/>
    <x v="10"/>
    <n v="6"/>
    <n v="9400"/>
    <x v="60"/>
    <n v="165"/>
    <n v="0.5696969696969697"/>
    <x v="0"/>
    <x v="24"/>
    <n v="5"/>
    <x v="1"/>
    <x v="2"/>
  </r>
  <r>
    <x v="215"/>
    <n v="23000"/>
    <n v="230"/>
    <x v="11"/>
    <n v="1"/>
    <n v="23000"/>
    <x v="122"/>
    <n v="623"/>
    <n v="0.36918138041733545"/>
    <x v="0"/>
    <x v="25"/>
    <n v="0"/>
    <x v="2"/>
    <x v="2"/>
  </r>
  <r>
    <x v="216"/>
    <n v="6000"/>
    <n v="60"/>
    <x v="17"/>
    <n v="3"/>
    <n v="5600"/>
    <x v="123"/>
    <n v="1000"/>
    <n v="5.6000000000000001E-2"/>
    <x v="0"/>
    <x v="0"/>
    <n v="4"/>
    <x v="1"/>
    <x v="4"/>
  </r>
  <r>
    <x v="217"/>
    <n v="12000"/>
    <n v="120"/>
    <x v="16"/>
    <n v="2"/>
    <n v="11800"/>
    <x v="77"/>
    <n v="240"/>
    <n v="0.49166666666666664"/>
    <x v="0"/>
    <x v="19"/>
    <n v="2"/>
    <x v="1"/>
    <x v="2"/>
  </r>
  <r>
    <x v="218"/>
    <n v="4300"/>
    <n v="43"/>
    <x v="11"/>
    <n v="6"/>
    <n v="4300"/>
    <x v="2"/>
    <n v="200"/>
    <n v="0.215"/>
    <x v="0"/>
    <x v="3"/>
    <n v="0"/>
    <x v="0"/>
    <x v="2"/>
  </r>
  <r>
    <x v="219"/>
    <n v="2500"/>
    <n v="25"/>
    <x v="11"/>
    <n v="6"/>
    <n v="2500"/>
    <x v="14"/>
    <n v="60"/>
    <n v="0.41666666666666669"/>
    <x v="0"/>
    <x v="16"/>
    <n v="0"/>
    <x v="0"/>
    <x v="2"/>
  </r>
  <r>
    <x v="220"/>
    <n v="1500"/>
    <n v="15"/>
    <x v="11"/>
    <n v="5"/>
    <n v="1500"/>
    <x v="23"/>
    <n v="60"/>
    <n v="0.25"/>
    <x v="0"/>
    <x v="16"/>
    <n v="0"/>
    <x v="0"/>
    <x v="2"/>
  </r>
  <r>
    <x v="149"/>
    <n v="7000"/>
    <n v="70"/>
    <x v="11"/>
    <n v="2"/>
    <n v="7000"/>
    <x v="124"/>
    <n v="100"/>
    <n v="0.7"/>
    <x v="0"/>
    <x v="1"/>
    <n v="0"/>
    <x v="1"/>
    <x v="2"/>
  </r>
  <r>
    <x v="221"/>
    <n v="22000"/>
    <n v="220"/>
    <x v="17"/>
    <n v="6"/>
    <n v="20500"/>
    <x v="125"/>
    <n v="623"/>
    <n v="0.3290529695024077"/>
    <x v="0"/>
    <x v="26"/>
    <n v="15"/>
    <x v="2"/>
    <x v="4"/>
  </r>
  <r>
    <x v="222"/>
    <n v="5500"/>
    <n v="55"/>
    <x v="0"/>
    <n v="4"/>
    <n v="4600"/>
    <x v="126"/>
    <n v="200"/>
    <n v="0.23"/>
    <x v="0"/>
    <x v="3"/>
    <n v="9"/>
    <x v="0"/>
    <x v="0"/>
  </r>
  <r>
    <x v="223"/>
    <n v="7000"/>
    <n v="70"/>
    <x v="13"/>
    <n v="1"/>
    <n v="6500"/>
    <x v="100"/>
    <n v="100"/>
    <n v="0.65"/>
    <x v="0"/>
    <x v="1"/>
    <n v="5"/>
    <x v="1"/>
    <x v="4"/>
  </r>
  <r>
    <x v="224"/>
    <n v="12000"/>
    <n v="120"/>
    <x v="11"/>
    <n v="6"/>
    <n v="12000"/>
    <x v="127"/>
    <n v="250"/>
    <n v="0.48"/>
    <x v="0"/>
    <x v="2"/>
    <n v="0"/>
    <x v="1"/>
    <x v="2"/>
  </r>
  <r>
    <x v="225"/>
    <n v="4000"/>
    <n v="40"/>
    <x v="12"/>
    <n v="6"/>
    <n v="3900"/>
    <x v="34"/>
    <n v="200"/>
    <n v="0.19500000000000001"/>
    <x v="0"/>
    <x v="3"/>
    <n v="1"/>
    <x v="0"/>
    <x v="2"/>
  </r>
  <r>
    <x v="226"/>
    <n v="4800"/>
    <n v="48"/>
    <x v="12"/>
    <n v="2"/>
    <n v="4700"/>
    <x v="128"/>
    <n v="500"/>
    <n v="9.4E-2"/>
    <x v="0"/>
    <x v="5"/>
    <n v="1"/>
    <x v="0"/>
    <x v="2"/>
  </r>
  <r>
    <x v="227"/>
    <n v="6500"/>
    <n v="65"/>
    <x v="25"/>
    <n v="4"/>
    <n v="5200"/>
    <x v="94"/>
    <n v="500"/>
    <n v="0.104"/>
    <x v="0"/>
    <x v="5"/>
    <n v="13"/>
    <x v="1"/>
    <x v="0"/>
  </r>
  <r>
    <x v="228"/>
    <n v="3500"/>
    <n v="35"/>
    <x v="10"/>
    <n v="6"/>
    <n v="3300"/>
    <x v="86"/>
    <n v="25"/>
    <n v="1.32"/>
    <x v="0"/>
    <x v="27"/>
    <n v="2"/>
    <x v="0"/>
    <x v="2"/>
  </r>
  <r>
    <x v="229"/>
    <n v="21500"/>
    <n v="215"/>
    <x v="11"/>
    <n v="4"/>
    <n v="21500"/>
    <x v="47"/>
    <n v="1000"/>
    <n v="0.215"/>
    <x v="0"/>
    <x v="0"/>
    <n v="0"/>
    <x v="2"/>
    <x v="2"/>
  </r>
  <r>
    <x v="230"/>
    <n v="10200"/>
    <n v="102"/>
    <x v="13"/>
    <n v="4"/>
    <n v="9400"/>
    <x v="60"/>
    <n v="2000"/>
    <n v="4.7E-2"/>
    <x v="0"/>
    <x v="9"/>
    <n v="8"/>
    <x v="1"/>
    <x v="4"/>
  </r>
  <r>
    <x v="231"/>
    <n v="8500"/>
    <n v="85"/>
    <x v="13"/>
    <n v="5"/>
    <n v="7900"/>
    <x v="32"/>
    <n v="500"/>
    <n v="0.158"/>
    <x v="0"/>
    <x v="5"/>
    <n v="6"/>
    <x v="1"/>
    <x v="4"/>
  </r>
  <r>
    <x v="232"/>
    <n v="7500"/>
    <n v="75"/>
    <x v="11"/>
    <n v="3"/>
    <n v="7500"/>
    <x v="30"/>
    <n v="1000"/>
    <n v="7.4999999999999997E-2"/>
    <x v="0"/>
    <x v="0"/>
    <n v="0"/>
    <x v="1"/>
    <x v="2"/>
  </r>
  <r>
    <x v="233"/>
    <n v="8000"/>
    <n v="80"/>
    <x v="14"/>
    <n v="4"/>
    <n v="7200"/>
    <x v="82"/>
    <n v="500"/>
    <n v="0.14399999999999999"/>
    <x v="0"/>
    <x v="5"/>
    <n v="8"/>
    <x v="1"/>
    <x v="4"/>
  </r>
  <r>
    <x v="234"/>
    <n v="10900"/>
    <n v="109"/>
    <x v="14"/>
    <n v="5"/>
    <n v="9800"/>
    <x v="129"/>
    <n v="9"/>
    <n v="10.888888888888889"/>
    <x v="0"/>
    <x v="28"/>
    <n v="11"/>
    <x v="1"/>
    <x v="4"/>
  </r>
  <r>
    <x v="235"/>
    <n v="10000"/>
    <n v="100"/>
    <x v="14"/>
    <n v="6"/>
    <n v="9000"/>
    <x v="109"/>
    <n v="500"/>
    <n v="0.18"/>
    <x v="0"/>
    <x v="5"/>
    <n v="10"/>
    <x v="1"/>
    <x v="4"/>
  </r>
  <r>
    <x v="153"/>
    <n v="7400"/>
    <n v="74"/>
    <x v="12"/>
    <n v="6"/>
    <n v="7200"/>
    <x v="82"/>
    <n v="100"/>
    <n v="0.72"/>
    <x v="0"/>
    <x v="1"/>
    <n v="2"/>
    <x v="1"/>
    <x v="2"/>
  </r>
  <r>
    <x v="232"/>
    <n v="37000"/>
    <n v="370"/>
    <x v="14"/>
    <n v="6"/>
    <n v="33300"/>
    <x v="130"/>
    <n v="5000"/>
    <n v="6.6600000000000006E-2"/>
    <x v="0"/>
    <x v="13"/>
    <n v="37"/>
    <x v="2"/>
    <x v="4"/>
  </r>
  <r>
    <x v="236"/>
    <n v="4200"/>
    <n v="42"/>
    <x v="6"/>
    <n v="5"/>
    <n v="4000"/>
    <x v="131"/>
    <n v="50"/>
    <n v="0.8"/>
    <x v="0"/>
    <x v="8"/>
    <n v="2"/>
    <x v="0"/>
    <x v="2"/>
  </r>
  <r>
    <x v="237"/>
    <n v="32500"/>
    <n v="325"/>
    <x v="22"/>
    <n v="1"/>
    <n v="29300"/>
    <x v="132"/>
    <n v="500"/>
    <n v="0.58599999999999997"/>
    <x v="0"/>
    <x v="5"/>
    <n v="32"/>
    <x v="2"/>
    <x v="4"/>
  </r>
  <r>
    <x v="238"/>
    <n v="3500"/>
    <n v="35"/>
    <x v="12"/>
    <n v="6"/>
    <n v="3400"/>
    <x v="96"/>
    <n v="20"/>
    <n v="1.7"/>
    <x v="0"/>
    <x v="29"/>
    <n v="1"/>
    <x v="0"/>
    <x v="2"/>
  </r>
  <r>
    <x v="239"/>
    <n v="3000"/>
    <n v="30"/>
    <x v="18"/>
    <n v="6"/>
    <n v="2900"/>
    <x v="5"/>
    <n v="50"/>
    <n v="0.57999999999999996"/>
    <x v="0"/>
    <x v="8"/>
    <n v="1"/>
    <x v="0"/>
    <x v="2"/>
  </r>
  <r>
    <x v="157"/>
    <n v="69500"/>
    <n v="695"/>
    <x v="27"/>
    <n v="6"/>
    <n v="47000"/>
    <x v="133"/>
    <n v="500"/>
    <n v="0.94"/>
    <x v="0"/>
    <x v="5"/>
    <n v="225"/>
    <x v="2"/>
    <x v="3"/>
  </r>
  <r>
    <x v="240"/>
    <n v="11000"/>
    <n v="110"/>
    <x v="25"/>
    <n v="6"/>
    <n v="8800"/>
    <x v="65"/>
    <n v="80"/>
    <n v="1.1000000000000001"/>
    <x v="0"/>
    <x v="30"/>
    <n v="22"/>
    <x v="1"/>
    <x v="0"/>
  </r>
  <r>
    <x v="241"/>
    <n v="3300"/>
    <n v="33"/>
    <x v="18"/>
    <n v="5"/>
    <n v="3200"/>
    <x v="29"/>
    <n v="50"/>
    <n v="0.64"/>
    <x v="0"/>
    <x v="8"/>
    <n v="1"/>
    <x v="0"/>
    <x v="2"/>
  </r>
  <r>
    <x v="242"/>
    <n v="4000"/>
    <n v="40"/>
    <x v="10"/>
    <n v="1"/>
    <n v="3800"/>
    <x v="85"/>
    <n v="100"/>
    <n v="0.38"/>
    <x v="0"/>
    <x v="1"/>
    <n v="2"/>
    <x v="0"/>
    <x v="2"/>
  </r>
  <r>
    <x v="243"/>
    <n v="12500"/>
    <n v="125"/>
    <x v="12"/>
    <n v="6"/>
    <n v="12200"/>
    <x v="134"/>
    <n v="500"/>
    <n v="0.24399999999999999"/>
    <x v="0"/>
    <x v="5"/>
    <n v="3"/>
    <x v="1"/>
    <x v="2"/>
  </r>
  <r>
    <x v="244"/>
    <n v="7900"/>
    <n v="79"/>
    <x v="14"/>
    <n v="6"/>
    <n v="7100"/>
    <x v="135"/>
    <n v="200"/>
    <n v="0.35499999999999998"/>
    <x v="0"/>
    <x v="3"/>
    <n v="8"/>
    <x v="1"/>
    <x v="4"/>
  </r>
  <r>
    <x v="245"/>
    <n v="6000"/>
    <n v="60"/>
    <x v="11"/>
    <n v="1"/>
    <n v="6000"/>
    <x v="69"/>
    <n v="240"/>
    <n v="0.25"/>
    <x v="0"/>
    <x v="19"/>
    <n v="0"/>
    <x v="1"/>
    <x v="2"/>
  </r>
  <r>
    <x v="246"/>
    <n v="11000"/>
    <n v="110"/>
    <x v="12"/>
    <n v="6"/>
    <n v="10700"/>
    <x v="136"/>
    <n v="500"/>
    <n v="0.214"/>
    <x v="0"/>
    <x v="5"/>
    <n v="3"/>
    <x v="1"/>
    <x v="2"/>
  </r>
  <r>
    <x v="247"/>
    <n v="7000"/>
    <n v="70"/>
    <x v="13"/>
    <n v="3"/>
    <n v="6500"/>
    <x v="100"/>
    <n v="100"/>
    <n v="0.65"/>
    <x v="0"/>
    <x v="1"/>
    <n v="5"/>
    <x v="1"/>
    <x v="4"/>
  </r>
  <r>
    <x v="248"/>
    <n v="2500"/>
    <n v="25"/>
    <x v="11"/>
    <n v="5"/>
    <n v="2500"/>
    <x v="14"/>
    <n v="100"/>
    <n v="0.25"/>
    <x v="0"/>
    <x v="1"/>
    <n v="0"/>
    <x v="0"/>
    <x v="2"/>
  </r>
  <r>
    <x v="249"/>
    <n v="2000"/>
    <n v="20"/>
    <x v="11"/>
    <n v="2"/>
    <n v="2000"/>
    <x v="68"/>
    <n v="46"/>
    <n v="0.43478260869565216"/>
    <x v="0"/>
    <x v="31"/>
    <n v="0"/>
    <x v="0"/>
    <x v="2"/>
  </r>
  <r>
    <x v="250"/>
    <n v="17500"/>
    <n v="175"/>
    <x v="10"/>
    <n v="6"/>
    <n v="16600"/>
    <x v="137"/>
    <n v="200"/>
    <n v="0.83"/>
    <x v="0"/>
    <x v="3"/>
    <n v="9"/>
    <x v="1"/>
    <x v="2"/>
  </r>
  <r>
    <x v="251"/>
    <n v="1000"/>
    <n v="10"/>
    <x v="11"/>
    <n v="6"/>
    <n v="1000"/>
    <x v="36"/>
    <n v="20"/>
    <n v="0.5"/>
    <x v="0"/>
    <x v="29"/>
    <n v="0"/>
    <x v="0"/>
    <x v="2"/>
  </r>
  <r>
    <x v="252"/>
    <n v="6200"/>
    <n v="62"/>
    <x v="17"/>
    <n v="6"/>
    <n v="5800"/>
    <x v="103"/>
    <n v="250"/>
    <n v="0.23200000000000001"/>
    <x v="0"/>
    <x v="2"/>
    <n v="4"/>
    <x v="1"/>
    <x v="4"/>
  </r>
  <r>
    <x v="253"/>
    <n v="10000"/>
    <n v="100"/>
    <x v="14"/>
    <n v="6"/>
    <n v="9000"/>
    <x v="109"/>
    <n v="50"/>
    <n v="1.8"/>
    <x v="0"/>
    <x v="8"/>
    <n v="10"/>
    <x v="1"/>
    <x v="4"/>
  </r>
  <r>
    <x v="254"/>
    <n v="6000"/>
    <n v="60"/>
    <x v="14"/>
    <n v="4"/>
    <n v="5400"/>
    <x v="75"/>
    <n v="1000"/>
    <n v="5.3999999999999999E-2"/>
    <x v="0"/>
    <x v="0"/>
    <n v="6"/>
    <x v="1"/>
    <x v="4"/>
  </r>
  <r>
    <x v="255"/>
    <n v="3300"/>
    <n v="33"/>
    <x v="18"/>
    <n v="1"/>
    <n v="3200"/>
    <x v="29"/>
    <n v="50"/>
    <n v="0.64"/>
    <x v="0"/>
    <x v="8"/>
    <n v="1"/>
    <x v="0"/>
    <x v="2"/>
  </r>
  <r>
    <x v="256"/>
    <n v="4800"/>
    <n v="48"/>
    <x v="17"/>
    <n v="6"/>
    <n v="4500"/>
    <x v="21"/>
    <n v="200"/>
    <n v="0.22500000000000001"/>
    <x v="0"/>
    <x v="3"/>
    <n v="3"/>
    <x v="0"/>
    <x v="4"/>
  </r>
  <r>
    <x v="257"/>
    <n v="3500"/>
    <n v="35"/>
    <x v="12"/>
    <n v="6"/>
    <n v="3400"/>
    <x v="96"/>
    <n v="48"/>
    <n v="0.70833333333333337"/>
    <x v="0"/>
    <x v="32"/>
    <n v="1"/>
    <x v="0"/>
    <x v="2"/>
  </r>
  <r>
    <x v="258"/>
    <n v="3000"/>
    <n v="30"/>
    <x v="14"/>
    <n v="6"/>
    <n v="2700"/>
    <x v="26"/>
    <n v="200"/>
    <n v="0.13500000000000001"/>
    <x v="0"/>
    <x v="3"/>
    <n v="3"/>
    <x v="0"/>
    <x v="4"/>
  </r>
  <r>
    <x v="259"/>
    <n v="25500"/>
    <n v="255"/>
    <x v="17"/>
    <n v="2"/>
    <n v="23900"/>
    <x v="138"/>
    <n v="1000"/>
    <n v="0.23899999999999999"/>
    <x v="0"/>
    <x v="0"/>
    <n v="16"/>
    <x v="2"/>
    <x v="4"/>
  </r>
  <r>
    <x v="260"/>
    <n v="3100"/>
    <n v="31"/>
    <x v="18"/>
    <n v="6"/>
    <n v="3000"/>
    <x v="15"/>
    <n v="50"/>
    <n v="0.6"/>
    <x v="0"/>
    <x v="8"/>
    <n v="1"/>
    <x v="0"/>
    <x v="2"/>
  </r>
  <r>
    <x v="261"/>
    <n v="5000"/>
    <n v="50"/>
    <x v="14"/>
    <n v="2"/>
    <n v="4500"/>
    <x v="21"/>
    <n v="70"/>
    <n v="0.6428571428571429"/>
    <x v="0"/>
    <x v="11"/>
    <n v="5"/>
    <x v="0"/>
    <x v="4"/>
  </r>
  <r>
    <x v="262"/>
    <n v="1000"/>
    <n v="10"/>
    <x v="11"/>
    <n v="2"/>
    <n v="1000"/>
    <x v="36"/>
    <n v="20"/>
    <n v="0.5"/>
    <x v="0"/>
    <x v="29"/>
    <n v="0"/>
    <x v="0"/>
    <x v="2"/>
  </r>
  <r>
    <x v="263"/>
    <n v="22000"/>
    <n v="220"/>
    <x v="26"/>
    <n v="6"/>
    <n v="11000"/>
    <x v="139"/>
    <n v="200"/>
    <n v="0.55000000000000004"/>
    <x v="0"/>
    <x v="3"/>
    <n v="110"/>
    <x v="1"/>
    <x v="3"/>
  </r>
  <r>
    <x v="143"/>
    <n v="15800"/>
    <n v="158"/>
    <x v="14"/>
    <n v="6"/>
    <n v="14200"/>
    <x v="140"/>
    <n v="200"/>
    <n v="0.71"/>
    <x v="0"/>
    <x v="3"/>
    <n v="16"/>
    <x v="1"/>
    <x v="4"/>
  </r>
  <r>
    <x v="264"/>
    <n v="7000"/>
    <n v="70"/>
    <x v="13"/>
    <n v="6"/>
    <n v="6500"/>
    <x v="100"/>
    <n v="500"/>
    <n v="0.13"/>
    <x v="0"/>
    <x v="5"/>
    <n v="5"/>
    <x v="1"/>
    <x v="4"/>
  </r>
  <r>
    <x v="265"/>
    <n v="10000"/>
    <n v="100"/>
    <x v="11"/>
    <n v="6"/>
    <n v="10000"/>
    <x v="141"/>
    <n v="100"/>
    <n v="1"/>
    <x v="0"/>
    <x v="1"/>
    <n v="0"/>
    <x v="1"/>
    <x v="2"/>
  </r>
  <r>
    <x v="266"/>
    <n v="15900"/>
    <n v="159"/>
    <x v="22"/>
    <n v="1"/>
    <n v="14400"/>
    <x v="142"/>
    <n v="50"/>
    <n v="2.88"/>
    <x v="0"/>
    <x v="8"/>
    <n v="15"/>
    <x v="1"/>
    <x v="4"/>
  </r>
  <r>
    <x v="267"/>
    <n v="6000"/>
    <n v="60"/>
    <x v="11"/>
    <n v="3"/>
    <n v="6000"/>
    <x v="69"/>
    <n v="1000"/>
    <n v="0.06"/>
    <x v="0"/>
    <x v="0"/>
    <n v="0"/>
    <x v="1"/>
    <x v="2"/>
  </r>
  <r>
    <x v="268"/>
    <n v="2800"/>
    <n v="28"/>
    <x v="14"/>
    <n v="1"/>
    <n v="2500"/>
    <x v="14"/>
    <n v="65"/>
    <n v="0.38461538461538464"/>
    <x v="0"/>
    <x v="33"/>
    <n v="3"/>
    <x v="0"/>
    <x v="4"/>
  </r>
  <r>
    <x v="269"/>
    <n v="9500"/>
    <n v="95"/>
    <x v="11"/>
    <n v="6"/>
    <n v="9500"/>
    <x v="79"/>
    <n v="1000"/>
    <n v="9.5000000000000001E-2"/>
    <x v="0"/>
    <x v="0"/>
    <n v="0"/>
    <x v="1"/>
    <x v="2"/>
  </r>
  <r>
    <x v="270"/>
    <n v="36500"/>
    <n v="365"/>
    <x v="23"/>
    <n v="2"/>
    <n v="25600"/>
    <x v="143"/>
    <n v="200"/>
    <n v="1.28"/>
    <x v="0"/>
    <x v="3"/>
    <n v="109"/>
    <x v="2"/>
    <x v="3"/>
  </r>
  <r>
    <x v="271"/>
    <n v="3500"/>
    <n v="35"/>
    <x v="12"/>
    <n v="6"/>
    <n v="3400"/>
    <x v="96"/>
    <n v="500"/>
    <n v="6.8000000000000005E-2"/>
    <x v="0"/>
    <x v="5"/>
    <n v="1"/>
    <x v="0"/>
    <x v="2"/>
  </r>
  <r>
    <x v="272"/>
    <n v="33000"/>
    <n v="330"/>
    <x v="14"/>
    <n v="5"/>
    <n v="29400"/>
    <x v="144"/>
    <n v="1000"/>
    <n v="0.29399999999999998"/>
    <x v="0"/>
    <x v="0"/>
    <n v="36"/>
    <x v="2"/>
    <x v="4"/>
  </r>
  <r>
    <x v="273"/>
    <n v="9000"/>
    <n v="90"/>
    <x v="14"/>
    <n v="6"/>
    <n v="8100"/>
    <x v="104"/>
    <n v="500"/>
    <n v="0.16200000000000001"/>
    <x v="0"/>
    <x v="5"/>
    <n v="9"/>
    <x v="1"/>
    <x v="4"/>
  </r>
  <r>
    <x v="274"/>
    <n v="12000"/>
    <n v="120"/>
    <x v="14"/>
    <n v="6"/>
    <n v="10800"/>
    <x v="145"/>
    <n v="150"/>
    <n v="0.72"/>
    <x v="0"/>
    <x v="34"/>
    <n v="12"/>
    <x v="1"/>
    <x v="4"/>
  </r>
  <r>
    <x v="275"/>
    <n v="10000"/>
    <n v="100"/>
    <x v="14"/>
    <n v="5"/>
    <n v="9000"/>
    <x v="109"/>
    <n v="100"/>
    <n v="0.9"/>
    <x v="0"/>
    <x v="1"/>
    <n v="10"/>
    <x v="1"/>
    <x v="4"/>
  </r>
  <r>
    <x v="276"/>
    <n v="13000"/>
    <n v="130"/>
    <x v="13"/>
    <n v="6"/>
    <n v="12000"/>
    <x v="127"/>
    <n v="500"/>
    <n v="0.24"/>
    <x v="0"/>
    <x v="5"/>
    <n v="10"/>
    <x v="1"/>
    <x v="4"/>
  </r>
  <r>
    <x v="277"/>
    <n v="6500"/>
    <n v="65"/>
    <x v="17"/>
    <n v="3"/>
    <n v="6100"/>
    <x v="146"/>
    <n v="110"/>
    <n v="0.55454545454545456"/>
    <x v="0"/>
    <x v="1"/>
    <n v="4"/>
    <x v="1"/>
    <x v="4"/>
  </r>
  <r>
    <x v="278"/>
    <n v="1000"/>
    <n v="10"/>
    <x v="11"/>
    <n v="2"/>
    <n v="1000"/>
    <x v="36"/>
    <n v="20"/>
    <n v="0.5"/>
    <x v="0"/>
    <x v="29"/>
    <n v="0"/>
    <x v="0"/>
    <x v="2"/>
  </r>
  <r>
    <x v="279"/>
    <n v="22000"/>
    <n v="220"/>
    <x v="13"/>
    <n v="3"/>
    <n v="20400"/>
    <x v="147"/>
    <n v="500"/>
    <n v="0.40799999999999997"/>
    <x v="0"/>
    <x v="5"/>
    <n v="16"/>
    <x v="2"/>
    <x v="4"/>
  </r>
  <r>
    <x v="268"/>
    <n v="2800"/>
    <n v="28"/>
    <x v="3"/>
    <n v="3"/>
    <n v="2300"/>
    <x v="63"/>
    <n v="65"/>
    <n v="0.35384615384615387"/>
    <x v="0"/>
    <x v="33"/>
    <n v="5"/>
    <x v="0"/>
    <x v="0"/>
  </r>
  <r>
    <x v="280"/>
    <n v="5500"/>
    <n v="55"/>
    <x v="22"/>
    <n v="2"/>
    <n v="5000"/>
    <x v="35"/>
    <n v="50"/>
    <n v="1"/>
    <x v="0"/>
    <x v="8"/>
    <n v="5"/>
    <x v="1"/>
    <x v="4"/>
  </r>
  <r>
    <x v="281"/>
    <n v="4400"/>
    <n v="44"/>
    <x v="11"/>
    <n v="4"/>
    <n v="4400"/>
    <x v="95"/>
    <n v="60"/>
    <n v="0.73333333333333328"/>
    <x v="0"/>
    <x v="16"/>
    <n v="0"/>
    <x v="0"/>
    <x v="2"/>
  </r>
  <r>
    <x v="282"/>
    <n v="7000"/>
    <n v="70"/>
    <x v="14"/>
    <n v="3"/>
    <n v="6300"/>
    <x v="6"/>
    <n v="405"/>
    <n v="0.15555555555555556"/>
    <x v="0"/>
    <x v="35"/>
    <n v="7"/>
    <x v="1"/>
    <x v="4"/>
  </r>
  <r>
    <x v="283"/>
    <n v="7400"/>
    <n v="74"/>
    <x v="22"/>
    <n v="3"/>
    <n v="6700"/>
    <x v="148"/>
    <n v="100"/>
    <n v="0.67"/>
    <x v="0"/>
    <x v="1"/>
    <n v="7"/>
    <x v="1"/>
    <x v="4"/>
  </r>
  <r>
    <x v="284"/>
    <n v="29500"/>
    <n v="295"/>
    <x v="0"/>
    <n v="6"/>
    <n v="24500"/>
    <x v="44"/>
    <n v="5000"/>
    <n v="4.9000000000000002E-2"/>
    <x v="0"/>
    <x v="13"/>
    <n v="50"/>
    <x v="2"/>
    <x v="0"/>
  </r>
  <r>
    <x v="285"/>
    <n v="5000"/>
    <n v="50"/>
    <x v="12"/>
    <n v="6"/>
    <n v="4900"/>
    <x v="7"/>
    <n v="200"/>
    <n v="0.245"/>
    <x v="0"/>
    <x v="3"/>
    <n v="1"/>
    <x v="0"/>
    <x v="2"/>
  </r>
  <r>
    <x v="286"/>
    <n v="4900"/>
    <n v="49"/>
    <x v="19"/>
    <n v="6"/>
    <n v="4500"/>
    <x v="21"/>
    <n v="200"/>
    <n v="0.22500000000000001"/>
    <x v="0"/>
    <x v="3"/>
    <n v="4"/>
    <x v="0"/>
    <x v="4"/>
  </r>
  <r>
    <x v="287"/>
    <n v="7500"/>
    <n v="75"/>
    <x v="3"/>
    <n v="6"/>
    <n v="6200"/>
    <x v="55"/>
    <n v="50"/>
    <n v="1.24"/>
    <x v="0"/>
    <x v="8"/>
    <n v="13"/>
    <x v="1"/>
    <x v="0"/>
  </r>
  <r>
    <x v="288"/>
    <n v="9600"/>
    <n v="96"/>
    <x v="1"/>
    <n v="6"/>
    <n v="8100"/>
    <x v="104"/>
    <n v="280"/>
    <n v="0.28928571428571431"/>
    <x v="0"/>
    <x v="22"/>
    <n v="15"/>
    <x v="1"/>
    <x v="1"/>
  </r>
  <r>
    <x v="289"/>
    <n v="4000"/>
    <n v="40"/>
    <x v="10"/>
    <n v="6"/>
    <n v="3800"/>
    <x v="85"/>
    <n v="50"/>
    <n v="0.76"/>
    <x v="0"/>
    <x v="8"/>
    <n v="2"/>
    <x v="0"/>
    <x v="2"/>
  </r>
  <r>
    <x v="290"/>
    <n v="3500"/>
    <n v="35"/>
    <x v="12"/>
    <n v="6"/>
    <n v="3400"/>
    <x v="96"/>
    <n v="100"/>
    <n v="0.34"/>
    <x v="0"/>
    <x v="1"/>
    <n v="1"/>
    <x v="0"/>
    <x v="2"/>
  </r>
  <r>
    <x v="291"/>
    <n v="19000"/>
    <n v="190"/>
    <x v="11"/>
    <n v="4"/>
    <n v="19000"/>
    <x v="89"/>
    <n v="500"/>
    <n v="0.38"/>
    <x v="0"/>
    <x v="5"/>
    <n v="0"/>
    <x v="1"/>
    <x v="2"/>
  </r>
  <r>
    <x v="292"/>
    <n v="4000"/>
    <n v="40"/>
    <x v="12"/>
    <n v="6"/>
    <n v="3900"/>
    <x v="34"/>
    <n v="50"/>
    <n v="0.78"/>
    <x v="0"/>
    <x v="8"/>
    <n v="1"/>
    <x v="0"/>
    <x v="2"/>
  </r>
  <r>
    <x v="293"/>
    <n v="6000"/>
    <n v="60"/>
    <x v="1"/>
    <n v="6"/>
    <n v="5100"/>
    <x v="62"/>
    <n v="50"/>
    <n v="1.02"/>
    <x v="0"/>
    <x v="8"/>
    <n v="9"/>
    <x v="1"/>
    <x v="1"/>
  </r>
  <r>
    <x v="294"/>
    <n v="9500"/>
    <n v="95"/>
    <x v="11"/>
    <n v="6"/>
    <n v="9500"/>
    <x v="79"/>
    <n v="500"/>
    <n v="0.19"/>
    <x v="0"/>
    <x v="5"/>
    <n v="0"/>
    <x v="1"/>
    <x v="2"/>
  </r>
  <r>
    <x v="295"/>
    <n v="4600"/>
    <n v="46"/>
    <x v="11"/>
    <n v="6"/>
    <n v="4600"/>
    <x v="126"/>
    <n v="54"/>
    <n v="0.85185185185185186"/>
    <x v="0"/>
    <x v="36"/>
    <n v="0"/>
    <x v="0"/>
    <x v="2"/>
  </r>
  <r>
    <x v="296"/>
    <n v="14200"/>
    <n v="142"/>
    <x v="22"/>
    <n v="3"/>
    <n v="12800"/>
    <x v="101"/>
    <n v="500"/>
    <n v="0.25600000000000001"/>
    <x v="0"/>
    <x v="5"/>
    <n v="14"/>
    <x v="1"/>
    <x v="4"/>
  </r>
  <r>
    <x v="297"/>
    <n v="30000"/>
    <n v="300"/>
    <x v="14"/>
    <n v="3"/>
    <n v="27000"/>
    <x v="149"/>
    <n v="42"/>
    <n v="6.4285714285714288"/>
    <x v="0"/>
    <x v="37"/>
    <n v="30"/>
    <x v="2"/>
    <x v="4"/>
  </r>
  <r>
    <x v="298"/>
    <n v="3700"/>
    <n v="37"/>
    <x v="12"/>
    <n v="6"/>
    <n v="3600"/>
    <x v="46"/>
    <n v="100"/>
    <n v="0.36"/>
    <x v="0"/>
    <x v="1"/>
    <n v="1"/>
    <x v="0"/>
    <x v="2"/>
  </r>
  <r>
    <x v="299"/>
    <n v="14500"/>
    <n v="145"/>
    <x v="11"/>
    <n v="6"/>
    <n v="14500"/>
    <x v="150"/>
    <n v="500"/>
    <n v="0.28999999999999998"/>
    <x v="0"/>
    <x v="5"/>
    <n v="0"/>
    <x v="1"/>
    <x v="2"/>
  </r>
  <r>
    <x v="300"/>
    <n v="3500"/>
    <n v="35"/>
    <x v="12"/>
    <n v="6"/>
    <n v="3400"/>
    <x v="96"/>
    <n v="500"/>
    <n v="6.8000000000000005E-2"/>
    <x v="0"/>
    <x v="5"/>
    <n v="1"/>
    <x v="0"/>
    <x v="2"/>
  </r>
  <r>
    <x v="301"/>
    <n v="20500"/>
    <n v="205"/>
    <x v="10"/>
    <n v="1"/>
    <n v="19400"/>
    <x v="151"/>
    <n v="250"/>
    <n v="0.77600000000000002"/>
    <x v="0"/>
    <x v="2"/>
    <n v="11"/>
    <x v="1"/>
    <x v="2"/>
  </r>
  <r>
    <x v="302"/>
    <n v="9900"/>
    <n v="99"/>
    <x v="11"/>
    <n v="6"/>
    <n v="9900"/>
    <x v="24"/>
    <n v="75"/>
    <n v="1.32"/>
    <x v="0"/>
    <x v="38"/>
    <n v="0"/>
    <x v="1"/>
    <x v="2"/>
  </r>
  <r>
    <x v="128"/>
    <n v="19500"/>
    <n v="195"/>
    <x v="24"/>
    <n v="2"/>
    <n v="17100"/>
    <x v="152"/>
    <n v="500"/>
    <n v="0.34200000000000003"/>
    <x v="0"/>
    <x v="5"/>
    <n v="24"/>
    <x v="1"/>
    <x v="1"/>
  </r>
  <r>
    <x v="303"/>
    <n v="8500"/>
    <n v="85"/>
    <x v="22"/>
    <n v="5"/>
    <n v="7700"/>
    <x v="93"/>
    <n v="500"/>
    <n v="0.154"/>
    <x v="0"/>
    <x v="5"/>
    <n v="8"/>
    <x v="1"/>
    <x v="4"/>
  </r>
  <r>
    <x v="203"/>
    <n v="2200"/>
    <n v="22"/>
    <x v="11"/>
    <n v="6"/>
    <n v="2200"/>
    <x v="12"/>
    <n v="50"/>
    <n v="0.44"/>
    <x v="0"/>
    <x v="8"/>
    <n v="0"/>
    <x v="0"/>
    <x v="2"/>
  </r>
  <r>
    <x v="304"/>
    <n v="6500"/>
    <n v="65"/>
    <x v="5"/>
    <n v="6"/>
    <n v="5600"/>
    <x v="123"/>
    <n v="1000"/>
    <n v="5.6000000000000001E-2"/>
    <x v="0"/>
    <x v="0"/>
    <n v="9"/>
    <x v="1"/>
    <x v="1"/>
  </r>
  <r>
    <x v="305"/>
    <n v="4500"/>
    <n v="45"/>
    <x v="12"/>
    <n v="6"/>
    <n v="4400"/>
    <x v="95"/>
    <n v="90"/>
    <n v="0.48888888888888887"/>
    <x v="0"/>
    <x v="39"/>
    <n v="1"/>
    <x v="0"/>
    <x v="2"/>
  </r>
  <r>
    <x v="306"/>
    <n v="4500"/>
    <n v="45"/>
    <x v="12"/>
    <n v="6"/>
    <n v="4400"/>
    <x v="95"/>
    <n v="90"/>
    <n v="0.48888888888888887"/>
    <x v="0"/>
    <x v="39"/>
    <n v="1"/>
    <x v="0"/>
    <x v="2"/>
  </r>
  <r>
    <x v="307"/>
    <n v="7000"/>
    <n v="70"/>
    <x v="14"/>
    <n v="4"/>
    <n v="6300"/>
    <x v="6"/>
    <n v="500"/>
    <n v="0.126"/>
    <x v="0"/>
    <x v="5"/>
    <n v="7"/>
    <x v="1"/>
    <x v="4"/>
  </r>
  <r>
    <x v="158"/>
    <n v="5000"/>
    <n v="50"/>
    <x v="24"/>
    <n v="2"/>
    <n v="4400"/>
    <x v="95"/>
    <n v="100"/>
    <n v="0.44"/>
    <x v="0"/>
    <x v="1"/>
    <n v="6"/>
    <x v="0"/>
    <x v="1"/>
  </r>
  <r>
    <x v="308"/>
    <n v="47000"/>
    <n v="470"/>
    <x v="8"/>
    <n v="5"/>
    <n v="37100"/>
    <x v="153"/>
    <n v="250"/>
    <n v="1.484"/>
    <x v="0"/>
    <x v="2"/>
    <n v="99"/>
    <x v="2"/>
    <x v="3"/>
  </r>
  <r>
    <x v="309"/>
    <n v="5000"/>
    <n v="50"/>
    <x v="17"/>
    <n v="3"/>
    <n v="4700"/>
    <x v="128"/>
    <n v="400"/>
    <n v="0.11749999999999999"/>
    <x v="0"/>
    <x v="18"/>
    <n v="3"/>
    <x v="0"/>
    <x v="4"/>
  </r>
  <r>
    <x v="310"/>
    <n v="4000"/>
    <n v="40"/>
    <x v="14"/>
    <n v="4"/>
    <n v="3600"/>
    <x v="46"/>
    <n v="500"/>
    <n v="7.1999999999999995E-2"/>
    <x v="0"/>
    <x v="5"/>
    <n v="4"/>
    <x v="0"/>
    <x v="4"/>
  </r>
  <r>
    <x v="311"/>
    <n v="9500"/>
    <n v="95"/>
    <x v="11"/>
    <n v="4"/>
    <n v="9500"/>
    <x v="79"/>
    <n v="200"/>
    <n v="0.47499999999999998"/>
    <x v="0"/>
    <x v="3"/>
    <n v="0"/>
    <x v="1"/>
    <x v="2"/>
  </r>
  <r>
    <x v="312"/>
    <n v="16000"/>
    <n v="160"/>
    <x v="14"/>
    <n v="3"/>
    <n v="14400"/>
    <x v="142"/>
    <n v="250"/>
    <n v="0.57599999999999996"/>
    <x v="0"/>
    <x v="2"/>
    <n v="16"/>
    <x v="1"/>
    <x v="4"/>
  </r>
  <r>
    <x v="313"/>
    <n v="2500"/>
    <n v="25"/>
    <x v="11"/>
    <n v="6"/>
    <n v="2500"/>
    <x v="14"/>
    <n v="25"/>
    <n v="1"/>
    <x v="0"/>
    <x v="27"/>
    <n v="0"/>
    <x v="0"/>
    <x v="2"/>
  </r>
  <r>
    <x v="314"/>
    <n v="20800"/>
    <n v="208"/>
    <x v="11"/>
    <n v="6"/>
    <n v="20800"/>
    <x v="102"/>
    <n v="100"/>
    <n v="2.08"/>
    <x v="0"/>
    <x v="1"/>
    <n v="0"/>
    <x v="2"/>
    <x v="2"/>
  </r>
  <r>
    <x v="315"/>
    <n v="3900"/>
    <n v="39"/>
    <x v="12"/>
    <n v="5"/>
    <n v="3800"/>
    <x v="85"/>
    <n v="50"/>
    <n v="0.76"/>
    <x v="0"/>
    <x v="8"/>
    <n v="1"/>
    <x v="0"/>
    <x v="2"/>
  </r>
  <r>
    <x v="316"/>
    <n v="4900"/>
    <n v="49"/>
    <x v="12"/>
    <n v="3"/>
    <n v="4800"/>
    <x v="154"/>
    <n v="200"/>
    <n v="0.24"/>
    <x v="0"/>
    <x v="3"/>
    <n v="1"/>
    <x v="0"/>
    <x v="2"/>
  </r>
  <r>
    <x v="317"/>
    <n v="7000"/>
    <n v="70"/>
    <x v="13"/>
    <n v="6"/>
    <n v="6500"/>
    <x v="100"/>
    <n v="50"/>
    <n v="1.3"/>
    <x v="0"/>
    <x v="8"/>
    <n v="5"/>
    <x v="1"/>
    <x v="4"/>
  </r>
  <r>
    <x v="318"/>
    <n v="15000"/>
    <n v="150"/>
    <x v="6"/>
    <n v="4"/>
    <n v="14300"/>
    <x v="155"/>
    <n v="400"/>
    <n v="0.35749999999999998"/>
    <x v="0"/>
    <x v="18"/>
    <n v="7"/>
    <x v="1"/>
    <x v="2"/>
  </r>
  <r>
    <x v="319"/>
    <n v="1500"/>
    <n v="15"/>
    <x v="11"/>
    <n v="5"/>
    <n v="1500"/>
    <x v="23"/>
    <n v="50"/>
    <n v="0.3"/>
    <x v="0"/>
    <x v="8"/>
    <n v="0"/>
    <x v="0"/>
    <x v="2"/>
  </r>
  <r>
    <x v="320"/>
    <n v="6000"/>
    <n v="60"/>
    <x v="11"/>
    <n v="4"/>
    <n v="6000"/>
    <x v="69"/>
    <n v="240"/>
    <n v="0.25"/>
    <x v="0"/>
    <x v="19"/>
    <n v="0"/>
    <x v="1"/>
    <x v="2"/>
  </r>
  <r>
    <x v="321"/>
    <n v="4800"/>
    <n v="48"/>
    <x v="12"/>
    <n v="5"/>
    <n v="4700"/>
    <x v="128"/>
    <n v="100"/>
    <n v="0.47"/>
    <x v="0"/>
    <x v="1"/>
    <n v="1"/>
    <x v="0"/>
    <x v="2"/>
  </r>
  <r>
    <x v="230"/>
    <n v="27500"/>
    <n v="275"/>
    <x v="11"/>
    <n v="6"/>
    <n v="27500"/>
    <x v="156"/>
    <n v="5000"/>
    <n v="5.5E-2"/>
    <x v="0"/>
    <x v="13"/>
    <n v="0"/>
    <x v="2"/>
    <x v="2"/>
  </r>
  <r>
    <x v="322"/>
    <n v="21500"/>
    <n v="215"/>
    <x v="22"/>
    <n v="4"/>
    <n v="19400"/>
    <x v="151"/>
    <n v="1000"/>
    <n v="0.19400000000000001"/>
    <x v="0"/>
    <x v="0"/>
    <n v="21"/>
    <x v="1"/>
    <x v="4"/>
  </r>
  <r>
    <x v="323"/>
    <n v="7500"/>
    <n v="75"/>
    <x v="22"/>
    <n v="4"/>
    <n v="6800"/>
    <x v="40"/>
    <n v="100"/>
    <n v="0.68"/>
    <x v="0"/>
    <x v="1"/>
    <n v="7"/>
    <x v="1"/>
    <x v="4"/>
  </r>
  <r>
    <x v="324"/>
    <n v="10000"/>
    <n v="100"/>
    <x v="15"/>
    <n v="6"/>
    <n v="8900"/>
    <x v="25"/>
    <n v="159"/>
    <n v="0.55974842767295596"/>
    <x v="0"/>
    <x v="40"/>
    <n v="11"/>
    <x v="1"/>
    <x v="1"/>
  </r>
  <r>
    <x v="325"/>
    <n v="20000"/>
    <n v="200"/>
    <x v="11"/>
    <n v="2"/>
    <n v="20000"/>
    <x v="157"/>
    <n v="450"/>
    <n v="0.44444444444444442"/>
    <x v="0"/>
    <x v="15"/>
    <n v="0"/>
    <x v="2"/>
    <x v="2"/>
  </r>
  <r>
    <x v="326"/>
    <n v="5600"/>
    <n v="56"/>
    <x v="13"/>
    <n v="5"/>
    <n v="5200"/>
    <x v="94"/>
    <n v="100"/>
    <n v="0.52"/>
    <x v="0"/>
    <x v="1"/>
    <n v="4"/>
    <x v="1"/>
    <x v="4"/>
  </r>
  <r>
    <x v="327"/>
    <n v="19000"/>
    <n v="190"/>
    <x v="14"/>
    <n v="6"/>
    <n v="17100"/>
    <x v="152"/>
    <n v="100"/>
    <n v="1.71"/>
    <x v="0"/>
    <x v="1"/>
    <n v="19"/>
    <x v="1"/>
    <x v="4"/>
  </r>
  <r>
    <x v="328"/>
    <n v="29500"/>
    <n v="295"/>
    <x v="22"/>
    <n v="6"/>
    <n v="26600"/>
    <x v="158"/>
    <n v="360"/>
    <n v="0.73888888888888893"/>
    <x v="0"/>
    <x v="41"/>
    <n v="29"/>
    <x v="2"/>
    <x v="4"/>
  </r>
  <r>
    <x v="329"/>
    <n v="35000"/>
    <n v="350"/>
    <x v="14"/>
    <n v="5"/>
    <n v="31200"/>
    <x v="159"/>
    <n v="5000"/>
    <n v="6.2399999999999997E-2"/>
    <x v="0"/>
    <x v="13"/>
    <n v="38"/>
    <x v="2"/>
    <x v="4"/>
  </r>
  <r>
    <x v="330"/>
    <n v="35000"/>
    <n v="350"/>
    <x v="14"/>
    <n v="6"/>
    <n v="31200"/>
    <x v="159"/>
    <n v="1000"/>
    <n v="0.312"/>
    <x v="0"/>
    <x v="0"/>
    <n v="38"/>
    <x v="2"/>
    <x v="4"/>
  </r>
  <r>
    <x v="331"/>
    <n v="17000"/>
    <n v="170"/>
    <x v="13"/>
    <n v="6"/>
    <n v="15700"/>
    <x v="160"/>
    <n v="100"/>
    <n v="1.57"/>
    <x v="0"/>
    <x v="1"/>
    <n v="13"/>
    <x v="1"/>
    <x v="4"/>
  </r>
  <r>
    <x v="332"/>
    <n v="9000"/>
    <n v="90"/>
    <x v="0"/>
    <n v="3"/>
    <n v="7500"/>
    <x v="30"/>
    <n v="500"/>
    <n v="0.15"/>
    <x v="0"/>
    <x v="5"/>
    <n v="15"/>
    <x v="1"/>
    <x v="0"/>
  </r>
  <r>
    <x v="333"/>
    <n v="9500"/>
    <n v="95"/>
    <x v="13"/>
    <n v="6"/>
    <n v="8800"/>
    <x v="65"/>
    <n v="500"/>
    <n v="0.17599999999999999"/>
    <x v="0"/>
    <x v="5"/>
    <n v="7"/>
    <x v="1"/>
    <x v="4"/>
  </r>
  <r>
    <x v="334"/>
    <n v="6000"/>
    <n v="60"/>
    <x v="17"/>
    <n v="3"/>
    <n v="5600"/>
    <x v="123"/>
    <n v="500"/>
    <n v="0.112"/>
    <x v="0"/>
    <x v="5"/>
    <n v="4"/>
    <x v="1"/>
    <x v="4"/>
  </r>
  <r>
    <x v="335"/>
    <n v="39000"/>
    <n v="390"/>
    <x v="15"/>
    <n v="5"/>
    <n v="34700"/>
    <x v="161"/>
    <n v="1000"/>
    <n v="0.34699999999999998"/>
    <x v="0"/>
    <x v="0"/>
    <n v="43"/>
    <x v="2"/>
    <x v="1"/>
  </r>
  <r>
    <x v="336"/>
    <n v="6000"/>
    <n v="60"/>
    <x v="11"/>
    <n v="4"/>
    <n v="6000"/>
    <x v="69"/>
    <n v="240"/>
    <n v="0.25"/>
    <x v="0"/>
    <x v="19"/>
    <n v="0"/>
    <x v="1"/>
    <x v="2"/>
  </r>
  <r>
    <x v="337"/>
    <n v="19500"/>
    <n v="195"/>
    <x v="24"/>
    <n v="6"/>
    <n v="17100"/>
    <x v="152"/>
    <n v="500"/>
    <n v="0.34200000000000003"/>
    <x v="0"/>
    <x v="5"/>
    <n v="24"/>
    <x v="1"/>
    <x v="1"/>
  </r>
  <r>
    <x v="338"/>
    <n v="43000"/>
    <n v="430"/>
    <x v="14"/>
    <n v="6"/>
    <n v="38700"/>
    <x v="162"/>
    <n v="1000"/>
    <n v="0.38700000000000001"/>
    <x v="0"/>
    <x v="0"/>
    <n v="43"/>
    <x v="2"/>
    <x v="4"/>
  </r>
  <r>
    <x v="339"/>
    <n v="7000"/>
    <n v="70"/>
    <x v="14"/>
    <n v="5"/>
    <n v="6300"/>
    <x v="6"/>
    <n v="25"/>
    <n v="2.52"/>
    <x v="0"/>
    <x v="27"/>
    <n v="7"/>
    <x v="1"/>
    <x v="4"/>
  </r>
  <r>
    <x v="340"/>
    <n v="1000"/>
    <n v="10"/>
    <x v="11"/>
    <n v="5"/>
    <n v="1000"/>
    <x v="36"/>
    <n v="20"/>
    <n v="0.5"/>
    <x v="0"/>
    <x v="29"/>
    <n v="0"/>
    <x v="0"/>
    <x v="2"/>
  </r>
  <r>
    <x v="341"/>
    <n v="22300"/>
    <n v="223"/>
    <x v="10"/>
    <n v="6"/>
    <n v="21100"/>
    <x v="163"/>
    <n v="150"/>
    <n v="1.4066666666666667"/>
    <x v="0"/>
    <x v="34"/>
    <n v="12"/>
    <x v="2"/>
    <x v="2"/>
  </r>
  <r>
    <x v="342"/>
    <n v="145000"/>
    <n v="1450"/>
    <x v="14"/>
    <n v="6"/>
    <n v="130500"/>
    <x v="164"/>
    <n v="540"/>
    <n v="2.4166666666666665"/>
    <x v="0"/>
    <x v="42"/>
    <n v="145"/>
    <x v="2"/>
    <x v="4"/>
  </r>
  <r>
    <x v="343"/>
    <n v="12000"/>
    <n v="120"/>
    <x v="17"/>
    <n v="5"/>
    <n v="11200"/>
    <x v="165"/>
    <n v="500"/>
    <n v="0.224"/>
    <x v="0"/>
    <x v="5"/>
    <n v="8"/>
    <x v="1"/>
    <x v="4"/>
  </r>
  <r>
    <x v="344"/>
    <n v="16000"/>
    <n v="160"/>
    <x v="17"/>
    <n v="4"/>
    <n v="15000"/>
    <x v="166"/>
    <n v="200"/>
    <n v="0.75"/>
    <x v="0"/>
    <x v="3"/>
    <n v="10"/>
    <x v="1"/>
    <x v="4"/>
  </r>
  <r>
    <x v="345"/>
    <n v="14000"/>
    <n v="140"/>
    <x v="1"/>
    <n v="6"/>
    <n v="11800"/>
    <x v="77"/>
    <n v="250"/>
    <n v="0.47199999999999998"/>
    <x v="0"/>
    <x v="2"/>
    <n v="22"/>
    <x v="1"/>
    <x v="1"/>
  </r>
  <r>
    <x v="346"/>
    <n v="9500"/>
    <n v="95"/>
    <x v="17"/>
    <n v="4"/>
    <n v="8900"/>
    <x v="25"/>
    <n v="500"/>
    <n v="0.17799999999999999"/>
    <x v="0"/>
    <x v="5"/>
    <n v="6"/>
    <x v="1"/>
    <x v="4"/>
  </r>
  <r>
    <x v="347"/>
    <n v="5000"/>
    <n v="50"/>
    <x v="17"/>
    <n v="6"/>
    <n v="4700"/>
    <x v="128"/>
    <n v="200"/>
    <n v="0.23499999999999999"/>
    <x v="0"/>
    <x v="3"/>
    <n v="3"/>
    <x v="0"/>
    <x v="4"/>
  </r>
  <r>
    <x v="348"/>
    <n v="33000"/>
    <n v="330"/>
    <x v="14"/>
    <n v="1"/>
    <n v="29700"/>
    <x v="167"/>
    <n v="400"/>
    <n v="0.74250000000000005"/>
    <x v="0"/>
    <x v="18"/>
    <n v="33"/>
    <x v="2"/>
    <x v="4"/>
  </r>
  <r>
    <x v="349"/>
    <n v="4400"/>
    <n v="44"/>
    <x v="11"/>
    <n v="5"/>
    <n v="4400"/>
    <x v="95"/>
    <n v="60"/>
    <n v="0.73333333333333328"/>
    <x v="0"/>
    <x v="16"/>
    <n v="0"/>
    <x v="0"/>
    <x v="2"/>
  </r>
  <r>
    <x v="350"/>
    <n v="3500"/>
    <n v="35"/>
    <x v="12"/>
    <n v="1"/>
    <n v="3400"/>
    <x v="96"/>
    <n v="40"/>
    <n v="0.85"/>
    <x v="0"/>
    <x v="23"/>
    <n v="1"/>
    <x v="0"/>
    <x v="2"/>
  </r>
  <r>
    <x v="315"/>
    <n v="7400"/>
    <n v="74"/>
    <x v="22"/>
    <n v="3"/>
    <n v="6700"/>
    <x v="148"/>
    <n v="100"/>
    <n v="0.67"/>
    <x v="0"/>
    <x v="1"/>
    <n v="7"/>
    <x v="1"/>
    <x v="4"/>
  </r>
  <r>
    <x v="351"/>
    <n v="4500"/>
    <n v="45"/>
    <x v="6"/>
    <n v="6"/>
    <n v="4300"/>
    <x v="2"/>
    <n v="500"/>
    <n v="8.5999999999999993E-2"/>
    <x v="0"/>
    <x v="5"/>
    <n v="2"/>
    <x v="0"/>
    <x v="2"/>
  </r>
  <r>
    <x v="168"/>
    <n v="14200"/>
    <n v="142"/>
    <x v="22"/>
    <n v="6"/>
    <n v="12800"/>
    <x v="101"/>
    <n v="200"/>
    <n v="0.64"/>
    <x v="0"/>
    <x v="3"/>
    <n v="14"/>
    <x v="1"/>
    <x v="4"/>
  </r>
  <r>
    <x v="352"/>
    <n v="16500"/>
    <n v="165"/>
    <x v="14"/>
    <n v="5"/>
    <n v="14700"/>
    <x v="168"/>
    <n v="285"/>
    <n v="0.51578947368421058"/>
    <x v="0"/>
    <x v="43"/>
    <n v="18"/>
    <x v="1"/>
    <x v="4"/>
  </r>
  <r>
    <x v="353"/>
    <n v="7400"/>
    <n v="74"/>
    <x v="17"/>
    <n v="2"/>
    <n v="6900"/>
    <x v="18"/>
    <n v="200"/>
    <n v="0.34499999999999997"/>
    <x v="0"/>
    <x v="3"/>
    <n v="5"/>
    <x v="1"/>
    <x v="4"/>
  </r>
  <r>
    <x v="354"/>
    <n v="4000"/>
    <n v="40"/>
    <x v="12"/>
    <n v="6"/>
    <n v="3900"/>
    <x v="34"/>
    <n v="48"/>
    <n v="0.8125"/>
    <x v="0"/>
    <x v="32"/>
    <n v="1"/>
    <x v="0"/>
    <x v="2"/>
  </r>
  <r>
    <x v="355"/>
    <n v="10200"/>
    <n v="102"/>
    <x v="17"/>
    <n v="6"/>
    <n v="9500"/>
    <x v="79"/>
    <n v="100"/>
    <n v="0.95"/>
    <x v="0"/>
    <x v="1"/>
    <n v="7"/>
    <x v="1"/>
    <x v="4"/>
  </r>
  <r>
    <x v="356"/>
    <n v="4900"/>
    <n v="49"/>
    <x v="12"/>
    <n v="6"/>
    <n v="4800"/>
    <x v="154"/>
    <n v="100"/>
    <n v="0.48"/>
    <x v="0"/>
    <x v="1"/>
    <n v="1"/>
    <x v="0"/>
    <x v="2"/>
  </r>
  <r>
    <x v="357"/>
    <n v="9000"/>
    <n v="90"/>
    <x v="14"/>
    <n v="6"/>
    <n v="8100"/>
    <x v="104"/>
    <n v="500"/>
    <n v="0.16200000000000001"/>
    <x v="0"/>
    <x v="5"/>
    <n v="9"/>
    <x v="1"/>
    <x v="4"/>
  </r>
  <r>
    <x v="358"/>
    <n v="9500"/>
    <n v="95"/>
    <x v="17"/>
    <n v="5"/>
    <n v="8900"/>
    <x v="25"/>
    <n v="500"/>
    <n v="0.17799999999999999"/>
    <x v="0"/>
    <x v="5"/>
    <n v="6"/>
    <x v="1"/>
    <x v="4"/>
  </r>
  <r>
    <x v="359"/>
    <n v="42500"/>
    <n v="425"/>
    <x v="25"/>
    <n v="6"/>
    <n v="34000"/>
    <x v="169"/>
    <n v="200"/>
    <n v="1.7"/>
    <x v="0"/>
    <x v="3"/>
    <n v="85"/>
    <x v="2"/>
    <x v="0"/>
  </r>
  <r>
    <x v="360"/>
    <n v="9000"/>
    <n v="90"/>
    <x v="14"/>
    <n v="3"/>
    <n v="8100"/>
    <x v="104"/>
    <n v="20"/>
    <n v="4.05"/>
    <x v="0"/>
    <x v="29"/>
    <n v="9"/>
    <x v="1"/>
    <x v="4"/>
  </r>
  <r>
    <x v="361"/>
    <n v="23500"/>
    <n v="235"/>
    <x v="28"/>
    <n v="5"/>
    <n v="17100"/>
    <x v="152"/>
    <n v="1000"/>
    <n v="0.17100000000000001"/>
    <x v="0"/>
    <x v="0"/>
    <n v="64"/>
    <x v="1"/>
    <x v="3"/>
  </r>
  <r>
    <x v="362"/>
    <n v="7600"/>
    <n v="76"/>
    <x v="14"/>
    <n v="4"/>
    <n v="6800"/>
    <x v="40"/>
    <n v="300"/>
    <n v="0.22666666666666666"/>
    <x v="0"/>
    <x v="10"/>
    <n v="8"/>
    <x v="1"/>
    <x v="4"/>
  </r>
  <r>
    <x v="363"/>
    <n v="41000"/>
    <n v="410"/>
    <x v="14"/>
    <n v="6"/>
    <n v="36900"/>
    <x v="170"/>
    <n v="1000"/>
    <n v="0.36899999999999999"/>
    <x v="0"/>
    <x v="0"/>
    <n v="41"/>
    <x v="2"/>
    <x v="4"/>
  </r>
  <r>
    <x v="364"/>
    <n v="8700"/>
    <n v="87"/>
    <x v="17"/>
    <n v="6"/>
    <n v="8100"/>
    <x v="104"/>
    <n v="500"/>
    <n v="0.16200000000000001"/>
    <x v="0"/>
    <x v="5"/>
    <n v="6"/>
    <x v="1"/>
    <x v="4"/>
  </r>
  <r>
    <x v="365"/>
    <n v="42500"/>
    <n v="425"/>
    <x v="25"/>
    <n v="6"/>
    <n v="34000"/>
    <x v="169"/>
    <n v="200"/>
    <n v="1.7"/>
    <x v="0"/>
    <x v="3"/>
    <n v="85"/>
    <x v="2"/>
    <x v="0"/>
  </r>
  <r>
    <x v="366"/>
    <n v="8000"/>
    <n v="80"/>
    <x v="11"/>
    <n v="1"/>
    <n v="8000"/>
    <x v="111"/>
    <n v="280"/>
    <n v="0.2857142857142857"/>
    <x v="0"/>
    <x v="22"/>
    <n v="0"/>
    <x v="1"/>
    <x v="2"/>
  </r>
  <r>
    <x v="367"/>
    <n v="9500"/>
    <n v="95"/>
    <x v="11"/>
    <n v="5"/>
    <n v="9500"/>
    <x v="79"/>
    <n v="70"/>
    <n v="1.3571428571428572"/>
    <x v="0"/>
    <x v="11"/>
    <n v="0"/>
    <x v="1"/>
    <x v="2"/>
  </r>
  <r>
    <x v="368"/>
    <n v="24000"/>
    <n v="240"/>
    <x v="17"/>
    <n v="4"/>
    <n v="22500"/>
    <x v="171"/>
    <n v="500"/>
    <n v="0.45"/>
    <x v="0"/>
    <x v="5"/>
    <n v="15"/>
    <x v="2"/>
    <x v="4"/>
  </r>
  <r>
    <x v="369"/>
    <n v="11000"/>
    <n v="110"/>
    <x v="14"/>
    <n v="6"/>
    <n v="9900"/>
    <x v="24"/>
    <n v="265"/>
    <n v="0.37358490566037733"/>
    <x v="0"/>
    <x v="44"/>
    <n v="11"/>
    <x v="1"/>
    <x v="4"/>
  </r>
  <r>
    <x v="370"/>
    <n v="29900"/>
    <n v="299"/>
    <x v="25"/>
    <n v="6"/>
    <n v="23900"/>
    <x v="138"/>
    <n v="200"/>
    <n v="1.1950000000000001"/>
    <x v="0"/>
    <x v="3"/>
    <n v="60"/>
    <x v="2"/>
    <x v="0"/>
  </r>
  <r>
    <x v="371"/>
    <n v="25000"/>
    <n v="250"/>
    <x v="29"/>
    <n v="6"/>
    <n v="14900"/>
    <x v="27"/>
    <n v="500"/>
    <n v="0.29799999999999999"/>
    <x v="0"/>
    <x v="5"/>
    <n v="101"/>
    <x v="1"/>
    <x v="3"/>
  </r>
  <r>
    <x v="372"/>
    <n v="22000"/>
    <n v="220"/>
    <x v="26"/>
    <n v="5"/>
    <n v="11000"/>
    <x v="139"/>
    <n v="200"/>
    <n v="0.55000000000000004"/>
    <x v="0"/>
    <x v="3"/>
    <n v="110"/>
    <x v="1"/>
    <x v="3"/>
  </r>
  <r>
    <x v="373"/>
    <n v="9000"/>
    <n v="90"/>
    <x v="24"/>
    <n v="3"/>
    <n v="7900"/>
    <x v="32"/>
    <n v="500"/>
    <n v="0.158"/>
    <x v="0"/>
    <x v="5"/>
    <n v="11"/>
    <x v="1"/>
    <x v="1"/>
  </r>
  <r>
    <x v="374"/>
    <n v="2500"/>
    <n v="25"/>
    <x v="11"/>
    <n v="5"/>
    <n v="2500"/>
    <x v="14"/>
    <n v="100"/>
    <n v="0.25"/>
    <x v="0"/>
    <x v="1"/>
    <n v="0"/>
    <x v="0"/>
    <x v="2"/>
  </r>
  <r>
    <x v="375"/>
    <n v="15000"/>
    <n v="150"/>
    <x v="14"/>
    <n v="5"/>
    <n v="13400"/>
    <x v="106"/>
    <n v="100"/>
    <n v="1.34"/>
    <x v="0"/>
    <x v="1"/>
    <n v="16"/>
    <x v="1"/>
    <x v="4"/>
  </r>
  <r>
    <x v="376"/>
    <n v="11000"/>
    <n v="110"/>
    <x v="16"/>
    <n v="5"/>
    <n v="10800"/>
    <x v="145"/>
    <n v="100"/>
    <n v="1.08"/>
    <x v="0"/>
    <x v="1"/>
    <n v="2"/>
    <x v="1"/>
    <x v="2"/>
  </r>
  <r>
    <x v="377"/>
    <n v="12500"/>
    <n v="125"/>
    <x v="10"/>
    <n v="6"/>
    <n v="11800"/>
    <x v="77"/>
    <n v="100"/>
    <n v="1.18"/>
    <x v="0"/>
    <x v="1"/>
    <n v="7"/>
    <x v="1"/>
    <x v="2"/>
  </r>
  <r>
    <x v="378"/>
    <n v="7500"/>
    <n v="75"/>
    <x v="30"/>
    <n v="6"/>
    <n v="5200"/>
    <x v="94"/>
    <n v="200"/>
    <n v="0.26"/>
    <x v="0"/>
    <x v="3"/>
    <n v="23"/>
    <x v="1"/>
    <x v="3"/>
  </r>
  <r>
    <x v="379"/>
    <n v="13000"/>
    <n v="130"/>
    <x v="6"/>
    <n v="6"/>
    <n v="12400"/>
    <x v="172"/>
    <n v="285"/>
    <n v="0.43508771929824563"/>
    <x v="0"/>
    <x v="43"/>
    <n v="6"/>
    <x v="1"/>
    <x v="2"/>
  </r>
  <r>
    <x v="380"/>
    <n v="4400"/>
    <n v="44"/>
    <x v="11"/>
    <n v="6"/>
    <n v="4400"/>
    <x v="95"/>
    <n v="60"/>
    <n v="0.73333333333333328"/>
    <x v="0"/>
    <x v="16"/>
    <n v="0"/>
    <x v="0"/>
    <x v="2"/>
  </r>
  <r>
    <x v="381"/>
    <n v="5000"/>
    <n v="50"/>
    <x v="12"/>
    <n v="5"/>
    <n v="4900"/>
    <x v="7"/>
    <n v="500"/>
    <n v="9.8000000000000004E-2"/>
    <x v="0"/>
    <x v="5"/>
    <n v="1"/>
    <x v="0"/>
    <x v="2"/>
  </r>
  <r>
    <x v="156"/>
    <n v="24500"/>
    <n v="245"/>
    <x v="11"/>
    <n v="6"/>
    <n v="24500"/>
    <x v="44"/>
    <n v="200"/>
    <n v="1.2250000000000001"/>
    <x v="0"/>
    <x v="3"/>
    <n v="0"/>
    <x v="2"/>
    <x v="2"/>
  </r>
  <r>
    <x v="382"/>
    <n v="5000"/>
    <n v="50"/>
    <x v="17"/>
    <n v="4"/>
    <n v="4700"/>
    <x v="128"/>
    <n v="100"/>
    <n v="0.47"/>
    <x v="0"/>
    <x v="1"/>
    <n v="3"/>
    <x v="0"/>
    <x v="4"/>
  </r>
  <r>
    <x v="383"/>
    <n v="8000"/>
    <n v="80"/>
    <x v="14"/>
    <n v="6"/>
    <n v="7200"/>
    <x v="82"/>
    <n v="500"/>
    <n v="0.14399999999999999"/>
    <x v="0"/>
    <x v="5"/>
    <n v="8"/>
    <x v="1"/>
    <x v="4"/>
  </r>
  <r>
    <x v="384"/>
    <n v="47500"/>
    <n v="475"/>
    <x v="19"/>
    <n v="2"/>
    <n v="43700"/>
    <x v="173"/>
    <n v="1000"/>
    <n v="0.437"/>
    <x v="0"/>
    <x v="45"/>
    <n v="38"/>
    <x v="2"/>
    <x v="4"/>
  </r>
  <r>
    <x v="385"/>
    <n v="15000"/>
    <n v="150"/>
    <x v="2"/>
    <n v="6"/>
    <n v="12800"/>
    <x v="101"/>
    <n v="500"/>
    <n v="0.25600000000000001"/>
    <x v="0"/>
    <x v="5"/>
    <n v="22"/>
    <x v="1"/>
    <x v="1"/>
  </r>
  <r>
    <x v="386"/>
    <n v="6000"/>
    <n v="60"/>
    <x v="10"/>
    <n v="5"/>
    <n v="5700"/>
    <x v="16"/>
    <n v="200"/>
    <n v="0.28499999999999998"/>
    <x v="0"/>
    <x v="3"/>
    <n v="3"/>
    <x v="1"/>
    <x v="2"/>
  </r>
  <r>
    <x v="387"/>
    <n v="28000"/>
    <n v="280"/>
    <x v="13"/>
    <n v="6"/>
    <n v="26000"/>
    <x v="174"/>
    <n v="100"/>
    <n v="2.6"/>
    <x v="0"/>
    <x v="1"/>
    <n v="20"/>
    <x v="2"/>
    <x v="4"/>
  </r>
  <r>
    <x v="388"/>
    <n v="21000"/>
    <n v="210"/>
    <x v="11"/>
    <n v="4"/>
    <n v="21000"/>
    <x v="50"/>
    <n v="250"/>
    <n v="0.84"/>
    <x v="0"/>
    <x v="2"/>
    <n v="0"/>
    <x v="2"/>
    <x v="2"/>
  </r>
  <r>
    <x v="389"/>
    <n v="25000"/>
    <n v="250"/>
    <x v="11"/>
    <n v="5"/>
    <n v="25000"/>
    <x v="113"/>
    <n v="500"/>
    <n v="0.5"/>
    <x v="0"/>
    <x v="5"/>
    <n v="0"/>
    <x v="2"/>
    <x v="2"/>
  </r>
  <r>
    <x v="390"/>
    <n v="8200"/>
    <n v="82"/>
    <x v="14"/>
    <n v="5"/>
    <n v="7300"/>
    <x v="175"/>
    <n v="100"/>
    <n v="0.73"/>
    <x v="0"/>
    <x v="1"/>
    <n v="9"/>
    <x v="1"/>
    <x v="4"/>
  </r>
  <r>
    <x v="391"/>
    <n v="7500"/>
    <n v="75"/>
    <x v="30"/>
    <n v="6"/>
    <n v="5200"/>
    <x v="94"/>
    <n v="200"/>
    <n v="0.26"/>
    <x v="0"/>
    <x v="3"/>
    <n v="23"/>
    <x v="1"/>
    <x v="3"/>
  </r>
  <r>
    <x v="392"/>
    <n v="27000"/>
    <n v="270"/>
    <x v="14"/>
    <n v="4"/>
    <n v="24300"/>
    <x v="176"/>
    <n v="225"/>
    <n v="1.08"/>
    <x v="0"/>
    <x v="21"/>
    <n v="27"/>
    <x v="2"/>
    <x v="4"/>
  </r>
  <r>
    <x v="393"/>
    <n v="4500"/>
    <n v="45"/>
    <x v="12"/>
    <n v="6"/>
    <n v="4400"/>
    <x v="95"/>
    <n v="90"/>
    <n v="0.48888888888888887"/>
    <x v="0"/>
    <x v="39"/>
    <n v="1"/>
    <x v="0"/>
    <x v="2"/>
  </r>
  <r>
    <x v="394"/>
    <n v="13000"/>
    <n v="130"/>
    <x v="14"/>
    <n v="5"/>
    <n v="11700"/>
    <x v="177"/>
    <n v="100"/>
    <n v="1.17"/>
    <x v="0"/>
    <x v="1"/>
    <n v="13"/>
    <x v="1"/>
    <x v="4"/>
  </r>
  <r>
    <x v="395"/>
    <n v="38000"/>
    <n v="380"/>
    <x v="12"/>
    <n v="4"/>
    <n v="37200"/>
    <x v="178"/>
    <n v="1000"/>
    <n v="0.372"/>
    <x v="0"/>
    <x v="0"/>
    <n v="8"/>
    <x v="2"/>
    <x v="2"/>
  </r>
  <r>
    <x v="396"/>
    <n v="7500"/>
    <n v="75"/>
    <x v="30"/>
    <n v="5"/>
    <n v="5200"/>
    <x v="94"/>
    <n v="80"/>
    <n v="0.65"/>
    <x v="0"/>
    <x v="30"/>
    <n v="23"/>
    <x v="1"/>
    <x v="3"/>
  </r>
  <r>
    <x v="397"/>
    <n v="5000"/>
    <n v="50"/>
    <x v="12"/>
    <n v="6"/>
    <n v="4900"/>
    <x v="7"/>
    <n v="20"/>
    <n v="2.4500000000000002"/>
    <x v="0"/>
    <x v="29"/>
    <n v="1"/>
    <x v="0"/>
    <x v="2"/>
  </r>
  <r>
    <x v="398"/>
    <n v="5000"/>
    <n v="50"/>
    <x v="17"/>
    <n v="6"/>
    <n v="4700"/>
    <x v="128"/>
    <n v="200"/>
    <n v="0.23499999999999999"/>
    <x v="0"/>
    <x v="3"/>
    <n v="3"/>
    <x v="0"/>
    <x v="4"/>
  </r>
  <r>
    <x v="399"/>
    <n v="12000"/>
    <n v="120"/>
    <x v="14"/>
    <n v="5"/>
    <n v="10800"/>
    <x v="145"/>
    <n v="500"/>
    <n v="0.216"/>
    <x v="0"/>
    <x v="5"/>
    <n v="12"/>
    <x v="1"/>
    <x v="4"/>
  </r>
  <r>
    <x v="400"/>
    <n v="27600"/>
    <n v="276"/>
    <x v="14"/>
    <n v="6"/>
    <n v="24800"/>
    <x v="179"/>
    <n v="1500"/>
    <n v="0.16533333333333333"/>
    <x v="0"/>
    <x v="0"/>
    <n v="28"/>
    <x v="2"/>
    <x v="4"/>
  </r>
  <r>
    <x v="401"/>
    <n v="14500"/>
    <n v="145"/>
    <x v="1"/>
    <n v="4"/>
    <n v="12200"/>
    <x v="134"/>
    <n v="500"/>
    <n v="0.24399999999999999"/>
    <x v="0"/>
    <x v="5"/>
    <n v="23"/>
    <x v="1"/>
    <x v="1"/>
  </r>
  <r>
    <x v="402"/>
    <n v="4000"/>
    <n v="40"/>
    <x v="12"/>
    <n v="2"/>
    <n v="3900"/>
    <x v="34"/>
    <n v="100"/>
    <n v="0.39"/>
    <x v="0"/>
    <x v="1"/>
    <n v="1"/>
    <x v="0"/>
    <x v="2"/>
  </r>
  <r>
    <x v="403"/>
    <n v="9000"/>
    <n v="90"/>
    <x v="14"/>
    <n v="6"/>
    <n v="8100"/>
    <x v="104"/>
    <n v="500"/>
    <n v="0.16200000000000001"/>
    <x v="0"/>
    <x v="5"/>
    <n v="9"/>
    <x v="1"/>
    <x v="4"/>
  </r>
  <r>
    <x v="404"/>
    <n v="10900"/>
    <n v="109"/>
    <x v="3"/>
    <n v="6"/>
    <n v="9000"/>
    <x v="109"/>
    <n v="45"/>
    <n v="2"/>
    <x v="0"/>
    <x v="46"/>
    <n v="19"/>
    <x v="1"/>
    <x v="0"/>
  </r>
  <r>
    <x v="405"/>
    <n v="10900"/>
    <n v="109"/>
    <x v="25"/>
    <n v="6"/>
    <n v="8700"/>
    <x v="180"/>
    <n v="80"/>
    <n v="1.0874999999999999"/>
    <x v="0"/>
    <x v="30"/>
    <n v="22"/>
    <x v="1"/>
    <x v="0"/>
  </r>
  <r>
    <x v="406"/>
    <n v="13500"/>
    <n v="135"/>
    <x v="13"/>
    <n v="6"/>
    <n v="12500"/>
    <x v="98"/>
    <n v="500"/>
    <n v="0.25"/>
    <x v="0"/>
    <x v="5"/>
    <n v="10"/>
    <x v="1"/>
    <x v="4"/>
  </r>
  <r>
    <x v="407"/>
    <n v="31000"/>
    <n v="310"/>
    <x v="14"/>
    <n v="6"/>
    <n v="27600"/>
    <x v="181"/>
    <n v="520"/>
    <n v="0.53076923076923077"/>
    <x v="0"/>
    <x v="47"/>
    <n v="34"/>
    <x v="2"/>
    <x v="4"/>
  </r>
  <r>
    <x v="408"/>
    <n v="34000"/>
    <n v="340"/>
    <x v="25"/>
    <n v="6"/>
    <n v="27200"/>
    <x v="182"/>
    <n v="200"/>
    <n v="1.36"/>
    <x v="0"/>
    <x v="3"/>
    <n v="68"/>
    <x v="2"/>
    <x v="0"/>
  </r>
  <r>
    <x v="409"/>
    <n v="20500"/>
    <n v="205"/>
    <x v="11"/>
    <n v="2"/>
    <n v="20500"/>
    <x v="125"/>
    <n v="50"/>
    <n v="4.0999999999999996"/>
    <x v="0"/>
    <x v="8"/>
    <n v="0"/>
    <x v="2"/>
    <x v="2"/>
  </r>
  <r>
    <x v="410"/>
    <n v="29500"/>
    <n v="295"/>
    <x v="22"/>
    <n v="5"/>
    <n v="26600"/>
    <x v="158"/>
    <n v="160"/>
    <n v="1.6625000000000001"/>
    <x v="0"/>
    <x v="48"/>
    <n v="29"/>
    <x v="2"/>
    <x v="4"/>
  </r>
  <r>
    <x v="411"/>
    <n v="16500"/>
    <n v="165"/>
    <x v="10"/>
    <n v="6"/>
    <n v="15600"/>
    <x v="183"/>
    <n v="500"/>
    <n v="0.312"/>
    <x v="0"/>
    <x v="5"/>
    <n v="9"/>
    <x v="1"/>
    <x v="2"/>
  </r>
  <r>
    <x v="412"/>
    <n v="6500"/>
    <n v="65"/>
    <x v="17"/>
    <n v="6"/>
    <n v="6100"/>
    <x v="146"/>
    <n v="180"/>
    <n v="0.33888888888888891"/>
    <x v="0"/>
    <x v="49"/>
    <n v="4"/>
    <x v="1"/>
    <x v="4"/>
  </r>
  <r>
    <x v="413"/>
    <n v="33500"/>
    <n v="335"/>
    <x v="23"/>
    <n v="6"/>
    <n v="23500"/>
    <x v="184"/>
    <n v="200"/>
    <n v="1.175"/>
    <x v="0"/>
    <x v="3"/>
    <n v="100"/>
    <x v="2"/>
    <x v="3"/>
  </r>
  <r>
    <x v="414"/>
    <n v="8000"/>
    <n v="80"/>
    <x v="11"/>
    <n v="5"/>
    <n v="8000"/>
    <x v="111"/>
    <n v="100"/>
    <n v="0.8"/>
    <x v="0"/>
    <x v="1"/>
    <n v="0"/>
    <x v="1"/>
    <x v="2"/>
  </r>
  <r>
    <x v="415"/>
    <n v="11000"/>
    <n v="110"/>
    <x v="10"/>
    <n v="6"/>
    <n v="10400"/>
    <x v="185"/>
    <n v="400"/>
    <n v="0.26"/>
    <x v="0"/>
    <x v="18"/>
    <n v="6"/>
    <x v="1"/>
    <x v="2"/>
  </r>
  <r>
    <x v="153"/>
    <n v="14700"/>
    <n v="147"/>
    <x v="14"/>
    <n v="6"/>
    <n v="13200"/>
    <x v="186"/>
    <n v="200"/>
    <n v="0.66"/>
    <x v="0"/>
    <x v="3"/>
    <n v="15"/>
    <x v="1"/>
    <x v="4"/>
  </r>
  <r>
    <x v="416"/>
    <n v="9000"/>
    <n v="90"/>
    <x v="6"/>
    <n v="6"/>
    <n v="8600"/>
    <x v="110"/>
    <n v="200"/>
    <n v="0.43"/>
    <x v="0"/>
    <x v="3"/>
    <n v="4"/>
    <x v="1"/>
    <x v="2"/>
  </r>
  <r>
    <x v="417"/>
    <n v="6500"/>
    <n v="65"/>
    <x v="14"/>
    <n v="6"/>
    <n v="5800"/>
    <x v="103"/>
    <n v="100"/>
    <n v="0.57999999999999996"/>
    <x v="0"/>
    <x v="1"/>
    <n v="7"/>
    <x v="1"/>
    <x v="4"/>
  </r>
  <r>
    <x v="418"/>
    <n v="7000"/>
    <n v="70"/>
    <x v="14"/>
    <n v="6"/>
    <n v="6300"/>
    <x v="6"/>
    <n v="500"/>
    <n v="0.126"/>
    <x v="0"/>
    <x v="5"/>
    <n v="7"/>
    <x v="1"/>
    <x v="4"/>
  </r>
  <r>
    <x v="419"/>
    <n v="13500"/>
    <n v="135"/>
    <x v="13"/>
    <n v="6"/>
    <n v="12500"/>
    <x v="98"/>
    <n v="1000"/>
    <n v="0.125"/>
    <x v="0"/>
    <x v="0"/>
    <n v="10"/>
    <x v="1"/>
    <x v="4"/>
  </r>
  <r>
    <x v="420"/>
    <n v="14000"/>
    <n v="140"/>
    <x v="11"/>
    <n v="5"/>
    <n v="14000"/>
    <x v="187"/>
    <n v="1000"/>
    <n v="0.14000000000000001"/>
    <x v="0"/>
    <x v="0"/>
    <n v="0"/>
    <x v="1"/>
    <x v="2"/>
  </r>
  <r>
    <x v="421"/>
    <n v="4400"/>
    <n v="44"/>
    <x v="11"/>
    <n v="6"/>
    <n v="4400"/>
    <x v="95"/>
    <n v="60"/>
    <n v="0.73333333333333328"/>
    <x v="0"/>
    <x v="16"/>
    <n v="0"/>
    <x v="0"/>
    <x v="2"/>
  </r>
  <r>
    <x v="422"/>
    <n v="20000"/>
    <n v="200"/>
    <x v="15"/>
    <n v="6"/>
    <n v="17800"/>
    <x v="115"/>
    <n v="264"/>
    <n v="0.6742424242424242"/>
    <x v="0"/>
    <x v="50"/>
    <n v="22"/>
    <x v="1"/>
    <x v="1"/>
  </r>
  <r>
    <x v="295"/>
    <n v="6000"/>
    <n v="60"/>
    <x v="14"/>
    <n v="5"/>
    <n v="5400"/>
    <x v="75"/>
    <n v="108"/>
    <n v="0.5"/>
    <x v="0"/>
    <x v="51"/>
    <n v="6"/>
    <x v="1"/>
    <x v="4"/>
  </r>
  <r>
    <x v="423"/>
    <n v="10000"/>
    <n v="100"/>
    <x v="11"/>
    <n v="1"/>
    <n v="10000"/>
    <x v="141"/>
    <n v="50"/>
    <n v="2"/>
    <x v="0"/>
    <x v="8"/>
    <n v="0"/>
    <x v="1"/>
    <x v="2"/>
  </r>
  <r>
    <x v="424"/>
    <n v="9500"/>
    <n v="95"/>
    <x v="17"/>
    <n v="6"/>
    <n v="8900"/>
    <x v="25"/>
    <n v="150"/>
    <n v="0.59333333333333338"/>
    <x v="0"/>
    <x v="34"/>
    <n v="6"/>
    <x v="1"/>
    <x v="4"/>
  </r>
  <r>
    <x v="425"/>
    <n v="7500"/>
    <n v="75"/>
    <x v="30"/>
    <n v="6"/>
    <n v="5200"/>
    <x v="94"/>
    <n v="80"/>
    <n v="0.65"/>
    <x v="0"/>
    <x v="30"/>
    <n v="23"/>
    <x v="1"/>
    <x v="3"/>
  </r>
  <r>
    <x v="426"/>
    <n v="19500"/>
    <n v="195"/>
    <x v="22"/>
    <n v="5"/>
    <n v="17600"/>
    <x v="188"/>
    <n v="500"/>
    <n v="0.35199999999999998"/>
    <x v="0"/>
    <x v="5"/>
    <n v="19"/>
    <x v="1"/>
    <x v="4"/>
  </r>
  <r>
    <x v="427"/>
    <n v="4200"/>
    <n v="42"/>
    <x v="11"/>
    <n v="6"/>
    <n v="4200"/>
    <x v="189"/>
    <n v="60"/>
    <n v="0.7"/>
    <x v="0"/>
    <x v="16"/>
    <n v="0"/>
    <x v="0"/>
    <x v="2"/>
  </r>
  <r>
    <x v="428"/>
    <n v="11000"/>
    <n v="110"/>
    <x v="30"/>
    <n v="6"/>
    <n v="7700"/>
    <x v="93"/>
    <n v="285"/>
    <n v="0.27017543859649124"/>
    <x v="0"/>
    <x v="43"/>
    <n v="33"/>
    <x v="1"/>
    <x v="3"/>
  </r>
  <r>
    <x v="429"/>
    <n v="7000"/>
    <n v="70"/>
    <x v="14"/>
    <n v="6"/>
    <n v="6300"/>
    <x v="6"/>
    <n v="500"/>
    <n v="0.126"/>
    <x v="0"/>
    <x v="5"/>
    <n v="7"/>
    <x v="1"/>
    <x v="4"/>
  </r>
  <r>
    <x v="430"/>
    <n v="7500"/>
    <n v="75"/>
    <x v="0"/>
    <n v="6"/>
    <n v="6300"/>
    <x v="6"/>
    <n v="100"/>
    <n v="0.63"/>
    <x v="0"/>
    <x v="1"/>
    <n v="12"/>
    <x v="1"/>
    <x v="0"/>
  </r>
  <r>
    <x v="431"/>
    <n v="8000"/>
    <n v="80"/>
    <x v="17"/>
    <n v="6"/>
    <n v="7500"/>
    <x v="30"/>
    <n v="500"/>
    <n v="0.15"/>
    <x v="0"/>
    <x v="5"/>
    <n v="5"/>
    <x v="1"/>
    <x v="4"/>
  </r>
  <r>
    <x v="432"/>
    <n v="10500"/>
    <n v="105"/>
    <x v="13"/>
    <n v="6"/>
    <n v="9700"/>
    <x v="41"/>
    <n v="500"/>
    <n v="0.19400000000000001"/>
    <x v="0"/>
    <x v="5"/>
    <n v="8"/>
    <x v="1"/>
    <x v="4"/>
  </r>
  <r>
    <x v="433"/>
    <n v="10900"/>
    <n v="109"/>
    <x v="14"/>
    <n v="6"/>
    <n v="9800"/>
    <x v="129"/>
    <n v="35"/>
    <n v="2.8"/>
    <x v="0"/>
    <x v="52"/>
    <n v="11"/>
    <x v="1"/>
    <x v="4"/>
  </r>
  <r>
    <x v="434"/>
    <n v="11500"/>
    <n v="115"/>
    <x v="11"/>
    <n v="3"/>
    <n v="11500"/>
    <x v="105"/>
    <n v="200"/>
    <n v="0.57499999999999996"/>
    <x v="0"/>
    <x v="3"/>
    <n v="0"/>
    <x v="1"/>
    <x v="2"/>
  </r>
  <r>
    <x v="435"/>
    <n v="39900"/>
    <n v="399"/>
    <x v="20"/>
    <n v="6"/>
    <n v="29900"/>
    <x v="90"/>
    <n v="200"/>
    <n v="1.4950000000000001"/>
    <x v="0"/>
    <x v="3"/>
    <n v="100"/>
    <x v="2"/>
    <x v="3"/>
  </r>
  <r>
    <x v="436"/>
    <n v="12000"/>
    <n v="120"/>
    <x v="14"/>
    <n v="6"/>
    <n v="10800"/>
    <x v="145"/>
    <n v="500"/>
    <n v="0.216"/>
    <x v="0"/>
    <x v="5"/>
    <n v="12"/>
    <x v="1"/>
    <x v="4"/>
  </r>
  <r>
    <x v="437"/>
    <n v="9900"/>
    <n v="99"/>
    <x v="11"/>
    <n v="6"/>
    <n v="9900"/>
    <x v="24"/>
    <n v="75"/>
    <n v="1.32"/>
    <x v="0"/>
    <x v="38"/>
    <n v="0"/>
    <x v="1"/>
    <x v="2"/>
  </r>
  <r>
    <x v="438"/>
    <n v="6300"/>
    <n v="63"/>
    <x v="11"/>
    <n v="6"/>
    <n v="6300"/>
    <x v="6"/>
    <n v="200"/>
    <n v="0.315"/>
    <x v="0"/>
    <x v="3"/>
    <n v="0"/>
    <x v="1"/>
    <x v="2"/>
  </r>
  <r>
    <x v="439"/>
    <n v="20000"/>
    <n v="200"/>
    <x v="15"/>
    <n v="6"/>
    <n v="17800"/>
    <x v="115"/>
    <n v="180"/>
    <n v="0.98888888888888893"/>
    <x v="0"/>
    <x v="49"/>
    <n v="22"/>
    <x v="1"/>
    <x v="1"/>
  </r>
  <r>
    <x v="440"/>
    <n v="5000"/>
    <n v="50"/>
    <x v="12"/>
    <n v="6"/>
    <n v="4900"/>
    <x v="7"/>
    <n v="20"/>
    <n v="2.4500000000000002"/>
    <x v="0"/>
    <x v="29"/>
    <n v="1"/>
    <x v="0"/>
    <x v="2"/>
  </r>
  <r>
    <x v="285"/>
    <n v="5000"/>
    <n v="50"/>
    <x v="12"/>
    <n v="2"/>
    <n v="4900"/>
    <x v="7"/>
    <n v="200"/>
    <n v="0.245"/>
    <x v="0"/>
    <x v="3"/>
    <n v="1"/>
    <x v="0"/>
    <x v="2"/>
  </r>
  <r>
    <x v="441"/>
    <n v="29500"/>
    <n v="295"/>
    <x v="22"/>
    <n v="6"/>
    <n v="26600"/>
    <x v="158"/>
    <n v="250"/>
    <n v="1.0640000000000001"/>
    <x v="0"/>
    <x v="2"/>
    <n v="29"/>
    <x v="2"/>
    <x v="4"/>
  </r>
  <r>
    <x v="442"/>
    <n v="15000"/>
    <n v="150"/>
    <x v="11"/>
    <n v="4"/>
    <n v="15000"/>
    <x v="166"/>
    <n v="400"/>
    <n v="0.375"/>
    <x v="0"/>
    <x v="18"/>
    <n v="0"/>
    <x v="1"/>
    <x v="2"/>
  </r>
  <r>
    <x v="443"/>
    <n v="13000"/>
    <n v="130"/>
    <x v="14"/>
    <n v="6"/>
    <n v="11600"/>
    <x v="190"/>
    <n v="500"/>
    <n v="0.23200000000000001"/>
    <x v="0"/>
    <x v="5"/>
    <n v="14"/>
    <x v="1"/>
    <x v="4"/>
  </r>
  <r>
    <x v="444"/>
    <n v="43000"/>
    <n v="430"/>
    <x v="14"/>
    <n v="6"/>
    <n v="38700"/>
    <x v="162"/>
    <n v="5000"/>
    <n v="7.7399999999999997E-2"/>
    <x v="0"/>
    <x v="13"/>
    <n v="43"/>
    <x v="2"/>
    <x v="4"/>
  </r>
  <r>
    <x v="445"/>
    <n v="7000"/>
    <n v="70"/>
    <x v="4"/>
    <n v="6"/>
    <n v="5700"/>
    <x v="16"/>
    <n v="400"/>
    <n v="0.14249999999999999"/>
    <x v="0"/>
    <x v="18"/>
    <n v="13"/>
    <x v="1"/>
    <x v="0"/>
  </r>
  <r>
    <x v="446"/>
    <n v="26500"/>
    <n v="265"/>
    <x v="22"/>
    <n v="6"/>
    <n v="23900"/>
    <x v="138"/>
    <n v="1000"/>
    <n v="0.23899999999999999"/>
    <x v="0"/>
    <x v="0"/>
    <n v="26"/>
    <x v="2"/>
    <x v="4"/>
  </r>
  <r>
    <x v="447"/>
    <n v="54000"/>
    <n v="540"/>
    <x v="25"/>
    <n v="6"/>
    <n v="43200"/>
    <x v="191"/>
    <n v="150"/>
    <n v="2.88"/>
    <x v="0"/>
    <x v="34"/>
    <n v="108"/>
    <x v="2"/>
    <x v="0"/>
  </r>
  <r>
    <x v="448"/>
    <n v="6000"/>
    <n v="60"/>
    <x v="14"/>
    <n v="6"/>
    <n v="5400"/>
    <x v="75"/>
    <n v="250"/>
    <n v="0.216"/>
    <x v="0"/>
    <x v="2"/>
    <n v="6"/>
    <x v="1"/>
    <x v="4"/>
  </r>
  <r>
    <x v="449"/>
    <n v="34900"/>
    <n v="349"/>
    <x v="25"/>
    <n v="6"/>
    <n v="27900"/>
    <x v="192"/>
    <n v="200"/>
    <n v="1.395"/>
    <x v="0"/>
    <x v="3"/>
    <n v="70"/>
    <x v="2"/>
    <x v="0"/>
  </r>
  <r>
    <x v="450"/>
    <n v="16000"/>
    <n v="160"/>
    <x v="17"/>
    <n v="6"/>
    <n v="15000"/>
    <x v="166"/>
    <n v="900"/>
    <n v="0.16666666666666666"/>
    <x v="0"/>
    <x v="53"/>
    <n v="10"/>
    <x v="1"/>
    <x v="4"/>
  </r>
  <r>
    <x v="451"/>
    <n v="9000"/>
    <n v="90"/>
    <x v="17"/>
    <n v="6"/>
    <n v="8400"/>
    <x v="17"/>
    <n v="500"/>
    <n v="0.16800000000000001"/>
    <x v="0"/>
    <x v="5"/>
    <n v="6"/>
    <x v="1"/>
    <x v="4"/>
  </r>
  <r>
    <x v="452"/>
    <n v="11500"/>
    <n v="115"/>
    <x v="11"/>
    <n v="4"/>
    <n v="11500"/>
    <x v="105"/>
    <n v="200"/>
    <n v="0.57499999999999996"/>
    <x v="0"/>
    <x v="3"/>
    <n v="0"/>
    <x v="1"/>
    <x v="2"/>
  </r>
  <r>
    <x v="272"/>
    <n v="17300"/>
    <n v="173"/>
    <x v="17"/>
    <n v="6"/>
    <n v="16200"/>
    <x v="120"/>
    <n v="500"/>
    <n v="0.32400000000000001"/>
    <x v="0"/>
    <x v="5"/>
    <n v="11"/>
    <x v="1"/>
    <x v="4"/>
  </r>
  <r>
    <x v="453"/>
    <n v="7500"/>
    <n v="75"/>
    <x v="30"/>
    <n v="5"/>
    <n v="5200"/>
    <x v="94"/>
    <n v="80"/>
    <n v="0.65"/>
    <x v="0"/>
    <x v="30"/>
    <n v="23"/>
    <x v="1"/>
    <x v="3"/>
  </r>
  <r>
    <x v="454"/>
    <n v="10000"/>
    <n v="100"/>
    <x v="11"/>
    <n v="2"/>
    <n v="10000"/>
    <x v="141"/>
    <n v="950"/>
    <n v="0.10526315789473684"/>
    <x v="0"/>
    <x v="54"/>
    <n v="0"/>
    <x v="1"/>
    <x v="2"/>
  </r>
  <r>
    <x v="455"/>
    <n v="17000"/>
    <n v="170"/>
    <x v="17"/>
    <n v="6"/>
    <n v="15900"/>
    <x v="28"/>
    <n v="500"/>
    <n v="0.318"/>
    <x v="0"/>
    <x v="5"/>
    <n v="11"/>
    <x v="1"/>
    <x v="4"/>
  </r>
  <r>
    <x v="456"/>
    <n v="19500"/>
    <n v="195"/>
    <x v="22"/>
    <n v="6"/>
    <n v="17600"/>
    <x v="188"/>
    <n v="500"/>
    <n v="0.35199999999999998"/>
    <x v="0"/>
    <x v="5"/>
    <n v="19"/>
    <x v="1"/>
    <x v="4"/>
  </r>
  <r>
    <x v="354"/>
    <n v="19900"/>
    <n v="199"/>
    <x v="11"/>
    <n v="2"/>
    <n v="19900"/>
    <x v="49"/>
    <n v="240"/>
    <n v="0.82916666666666672"/>
    <x v="0"/>
    <x v="19"/>
    <n v="0"/>
    <x v="1"/>
    <x v="2"/>
  </r>
  <r>
    <x v="457"/>
    <n v="9900"/>
    <n v="99"/>
    <x v="11"/>
    <n v="6"/>
    <n v="9900"/>
    <x v="24"/>
    <n v="14"/>
    <n v="7.0714285714285712"/>
    <x v="0"/>
    <x v="55"/>
    <n v="0"/>
    <x v="1"/>
    <x v="2"/>
  </r>
  <r>
    <x v="458"/>
    <n v="8000"/>
    <n v="80"/>
    <x v="14"/>
    <n v="6"/>
    <n v="7200"/>
    <x v="82"/>
    <n v="500"/>
    <n v="0.14399999999999999"/>
    <x v="0"/>
    <x v="5"/>
    <n v="8"/>
    <x v="1"/>
    <x v="4"/>
  </r>
  <r>
    <x v="459"/>
    <n v="5500"/>
    <n v="55"/>
    <x v="11"/>
    <n v="4"/>
    <n v="5500"/>
    <x v="42"/>
    <n v="80"/>
    <n v="0.6875"/>
    <x v="0"/>
    <x v="30"/>
    <n v="0"/>
    <x v="1"/>
    <x v="2"/>
  </r>
  <r>
    <x v="460"/>
    <n v="17000"/>
    <n v="170"/>
    <x v="11"/>
    <n v="5"/>
    <n v="17000"/>
    <x v="193"/>
    <n v="500"/>
    <n v="0.34"/>
    <x v="0"/>
    <x v="5"/>
    <n v="0"/>
    <x v="1"/>
    <x v="2"/>
  </r>
  <r>
    <x v="461"/>
    <n v="22000"/>
    <n v="220"/>
    <x v="26"/>
    <n v="6"/>
    <n v="11000"/>
    <x v="139"/>
    <n v="200"/>
    <n v="0.55000000000000004"/>
    <x v="0"/>
    <x v="3"/>
    <n v="110"/>
    <x v="1"/>
    <x v="3"/>
  </r>
  <r>
    <x v="462"/>
    <n v="39900"/>
    <n v="399"/>
    <x v="11"/>
    <n v="6"/>
    <n v="39900"/>
    <x v="52"/>
    <n v="1000"/>
    <n v="0.39900000000000002"/>
    <x v="0"/>
    <x v="0"/>
    <n v="0"/>
    <x v="2"/>
    <x v="2"/>
  </r>
  <r>
    <x v="463"/>
    <n v="6600"/>
    <n v="66"/>
    <x v="11"/>
    <n v="6"/>
    <n v="6600"/>
    <x v="194"/>
    <n v="50"/>
    <n v="1.32"/>
    <x v="0"/>
    <x v="8"/>
    <n v="0"/>
    <x v="1"/>
    <x v="2"/>
  </r>
  <r>
    <x v="464"/>
    <n v="9900"/>
    <n v="99"/>
    <x v="11"/>
    <n v="6"/>
    <n v="9900"/>
    <x v="24"/>
    <n v="100"/>
    <n v="0.99"/>
    <x v="0"/>
    <x v="1"/>
    <n v="0"/>
    <x v="1"/>
    <x v="2"/>
  </r>
  <r>
    <x v="465"/>
    <n v="4000"/>
    <n v="40"/>
    <x v="12"/>
    <n v="6"/>
    <n v="3900"/>
    <x v="34"/>
    <n v="100"/>
    <n v="0.39"/>
    <x v="0"/>
    <x v="1"/>
    <n v="1"/>
    <x v="0"/>
    <x v="2"/>
  </r>
  <r>
    <x v="466"/>
    <n v="17000"/>
    <n v="170"/>
    <x v="17"/>
    <n v="6"/>
    <n v="15900"/>
    <x v="28"/>
    <n v="270"/>
    <n v="0.58888888888888891"/>
    <x v="0"/>
    <x v="56"/>
    <n v="11"/>
    <x v="1"/>
    <x v="4"/>
  </r>
  <r>
    <x v="467"/>
    <n v="2500"/>
    <n v="25"/>
    <x v="11"/>
    <n v="1"/>
    <n v="2500"/>
    <x v="14"/>
    <n v="77"/>
    <n v="0.32467532467532467"/>
    <x v="0"/>
    <x v="57"/>
    <n v="0"/>
    <x v="0"/>
    <x v="2"/>
  </r>
  <r>
    <x v="468"/>
    <n v="11000"/>
    <n v="110"/>
    <x v="17"/>
    <n v="6"/>
    <n v="10300"/>
    <x v="195"/>
    <n v="500"/>
    <n v="0.20599999999999999"/>
    <x v="0"/>
    <x v="5"/>
    <n v="7"/>
    <x v="1"/>
    <x v="4"/>
  </r>
  <r>
    <x v="377"/>
    <n v="27000"/>
    <n v="270"/>
    <x v="13"/>
    <n v="6"/>
    <n v="25100"/>
    <x v="91"/>
    <n v="50"/>
    <n v="5.0199999999999996"/>
    <x v="0"/>
    <x v="8"/>
    <n v="19"/>
    <x v="2"/>
    <x v="4"/>
  </r>
  <r>
    <x v="469"/>
    <n v="29500"/>
    <n v="295"/>
    <x v="11"/>
    <n v="4"/>
    <n v="29500"/>
    <x v="196"/>
    <n v="500"/>
    <n v="0.59"/>
    <x v="0"/>
    <x v="5"/>
    <n v="0"/>
    <x v="2"/>
    <x v="2"/>
  </r>
  <r>
    <x v="470"/>
    <n v="25000"/>
    <n v="250"/>
    <x v="11"/>
    <n v="5"/>
    <n v="25000"/>
    <x v="113"/>
    <n v="400"/>
    <n v="0.625"/>
    <x v="0"/>
    <x v="18"/>
    <n v="0"/>
    <x v="2"/>
    <x v="2"/>
  </r>
  <r>
    <x v="471"/>
    <n v="49000"/>
    <n v="490"/>
    <x v="15"/>
    <n v="6"/>
    <n v="43600"/>
    <x v="197"/>
    <n v="2000"/>
    <n v="0.218"/>
    <x v="0"/>
    <x v="9"/>
    <n v="54"/>
    <x v="2"/>
    <x v="1"/>
  </r>
  <r>
    <x v="472"/>
    <n v="14000"/>
    <n v="140"/>
    <x v="11"/>
    <n v="6"/>
    <n v="14000"/>
    <x v="187"/>
    <n v="500"/>
    <n v="0.28000000000000003"/>
    <x v="0"/>
    <x v="5"/>
    <n v="0"/>
    <x v="1"/>
    <x v="2"/>
  </r>
  <r>
    <x v="277"/>
    <n v="18500"/>
    <n v="185"/>
    <x v="10"/>
    <n v="3"/>
    <n v="17500"/>
    <x v="81"/>
    <n v="300"/>
    <n v="0.58333333333333337"/>
    <x v="0"/>
    <x v="10"/>
    <n v="10"/>
    <x v="1"/>
    <x v="2"/>
  </r>
  <r>
    <x v="473"/>
    <n v="25000"/>
    <n v="250"/>
    <x v="2"/>
    <n v="6"/>
    <n v="21300"/>
    <x v="198"/>
    <n v="410"/>
    <n v="0.51951219512195124"/>
    <x v="0"/>
    <x v="58"/>
    <n v="37"/>
    <x v="2"/>
    <x v="1"/>
  </r>
  <r>
    <x v="474"/>
    <n v="17500"/>
    <n v="175"/>
    <x v="14"/>
    <n v="6"/>
    <n v="15600"/>
    <x v="183"/>
    <n v="225"/>
    <n v="0.69333333333333336"/>
    <x v="0"/>
    <x v="21"/>
    <n v="19"/>
    <x v="1"/>
    <x v="4"/>
  </r>
  <r>
    <x v="475"/>
    <n v="20000"/>
    <n v="200"/>
    <x v="11"/>
    <n v="6"/>
    <n v="20000"/>
    <x v="157"/>
    <n v="450"/>
    <n v="0.44444444444444442"/>
    <x v="0"/>
    <x v="15"/>
    <n v="0"/>
    <x v="2"/>
    <x v="2"/>
  </r>
  <r>
    <x v="476"/>
    <n v="8000"/>
    <n v="80"/>
    <x v="11"/>
    <n v="6"/>
    <n v="8000"/>
    <x v="111"/>
    <n v="100"/>
    <n v="0.8"/>
    <x v="0"/>
    <x v="1"/>
    <n v="0"/>
    <x v="1"/>
    <x v="2"/>
  </r>
  <r>
    <x v="477"/>
    <n v="6600"/>
    <n v="66"/>
    <x v="11"/>
    <n v="6"/>
    <n v="6600"/>
    <x v="194"/>
    <n v="50"/>
    <n v="1.32"/>
    <x v="0"/>
    <x v="8"/>
    <n v="0"/>
    <x v="1"/>
    <x v="2"/>
  </r>
  <r>
    <x v="478"/>
    <n v="13500"/>
    <n v="135"/>
    <x v="11"/>
    <n v="6"/>
    <n v="13500"/>
    <x v="114"/>
    <n v="500"/>
    <n v="0.27"/>
    <x v="0"/>
    <x v="5"/>
    <n v="0"/>
    <x v="1"/>
    <x v="2"/>
  </r>
  <r>
    <x v="354"/>
    <n v="19900"/>
    <n v="199"/>
    <x v="14"/>
    <n v="6"/>
    <n v="17900"/>
    <x v="199"/>
    <n v="240"/>
    <n v="0.74583333333333335"/>
    <x v="0"/>
    <x v="19"/>
    <n v="20"/>
    <x v="1"/>
    <x v="4"/>
  </r>
  <r>
    <x v="213"/>
    <n v="105000"/>
    <n v="1050"/>
    <x v="11"/>
    <n v="2"/>
    <n v="105000"/>
    <x v="200"/>
    <n v="5000"/>
    <n v="0.21"/>
    <x v="0"/>
    <x v="13"/>
    <n v="0"/>
    <x v="2"/>
    <x v="2"/>
  </r>
  <r>
    <x v="479"/>
    <n v="47500"/>
    <n v="475"/>
    <x v="14"/>
    <n v="6"/>
    <n v="42300"/>
    <x v="201"/>
    <n v="5000"/>
    <n v="8.4599999999999995E-2"/>
    <x v="0"/>
    <x v="13"/>
    <n v="52"/>
    <x v="2"/>
    <x v="4"/>
  </r>
  <r>
    <x v="480"/>
    <n v="13000"/>
    <n v="130"/>
    <x v="13"/>
    <n v="6"/>
    <n v="12000"/>
    <x v="127"/>
    <n v="500"/>
    <n v="0.24"/>
    <x v="0"/>
    <x v="5"/>
    <n v="10"/>
    <x v="1"/>
    <x v="4"/>
  </r>
  <r>
    <x v="481"/>
    <n v="7000"/>
    <n v="70"/>
    <x v="11"/>
    <n v="6"/>
    <n v="7000"/>
    <x v="124"/>
    <n v="100"/>
    <n v="0.7"/>
    <x v="0"/>
    <x v="1"/>
    <n v="0"/>
    <x v="1"/>
    <x v="2"/>
  </r>
  <r>
    <x v="482"/>
    <n v="10000"/>
    <n v="100"/>
    <x v="15"/>
    <n v="6"/>
    <n v="8900"/>
    <x v="25"/>
    <n v="500"/>
    <n v="0.17799999999999999"/>
    <x v="0"/>
    <x v="5"/>
    <n v="11"/>
    <x v="1"/>
    <x v="1"/>
  </r>
  <r>
    <x v="483"/>
    <n v="29500"/>
    <n v="295"/>
    <x v="11"/>
    <n v="6"/>
    <n v="29500"/>
    <x v="196"/>
    <n v="475"/>
    <n v="0.62105263157894741"/>
    <x v="0"/>
    <x v="59"/>
    <n v="0"/>
    <x v="2"/>
    <x v="2"/>
  </r>
  <r>
    <x v="484"/>
    <n v="260000"/>
    <n v="2600"/>
    <x v="31"/>
    <n v="6"/>
    <n v="139900"/>
    <x v="202"/>
    <n v="2000"/>
    <n v="0.69950000000000001"/>
    <x v="0"/>
    <x v="9"/>
    <n v="1201"/>
    <x v="2"/>
    <x v="3"/>
  </r>
  <r>
    <x v="485"/>
    <n v="6000"/>
    <n v="60"/>
    <x v="11"/>
    <n v="6"/>
    <n v="6000"/>
    <x v="69"/>
    <n v="20"/>
    <n v="3"/>
    <x v="0"/>
    <x v="29"/>
    <n v="0"/>
    <x v="1"/>
    <x v="2"/>
  </r>
  <r>
    <x v="486"/>
    <n v="9500"/>
    <n v="95"/>
    <x v="11"/>
    <n v="6"/>
    <n v="9500"/>
    <x v="79"/>
    <n v="100"/>
    <n v="0.95"/>
    <x v="0"/>
    <x v="1"/>
    <n v="0"/>
    <x v="1"/>
    <x v="2"/>
  </r>
  <r>
    <x v="487"/>
    <n v="70000"/>
    <n v="700"/>
    <x v="14"/>
    <n v="3"/>
    <n v="63000"/>
    <x v="203"/>
    <n v="5000"/>
    <n v="0.126"/>
    <x v="0"/>
    <x v="13"/>
    <n v="70"/>
    <x v="2"/>
    <x v="4"/>
  </r>
  <r>
    <x v="488"/>
    <n v="5000"/>
    <n v="50"/>
    <x v="11"/>
    <n v="6"/>
    <n v="5000"/>
    <x v="35"/>
    <n v="20"/>
    <n v="2.5"/>
    <x v="0"/>
    <x v="29"/>
    <n v="0"/>
    <x v="1"/>
    <x v="2"/>
  </r>
  <r>
    <x v="489"/>
    <n v="20000"/>
    <n v="200"/>
    <x v="11"/>
    <n v="1"/>
    <n v="20000"/>
    <x v="157"/>
    <n v="500"/>
    <n v="0.4"/>
    <x v="0"/>
    <x v="5"/>
    <n v="0"/>
    <x v="2"/>
    <x v="2"/>
  </r>
  <r>
    <x v="490"/>
    <n v="9900"/>
    <n v="99"/>
    <x v="11"/>
    <n v="6"/>
    <n v="9900"/>
    <x v="24"/>
    <n v="30"/>
    <n v="3.3"/>
    <x v="0"/>
    <x v="60"/>
    <n v="0"/>
    <x v="1"/>
    <x v="2"/>
  </r>
  <r>
    <x v="491"/>
    <n v="7000"/>
    <n v="70"/>
    <x v="11"/>
    <n v="6"/>
    <n v="7000"/>
    <x v="124"/>
    <n v="500"/>
    <n v="0.14000000000000001"/>
    <x v="0"/>
    <x v="5"/>
    <n v="0"/>
    <x v="1"/>
    <x v="2"/>
  </r>
  <r>
    <x v="492"/>
    <n v="9900"/>
    <n v="99"/>
    <x v="11"/>
    <n v="6"/>
    <n v="9900"/>
    <x v="24"/>
    <n v="28"/>
    <n v="3.5357142857142856"/>
    <x v="0"/>
    <x v="61"/>
    <n v="0"/>
    <x v="1"/>
    <x v="2"/>
  </r>
  <r>
    <x v="493"/>
    <n v="12000"/>
    <n v="120"/>
    <x v="30"/>
    <n v="4"/>
    <n v="8400"/>
    <x v="17"/>
    <n v="285"/>
    <n v="0.29473684210526313"/>
    <x v="0"/>
    <x v="43"/>
    <n v="36"/>
    <x v="1"/>
    <x v="3"/>
  </r>
  <r>
    <x v="494"/>
    <n v="29500"/>
    <n v="295"/>
    <x v="11"/>
    <n v="6"/>
    <n v="29500"/>
    <x v="196"/>
    <n v="500"/>
    <n v="0.59"/>
    <x v="0"/>
    <x v="5"/>
    <n v="0"/>
    <x v="2"/>
    <x v="2"/>
  </r>
  <r>
    <x v="495"/>
    <n v="9500"/>
    <n v="95"/>
    <x v="11"/>
    <n v="6"/>
    <n v="9500"/>
    <x v="79"/>
    <n v="150"/>
    <n v="0.6333333333333333"/>
    <x v="0"/>
    <x v="34"/>
    <n v="0"/>
    <x v="1"/>
    <x v="2"/>
  </r>
  <r>
    <x v="496"/>
    <n v="16500"/>
    <n v="165"/>
    <x v="14"/>
    <n v="6"/>
    <n v="14700"/>
    <x v="168"/>
    <n v="1000"/>
    <n v="0.14699999999999999"/>
    <x v="0"/>
    <x v="0"/>
    <n v="18"/>
    <x v="1"/>
    <x v="4"/>
  </r>
  <r>
    <x v="497"/>
    <n v="29500"/>
    <n v="295"/>
    <x v="11"/>
    <n v="6"/>
    <n v="29500"/>
    <x v="196"/>
    <n v="500"/>
    <n v="0.59"/>
    <x v="0"/>
    <x v="5"/>
    <n v="0"/>
    <x v="2"/>
    <x v="2"/>
  </r>
  <r>
    <x v="498"/>
    <n v="7500"/>
    <n v="75"/>
    <x v="11"/>
    <n v="2"/>
    <n v="7500"/>
    <x v="30"/>
    <n v="100"/>
    <n v="0.75"/>
    <x v="0"/>
    <x v="1"/>
    <n v="0"/>
    <x v="1"/>
    <x v="2"/>
  </r>
  <r>
    <x v="499"/>
    <n v="9900"/>
    <n v="99"/>
    <x v="11"/>
    <n v="6"/>
    <n v="9900"/>
    <x v="24"/>
    <n v="75"/>
    <n v="1.32"/>
    <x v="0"/>
    <x v="38"/>
    <n v="0"/>
    <x v="1"/>
    <x v="2"/>
  </r>
  <r>
    <x v="500"/>
    <n v="8900"/>
    <n v="89"/>
    <x v="14"/>
    <n v="6"/>
    <n v="8000"/>
    <x v="111"/>
    <n v="100"/>
    <n v="0.8"/>
    <x v="0"/>
    <x v="1"/>
    <n v="9"/>
    <x v="1"/>
    <x v="4"/>
  </r>
  <r>
    <x v="501"/>
    <n v="4500"/>
    <n v="45"/>
    <x v="12"/>
    <n v="6"/>
    <n v="4400"/>
    <x v="95"/>
    <n v="90"/>
    <n v="0.48888888888888887"/>
    <x v="0"/>
    <x v="39"/>
    <n v="1"/>
    <x v="0"/>
    <x v="2"/>
  </r>
  <r>
    <x v="502"/>
    <n v="19000"/>
    <n v="190"/>
    <x v="15"/>
    <n v="6"/>
    <n v="16900"/>
    <x v="117"/>
    <n v="500"/>
    <n v="0.33800000000000002"/>
    <x v="0"/>
    <x v="5"/>
    <n v="21"/>
    <x v="1"/>
    <x v="1"/>
  </r>
  <r>
    <x v="503"/>
    <n v="8900"/>
    <n v="89"/>
    <x v="11"/>
    <n v="6"/>
    <n v="8900"/>
    <x v="25"/>
    <n v="100"/>
    <n v="0.89"/>
    <x v="0"/>
    <x v="1"/>
    <n v="0"/>
    <x v="1"/>
    <x v="2"/>
  </r>
  <r>
    <x v="504"/>
    <n v="39900"/>
    <n v="399"/>
    <x v="25"/>
    <n v="6"/>
    <n v="31900"/>
    <x v="204"/>
    <n v="200"/>
    <n v="1.595"/>
    <x v="0"/>
    <x v="3"/>
    <n v="80"/>
    <x v="2"/>
    <x v="0"/>
  </r>
  <r>
    <x v="409"/>
    <n v="20500"/>
    <n v="205"/>
    <x v="11"/>
    <n v="6"/>
    <n v="20500"/>
    <x v="125"/>
    <n v="50"/>
    <n v="4.0999999999999996"/>
    <x v="0"/>
    <x v="29"/>
    <n v="0"/>
    <x v="2"/>
    <x v="2"/>
  </r>
  <r>
    <x v="505"/>
    <n v="13900"/>
    <n v="139"/>
    <x v="14"/>
    <n v="6"/>
    <n v="12500"/>
    <x v="98"/>
    <n v="100"/>
    <n v="1.25"/>
    <x v="0"/>
    <x v="1"/>
    <n v="14"/>
    <x v="1"/>
    <x v="4"/>
  </r>
  <r>
    <x v="506"/>
    <n v="4500"/>
    <n v="45"/>
    <x v="11"/>
    <n v="4"/>
    <n v="4500"/>
    <x v="21"/>
    <n v="80"/>
    <n v="0.5625"/>
    <x v="0"/>
    <x v="30"/>
    <n v="0"/>
    <x v="0"/>
    <x v="2"/>
  </r>
  <r>
    <x v="507"/>
    <n v="13900"/>
    <n v="139"/>
    <x v="11"/>
    <n v="6"/>
    <n v="13900"/>
    <x v="205"/>
    <n v="45"/>
    <n v="3.088888888888889"/>
    <x v="0"/>
    <x v="46"/>
    <n v="0"/>
    <x v="1"/>
    <x v="2"/>
  </r>
  <r>
    <x v="508"/>
    <n v="32500"/>
    <n v="325"/>
    <x v="19"/>
    <n v="1"/>
    <n v="29900"/>
    <x v="90"/>
    <n v="200"/>
    <n v="1.4950000000000001"/>
    <x v="0"/>
    <x v="3"/>
    <n v="26"/>
    <x v="2"/>
    <x v="4"/>
  </r>
  <r>
    <x v="509"/>
    <n v="6000"/>
    <n v="60"/>
    <x v="17"/>
    <n v="0"/>
    <n v="5600"/>
    <x v="123"/>
    <n v="1000"/>
    <n v="5.6000000000000001E-2"/>
    <x v="1"/>
    <x v="0"/>
    <n v="4"/>
    <x v="1"/>
    <x v="4"/>
  </r>
  <r>
    <x v="105"/>
    <n v="6300"/>
    <n v="63"/>
    <x v="11"/>
    <n v="0"/>
    <n v="6300"/>
    <x v="6"/>
    <n v="250"/>
    <n v="0.252"/>
    <x v="1"/>
    <x v="2"/>
    <n v="0"/>
    <x v="1"/>
    <x v="2"/>
  </r>
  <r>
    <x v="510"/>
    <n v="29500"/>
    <n v="295"/>
    <x v="22"/>
    <n v="0"/>
    <n v="26600"/>
    <x v="158"/>
    <n v="5000"/>
    <n v="5.3199999999999997E-2"/>
    <x v="1"/>
    <x v="13"/>
    <n v="29"/>
    <x v="2"/>
    <x v="4"/>
  </r>
  <r>
    <x v="511"/>
    <n v="3500"/>
    <n v="35"/>
    <x v="19"/>
    <n v="0"/>
    <n v="3200"/>
    <x v="29"/>
    <n v="500"/>
    <n v="6.4000000000000001E-2"/>
    <x v="1"/>
    <x v="5"/>
    <n v="3"/>
    <x v="0"/>
    <x v="4"/>
  </r>
  <r>
    <x v="512"/>
    <n v="5300"/>
    <n v="53"/>
    <x v="16"/>
    <n v="0"/>
    <n v="5200"/>
    <x v="94"/>
    <n v="1000"/>
    <n v="5.1999999999999998E-2"/>
    <x v="1"/>
    <x v="0"/>
    <n v="1"/>
    <x v="1"/>
    <x v="2"/>
  </r>
  <r>
    <x v="108"/>
    <n v="21000"/>
    <n v="210"/>
    <x v="5"/>
    <n v="0"/>
    <n v="18100"/>
    <x v="206"/>
    <n v="1000"/>
    <n v="0.18099999999999999"/>
    <x v="1"/>
    <x v="0"/>
    <n v="29"/>
    <x v="1"/>
    <x v="1"/>
  </r>
  <r>
    <x v="513"/>
    <n v="5800"/>
    <n v="58"/>
    <x v="17"/>
    <n v="0"/>
    <n v="5400"/>
    <x v="75"/>
    <n v="72"/>
    <n v="0.75"/>
    <x v="1"/>
    <x v="62"/>
    <n v="4"/>
    <x v="1"/>
    <x v="4"/>
  </r>
  <r>
    <x v="514"/>
    <n v="2200"/>
    <n v="22"/>
    <x v="5"/>
    <n v="0"/>
    <n v="1900"/>
    <x v="8"/>
    <n v="1000"/>
    <n v="1.9E-2"/>
    <x v="1"/>
    <x v="0"/>
    <n v="3"/>
    <x v="0"/>
    <x v="1"/>
  </r>
  <r>
    <x v="515"/>
    <n v="4400"/>
    <n v="44"/>
    <x v="11"/>
    <n v="0"/>
    <n v="4400"/>
    <x v="95"/>
    <n v="280"/>
    <n v="0.15714285714285714"/>
    <x v="1"/>
    <x v="22"/>
    <n v="0"/>
    <x v="0"/>
    <x v="2"/>
  </r>
  <r>
    <x v="516"/>
    <n v="15000"/>
    <n v="150"/>
    <x v="2"/>
    <n v="0"/>
    <n v="12800"/>
    <x v="101"/>
    <n v="100"/>
    <n v="1.28"/>
    <x v="1"/>
    <x v="1"/>
    <n v="22"/>
    <x v="1"/>
    <x v="1"/>
  </r>
  <r>
    <x v="517"/>
    <n v="31500"/>
    <n v="315"/>
    <x v="19"/>
    <n v="0"/>
    <n v="28700"/>
    <x v="207"/>
    <n v="5000"/>
    <n v="5.74E-2"/>
    <x v="1"/>
    <x v="13"/>
    <n v="28"/>
    <x v="2"/>
    <x v="4"/>
  </r>
  <r>
    <x v="518"/>
    <n v="4400"/>
    <n v="44"/>
    <x v="17"/>
    <n v="0"/>
    <n v="4100"/>
    <x v="99"/>
    <n v="500"/>
    <n v="8.2000000000000003E-2"/>
    <x v="1"/>
    <x v="5"/>
    <n v="3"/>
    <x v="0"/>
    <x v="4"/>
  </r>
  <r>
    <x v="519"/>
    <n v="12000"/>
    <n v="120"/>
    <x v="11"/>
    <n v="0"/>
    <n v="12000"/>
    <x v="127"/>
    <n v="1000"/>
    <n v="0.12"/>
    <x v="1"/>
    <x v="0"/>
    <n v="0"/>
    <x v="1"/>
    <x v="2"/>
  </r>
  <r>
    <x v="103"/>
    <n v="8000"/>
    <n v="80"/>
    <x v="13"/>
    <n v="0"/>
    <n v="7400"/>
    <x v="208"/>
    <n v="500"/>
    <n v="0.14799999999999999"/>
    <x v="1"/>
    <x v="5"/>
    <n v="6"/>
    <x v="1"/>
    <x v="4"/>
  </r>
  <r>
    <x v="520"/>
    <n v="4700"/>
    <n v="47"/>
    <x v="12"/>
    <n v="0"/>
    <n v="4600"/>
    <x v="126"/>
    <n v="100"/>
    <n v="0.46"/>
    <x v="1"/>
    <x v="1"/>
    <n v="1"/>
    <x v="0"/>
    <x v="2"/>
  </r>
  <r>
    <x v="521"/>
    <n v="5000"/>
    <n v="50"/>
    <x v="12"/>
    <n v="0"/>
    <n v="4900"/>
    <x v="7"/>
    <n v="100"/>
    <n v="0.49"/>
    <x v="1"/>
    <x v="1"/>
    <n v="1"/>
    <x v="0"/>
    <x v="2"/>
  </r>
  <r>
    <x v="522"/>
    <n v="17900"/>
    <n v="179"/>
    <x v="16"/>
    <n v="0"/>
    <n v="17700"/>
    <x v="209"/>
    <n v="1000"/>
    <n v="0.17699999999999999"/>
    <x v="1"/>
    <x v="3"/>
    <n v="2"/>
    <x v="1"/>
    <x v="2"/>
  </r>
  <r>
    <x v="523"/>
    <n v="3200"/>
    <n v="32"/>
    <x v="18"/>
    <n v="0"/>
    <n v="3100"/>
    <x v="38"/>
    <n v="100"/>
    <n v="0.31"/>
    <x v="1"/>
    <x v="1"/>
    <n v="1"/>
    <x v="0"/>
    <x v="2"/>
  </r>
  <r>
    <x v="524"/>
    <n v="3800"/>
    <n v="38"/>
    <x v="13"/>
    <n v="0"/>
    <n v="3500"/>
    <x v="1"/>
    <n v="500"/>
    <n v="7.0000000000000007E-2"/>
    <x v="1"/>
    <x v="5"/>
    <n v="3"/>
    <x v="0"/>
    <x v="4"/>
  </r>
  <r>
    <x v="525"/>
    <n v="7500"/>
    <n v="75"/>
    <x v="11"/>
    <n v="0"/>
    <n v="7500"/>
    <x v="30"/>
    <n v="1000"/>
    <n v="7.4999999999999997E-2"/>
    <x v="1"/>
    <x v="0"/>
    <n v="0"/>
    <x v="1"/>
    <x v="2"/>
  </r>
  <r>
    <x v="526"/>
    <n v="6400"/>
    <n v="64"/>
    <x v="11"/>
    <n v="0"/>
    <n v="6400"/>
    <x v="66"/>
    <n v="500"/>
    <n v="0.128"/>
    <x v="1"/>
    <x v="5"/>
    <n v="0"/>
    <x v="1"/>
    <x v="2"/>
  </r>
  <r>
    <x v="527"/>
    <n v="11900"/>
    <n v="119"/>
    <x v="17"/>
    <n v="0"/>
    <n v="11100"/>
    <x v="210"/>
    <n v="500"/>
    <n v="0.222"/>
    <x v="1"/>
    <x v="5"/>
    <n v="8"/>
    <x v="1"/>
    <x v="4"/>
  </r>
  <r>
    <x v="528"/>
    <n v="8800"/>
    <n v="88"/>
    <x v="17"/>
    <n v="0"/>
    <n v="8200"/>
    <x v="211"/>
    <n v="500"/>
    <n v="0.16400000000000001"/>
    <x v="1"/>
    <x v="5"/>
    <n v="6"/>
    <x v="1"/>
    <x v="4"/>
  </r>
  <r>
    <x v="529"/>
    <n v="9100"/>
    <n v="91"/>
    <x v="12"/>
    <n v="0"/>
    <n v="8900"/>
    <x v="25"/>
    <n v="500"/>
    <n v="0.17799999999999999"/>
    <x v="1"/>
    <x v="5"/>
    <n v="2"/>
    <x v="1"/>
    <x v="2"/>
  </r>
  <r>
    <x v="530"/>
    <n v="1000"/>
    <n v="10"/>
    <x v="11"/>
    <n v="0"/>
    <n v="1000"/>
    <x v="36"/>
    <n v="20"/>
    <n v="0.5"/>
    <x v="1"/>
    <x v="29"/>
    <n v="0"/>
    <x v="0"/>
    <x v="2"/>
  </r>
  <r>
    <x v="531"/>
    <n v="6500"/>
    <n v="65"/>
    <x v="22"/>
    <n v="0"/>
    <n v="5900"/>
    <x v="31"/>
    <n v="100"/>
    <n v="0.59"/>
    <x v="1"/>
    <x v="1"/>
    <n v="6"/>
    <x v="1"/>
    <x v="4"/>
  </r>
  <r>
    <x v="532"/>
    <n v="5500"/>
    <n v="55"/>
    <x v="22"/>
    <n v="0"/>
    <n v="5000"/>
    <x v="35"/>
    <n v="500"/>
    <n v="0.1"/>
    <x v="1"/>
    <x v="5"/>
    <n v="5"/>
    <x v="1"/>
    <x v="4"/>
  </r>
  <r>
    <x v="118"/>
    <n v="5000"/>
    <n v="50"/>
    <x v="17"/>
    <n v="0"/>
    <n v="4700"/>
    <x v="128"/>
    <n v="200"/>
    <n v="0.23499999999999999"/>
    <x v="1"/>
    <x v="3"/>
    <n v="3"/>
    <x v="0"/>
    <x v="4"/>
  </r>
  <r>
    <x v="533"/>
    <n v="10700"/>
    <n v="107"/>
    <x v="11"/>
    <n v="0"/>
    <n v="10700"/>
    <x v="136"/>
    <n v="600"/>
    <n v="0.17833333333333334"/>
    <x v="1"/>
    <x v="63"/>
    <n v="0"/>
    <x v="1"/>
    <x v="2"/>
  </r>
  <r>
    <x v="534"/>
    <n v="1500"/>
    <n v="15"/>
    <x v="11"/>
    <n v="0"/>
    <n v="1500"/>
    <x v="23"/>
    <n v="38"/>
    <n v="0.39473684210526316"/>
    <x v="1"/>
    <x v="17"/>
    <n v="0"/>
    <x v="0"/>
    <x v="2"/>
  </r>
  <r>
    <x v="535"/>
    <n v="31000"/>
    <n v="310"/>
    <x v="14"/>
    <n v="0"/>
    <n v="27900"/>
    <x v="192"/>
    <n v="500"/>
    <n v="0.55800000000000005"/>
    <x v="1"/>
    <x v="5"/>
    <n v="31"/>
    <x v="2"/>
    <x v="4"/>
  </r>
  <r>
    <x v="536"/>
    <n v="6000"/>
    <n v="60"/>
    <x v="14"/>
    <n v="0"/>
    <n v="5400"/>
    <x v="75"/>
    <n v="100"/>
    <n v="0.54"/>
    <x v="1"/>
    <x v="1"/>
    <n v="6"/>
    <x v="1"/>
    <x v="4"/>
  </r>
  <r>
    <x v="537"/>
    <n v="7900"/>
    <n v="79"/>
    <x v="11"/>
    <n v="0"/>
    <n v="7900"/>
    <x v="32"/>
    <n v="1000"/>
    <n v="7.9000000000000001E-2"/>
    <x v="1"/>
    <x v="0"/>
    <n v="0"/>
    <x v="1"/>
    <x v="2"/>
  </r>
  <r>
    <x v="538"/>
    <n v="3000"/>
    <n v="30"/>
    <x v="18"/>
    <n v="0"/>
    <n v="2900"/>
    <x v="5"/>
    <n v="50"/>
    <n v="0.57999999999999996"/>
    <x v="1"/>
    <x v="8"/>
    <n v="1"/>
    <x v="0"/>
    <x v="2"/>
  </r>
  <r>
    <x v="539"/>
    <n v="3400"/>
    <n v="34"/>
    <x v="12"/>
    <n v="0"/>
    <n v="3300"/>
    <x v="86"/>
    <n v="50"/>
    <n v="0.66"/>
    <x v="1"/>
    <x v="8"/>
    <n v="1"/>
    <x v="0"/>
    <x v="2"/>
  </r>
  <r>
    <x v="540"/>
    <n v="5000"/>
    <n v="50"/>
    <x v="11"/>
    <n v="0"/>
    <n v="5000"/>
    <x v="35"/>
    <n v="70"/>
    <n v="0.7142857142857143"/>
    <x v="1"/>
    <x v="11"/>
    <n v="0"/>
    <x v="1"/>
    <x v="2"/>
  </r>
  <r>
    <x v="541"/>
    <n v="2000"/>
    <n v="20"/>
    <x v="11"/>
    <n v="0"/>
    <n v="2000"/>
    <x v="68"/>
    <n v="100"/>
    <n v="0.2"/>
    <x v="1"/>
    <x v="1"/>
    <n v="0"/>
    <x v="0"/>
    <x v="2"/>
  </r>
  <r>
    <x v="542"/>
    <n v="56500"/>
    <n v="565"/>
    <x v="11"/>
    <n v="0"/>
    <n v="56500"/>
    <x v="212"/>
    <n v="1000"/>
    <n v="0.56499999999999995"/>
    <x v="1"/>
    <x v="0"/>
    <n v="0"/>
    <x v="2"/>
    <x v="2"/>
  </r>
  <r>
    <x v="543"/>
    <n v="4200"/>
    <n v="42"/>
    <x v="12"/>
    <n v="0"/>
    <n v="4100"/>
    <x v="99"/>
    <n v="50"/>
    <n v="0.82"/>
    <x v="1"/>
    <x v="8"/>
    <n v="1"/>
    <x v="0"/>
    <x v="2"/>
  </r>
  <r>
    <x v="544"/>
    <n v="18500"/>
    <n v="185"/>
    <x v="19"/>
    <n v="0"/>
    <n v="16900"/>
    <x v="117"/>
    <n v="1000"/>
    <n v="0.16900000000000001"/>
    <x v="1"/>
    <x v="0"/>
    <n v="16"/>
    <x v="1"/>
    <x v="4"/>
  </r>
  <r>
    <x v="545"/>
    <n v="6000"/>
    <n v="60"/>
    <x v="14"/>
    <n v="0"/>
    <n v="5400"/>
    <x v="75"/>
    <n v="500"/>
    <n v="0.108"/>
    <x v="1"/>
    <x v="5"/>
    <n v="6"/>
    <x v="1"/>
    <x v="4"/>
  </r>
  <r>
    <x v="546"/>
    <n v="4000"/>
    <n v="40"/>
    <x v="11"/>
    <n v="0"/>
    <n v="4000"/>
    <x v="131"/>
    <n v="500"/>
    <n v="0.08"/>
    <x v="1"/>
    <x v="5"/>
    <n v="0"/>
    <x v="0"/>
    <x v="2"/>
  </r>
  <r>
    <x v="523"/>
    <n v="7000"/>
    <n v="70"/>
    <x v="14"/>
    <n v="0"/>
    <n v="6300"/>
    <x v="6"/>
    <n v="200"/>
    <n v="0.315"/>
    <x v="1"/>
    <x v="3"/>
    <n v="7"/>
    <x v="1"/>
    <x v="4"/>
  </r>
  <r>
    <x v="282"/>
    <n v="4800"/>
    <n v="48"/>
    <x v="17"/>
    <n v="0"/>
    <n v="4500"/>
    <x v="21"/>
    <n v="240"/>
    <n v="0.1875"/>
    <x v="1"/>
    <x v="19"/>
    <n v="3"/>
    <x v="0"/>
    <x v="4"/>
  </r>
  <r>
    <x v="547"/>
    <n v="3500"/>
    <n v="35"/>
    <x v="11"/>
    <n v="0"/>
    <n v="3500"/>
    <x v="1"/>
    <n v="100"/>
    <n v="0.35"/>
    <x v="1"/>
    <x v="3"/>
    <n v="0"/>
    <x v="0"/>
    <x v="2"/>
  </r>
  <r>
    <x v="548"/>
    <n v="9000"/>
    <n v="90"/>
    <x v="16"/>
    <n v="0"/>
    <n v="8900"/>
    <x v="25"/>
    <n v="1000"/>
    <n v="8.8999999999999996E-2"/>
    <x v="1"/>
    <x v="0"/>
    <n v="1"/>
    <x v="1"/>
    <x v="2"/>
  </r>
  <r>
    <x v="549"/>
    <n v="9100"/>
    <n v="91"/>
    <x v="22"/>
    <n v="0"/>
    <n v="8200"/>
    <x v="211"/>
    <n v="560"/>
    <n v="0.14642857142857144"/>
    <x v="1"/>
    <x v="64"/>
    <n v="9"/>
    <x v="1"/>
    <x v="4"/>
  </r>
  <r>
    <x v="550"/>
    <n v="6700"/>
    <n v="67"/>
    <x v="14"/>
    <n v="0"/>
    <n v="6000"/>
    <x v="69"/>
    <n v="200"/>
    <n v="0.3"/>
    <x v="1"/>
    <x v="3"/>
    <n v="7"/>
    <x v="1"/>
    <x v="4"/>
  </r>
  <r>
    <x v="551"/>
    <n v="12500"/>
    <n v="125"/>
    <x v="22"/>
    <n v="0"/>
    <n v="11300"/>
    <x v="213"/>
    <n v="500"/>
    <n v="0.22600000000000001"/>
    <x v="1"/>
    <x v="5"/>
    <n v="12"/>
    <x v="1"/>
    <x v="4"/>
  </r>
  <r>
    <x v="552"/>
    <n v="10900"/>
    <n v="109"/>
    <x v="15"/>
    <n v="0"/>
    <n v="9700"/>
    <x v="41"/>
    <n v="80"/>
    <n v="1.2124999999999999"/>
    <x v="1"/>
    <x v="30"/>
    <n v="12"/>
    <x v="1"/>
    <x v="1"/>
  </r>
  <r>
    <x v="553"/>
    <n v="16000"/>
    <n v="160"/>
    <x v="26"/>
    <n v="0"/>
    <n v="8000"/>
    <x v="111"/>
    <n v="500"/>
    <n v="0.16"/>
    <x v="1"/>
    <x v="5"/>
    <n v="80"/>
    <x v="1"/>
    <x v="3"/>
  </r>
  <r>
    <x v="196"/>
    <n v="12500"/>
    <n v="125"/>
    <x v="11"/>
    <n v="0"/>
    <n v="12500"/>
    <x v="98"/>
    <n v="1000"/>
    <n v="0.125"/>
    <x v="1"/>
    <x v="0"/>
    <n v="0"/>
    <x v="1"/>
    <x v="2"/>
  </r>
  <r>
    <x v="554"/>
    <n v="21000"/>
    <n v="210"/>
    <x v="11"/>
    <n v="0"/>
    <n v="21000"/>
    <x v="50"/>
    <n v="1000"/>
    <n v="0.21"/>
    <x v="1"/>
    <x v="0"/>
    <n v="0"/>
    <x v="2"/>
    <x v="2"/>
  </r>
  <r>
    <x v="555"/>
    <n v="6400"/>
    <n v="64"/>
    <x v="13"/>
    <n v="0"/>
    <n v="5900"/>
    <x v="31"/>
    <n v="1000"/>
    <n v="5.8999999999999997E-2"/>
    <x v="1"/>
    <x v="0"/>
    <n v="5"/>
    <x v="1"/>
    <x v="4"/>
  </r>
  <r>
    <x v="556"/>
    <n v="19000"/>
    <n v="190"/>
    <x v="11"/>
    <n v="0"/>
    <n v="19000"/>
    <x v="89"/>
    <n v="300"/>
    <n v="0.6333333333333333"/>
    <x v="1"/>
    <x v="10"/>
    <n v="0"/>
    <x v="1"/>
    <x v="2"/>
  </r>
  <r>
    <x v="557"/>
    <n v="2800"/>
    <n v="28"/>
    <x v="3"/>
    <n v="0"/>
    <n v="2300"/>
    <x v="63"/>
    <n v="65"/>
    <n v="0.35384615384615387"/>
    <x v="1"/>
    <x v="33"/>
    <n v="5"/>
    <x v="0"/>
    <x v="0"/>
  </r>
  <r>
    <x v="558"/>
    <n v="9900"/>
    <n v="99"/>
    <x v="29"/>
    <n v="0"/>
    <n v="5900"/>
    <x v="31"/>
    <n v="500"/>
    <n v="0.11799999999999999"/>
    <x v="1"/>
    <x v="5"/>
    <n v="40"/>
    <x v="1"/>
    <x v="3"/>
  </r>
  <r>
    <x v="559"/>
    <n v="6000"/>
    <n v="60"/>
    <x v="1"/>
    <n v="0"/>
    <n v="5100"/>
    <x v="62"/>
    <n v="100"/>
    <n v="0.51"/>
    <x v="1"/>
    <x v="1"/>
    <n v="9"/>
    <x v="1"/>
    <x v="1"/>
  </r>
  <r>
    <x v="560"/>
    <n v="9500"/>
    <n v="95"/>
    <x v="11"/>
    <n v="0"/>
    <n v="9500"/>
    <x v="79"/>
    <n v="250"/>
    <n v="0.38"/>
    <x v="1"/>
    <x v="2"/>
    <n v="0"/>
    <x v="1"/>
    <x v="2"/>
  </r>
  <r>
    <x v="561"/>
    <n v="4900"/>
    <n v="49"/>
    <x v="12"/>
    <n v="0"/>
    <n v="4800"/>
    <x v="154"/>
    <n v="200"/>
    <n v="0.24"/>
    <x v="1"/>
    <x v="3"/>
    <n v="1"/>
    <x v="0"/>
    <x v="2"/>
  </r>
  <r>
    <x v="562"/>
    <n v="10200"/>
    <n v="102"/>
    <x v="13"/>
    <n v="0"/>
    <n v="9400"/>
    <x v="60"/>
    <n v="1000"/>
    <n v="9.4E-2"/>
    <x v="1"/>
    <x v="0"/>
    <n v="8"/>
    <x v="1"/>
    <x v="4"/>
  </r>
  <r>
    <x v="563"/>
    <n v="7200"/>
    <n v="72"/>
    <x v="11"/>
    <n v="0"/>
    <n v="7200"/>
    <x v="82"/>
    <n v="280"/>
    <n v="0.25714285714285712"/>
    <x v="1"/>
    <x v="22"/>
    <n v="0"/>
    <x v="1"/>
    <x v="2"/>
  </r>
  <r>
    <x v="564"/>
    <n v="15000"/>
    <n v="150"/>
    <x v="6"/>
    <n v="0"/>
    <n v="14300"/>
    <x v="155"/>
    <n v="250"/>
    <n v="0.57199999999999995"/>
    <x v="1"/>
    <x v="2"/>
    <n v="7"/>
    <x v="1"/>
    <x v="2"/>
  </r>
  <r>
    <x v="565"/>
    <n v="12000"/>
    <n v="120"/>
    <x v="11"/>
    <n v="0"/>
    <n v="12000"/>
    <x v="127"/>
    <n v="1"/>
    <n v="120"/>
    <x v="1"/>
    <x v="65"/>
    <n v="0"/>
    <x v="1"/>
    <x v="2"/>
  </r>
  <r>
    <x v="566"/>
    <n v="2500"/>
    <n v="25"/>
    <x v="11"/>
    <n v="4"/>
    <n v="2500"/>
    <x v="14"/>
    <n v="500"/>
    <n v="0.05"/>
    <x v="0"/>
    <x v="5"/>
    <n v="0"/>
    <x v="0"/>
    <x v="2"/>
  </r>
  <r>
    <x v="567"/>
    <n v="3000"/>
    <n v="30"/>
    <x v="18"/>
    <n v="6"/>
    <n v="2900"/>
    <x v="5"/>
    <n v="400"/>
    <n v="7.2499999999999995E-2"/>
    <x v="0"/>
    <x v="18"/>
    <n v="1"/>
    <x v="0"/>
    <x v="2"/>
  </r>
  <r>
    <x v="568"/>
    <n v="3100"/>
    <n v="31"/>
    <x v="11"/>
    <n v="4"/>
    <n v="3100"/>
    <x v="38"/>
    <n v="500"/>
    <n v="6.2E-2"/>
    <x v="0"/>
    <x v="5"/>
    <n v="0"/>
    <x v="0"/>
    <x v="2"/>
  </r>
  <r>
    <x v="569"/>
    <n v="5000"/>
    <n v="50"/>
    <x v="12"/>
    <n v="6"/>
    <n v="4900"/>
    <x v="7"/>
    <n v="100"/>
    <n v="0.49"/>
    <x v="0"/>
    <x v="1"/>
    <n v="1"/>
    <x v="0"/>
    <x v="2"/>
  </r>
  <r>
    <x v="570"/>
    <n v="3300"/>
    <n v="33"/>
    <x v="11"/>
    <n v="4"/>
    <n v="3300"/>
    <x v="86"/>
    <n v="350"/>
    <n v="9.4285714285714292E-2"/>
    <x v="0"/>
    <x v="66"/>
    <n v="0"/>
    <x v="0"/>
    <x v="2"/>
  </r>
  <r>
    <x v="571"/>
    <n v="3500"/>
    <n v="35"/>
    <x v="12"/>
    <n v="6"/>
    <n v="3400"/>
    <x v="96"/>
    <n v="400"/>
    <n v="8.5000000000000006E-2"/>
    <x v="0"/>
    <x v="18"/>
    <n v="1"/>
    <x v="0"/>
    <x v="2"/>
  </r>
  <r>
    <x v="572"/>
    <n v="4500"/>
    <n v="45"/>
    <x v="11"/>
    <n v="4"/>
    <n v="4500"/>
    <x v="21"/>
    <n v="450"/>
    <n v="0.1"/>
    <x v="0"/>
    <x v="15"/>
    <n v="0"/>
    <x v="0"/>
    <x v="2"/>
  </r>
  <r>
    <x v="573"/>
    <n v="4000"/>
    <n v="40"/>
    <x v="11"/>
    <n v="4"/>
    <n v="4000"/>
    <x v="131"/>
    <n v="450"/>
    <n v="8.8888888888888892E-2"/>
    <x v="0"/>
    <x v="15"/>
    <n v="0"/>
    <x v="0"/>
    <x v="2"/>
  </r>
  <r>
    <x v="574"/>
    <n v="8900"/>
    <n v="89"/>
    <x v="19"/>
    <n v="6"/>
    <n v="8100"/>
    <x v="104"/>
    <n v="200"/>
    <n v="0.40500000000000003"/>
    <x v="0"/>
    <x v="3"/>
    <n v="8"/>
    <x v="1"/>
    <x v="4"/>
  </r>
  <r>
    <x v="575"/>
    <n v="10600"/>
    <n v="106"/>
    <x v="6"/>
    <n v="6"/>
    <n v="10100"/>
    <x v="112"/>
    <n v="200"/>
    <n v="0.505"/>
    <x v="0"/>
    <x v="3"/>
    <n v="5"/>
    <x v="1"/>
    <x v="2"/>
  </r>
  <r>
    <x v="576"/>
    <n v="2200"/>
    <n v="22"/>
    <x v="11"/>
    <n v="4"/>
    <n v="2200"/>
    <x v="12"/>
    <n v="250"/>
    <n v="8.7999999999999995E-2"/>
    <x v="0"/>
    <x v="2"/>
    <n v="0"/>
    <x v="0"/>
    <x v="2"/>
  </r>
  <r>
    <x v="569"/>
    <n v="24500"/>
    <n v="245"/>
    <x v="12"/>
    <n v="6"/>
    <n v="24000"/>
    <x v="214"/>
    <n v="500"/>
    <n v="0.48"/>
    <x v="0"/>
    <x v="5"/>
    <n v="5"/>
    <x v="2"/>
    <x v="2"/>
  </r>
  <r>
    <x v="577"/>
    <n v="3500"/>
    <n v="35"/>
    <x v="12"/>
    <n v="6"/>
    <n v="3400"/>
    <x v="96"/>
    <n v="200"/>
    <n v="0.17"/>
    <x v="0"/>
    <x v="3"/>
    <n v="1"/>
    <x v="0"/>
    <x v="2"/>
  </r>
  <r>
    <x v="578"/>
    <n v="1500"/>
    <n v="15"/>
    <x v="11"/>
    <n v="4"/>
    <n v="1500"/>
    <x v="23"/>
    <n v="100"/>
    <n v="0.15"/>
    <x v="0"/>
    <x v="1"/>
    <n v="0"/>
    <x v="0"/>
    <x v="2"/>
  </r>
  <r>
    <x v="579"/>
    <n v="7500"/>
    <n v="75"/>
    <x v="12"/>
    <n v="6"/>
    <n v="7300"/>
    <x v="175"/>
    <n v="200"/>
    <n v="0.36499999999999999"/>
    <x v="0"/>
    <x v="3"/>
    <n v="2"/>
    <x v="1"/>
    <x v="2"/>
  </r>
  <r>
    <x v="580"/>
    <n v="10500"/>
    <n v="105"/>
    <x v="10"/>
    <n v="6"/>
    <n v="9900"/>
    <x v="24"/>
    <n v="200"/>
    <n v="0.495"/>
    <x v="0"/>
    <x v="3"/>
    <n v="6"/>
    <x v="1"/>
    <x v="2"/>
  </r>
  <r>
    <x v="581"/>
    <n v="1700"/>
    <n v="17"/>
    <x v="11"/>
    <n v="3"/>
    <n v="1700"/>
    <x v="3"/>
    <n v="100"/>
    <n v="0.17"/>
    <x v="0"/>
    <x v="1"/>
    <n v="0"/>
    <x v="0"/>
    <x v="2"/>
  </r>
  <r>
    <x v="582"/>
    <n v="12200"/>
    <n v="122"/>
    <x v="16"/>
    <n v="6"/>
    <n v="12000"/>
    <x v="127"/>
    <n v="200"/>
    <n v="0.6"/>
    <x v="0"/>
    <x v="3"/>
    <n v="2"/>
    <x v="1"/>
    <x v="2"/>
  </r>
  <r>
    <x v="583"/>
    <n v="6000"/>
    <n v="60"/>
    <x v="11"/>
    <n v="6"/>
    <n v="6000"/>
    <x v="69"/>
    <n v="400"/>
    <n v="0.15"/>
    <x v="0"/>
    <x v="18"/>
    <n v="0"/>
    <x v="1"/>
    <x v="2"/>
  </r>
  <r>
    <x v="584"/>
    <n v="3000"/>
    <n v="30"/>
    <x v="11"/>
    <n v="1"/>
    <n v="3000"/>
    <x v="15"/>
    <n v="400"/>
    <n v="7.4999999999999997E-2"/>
    <x v="0"/>
    <x v="18"/>
    <n v="0"/>
    <x v="0"/>
    <x v="2"/>
  </r>
  <r>
    <x v="585"/>
    <n v="5500"/>
    <n v="55"/>
    <x v="11"/>
    <n v="4"/>
    <n v="5500"/>
    <x v="42"/>
    <n v="400"/>
    <n v="0.13750000000000001"/>
    <x v="0"/>
    <x v="18"/>
    <n v="0"/>
    <x v="1"/>
    <x v="2"/>
  </r>
  <r>
    <x v="586"/>
    <n v="10600"/>
    <n v="106"/>
    <x v="11"/>
    <n v="6"/>
    <n v="10600"/>
    <x v="215"/>
    <n v="200"/>
    <n v="0.53"/>
    <x v="0"/>
    <x v="3"/>
    <n v="0"/>
    <x v="1"/>
    <x v="2"/>
  </r>
  <r>
    <x v="577"/>
    <n v="7000"/>
    <n v="70"/>
    <x v="12"/>
    <n v="6"/>
    <n v="6800"/>
    <x v="40"/>
    <n v="400"/>
    <n v="0.17"/>
    <x v="0"/>
    <x v="18"/>
    <n v="2"/>
    <x v="1"/>
    <x v="2"/>
  </r>
  <r>
    <x v="587"/>
    <n v="3000"/>
    <n v="30"/>
    <x v="11"/>
    <n v="6"/>
    <n v="3000"/>
    <x v="15"/>
    <n v="85"/>
    <n v="0.35294117647058826"/>
    <x v="0"/>
    <x v="67"/>
    <n v="0"/>
    <x v="0"/>
    <x v="2"/>
  </r>
  <r>
    <x v="588"/>
    <n v="24500"/>
    <n v="245"/>
    <x v="12"/>
    <n v="6"/>
    <n v="24000"/>
    <x v="214"/>
    <n v="500"/>
    <n v="0.48"/>
    <x v="0"/>
    <x v="5"/>
    <n v="5"/>
    <x v="2"/>
    <x v="2"/>
  </r>
  <r>
    <x v="589"/>
    <n v="5900"/>
    <n v="59"/>
    <x v="18"/>
    <n v="6"/>
    <n v="5700"/>
    <x v="16"/>
    <n v="100"/>
    <n v="0.56999999999999995"/>
    <x v="0"/>
    <x v="1"/>
    <n v="2"/>
    <x v="1"/>
    <x v="2"/>
  </r>
  <r>
    <x v="590"/>
    <n v="4200"/>
    <n v="42"/>
    <x v="11"/>
    <n v="4"/>
    <n v="4200"/>
    <x v="189"/>
    <n v="400"/>
    <n v="0.105"/>
    <x v="0"/>
    <x v="18"/>
    <n v="0"/>
    <x v="0"/>
    <x v="2"/>
  </r>
  <r>
    <x v="591"/>
    <n v="4500"/>
    <n v="45"/>
    <x v="11"/>
    <n v="6"/>
    <n v="4500"/>
    <x v="21"/>
    <n v="90"/>
    <n v="0.5"/>
    <x v="0"/>
    <x v="39"/>
    <n v="0"/>
    <x v="0"/>
    <x v="2"/>
  </r>
  <r>
    <x v="592"/>
    <n v="3000"/>
    <n v="30"/>
    <x v="11"/>
    <n v="1"/>
    <n v="3000"/>
    <x v="15"/>
    <n v="150"/>
    <n v="0.2"/>
    <x v="0"/>
    <x v="34"/>
    <n v="0"/>
    <x v="0"/>
    <x v="2"/>
  </r>
  <r>
    <x v="593"/>
    <n v="1800"/>
    <n v="18"/>
    <x v="10"/>
    <n v="6"/>
    <n v="1700"/>
    <x v="3"/>
    <n v="100"/>
    <n v="0.17"/>
    <x v="0"/>
    <x v="1"/>
    <n v="1"/>
    <x v="0"/>
    <x v="2"/>
  </r>
  <r>
    <x v="594"/>
    <n v="7800"/>
    <n v="78"/>
    <x v="18"/>
    <n v="5"/>
    <n v="7500"/>
    <x v="30"/>
    <n v="400"/>
    <n v="0.1875"/>
    <x v="0"/>
    <x v="18"/>
    <n v="3"/>
    <x v="1"/>
    <x v="2"/>
  </r>
  <r>
    <x v="595"/>
    <n v="6000"/>
    <n v="60"/>
    <x v="10"/>
    <n v="5"/>
    <n v="5700"/>
    <x v="16"/>
    <n v="200"/>
    <n v="0.28499999999999998"/>
    <x v="0"/>
    <x v="3"/>
    <n v="3"/>
    <x v="1"/>
    <x v="2"/>
  </r>
  <r>
    <x v="593"/>
    <n v="8800"/>
    <n v="88"/>
    <x v="12"/>
    <n v="2"/>
    <n v="8600"/>
    <x v="110"/>
    <n v="500"/>
    <n v="0.17199999999999999"/>
    <x v="0"/>
    <x v="5"/>
    <n v="2"/>
    <x v="1"/>
    <x v="2"/>
  </r>
  <r>
    <x v="596"/>
    <n v="8500"/>
    <n v="85"/>
    <x v="18"/>
    <n v="6"/>
    <n v="8200"/>
    <x v="211"/>
    <n v="200"/>
    <n v="0.41"/>
    <x v="0"/>
    <x v="3"/>
    <n v="3"/>
    <x v="1"/>
    <x v="2"/>
  </r>
  <r>
    <x v="597"/>
    <n v="8500"/>
    <n v="85"/>
    <x v="10"/>
    <n v="6"/>
    <n v="8000"/>
    <x v="111"/>
    <n v="180"/>
    <n v="0.44444444444444442"/>
    <x v="0"/>
    <x v="49"/>
    <n v="5"/>
    <x v="1"/>
    <x v="2"/>
  </r>
  <r>
    <x v="598"/>
    <n v="4000"/>
    <n v="40"/>
    <x v="11"/>
    <n v="1"/>
    <n v="4000"/>
    <x v="131"/>
    <n v="200"/>
    <n v="0.2"/>
    <x v="0"/>
    <x v="3"/>
    <n v="0"/>
    <x v="0"/>
    <x v="2"/>
  </r>
  <r>
    <x v="599"/>
    <n v="36000"/>
    <n v="360"/>
    <x v="11"/>
    <n v="1"/>
    <n v="35900"/>
    <x v="216"/>
    <n v="750"/>
    <n v="0.47866666666666668"/>
    <x v="0"/>
    <x v="45"/>
    <n v="1"/>
    <x v="2"/>
    <x v="2"/>
  </r>
  <r>
    <x v="600"/>
    <n v="7200"/>
    <n v="72"/>
    <x v="5"/>
    <n v="3"/>
    <n v="6200"/>
    <x v="55"/>
    <n v="348"/>
    <n v="0.17816091954022989"/>
    <x v="0"/>
    <x v="4"/>
    <n v="10"/>
    <x v="1"/>
    <x v="1"/>
  </r>
  <r>
    <x v="601"/>
    <n v="7500"/>
    <n v="75"/>
    <x v="6"/>
    <n v="1"/>
    <n v="7200"/>
    <x v="82"/>
    <n v="200"/>
    <n v="0.36"/>
    <x v="0"/>
    <x v="3"/>
    <n v="3"/>
    <x v="1"/>
    <x v="2"/>
  </r>
  <r>
    <x v="602"/>
    <n v="10900"/>
    <n v="109"/>
    <x v="6"/>
    <n v="6"/>
    <n v="10400"/>
    <x v="185"/>
    <n v="200"/>
    <n v="0.52"/>
    <x v="0"/>
    <x v="3"/>
    <n v="5"/>
    <x v="1"/>
    <x v="2"/>
  </r>
  <r>
    <x v="603"/>
    <n v="4000"/>
    <n v="40"/>
    <x v="12"/>
    <n v="5"/>
    <n v="3900"/>
    <x v="34"/>
    <n v="100"/>
    <n v="0.39"/>
    <x v="0"/>
    <x v="1"/>
    <n v="1"/>
    <x v="0"/>
    <x v="2"/>
  </r>
  <r>
    <x v="604"/>
    <n v="14000"/>
    <n v="140"/>
    <x v="10"/>
    <n v="6"/>
    <n v="13300"/>
    <x v="217"/>
    <n v="200"/>
    <n v="0.66500000000000004"/>
    <x v="0"/>
    <x v="3"/>
    <n v="7"/>
    <x v="1"/>
    <x v="2"/>
  </r>
  <r>
    <x v="605"/>
    <n v="27500"/>
    <n v="275"/>
    <x v="26"/>
    <n v="4"/>
    <n v="13700"/>
    <x v="218"/>
    <n v="200"/>
    <n v="0.68500000000000005"/>
    <x v="0"/>
    <x v="3"/>
    <n v="138"/>
    <x v="1"/>
    <x v="3"/>
  </r>
  <r>
    <x v="606"/>
    <n v="10000"/>
    <n v="100"/>
    <x v="10"/>
    <n v="4"/>
    <n v="9500"/>
    <x v="79"/>
    <n v="100"/>
    <n v="0.95"/>
    <x v="0"/>
    <x v="1"/>
    <n v="5"/>
    <x v="1"/>
    <x v="2"/>
  </r>
  <r>
    <x v="607"/>
    <n v="7200"/>
    <n v="72"/>
    <x v="5"/>
    <n v="4"/>
    <n v="6200"/>
    <x v="55"/>
    <n v="348"/>
    <n v="0.17816091954022989"/>
    <x v="0"/>
    <x v="4"/>
    <n v="10"/>
    <x v="1"/>
    <x v="1"/>
  </r>
  <r>
    <x v="608"/>
    <n v="10000"/>
    <n v="100"/>
    <x v="10"/>
    <n v="6"/>
    <n v="9500"/>
    <x v="79"/>
    <n v="160"/>
    <n v="0.59375"/>
    <x v="0"/>
    <x v="48"/>
    <n v="5"/>
    <x v="1"/>
    <x v="2"/>
  </r>
  <r>
    <x v="609"/>
    <n v="20000"/>
    <n v="200"/>
    <x v="11"/>
    <n v="1"/>
    <n v="20000"/>
    <x v="157"/>
    <n v="400"/>
    <n v="0.5"/>
    <x v="0"/>
    <x v="18"/>
    <n v="0"/>
    <x v="2"/>
    <x v="2"/>
  </r>
  <r>
    <x v="610"/>
    <n v="24500"/>
    <n v="245"/>
    <x v="12"/>
    <n v="6"/>
    <n v="23800"/>
    <x v="219"/>
    <n v="500"/>
    <n v="0.47599999999999998"/>
    <x v="0"/>
    <x v="5"/>
    <n v="7"/>
    <x v="2"/>
    <x v="2"/>
  </r>
  <r>
    <x v="611"/>
    <n v="23500"/>
    <n v="235"/>
    <x v="20"/>
    <n v="6"/>
    <n v="17400"/>
    <x v="220"/>
    <n v="325"/>
    <n v="0.53538461538461535"/>
    <x v="0"/>
    <x v="68"/>
    <n v="61"/>
    <x v="1"/>
    <x v="3"/>
  </r>
  <r>
    <x v="612"/>
    <n v="15500"/>
    <n v="155"/>
    <x v="11"/>
    <n v="2"/>
    <n v="15500"/>
    <x v="221"/>
    <n v="200"/>
    <n v="0.77500000000000002"/>
    <x v="0"/>
    <x v="3"/>
    <n v="0"/>
    <x v="1"/>
    <x v="2"/>
  </r>
  <r>
    <x v="613"/>
    <n v="30000"/>
    <n v="300"/>
    <x v="32"/>
    <n v="4"/>
    <n v="19900"/>
    <x v="49"/>
    <n v="1000"/>
    <n v="0.19900000000000001"/>
    <x v="0"/>
    <x v="0"/>
    <n v="101"/>
    <x v="1"/>
    <x v="3"/>
  </r>
  <r>
    <x v="614"/>
    <n v="9900"/>
    <n v="99"/>
    <x v="10"/>
    <n v="6"/>
    <n v="9400"/>
    <x v="60"/>
    <n v="200"/>
    <n v="0.47"/>
    <x v="0"/>
    <x v="3"/>
    <n v="5"/>
    <x v="1"/>
    <x v="2"/>
  </r>
  <r>
    <x v="615"/>
    <n v="7000"/>
    <n v="70"/>
    <x v="11"/>
    <n v="4"/>
    <n v="7000"/>
    <x v="124"/>
    <n v="200"/>
    <n v="0.35"/>
    <x v="0"/>
    <x v="3"/>
    <n v="0"/>
    <x v="1"/>
    <x v="2"/>
  </r>
  <r>
    <x v="616"/>
    <n v="7500"/>
    <n v="75"/>
    <x v="11"/>
    <n v="5"/>
    <n v="7500"/>
    <x v="30"/>
    <n v="200"/>
    <n v="0.375"/>
    <x v="0"/>
    <x v="3"/>
    <n v="0"/>
    <x v="1"/>
    <x v="2"/>
  </r>
  <r>
    <x v="617"/>
    <n v="16900"/>
    <n v="169"/>
    <x v="6"/>
    <n v="4"/>
    <n v="16100"/>
    <x v="222"/>
    <n v="150"/>
    <n v="1.0733333333333333"/>
    <x v="0"/>
    <x v="34"/>
    <n v="8"/>
    <x v="1"/>
    <x v="2"/>
  </r>
  <r>
    <x v="618"/>
    <n v="19900"/>
    <n v="199"/>
    <x v="10"/>
    <n v="6"/>
    <n v="18900"/>
    <x v="223"/>
    <n v="200"/>
    <n v="0.94499999999999995"/>
    <x v="0"/>
    <x v="3"/>
    <n v="10"/>
    <x v="1"/>
    <x v="2"/>
  </r>
  <r>
    <x v="619"/>
    <n v="7200"/>
    <n v="72"/>
    <x v="5"/>
    <n v="4"/>
    <n v="6200"/>
    <x v="55"/>
    <n v="348"/>
    <n v="0.17816091954022989"/>
    <x v="0"/>
    <x v="4"/>
    <n v="10"/>
    <x v="1"/>
    <x v="1"/>
  </r>
  <r>
    <x v="620"/>
    <n v="9900"/>
    <n v="99"/>
    <x v="10"/>
    <n v="6"/>
    <n v="9400"/>
    <x v="60"/>
    <n v="200"/>
    <n v="0.47"/>
    <x v="0"/>
    <x v="3"/>
    <n v="5"/>
    <x v="1"/>
    <x v="2"/>
  </r>
  <r>
    <x v="621"/>
    <n v="14000"/>
    <n v="140"/>
    <x v="10"/>
    <n v="6"/>
    <n v="13300"/>
    <x v="217"/>
    <n v="200"/>
    <n v="0.66500000000000004"/>
    <x v="0"/>
    <x v="3"/>
    <n v="7"/>
    <x v="1"/>
    <x v="2"/>
  </r>
  <r>
    <x v="622"/>
    <n v="29500"/>
    <n v="295"/>
    <x v="26"/>
    <n v="6"/>
    <n v="14700"/>
    <x v="168"/>
    <n v="200"/>
    <n v="0.73499999999999999"/>
    <x v="0"/>
    <x v="3"/>
    <n v="148"/>
    <x v="1"/>
    <x v="3"/>
  </r>
  <r>
    <x v="623"/>
    <n v="21500"/>
    <n v="215"/>
    <x v="22"/>
    <n v="6"/>
    <n v="19400"/>
    <x v="151"/>
    <n v="325"/>
    <n v="0.59692307692307689"/>
    <x v="0"/>
    <x v="68"/>
    <n v="21"/>
    <x v="1"/>
    <x v="4"/>
  </r>
  <r>
    <x v="624"/>
    <n v="12000"/>
    <n v="120"/>
    <x v="33"/>
    <n v="4"/>
    <n v="6800"/>
    <x v="40"/>
    <n v="348"/>
    <n v="0.19540229885057472"/>
    <x v="0"/>
    <x v="4"/>
    <n v="52"/>
    <x v="1"/>
    <x v="3"/>
  </r>
  <r>
    <x v="625"/>
    <n v="27500"/>
    <n v="275"/>
    <x v="26"/>
    <n v="6"/>
    <n v="13700"/>
    <x v="218"/>
    <n v="200"/>
    <n v="0.68500000000000005"/>
    <x v="0"/>
    <x v="3"/>
    <n v="138"/>
    <x v="1"/>
    <x v="3"/>
  </r>
  <r>
    <x v="626"/>
    <n v="14500"/>
    <n v="145"/>
    <x v="10"/>
    <n v="6"/>
    <n v="13700"/>
    <x v="218"/>
    <n v="200"/>
    <n v="0.68500000000000005"/>
    <x v="0"/>
    <x v="3"/>
    <n v="8"/>
    <x v="1"/>
    <x v="2"/>
  </r>
  <r>
    <x v="627"/>
    <n v="27500"/>
    <n v="275"/>
    <x v="26"/>
    <n v="6"/>
    <n v="13700"/>
    <x v="218"/>
    <n v="200"/>
    <n v="0.68500000000000005"/>
    <x v="0"/>
    <x v="3"/>
    <n v="138"/>
    <x v="1"/>
    <x v="3"/>
  </r>
  <r>
    <x v="628"/>
    <n v="15000"/>
    <n v="150"/>
    <x v="11"/>
    <n v="4"/>
    <n v="15000"/>
    <x v="166"/>
    <n v="200"/>
    <n v="0.75"/>
    <x v="0"/>
    <x v="3"/>
    <n v="0"/>
    <x v="1"/>
    <x v="2"/>
  </r>
  <r>
    <x v="629"/>
    <n v="22900"/>
    <n v="229"/>
    <x v="14"/>
    <n v="6"/>
    <n v="20600"/>
    <x v="83"/>
    <n v="400"/>
    <n v="0.51500000000000001"/>
    <x v="0"/>
    <x v="18"/>
    <n v="23"/>
    <x v="2"/>
    <x v="4"/>
  </r>
  <r>
    <x v="630"/>
    <n v="25000"/>
    <n v="250"/>
    <x v="26"/>
    <n v="4"/>
    <n v="12500"/>
    <x v="98"/>
    <n v="200"/>
    <n v="0.625"/>
    <x v="0"/>
    <x v="3"/>
    <n v="125"/>
    <x v="1"/>
    <x v="3"/>
  </r>
  <r>
    <x v="631"/>
    <n v="23500"/>
    <n v="235"/>
    <x v="25"/>
    <n v="5"/>
    <n v="18800"/>
    <x v="224"/>
    <n v="325"/>
    <n v="0.57846153846153847"/>
    <x v="0"/>
    <x v="68"/>
    <n v="47"/>
    <x v="1"/>
    <x v="0"/>
  </r>
  <r>
    <x v="632"/>
    <n v="12500"/>
    <n v="125"/>
    <x v="10"/>
    <n v="6"/>
    <n v="11800"/>
    <x v="77"/>
    <n v="200"/>
    <n v="0.59"/>
    <x v="0"/>
    <x v="3"/>
    <n v="7"/>
    <x v="1"/>
    <x v="2"/>
  </r>
  <r>
    <x v="633"/>
    <n v="16900"/>
    <n v="169"/>
    <x v="13"/>
    <n v="1"/>
    <n v="15600"/>
    <x v="183"/>
    <n v="400"/>
    <n v="0.39"/>
    <x v="0"/>
    <x v="18"/>
    <n v="13"/>
    <x v="1"/>
    <x v="4"/>
  </r>
  <r>
    <x v="634"/>
    <n v="23500"/>
    <n v="235"/>
    <x v="16"/>
    <n v="6"/>
    <n v="23200"/>
    <x v="225"/>
    <n v="500"/>
    <n v="0.46400000000000002"/>
    <x v="0"/>
    <x v="5"/>
    <n v="3"/>
    <x v="2"/>
    <x v="2"/>
  </r>
  <r>
    <x v="635"/>
    <n v="9900"/>
    <n v="99"/>
    <x v="10"/>
    <n v="6"/>
    <n v="9400"/>
    <x v="60"/>
    <n v="200"/>
    <n v="0.47"/>
    <x v="0"/>
    <x v="3"/>
    <n v="5"/>
    <x v="1"/>
    <x v="2"/>
  </r>
  <r>
    <x v="636"/>
    <n v="11000"/>
    <n v="110"/>
    <x v="11"/>
    <n v="6"/>
    <n v="11000"/>
    <x v="139"/>
    <n v="120"/>
    <n v="0.91666666666666663"/>
    <x v="0"/>
    <x v="69"/>
    <n v="0"/>
    <x v="1"/>
    <x v="2"/>
  </r>
  <r>
    <x v="637"/>
    <n v="21500"/>
    <n v="215"/>
    <x v="25"/>
    <n v="6"/>
    <n v="17200"/>
    <x v="97"/>
    <n v="325"/>
    <n v="0.52923076923076928"/>
    <x v="0"/>
    <x v="68"/>
    <n v="43"/>
    <x v="1"/>
    <x v="0"/>
  </r>
  <r>
    <x v="638"/>
    <n v="12500"/>
    <n v="125"/>
    <x v="6"/>
    <n v="6"/>
    <n v="11900"/>
    <x v="22"/>
    <n v="200"/>
    <n v="0.59499999999999997"/>
    <x v="0"/>
    <x v="3"/>
    <n v="6"/>
    <x v="1"/>
    <x v="2"/>
  </r>
  <r>
    <x v="639"/>
    <n v="24900"/>
    <n v="249"/>
    <x v="6"/>
    <n v="6"/>
    <n v="23700"/>
    <x v="226"/>
    <n v="400"/>
    <n v="0.59250000000000003"/>
    <x v="0"/>
    <x v="18"/>
    <n v="12"/>
    <x v="2"/>
    <x v="2"/>
  </r>
  <r>
    <x v="640"/>
    <n v="34500"/>
    <n v="345"/>
    <x v="34"/>
    <n v="6"/>
    <n v="23700"/>
    <x v="226"/>
    <n v="100"/>
    <n v="2.37"/>
    <x v="0"/>
    <x v="1"/>
    <n v="108"/>
    <x v="2"/>
    <x v="3"/>
  </r>
  <r>
    <x v="641"/>
    <n v="35500"/>
    <n v="355"/>
    <x v="26"/>
    <n v="6"/>
    <n v="17700"/>
    <x v="209"/>
    <n v="200"/>
    <n v="0.88500000000000001"/>
    <x v="0"/>
    <x v="3"/>
    <n v="178"/>
    <x v="1"/>
    <x v="3"/>
  </r>
  <r>
    <x v="642"/>
    <n v="19900"/>
    <n v="199"/>
    <x v="10"/>
    <n v="6"/>
    <n v="18900"/>
    <x v="223"/>
    <n v="200"/>
    <n v="0.94499999999999995"/>
    <x v="0"/>
    <x v="3"/>
    <n v="10"/>
    <x v="1"/>
    <x v="2"/>
  </r>
  <r>
    <x v="643"/>
    <n v="16900"/>
    <n v="169"/>
    <x v="11"/>
    <n v="1"/>
    <n v="16900"/>
    <x v="117"/>
    <n v="400"/>
    <n v="0.42249999999999999"/>
    <x v="0"/>
    <x v="18"/>
    <n v="0"/>
    <x v="1"/>
    <x v="2"/>
  </r>
  <r>
    <x v="644"/>
    <n v="14500"/>
    <n v="145"/>
    <x v="11"/>
    <n v="6"/>
    <n v="14500"/>
    <x v="150"/>
    <n v="200"/>
    <n v="0.72499999999999998"/>
    <x v="0"/>
    <x v="3"/>
    <n v="0"/>
    <x v="1"/>
    <x v="2"/>
  </r>
  <r>
    <x v="645"/>
    <n v="5400"/>
    <n v="54"/>
    <x v="11"/>
    <n v="6"/>
    <n v="5400"/>
    <x v="75"/>
    <n v="100"/>
    <n v="0.54"/>
    <x v="0"/>
    <x v="1"/>
    <n v="0"/>
    <x v="1"/>
    <x v="2"/>
  </r>
  <r>
    <x v="646"/>
    <n v="15000"/>
    <n v="150"/>
    <x v="11"/>
    <n v="6"/>
    <n v="15000"/>
    <x v="166"/>
    <n v="200"/>
    <n v="0.75"/>
    <x v="0"/>
    <x v="3"/>
    <n v="0"/>
    <x v="1"/>
    <x v="2"/>
  </r>
  <r>
    <x v="647"/>
    <n v="24900"/>
    <n v="249"/>
    <x v="11"/>
    <n v="4"/>
    <n v="24900"/>
    <x v="45"/>
    <n v="400"/>
    <n v="0.62250000000000005"/>
    <x v="0"/>
    <x v="18"/>
    <n v="0"/>
    <x v="2"/>
    <x v="2"/>
  </r>
  <r>
    <x v="648"/>
    <n v="11000"/>
    <n v="110"/>
    <x v="11"/>
    <n v="6"/>
    <n v="11000"/>
    <x v="139"/>
    <n v="180"/>
    <n v="0.61111111111111116"/>
    <x v="0"/>
    <x v="49"/>
    <n v="0"/>
    <x v="1"/>
    <x v="2"/>
  </r>
  <r>
    <x v="649"/>
    <n v="7600"/>
    <n v="76"/>
    <x v="18"/>
    <n v="0"/>
    <n v="7300"/>
    <x v="175"/>
    <n v="200"/>
    <n v="0.36499999999999999"/>
    <x v="1"/>
    <x v="3"/>
    <n v="3"/>
    <x v="1"/>
    <x v="2"/>
  </r>
  <r>
    <x v="650"/>
    <n v="6600"/>
    <n v="66"/>
    <x v="18"/>
    <n v="0"/>
    <n v="6400"/>
    <x v="66"/>
    <n v="1000"/>
    <n v="6.4000000000000001E-2"/>
    <x v="1"/>
    <x v="0"/>
    <n v="2"/>
    <x v="1"/>
    <x v="2"/>
  </r>
  <r>
    <x v="651"/>
    <n v="2500"/>
    <n v="25"/>
    <x v="6"/>
    <n v="0"/>
    <n v="2400"/>
    <x v="10"/>
    <n v="250"/>
    <n v="9.6000000000000002E-2"/>
    <x v="1"/>
    <x v="2"/>
    <n v="1"/>
    <x v="0"/>
    <x v="2"/>
  </r>
  <r>
    <x v="652"/>
    <n v="4000"/>
    <n v="40"/>
    <x v="11"/>
    <n v="0"/>
    <n v="4000"/>
    <x v="131"/>
    <n v="400"/>
    <n v="0.1"/>
    <x v="1"/>
    <x v="18"/>
    <n v="0"/>
    <x v="0"/>
    <x v="2"/>
  </r>
  <r>
    <x v="653"/>
    <n v="7500"/>
    <n v="75"/>
    <x v="11"/>
    <n v="0"/>
    <n v="7500"/>
    <x v="30"/>
    <n v="1000"/>
    <n v="7.4999999999999997E-2"/>
    <x v="1"/>
    <x v="0"/>
    <n v="0"/>
    <x v="1"/>
    <x v="2"/>
  </r>
  <r>
    <x v="599"/>
    <n v="7100"/>
    <n v="71"/>
    <x v="16"/>
    <n v="0"/>
    <n v="7000"/>
    <x v="124"/>
    <n v="100"/>
    <n v="0.7"/>
    <x v="1"/>
    <x v="1"/>
    <n v="1"/>
    <x v="1"/>
    <x v="2"/>
  </r>
  <r>
    <x v="654"/>
    <n v="10000"/>
    <n v="100"/>
    <x v="16"/>
    <n v="0"/>
    <n v="9900"/>
    <x v="24"/>
    <n v="200"/>
    <n v="0.495"/>
    <x v="1"/>
    <x v="3"/>
    <n v="1"/>
    <x v="1"/>
    <x v="2"/>
  </r>
  <r>
    <x v="655"/>
    <n v="3000"/>
    <n v="30"/>
    <x v="11"/>
    <n v="0"/>
    <n v="3000"/>
    <x v="15"/>
    <n v="150"/>
    <n v="0.2"/>
    <x v="1"/>
    <x v="34"/>
    <n v="0"/>
    <x v="0"/>
    <x v="2"/>
  </r>
  <r>
    <x v="656"/>
    <n v="7800"/>
    <n v="78"/>
    <x v="18"/>
    <n v="0"/>
    <n v="7500"/>
    <x v="30"/>
    <n v="400"/>
    <n v="0.1875"/>
    <x v="1"/>
    <x v="18"/>
    <n v="3"/>
    <x v="1"/>
    <x v="2"/>
  </r>
  <r>
    <x v="657"/>
    <n v="3500"/>
    <n v="35"/>
    <x v="11"/>
    <n v="0"/>
    <n v="3500"/>
    <x v="1"/>
    <n v="300"/>
    <n v="0.11666666666666667"/>
    <x v="1"/>
    <x v="10"/>
    <n v="0"/>
    <x v="0"/>
    <x v="2"/>
  </r>
  <r>
    <x v="658"/>
    <n v="4000"/>
    <n v="40"/>
    <x v="11"/>
    <n v="0"/>
    <n v="4000"/>
    <x v="131"/>
    <n v="200"/>
    <n v="0.2"/>
    <x v="1"/>
    <x v="3"/>
    <n v="0"/>
    <x v="0"/>
    <x v="2"/>
  </r>
  <r>
    <x v="659"/>
    <n v="8500"/>
    <n v="85"/>
    <x v="11"/>
    <n v="0"/>
    <n v="8500"/>
    <x v="227"/>
    <n v="200"/>
    <n v="0.42499999999999999"/>
    <x v="1"/>
    <x v="3"/>
    <n v="0"/>
    <x v="1"/>
    <x v="2"/>
  </r>
  <r>
    <x v="660"/>
    <n v="3000"/>
    <n v="30"/>
    <x v="11"/>
    <n v="0"/>
    <n v="3000"/>
    <x v="15"/>
    <n v="250"/>
    <n v="0.12"/>
    <x v="1"/>
    <x v="2"/>
    <n v="0"/>
    <x v="0"/>
    <x v="2"/>
  </r>
  <r>
    <x v="661"/>
    <n v="6200"/>
    <n v="62"/>
    <x v="11"/>
    <n v="0"/>
    <n v="6200"/>
    <x v="55"/>
    <n v="696"/>
    <n v="8.9080459770114945E-2"/>
    <x v="1"/>
    <x v="12"/>
    <n v="0"/>
    <x v="1"/>
    <x v="2"/>
  </r>
  <r>
    <x v="662"/>
    <n v="6500"/>
    <n v="65"/>
    <x v="11"/>
    <n v="0"/>
    <n v="6500"/>
    <x v="100"/>
    <n v="400"/>
    <n v="0.16250000000000001"/>
    <x v="1"/>
    <x v="18"/>
    <n v="0"/>
    <x v="1"/>
    <x v="2"/>
  </r>
  <r>
    <x v="663"/>
    <n v="8900"/>
    <n v="89"/>
    <x v="11"/>
    <n v="0"/>
    <n v="8900"/>
    <x v="25"/>
    <n v="1000"/>
    <n v="8.8999999999999996E-2"/>
    <x v="1"/>
    <x v="0"/>
    <n v="0"/>
    <x v="1"/>
    <x v="2"/>
  </r>
  <r>
    <x v="664"/>
    <n v="12500"/>
    <n v="125"/>
    <x v="10"/>
    <n v="0"/>
    <n v="11800"/>
    <x v="77"/>
    <n v="200"/>
    <n v="0.59"/>
    <x v="1"/>
    <x v="3"/>
    <n v="7"/>
    <x v="1"/>
    <x v="2"/>
  </r>
  <r>
    <x v="665"/>
    <n v="18500"/>
    <n v="185"/>
    <x v="25"/>
    <n v="0"/>
    <n v="14800"/>
    <x v="228"/>
    <n v="325"/>
    <n v="0.45538461538461539"/>
    <x v="1"/>
    <x v="68"/>
    <n v="37"/>
    <x v="1"/>
    <x v="0"/>
  </r>
  <r>
    <x v="666"/>
    <n v="8500"/>
    <n v="85"/>
    <x v="18"/>
    <n v="0"/>
    <n v="8200"/>
    <x v="211"/>
    <n v="200"/>
    <n v="0.41"/>
    <x v="1"/>
    <x v="3"/>
    <n v="3"/>
    <x v="1"/>
    <x v="2"/>
  </r>
  <r>
    <x v="667"/>
    <n v="2000"/>
    <n v="20"/>
    <x v="11"/>
    <n v="0"/>
    <n v="2000"/>
    <x v="68"/>
    <n v="100"/>
    <n v="0.2"/>
    <x v="1"/>
    <x v="1"/>
    <n v="0"/>
    <x v="0"/>
    <x v="2"/>
  </r>
  <r>
    <x v="668"/>
    <n v="10000"/>
    <n v="100"/>
    <x v="10"/>
    <n v="0"/>
    <n v="9500"/>
    <x v="79"/>
    <n v="140"/>
    <n v="0.6785714285714286"/>
    <x v="1"/>
    <x v="70"/>
    <n v="5"/>
    <x v="1"/>
    <x v="2"/>
  </r>
  <r>
    <x v="578"/>
    <n v="3000"/>
    <n v="30"/>
    <x v="11"/>
    <n v="0"/>
    <n v="3000"/>
    <x v="15"/>
    <n v="200"/>
    <n v="0.15"/>
    <x v="1"/>
    <x v="3"/>
    <n v="0"/>
    <x v="0"/>
    <x v="2"/>
  </r>
  <r>
    <x v="669"/>
    <n v="7500"/>
    <n v="75"/>
    <x v="3"/>
    <n v="0"/>
    <n v="6200"/>
    <x v="55"/>
    <n v="348"/>
    <n v="0.17816091954022989"/>
    <x v="1"/>
    <x v="4"/>
    <n v="13"/>
    <x v="1"/>
    <x v="0"/>
  </r>
  <r>
    <x v="670"/>
    <n v="9900"/>
    <n v="99"/>
    <x v="15"/>
    <n v="0"/>
    <n v="8800"/>
    <x v="65"/>
    <n v="162"/>
    <n v="0.54320987654320985"/>
    <x v="1"/>
    <x v="71"/>
    <n v="11"/>
    <x v="1"/>
    <x v="1"/>
  </r>
  <r>
    <x v="671"/>
    <n v="8000"/>
    <n v="80"/>
    <x v="11"/>
    <n v="0"/>
    <n v="8000"/>
    <x v="111"/>
    <n v="200"/>
    <n v="0.4"/>
    <x v="1"/>
    <x v="3"/>
    <n v="0"/>
    <x v="1"/>
    <x v="2"/>
  </r>
  <r>
    <x v="672"/>
    <n v="7200"/>
    <n v="72"/>
    <x v="0"/>
    <n v="0"/>
    <n v="6000"/>
    <x v="69"/>
    <n v="348"/>
    <n v="0.17241379310344829"/>
    <x v="1"/>
    <x v="4"/>
    <n v="12"/>
    <x v="1"/>
    <x v="0"/>
  </r>
  <r>
    <x v="673"/>
    <n v="29500"/>
    <n v="295"/>
    <x v="26"/>
    <n v="0"/>
    <n v="14700"/>
    <x v="168"/>
    <n v="200"/>
    <n v="0.73499999999999999"/>
    <x v="1"/>
    <x v="3"/>
    <n v="148"/>
    <x v="1"/>
    <x v="3"/>
  </r>
  <r>
    <x v="674"/>
    <n v="8000"/>
    <n v="80"/>
    <x v="14"/>
    <n v="4"/>
    <n v="7200"/>
    <x v="82"/>
    <n v="400"/>
    <n v="0.18"/>
    <x v="0"/>
    <x v="18"/>
    <n v="8"/>
    <x v="1"/>
    <x v="4"/>
  </r>
  <r>
    <x v="675"/>
    <n v="8000"/>
    <n v="80"/>
    <x v="24"/>
    <n v="6"/>
    <n v="7000"/>
    <x v="124"/>
    <n v="400"/>
    <n v="0.17499999999999999"/>
    <x v="0"/>
    <x v="18"/>
    <n v="10"/>
    <x v="1"/>
    <x v="1"/>
  </r>
  <r>
    <x v="676"/>
    <n v="11000"/>
    <n v="110"/>
    <x v="6"/>
    <n v="6"/>
    <n v="10500"/>
    <x v="37"/>
    <n v="400"/>
    <n v="0.26250000000000001"/>
    <x v="0"/>
    <x v="18"/>
    <n v="5"/>
    <x v="1"/>
    <x v="2"/>
  </r>
  <r>
    <x v="677"/>
    <n v="12000"/>
    <n v="120"/>
    <x v="10"/>
    <n v="6"/>
    <n v="11400"/>
    <x v="229"/>
    <n v="415"/>
    <n v="0.27469879518072288"/>
    <x v="0"/>
    <x v="72"/>
    <n v="6"/>
    <x v="1"/>
    <x v="2"/>
  </r>
  <r>
    <x v="678"/>
    <n v="11500"/>
    <n v="115"/>
    <x v="18"/>
    <n v="6"/>
    <n v="11100"/>
    <x v="210"/>
    <n v="360"/>
    <n v="0.30833333333333335"/>
    <x v="0"/>
    <x v="41"/>
    <n v="4"/>
    <x v="1"/>
    <x v="2"/>
  </r>
  <r>
    <x v="679"/>
    <n v="11700"/>
    <n v="117"/>
    <x v="10"/>
    <n v="6"/>
    <n v="11100"/>
    <x v="210"/>
    <n v="400"/>
    <n v="0.27750000000000002"/>
    <x v="0"/>
    <x v="18"/>
    <n v="6"/>
    <x v="1"/>
    <x v="2"/>
  </r>
  <r>
    <x v="680"/>
    <n v="3500"/>
    <n v="35"/>
    <x v="12"/>
    <n v="2"/>
    <n v="3400"/>
    <x v="96"/>
    <n v="85"/>
    <n v="0.4"/>
    <x v="0"/>
    <x v="67"/>
    <n v="1"/>
    <x v="0"/>
    <x v="2"/>
  </r>
  <r>
    <x v="681"/>
    <n v="12500"/>
    <n v="125"/>
    <x v="10"/>
    <n v="1"/>
    <n v="11800"/>
    <x v="77"/>
    <n v="420"/>
    <n v="0.28095238095238095"/>
    <x v="0"/>
    <x v="73"/>
    <n v="7"/>
    <x v="1"/>
    <x v="2"/>
  </r>
  <r>
    <x v="682"/>
    <n v="7900"/>
    <n v="79"/>
    <x v="15"/>
    <n v="5"/>
    <n v="7000"/>
    <x v="124"/>
    <n v="250"/>
    <n v="0.28000000000000003"/>
    <x v="0"/>
    <x v="2"/>
    <n v="9"/>
    <x v="1"/>
    <x v="1"/>
  </r>
  <r>
    <x v="683"/>
    <n v="7500"/>
    <n v="75"/>
    <x v="5"/>
    <n v="5"/>
    <n v="6500"/>
    <x v="100"/>
    <n v="280"/>
    <n v="0.23214285714285715"/>
    <x v="0"/>
    <x v="22"/>
    <n v="10"/>
    <x v="1"/>
    <x v="1"/>
  </r>
  <r>
    <x v="684"/>
    <n v="4000"/>
    <n v="40"/>
    <x v="3"/>
    <n v="4"/>
    <n v="3300"/>
    <x v="86"/>
    <n v="30"/>
    <n v="1.1000000000000001"/>
    <x v="0"/>
    <x v="60"/>
    <n v="7"/>
    <x v="0"/>
    <x v="0"/>
  </r>
  <r>
    <x v="685"/>
    <n v="12000"/>
    <n v="120"/>
    <x v="10"/>
    <n v="1"/>
    <n v="11400"/>
    <x v="229"/>
    <n v="420"/>
    <n v="0.27142857142857141"/>
    <x v="0"/>
    <x v="73"/>
    <n v="6"/>
    <x v="1"/>
    <x v="2"/>
  </r>
  <r>
    <x v="686"/>
    <n v="1000"/>
    <n v="10"/>
    <x v="11"/>
    <n v="1"/>
    <n v="1000"/>
    <x v="36"/>
    <n v="15"/>
    <n v="0.66666666666666663"/>
    <x v="0"/>
    <x v="74"/>
    <n v="0"/>
    <x v="0"/>
    <x v="2"/>
  </r>
  <r>
    <x v="687"/>
    <n v="13000"/>
    <n v="130"/>
    <x v="6"/>
    <n v="6"/>
    <n v="12400"/>
    <x v="172"/>
    <n v="250"/>
    <n v="0.496"/>
    <x v="0"/>
    <x v="2"/>
    <n v="6"/>
    <x v="1"/>
    <x v="2"/>
  </r>
  <r>
    <x v="688"/>
    <n v="12000"/>
    <n v="120"/>
    <x v="10"/>
    <n v="3"/>
    <n v="11400"/>
    <x v="229"/>
    <n v="375"/>
    <n v="0.30399999999999999"/>
    <x v="0"/>
    <x v="75"/>
    <n v="6"/>
    <x v="1"/>
    <x v="2"/>
  </r>
  <r>
    <x v="689"/>
    <n v="1500"/>
    <n v="15"/>
    <x v="11"/>
    <n v="6"/>
    <n v="1500"/>
    <x v="23"/>
    <n v="20"/>
    <n v="0.75"/>
    <x v="0"/>
    <x v="29"/>
    <n v="0"/>
    <x v="0"/>
    <x v="2"/>
  </r>
  <r>
    <x v="690"/>
    <n v="13000"/>
    <n v="130"/>
    <x v="6"/>
    <n v="1"/>
    <n v="12400"/>
    <x v="172"/>
    <n v="250"/>
    <n v="0.496"/>
    <x v="0"/>
    <x v="2"/>
    <n v="6"/>
    <x v="1"/>
    <x v="2"/>
  </r>
  <r>
    <x v="691"/>
    <n v="43000"/>
    <n v="430"/>
    <x v="14"/>
    <n v="6"/>
    <n v="38700"/>
    <x v="162"/>
    <n v="1200"/>
    <n v="0.32250000000000001"/>
    <x v="0"/>
    <x v="0"/>
    <n v="43"/>
    <x v="2"/>
    <x v="4"/>
  </r>
  <r>
    <x v="692"/>
    <n v="1000"/>
    <n v="10"/>
    <x v="11"/>
    <n v="1"/>
    <n v="1000"/>
    <x v="36"/>
    <n v="15"/>
    <n v="0.66666666666666663"/>
    <x v="0"/>
    <x v="74"/>
    <n v="0"/>
    <x v="0"/>
    <x v="2"/>
  </r>
  <r>
    <x v="693"/>
    <n v="19700"/>
    <n v="197"/>
    <x v="12"/>
    <n v="6"/>
    <n v="19300"/>
    <x v="230"/>
    <n v="500"/>
    <n v="0.38600000000000001"/>
    <x v="0"/>
    <x v="5"/>
    <n v="4"/>
    <x v="1"/>
    <x v="2"/>
  </r>
  <r>
    <x v="694"/>
    <n v="12000"/>
    <n v="120"/>
    <x v="10"/>
    <n v="3"/>
    <n v="11400"/>
    <x v="229"/>
    <n v="375"/>
    <n v="0.30399999999999999"/>
    <x v="0"/>
    <x v="75"/>
    <n v="6"/>
    <x v="1"/>
    <x v="2"/>
  </r>
  <r>
    <x v="695"/>
    <n v="17500"/>
    <n v="175"/>
    <x v="6"/>
    <n v="3"/>
    <n v="16700"/>
    <x v="118"/>
    <n v="750"/>
    <n v="0.22266666666666668"/>
    <x v="0"/>
    <x v="45"/>
    <n v="8"/>
    <x v="1"/>
    <x v="2"/>
  </r>
  <r>
    <x v="696"/>
    <n v="22000"/>
    <n v="220"/>
    <x v="10"/>
    <n v="2"/>
    <n v="20700"/>
    <x v="231"/>
    <n v="180"/>
    <n v="1.1499999999999999"/>
    <x v="0"/>
    <x v="49"/>
    <n v="13"/>
    <x v="2"/>
    <x v="2"/>
  </r>
  <r>
    <x v="697"/>
    <n v="6000"/>
    <n v="60"/>
    <x v="10"/>
    <n v="5"/>
    <n v="5700"/>
    <x v="16"/>
    <n v="200"/>
    <n v="0.28499999999999998"/>
    <x v="0"/>
    <x v="3"/>
    <n v="3"/>
    <x v="1"/>
    <x v="2"/>
  </r>
  <r>
    <x v="698"/>
    <n v="9000"/>
    <n v="90"/>
    <x v="6"/>
    <n v="6"/>
    <n v="8600"/>
    <x v="110"/>
    <n v="50"/>
    <n v="1.72"/>
    <x v="0"/>
    <x v="8"/>
    <n v="4"/>
    <x v="1"/>
    <x v="2"/>
  </r>
  <r>
    <x v="699"/>
    <n v="2200"/>
    <n v="22"/>
    <x v="11"/>
    <n v="6"/>
    <n v="2200"/>
    <x v="12"/>
    <n v="90"/>
    <n v="0.24444444444444444"/>
    <x v="0"/>
    <x v="39"/>
    <n v="0"/>
    <x v="0"/>
    <x v="2"/>
  </r>
  <r>
    <x v="700"/>
    <n v="38500"/>
    <n v="385"/>
    <x v="22"/>
    <n v="5"/>
    <n v="34700"/>
    <x v="161"/>
    <n v="1100"/>
    <n v="0.31545454545454543"/>
    <x v="0"/>
    <x v="76"/>
    <n v="38"/>
    <x v="2"/>
    <x v="4"/>
  </r>
  <r>
    <x v="701"/>
    <n v="1000"/>
    <n v="10"/>
    <x v="11"/>
    <n v="2"/>
    <n v="1000"/>
    <x v="36"/>
    <n v="15"/>
    <n v="0.66666666666666663"/>
    <x v="0"/>
    <x v="74"/>
    <n v="0"/>
    <x v="0"/>
    <x v="2"/>
  </r>
  <r>
    <x v="702"/>
    <n v="3500"/>
    <n v="35"/>
    <x v="10"/>
    <n v="2"/>
    <n v="3300"/>
    <x v="86"/>
    <n v="85"/>
    <n v="0.38823529411764707"/>
    <x v="0"/>
    <x v="67"/>
    <n v="2"/>
    <x v="0"/>
    <x v="2"/>
  </r>
  <r>
    <x v="703"/>
    <n v="12000"/>
    <n v="120"/>
    <x v="10"/>
    <n v="6"/>
    <n v="11400"/>
    <x v="229"/>
    <n v="400"/>
    <n v="0.28499999999999998"/>
    <x v="0"/>
    <x v="18"/>
    <n v="6"/>
    <x v="1"/>
    <x v="2"/>
  </r>
  <r>
    <x v="704"/>
    <n v="10000"/>
    <n v="100"/>
    <x v="14"/>
    <n v="6"/>
    <n v="9000"/>
    <x v="109"/>
    <n v="52"/>
    <n v="1.7307692307692308"/>
    <x v="0"/>
    <x v="77"/>
    <n v="10"/>
    <x v="1"/>
    <x v="4"/>
  </r>
  <r>
    <x v="705"/>
    <n v="6800"/>
    <n v="68"/>
    <x v="6"/>
    <n v="1"/>
    <n v="6500"/>
    <x v="100"/>
    <n v="425"/>
    <n v="0.15294117647058825"/>
    <x v="0"/>
    <x v="78"/>
    <n v="3"/>
    <x v="1"/>
    <x v="2"/>
  </r>
  <r>
    <x v="706"/>
    <n v="38000"/>
    <n v="380"/>
    <x v="17"/>
    <n v="5"/>
    <n v="35700"/>
    <x v="232"/>
    <n v="350"/>
    <n v="1.02"/>
    <x v="0"/>
    <x v="66"/>
    <n v="23"/>
    <x v="2"/>
    <x v="4"/>
  </r>
  <r>
    <x v="707"/>
    <n v="16100"/>
    <n v="161"/>
    <x v="13"/>
    <n v="4"/>
    <n v="14900"/>
    <x v="27"/>
    <n v="300"/>
    <n v="0.49666666666666665"/>
    <x v="0"/>
    <x v="10"/>
    <n v="12"/>
    <x v="1"/>
    <x v="4"/>
  </r>
  <r>
    <x v="708"/>
    <n v="1500"/>
    <n v="15"/>
    <x v="11"/>
    <n v="6"/>
    <n v="1500"/>
    <x v="23"/>
    <n v="20"/>
    <n v="0.75"/>
    <x v="0"/>
    <x v="29"/>
    <n v="0"/>
    <x v="0"/>
    <x v="2"/>
  </r>
  <r>
    <x v="709"/>
    <n v="5000"/>
    <n v="50"/>
    <x v="24"/>
    <n v="1"/>
    <n v="4400"/>
    <x v="95"/>
    <n v="50"/>
    <n v="0.88"/>
    <x v="0"/>
    <x v="8"/>
    <n v="6"/>
    <x v="0"/>
    <x v="1"/>
  </r>
  <r>
    <x v="710"/>
    <n v="5500"/>
    <n v="55"/>
    <x v="20"/>
    <n v="6"/>
    <n v="4100"/>
    <x v="99"/>
    <n v="27"/>
    <n v="1.5185185185185186"/>
    <x v="0"/>
    <x v="79"/>
    <n v="14"/>
    <x v="0"/>
    <x v="3"/>
  </r>
  <r>
    <x v="711"/>
    <n v="9000"/>
    <n v="90"/>
    <x v="6"/>
    <n v="6"/>
    <n v="8600"/>
    <x v="110"/>
    <n v="1160"/>
    <n v="7.4137931034482754E-2"/>
    <x v="0"/>
    <x v="29"/>
    <n v="4"/>
    <x v="1"/>
    <x v="2"/>
  </r>
  <r>
    <x v="712"/>
    <n v="4000"/>
    <n v="40"/>
    <x v="3"/>
    <n v="6"/>
    <n v="3300"/>
    <x v="86"/>
    <n v="30"/>
    <n v="1.1000000000000001"/>
    <x v="0"/>
    <x v="60"/>
    <n v="7"/>
    <x v="0"/>
    <x v="0"/>
  </r>
  <r>
    <x v="713"/>
    <n v="1000"/>
    <n v="10"/>
    <x v="11"/>
    <n v="1"/>
    <n v="1000"/>
    <x v="36"/>
    <n v="16"/>
    <n v="0.625"/>
    <x v="0"/>
    <x v="74"/>
    <n v="0"/>
    <x v="0"/>
    <x v="2"/>
  </r>
  <r>
    <x v="714"/>
    <n v="44500"/>
    <n v="445"/>
    <x v="22"/>
    <n v="6"/>
    <n v="40100"/>
    <x v="233"/>
    <n v="750"/>
    <n v="0.53466666666666662"/>
    <x v="0"/>
    <x v="45"/>
    <n v="44"/>
    <x v="2"/>
    <x v="4"/>
  </r>
  <r>
    <x v="715"/>
    <n v="5000"/>
    <n v="50"/>
    <x v="11"/>
    <n v="4"/>
    <n v="5000"/>
    <x v="35"/>
    <n v="170"/>
    <n v="0.29411764705882354"/>
    <x v="0"/>
    <x v="80"/>
    <n v="0"/>
    <x v="1"/>
    <x v="2"/>
  </r>
  <r>
    <x v="716"/>
    <n v="5500"/>
    <n v="55"/>
    <x v="11"/>
    <n v="6"/>
    <n v="5500"/>
    <x v="42"/>
    <n v="200"/>
    <n v="0.27500000000000002"/>
    <x v="0"/>
    <x v="3"/>
    <n v="0"/>
    <x v="1"/>
    <x v="2"/>
  </r>
  <r>
    <x v="717"/>
    <n v="5500"/>
    <n v="55"/>
    <x v="25"/>
    <n v="6"/>
    <n v="4400"/>
    <x v="95"/>
    <n v="27"/>
    <n v="1.6296296296296295"/>
    <x v="0"/>
    <x v="79"/>
    <n v="11"/>
    <x v="0"/>
    <x v="0"/>
  </r>
  <r>
    <x v="718"/>
    <n v="5500"/>
    <n v="55"/>
    <x v="25"/>
    <n v="6"/>
    <n v="4400"/>
    <x v="95"/>
    <n v="27"/>
    <n v="1.6296296296296295"/>
    <x v="0"/>
    <x v="79"/>
    <n v="11"/>
    <x v="0"/>
    <x v="0"/>
  </r>
  <r>
    <x v="719"/>
    <n v="11500"/>
    <n v="115"/>
    <x v="11"/>
    <n v="1"/>
    <n v="11500"/>
    <x v="105"/>
    <n v="500"/>
    <n v="0.23"/>
    <x v="0"/>
    <x v="5"/>
    <n v="0"/>
    <x v="1"/>
    <x v="2"/>
  </r>
  <r>
    <x v="720"/>
    <n v="9600"/>
    <n v="96"/>
    <x v="10"/>
    <n v="4"/>
    <n v="9100"/>
    <x v="234"/>
    <n v="540"/>
    <n v="0.16851851851851851"/>
    <x v="0"/>
    <x v="42"/>
    <n v="5"/>
    <x v="1"/>
    <x v="2"/>
  </r>
  <r>
    <x v="721"/>
    <n v="8900"/>
    <n v="89"/>
    <x v="15"/>
    <n v="6"/>
    <n v="7900"/>
    <x v="32"/>
    <n v="275"/>
    <n v="0.28727272727272729"/>
    <x v="0"/>
    <x v="81"/>
    <n v="10"/>
    <x v="1"/>
    <x v="1"/>
  </r>
  <r>
    <x v="722"/>
    <n v="5500"/>
    <n v="55"/>
    <x v="20"/>
    <n v="6"/>
    <n v="4100"/>
    <x v="99"/>
    <n v="27"/>
    <n v="1.5185185185185186"/>
    <x v="0"/>
    <x v="79"/>
    <n v="14"/>
    <x v="0"/>
    <x v="3"/>
  </r>
  <r>
    <x v="723"/>
    <n v="11000"/>
    <n v="110"/>
    <x v="35"/>
    <n v="6"/>
    <n v="8500"/>
    <x v="227"/>
    <n v="300"/>
    <n v="0.28333333333333333"/>
    <x v="0"/>
    <x v="10"/>
    <n v="25"/>
    <x v="1"/>
    <x v="3"/>
  </r>
  <r>
    <x v="724"/>
    <n v="6000"/>
    <n v="60"/>
    <x v="17"/>
    <n v="6"/>
    <n v="5600"/>
    <x v="123"/>
    <n v="200"/>
    <n v="0.28000000000000003"/>
    <x v="0"/>
    <x v="3"/>
    <n v="4"/>
    <x v="1"/>
    <x v="4"/>
  </r>
  <r>
    <x v="725"/>
    <n v="12000"/>
    <n v="120"/>
    <x v="10"/>
    <n v="5"/>
    <n v="11400"/>
    <x v="229"/>
    <n v="400"/>
    <n v="0.28499999999999998"/>
    <x v="0"/>
    <x v="18"/>
    <n v="6"/>
    <x v="1"/>
    <x v="2"/>
  </r>
  <r>
    <x v="726"/>
    <n v="4000"/>
    <n v="40"/>
    <x v="24"/>
    <n v="4"/>
    <n v="3500"/>
    <x v="1"/>
    <n v="38"/>
    <n v="0.92105263157894735"/>
    <x v="0"/>
    <x v="17"/>
    <n v="5"/>
    <x v="0"/>
    <x v="1"/>
  </r>
  <r>
    <x v="727"/>
    <n v="5500"/>
    <n v="55"/>
    <x v="11"/>
    <n v="5"/>
    <n v="5500"/>
    <x v="42"/>
    <n v="190"/>
    <n v="0.28947368421052633"/>
    <x v="0"/>
    <x v="82"/>
    <n v="0"/>
    <x v="1"/>
    <x v="2"/>
  </r>
  <r>
    <x v="728"/>
    <n v="7500"/>
    <n v="75"/>
    <x v="17"/>
    <n v="4"/>
    <n v="7000"/>
    <x v="124"/>
    <n v="280"/>
    <n v="0.25"/>
    <x v="0"/>
    <x v="22"/>
    <n v="5"/>
    <x v="1"/>
    <x v="4"/>
  </r>
  <r>
    <x v="729"/>
    <n v="11000"/>
    <n v="110"/>
    <x v="6"/>
    <n v="6"/>
    <n v="10500"/>
    <x v="37"/>
    <n v="400"/>
    <n v="0.26250000000000001"/>
    <x v="0"/>
    <x v="18"/>
    <n v="5"/>
    <x v="1"/>
    <x v="2"/>
  </r>
  <r>
    <x v="730"/>
    <n v="32500"/>
    <n v="325"/>
    <x v="17"/>
    <n v="6"/>
    <n v="30500"/>
    <x v="235"/>
    <n v="500"/>
    <n v="0.61"/>
    <x v="0"/>
    <x v="5"/>
    <n v="20"/>
    <x v="2"/>
    <x v="4"/>
  </r>
  <r>
    <x v="731"/>
    <n v="5500"/>
    <n v="55"/>
    <x v="25"/>
    <n v="5"/>
    <n v="4400"/>
    <x v="95"/>
    <n v="27"/>
    <n v="1.6296296296296295"/>
    <x v="0"/>
    <x v="79"/>
    <n v="11"/>
    <x v="0"/>
    <x v="0"/>
  </r>
  <r>
    <x v="732"/>
    <n v="2800"/>
    <n v="28"/>
    <x v="3"/>
    <n v="1"/>
    <n v="2300"/>
    <x v="63"/>
    <n v="65"/>
    <n v="0.35384615384615387"/>
    <x v="0"/>
    <x v="33"/>
    <n v="5"/>
    <x v="0"/>
    <x v="0"/>
  </r>
  <r>
    <x v="733"/>
    <n v="9900"/>
    <n v="99"/>
    <x v="36"/>
    <n v="1"/>
    <n v="5000"/>
    <x v="35"/>
    <n v="130"/>
    <n v="0.38461538461538464"/>
    <x v="0"/>
    <x v="83"/>
    <n v="49"/>
    <x v="1"/>
    <x v="3"/>
  </r>
  <r>
    <x v="734"/>
    <n v="10500"/>
    <n v="105"/>
    <x v="6"/>
    <n v="2"/>
    <n v="10000"/>
    <x v="141"/>
    <n v="500"/>
    <n v="0.2"/>
    <x v="0"/>
    <x v="5"/>
    <n v="5"/>
    <x v="1"/>
    <x v="2"/>
  </r>
  <r>
    <x v="735"/>
    <n v="17500"/>
    <n v="175"/>
    <x v="22"/>
    <n v="6"/>
    <n v="15800"/>
    <x v="236"/>
    <n v="300"/>
    <n v="0.52666666666666662"/>
    <x v="0"/>
    <x v="10"/>
    <n v="17"/>
    <x v="1"/>
    <x v="4"/>
  </r>
  <r>
    <x v="736"/>
    <n v="6000"/>
    <n v="60"/>
    <x v="25"/>
    <n v="6"/>
    <n v="4800"/>
    <x v="154"/>
    <n v="40"/>
    <n v="1.2"/>
    <x v="0"/>
    <x v="23"/>
    <n v="12"/>
    <x v="0"/>
    <x v="0"/>
  </r>
  <r>
    <x v="737"/>
    <n v="27000"/>
    <n v="270"/>
    <x v="11"/>
    <n v="5"/>
    <n v="27000"/>
    <x v="149"/>
    <n v="24"/>
    <n v="11.25"/>
    <x v="0"/>
    <x v="84"/>
    <n v="0"/>
    <x v="2"/>
    <x v="2"/>
  </r>
  <r>
    <x v="738"/>
    <n v="5000"/>
    <n v="50"/>
    <x v="14"/>
    <n v="6"/>
    <n v="4500"/>
    <x v="21"/>
    <n v="160"/>
    <n v="0.28125"/>
    <x v="0"/>
    <x v="48"/>
    <n v="5"/>
    <x v="0"/>
    <x v="4"/>
  </r>
  <r>
    <x v="739"/>
    <n v="10000"/>
    <n v="100"/>
    <x v="37"/>
    <n v="6"/>
    <n v="7400"/>
    <x v="208"/>
    <n v="52"/>
    <n v="1.4230769230769231"/>
    <x v="0"/>
    <x v="77"/>
    <n v="26"/>
    <x v="1"/>
    <x v="3"/>
  </r>
  <r>
    <x v="740"/>
    <n v="7400"/>
    <n v="74"/>
    <x v="17"/>
    <n v="2"/>
    <n v="6900"/>
    <x v="18"/>
    <n v="300"/>
    <n v="0.23"/>
    <x v="0"/>
    <x v="10"/>
    <n v="5"/>
    <x v="1"/>
    <x v="4"/>
  </r>
  <r>
    <x v="741"/>
    <n v="32500"/>
    <n v="325"/>
    <x v="6"/>
    <n v="6"/>
    <n v="30900"/>
    <x v="64"/>
    <n v="400"/>
    <n v="0.77249999999999996"/>
    <x v="0"/>
    <x v="18"/>
    <n v="16"/>
    <x v="2"/>
    <x v="2"/>
  </r>
  <r>
    <x v="742"/>
    <n v="5500"/>
    <n v="55"/>
    <x v="20"/>
    <n v="6"/>
    <n v="4100"/>
    <x v="99"/>
    <n v="27"/>
    <n v="1.5185185185185186"/>
    <x v="0"/>
    <x v="79"/>
    <n v="14"/>
    <x v="0"/>
    <x v="3"/>
  </r>
  <r>
    <x v="743"/>
    <n v="17000"/>
    <n v="170"/>
    <x v="6"/>
    <n v="3"/>
    <n v="16200"/>
    <x v="120"/>
    <n v="280"/>
    <n v="0.57857142857142863"/>
    <x v="0"/>
    <x v="22"/>
    <n v="8"/>
    <x v="1"/>
    <x v="2"/>
  </r>
  <r>
    <x v="744"/>
    <n v="9900"/>
    <n v="99"/>
    <x v="5"/>
    <n v="6"/>
    <n v="8600"/>
    <x v="110"/>
    <n v="250"/>
    <n v="0.34399999999999997"/>
    <x v="0"/>
    <x v="2"/>
    <n v="13"/>
    <x v="1"/>
    <x v="1"/>
  </r>
  <r>
    <x v="745"/>
    <n v="4000"/>
    <n v="40"/>
    <x v="11"/>
    <n v="3"/>
    <n v="4000"/>
    <x v="131"/>
    <n v="46"/>
    <n v="0.86956521739130432"/>
    <x v="0"/>
    <x v="31"/>
    <n v="0"/>
    <x v="0"/>
    <x v="2"/>
  </r>
  <r>
    <x v="746"/>
    <n v="5500"/>
    <n v="55"/>
    <x v="22"/>
    <n v="2"/>
    <n v="5000"/>
    <x v="35"/>
    <n v="200"/>
    <n v="0.25"/>
    <x v="0"/>
    <x v="3"/>
    <n v="5"/>
    <x v="1"/>
    <x v="4"/>
  </r>
  <r>
    <x v="747"/>
    <n v="16900"/>
    <n v="169"/>
    <x v="19"/>
    <n v="4"/>
    <n v="15500"/>
    <x v="221"/>
    <n v="300"/>
    <n v="0.51666666666666672"/>
    <x v="0"/>
    <x v="10"/>
    <n v="14"/>
    <x v="1"/>
    <x v="4"/>
  </r>
  <r>
    <x v="748"/>
    <n v="13000"/>
    <n v="130"/>
    <x v="11"/>
    <n v="6"/>
    <n v="12900"/>
    <x v="237"/>
    <n v="415"/>
    <n v="0.31084337349397589"/>
    <x v="0"/>
    <x v="72"/>
    <n v="1"/>
    <x v="1"/>
    <x v="2"/>
  </r>
  <r>
    <x v="749"/>
    <n v="6000"/>
    <n v="60"/>
    <x v="37"/>
    <n v="6"/>
    <n v="4400"/>
    <x v="95"/>
    <n v="40"/>
    <n v="1.1000000000000001"/>
    <x v="0"/>
    <x v="23"/>
    <n v="16"/>
    <x v="0"/>
    <x v="3"/>
  </r>
  <r>
    <x v="750"/>
    <n v="26000"/>
    <n v="260"/>
    <x v="14"/>
    <n v="4"/>
    <n v="23400"/>
    <x v="238"/>
    <n v="400"/>
    <n v="0.58499999999999996"/>
    <x v="0"/>
    <x v="18"/>
    <n v="26"/>
    <x v="2"/>
    <x v="4"/>
  </r>
  <r>
    <x v="737"/>
    <n v="15000"/>
    <n v="150"/>
    <x v="11"/>
    <n v="5"/>
    <n v="15000"/>
    <x v="166"/>
    <n v="580"/>
    <n v="0.25862068965517243"/>
    <x v="0"/>
    <x v="14"/>
    <n v="0"/>
    <x v="1"/>
    <x v="2"/>
  </r>
  <r>
    <x v="751"/>
    <n v="8500"/>
    <n v="85"/>
    <x v="22"/>
    <n v="2"/>
    <n v="7700"/>
    <x v="93"/>
    <n v="300"/>
    <n v="0.25666666666666665"/>
    <x v="0"/>
    <x v="10"/>
    <n v="8"/>
    <x v="1"/>
    <x v="4"/>
  </r>
  <r>
    <x v="752"/>
    <n v="10000"/>
    <n v="100"/>
    <x v="37"/>
    <n v="6"/>
    <n v="7400"/>
    <x v="208"/>
    <n v="52"/>
    <n v="1.4230769230769231"/>
    <x v="0"/>
    <x v="77"/>
    <n v="26"/>
    <x v="1"/>
    <x v="3"/>
  </r>
  <r>
    <x v="753"/>
    <n v="32500"/>
    <n v="325"/>
    <x v="6"/>
    <n v="6"/>
    <n v="30900"/>
    <x v="64"/>
    <n v="400"/>
    <n v="0.77249999999999996"/>
    <x v="0"/>
    <x v="18"/>
    <n v="16"/>
    <x v="2"/>
    <x v="2"/>
  </r>
  <r>
    <x v="754"/>
    <n v="14100"/>
    <n v="141"/>
    <x v="2"/>
    <n v="4"/>
    <n v="12100"/>
    <x v="239"/>
    <n v="350"/>
    <n v="0.3457142857142857"/>
    <x v="0"/>
    <x v="66"/>
    <n v="20"/>
    <x v="1"/>
    <x v="1"/>
  </r>
  <r>
    <x v="755"/>
    <n v="12500"/>
    <n v="125"/>
    <x v="1"/>
    <n v="4"/>
    <n v="10600"/>
    <x v="215"/>
    <n v="60"/>
    <n v="1.7666666666666666"/>
    <x v="0"/>
    <x v="16"/>
    <n v="19"/>
    <x v="1"/>
    <x v="1"/>
  </r>
  <r>
    <x v="756"/>
    <n v="4000"/>
    <n v="40"/>
    <x v="12"/>
    <n v="3"/>
    <n v="3900"/>
    <x v="34"/>
    <n v="400"/>
    <n v="9.7500000000000003E-2"/>
    <x v="0"/>
    <x v="18"/>
    <n v="1"/>
    <x v="0"/>
    <x v="2"/>
  </r>
  <r>
    <x v="757"/>
    <n v="1000"/>
    <n v="10"/>
    <x v="11"/>
    <n v="3"/>
    <n v="1000"/>
    <x v="36"/>
    <n v="15"/>
    <n v="0.66666666666666663"/>
    <x v="0"/>
    <x v="74"/>
    <n v="0"/>
    <x v="0"/>
    <x v="2"/>
  </r>
  <r>
    <x v="758"/>
    <n v="14500"/>
    <n v="145"/>
    <x v="15"/>
    <n v="3"/>
    <n v="12900"/>
    <x v="237"/>
    <n v="400"/>
    <n v="0.32250000000000001"/>
    <x v="0"/>
    <x v="18"/>
    <n v="16"/>
    <x v="1"/>
    <x v="1"/>
  </r>
  <r>
    <x v="759"/>
    <n v="33500"/>
    <n v="335"/>
    <x v="15"/>
    <n v="6"/>
    <n v="29800"/>
    <x v="240"/>
    <n v="500"/>
    <n v="0.59599999999999997"/>
    <x v="0"/>
    <x v="5"/>
    <n v="37"/>
    <x v="2"/>
    <x v="1"/>
  </r>
  <r>
    <x v="760"/>
    <n v="11900"/>
    <n v="119"/>
    <x v="17"/>
    <n v="6"/>
    <n v="11100"/>
    <x v="210"/>
    <n v="360"/>
    <n v="0.30833333333333335"/>
    <x v="0"/>
    <x v="41"/>
    <n v="8"/>
    <x v="1"/>
    <x v="4"/>
  </r>
  <r>
    <x v="761"/>
    <n v="14900"/>
    <n v="149"/>
    <x v="19"/>
    <n v="6"/>
    <n v="13700"/>
    <x v="218"/>
    <n v="300"/>
    <n v="0.45666666666666667"/>
    <x v="0"/>
    <x v="10"/>
    <n v="12"/>
    <x v="1"/>
    <x v="4"/>
  </r>
  <r>
    <x v="762"/>
    <n v="13000"/>
    <n v="130"/>
    <x v="11"/>
    <n v="5"/>
    <n v="13000"/>
    <x v="241"/>
    <n v="200"/>
    <n v="0.65"/>
    <x v="0"/>
    <x v="3"/>
    <n v="0"/>
    <x v="1"/>
    <x v="2"/>
  </r>
  <r>
    <x v="763"/>
    <n v="5500"/>
    <n v="55"/>
    <x v="18"/>
    <n v="1"/>
    <n v="5300"/>
    <x v="242"/>
    <n v="43"/>
    <n v="1.2325581395348837"/>
    <x v="0"/>
    <x v="85"/>
    <n v="2"/>
    <x v="1"/>
    <x v="2"/>
  </r>
  <r>
    <x v="764"/>
    <n v="16500"/>
    <n v="165"/>
    <x v="22"/>
    <n v="1"/>
    <n v="14900"/>
    <x v="27"/>
    <n v="500"/>
    <n v="0.29799999999999999"/>
    <x v="0"/>
    <x v="5"/>
    <n v="16"/>
    <x v="1"/>
    <x v="4"/>
  </r>
  <r>
    <x v="765"/>
    <n v="8900"/>
    <n v="89"/>
    <x v="11"/>
    <n v="5"/>
    <n v="8900"/>
    <x v="25"/>
    <n v="480"/>
    <n v="0.18541666666666667"/>
    <x v="0"/>
    <x v="86"/>
    <n v="0"/>
    <x v="1"/>
    <x v="2"/>
  </r>
  <r>
    <x v="766"/>
    <n v="65000"/>
    <n v="650"/>
    <x v="11"/>
    <n v="6"/>
    <n v="65000"/>
    <x v="243"/>
    <n v="400"/>
    <n v="1.625"/>
    <x v="0"/>
    <x v="18"/>
    <n v="0"/>
    <x v="2"/>
    <x v="2"/>
  </r>
  <r>
    <x v="767"/>
    <n v="12000"/>
    <n v="120"/>
    <x v="13"/>
    <n v="6"/>
    <n v="11100"/>
    <x v="210"/>
    <n v="400"/>
    <n v="0.27750000000000002"/>
    <x v="0"/>
    <x v="18"/>
    <n v="9"/>
    <x v="1"/>
    <x v="4"/>
  </r>
  <r>
    <x v="768"/>
    <n v="33000"/>
    <n v="330"/>
    <x v="14"/>
    <n v="1"/>
    <n v="29400"/>
    <x v="144"/>
    <n v="450"/>
    <n v="0.65333333333333332"/>
    <x v="0"/>
    <x v="15"/>
    <n v="36"/>
    <x v="2"/>
    <x v="4"/>
  </r>
  <r>
    <x v="769"/>
    <n v="13000"/>
    <n v="130"/>
    <x v="14"/>
    <n v="6"/>
    <n v="11700"/>
    <x v="177"/>
    <n v="250"/>
    <n v="0.46800000000000003"/>
    <x v="0"/>
    <x v="2"/>
    <n v="13"/>
    <x v="1"/>
    <x v="4"/>
  </r>
  <r>
    <x v="770"/>
    <n v="3200"/>
    <n v="32"/>
    <x v="11"/>
    <n v="3"/>
    <n v="3200"/>
    <x v="29"/>
    <n v="150"/>
    <n v="0.21333333333333335"/>
    <x v="0"/>
    <x v="34"/>
    <n v="0"/>
    <x v="0"/>
    <x v="2"/>
  </r>
  <r>
    <x v="771"/>
    <n v="6000"/>
    <n v="60"/>
    <x v="25"/>
    <n v="6"/>
    <n v="4800"/>
    <x v="154"/>
    <n v="40"/>
    <n v="1.2"/>
    <x v="0"/>
    <x v="23"/>
    <n v="12"/>
    <x v="0"/>
    <x v="0"/>
  </r>
  <r>
    <x v="772"/>
    <n v="8000"/>
    <n v="80"/>
    <x v="14"/>
    <n v="3"/>
    <n v="7200"/>
    <x v="82"/>
    <n v="320"/>
    <n v="0.22500000000000001"/>
    <x v="0"/>
    <x v="87"/>
    <n v="8"/>
    <x v="1"/>
    <x v="4"/>
  </r>
  <r>
    <x v="773"/>
    <n v="4000"/>
    <n v="40"/>
    <x v="11"/>
    <n v="4"/>
    <n v="4000"/>
    <x v="131"/>
    <n v="46"/>
    <n v="0.86956521739130432"/>
    <x v="0"/>
    <x v="31"/>
    <n v="0"/>
    <x v="0"/>
    <x v="2"/>
  </r>
  <r>
    <x v="774"/>
    <n v="20000"/>
    <n v="200"/>
    <x v="20"/>
    <n v="1"/>
    <n v="15000"/>
    <x v="166"/>
    <n v="180"/>
    <n v="0.83333333333333337"/>
    <x v="0"/>
    <x v="49"/>
    <n v="50"/>
    <x v="1"/>
    <x v="3"/>
  </r>
  <r>
    <x v="735"/>
    <n v="55000"/>
    <n v="550"/>
    <x v="10"/>
    <n v="3"/>
    <n v="52000"/>
    <x v="244"/>
    <n v="1000"/>
    <n v="0.52"/>
    <x v="0"/>
    <x v="0"/>
    <n v="30"/>
    <x v="2"/>
    <x v="2"/>
  </r>
  <r>
    <x v="775"/>
    <n v="33000"/>
    <n v="330"/>
    <x v="14"/>
    <n v="3"/>
    <n v="29400"/>
    <x v="144"/>
    <n v="450"/>
    <n v="0.65333333333333332"/>
    <x v="0"/>
    <x v="15"/>
    <n v="36"/>
    <x v="2"/>
    <x v="4"/>
  </r>
  <r>
    <x v="776"/>
    <n v="16000"/>
    <n v="160"/>
    <x v="25"/>
    <n v="4"/>
    <n v="12800"/>
    <x v="101"/>
    <n v="180"/>
    <n v="0.71111111111111114"/>
    <x v="0"/>
    <x v="49"/>
    <n v="32"/>
    <x v="1"/>
    <x v="0"/>
  </r>
  <r>
    <x v="777"/>
    <n v="1500"/>
    <n v="15"/>
    <x v="11"/>
    <n v="3"/>
    <n v="1500"/>
    <x v="23"/>
    <n v="60"/>
    <n v="0.25"/>
    <x v="0"/>
    <x v="16"/>
    <n v="0"/>
    <x v="0"/>
    <x v="2"/>
  </r>
  <r>
    <x v="778"/>
    <n v="12500"/>
    <n v="125"/>
    <x v="22"/>
    <n v="6"/>
    <n v="11300"/>
    <x v="213"/>
    <n v="400"/>
    <n v="0.28249999999999997"/>
    <x v="0"/>
    <x v="5"/>
    <n v="12"/>
    <x v="1"/>
    <x v="4"/>
  </r>
  <r>
    <x v="779"/>
    <n v="17500"/>
    <n v="175"/>
    <x v="25"/>
    <n v="6"/>
    <n v="14000"/>
    <x v="187"/>
    <n v="180"/>
    <n v="0.77777777777777779"/>
    <x v="0"/>
    <x v="49"/>
    <n v="35"/>
    <x v="1"/>
    <x v="0"/>
  </r>
  <r>
    <x v="780"/>
    <n v="17000"/>
    <n v="170"/>
    <x v="14"/>
    <n v="1"/>
    <n v="15300"/>
    <x v="245"/>
    <n v="1000"/>
    <n v="0.153"/>
    <x v="0"/>
    <x v="0"/>
    <n v="17"/>
    <x v="1"/>
    <x v="4"/>
  </r>
  <r>
    <x v="781"/>
    <n v="1500"/>
    <n v="15"/>
    <x v="11"/>
    <n v="3"/>
    <n v="1500"/>
    <x v="23"/>
    <n v="15"/>
    <n v="1"/>
    <x v="0"/>
    <x v="74"/>
    <n v="0"/>
    <x v="0"/>
    <x v="2"/>
  </r>
  <r>
    <x v="782"/>
    <n v="49900"/>
    <n v="499"/>
    <x v="15"/>
    <n v="6"/>
    <n v="44400"/>
    <x v="246"/>
    <n v="1200"/>
    <n v="0.37"/>
    <x v="0"/>
    <x v="0"/>
    <n v="55"/>
    <x v="2"/>
    <x v="1"/>
  </r>
  <r>
    <x v="778"/>
    <n v="14900"/>
    <n v="149"/>
    <x v="37"/>
    <n v="4"/>
    <n v="10900"/>
    <x v="87"/>
    <n v="500"/>
    <n v="0.218"/>
    <x v="0"/>
    <x v="5"/>
    <n v="40"/>
    <x v="1"/>
    <x v="3"/>
  </r>
  <r>
    <x v="783"/>
    <n v="6000"/>
    <n v="60"/>
    <x v="11"/>
    <n v="6"/>
    <n v="6000"/>
    <x v="69"/>
    <n v="240"/>
    <n v="0.25"/>
    <x v="0"/>
    <x v="19"/>
    <n v="0"/>
    <x v="1"/>
    <x v="2"/>
  </r>
  <r>
    <x v="784"/>
    <n v="31000"/>
    <n v="310"/>
    <x v="17"/>
    <n v="6"/>
    <n v="29000"/>
    <x v="247"/>
    <n v="875"/>
    <n v="0.33142857142857141"/>
    <x v="0"/>
    <x v="88"/>
    <n v="20"/>
    <x v="2"/>
    <x v="4"/>
  </r>
  <r>
    <x v="785"/>
    <n v="33000"/>
    <n v="330"/>
    <x v="17"/>
    <n v="6"/>
    <n v="31000"/>
    <x v="248"/>
    <n v="460"/>
    <n v="0.67391304347826086"/>
    <x v="0"/>
    <x v="89"/>
    <n v="20"/>
    <x v="2"/>
    <x v="4"/>
  </r>
  <r>
    <x v="786"/>
    <n v="29200"/>
    <n v="292"/>
    <x v="11"/>
    <n v="6"/>
    <n v="29200"/>
    <x v="249"/>
    <n v="300"/>
    <n v="0.97333333333333338"/>
    <x v="0"/>
    <x v="10"/>
    <n v="0"/>
    <x v="2"/>
    <x v="2"/>
  </r>
  <r>
    <x v="787"/>
    <n v="2500"/>
    <n v="25"/>
    <x v="11"/>
    <n v="6"/>
    <n v="2500"/>
    <x v="14"/>
    <n v="60"/>
    <n v="0.41666666666666669"/>
    <x v="0"/>
    <x v="16"/>
    <n v="0"/>
    <x v="0"/>
    <x v="2"/>
  </r>
  <r>
    <x v="765"/>
    <n v="6800"/>
    <n v="68"/>
    <x v="14"/>
    <n v="5"/>
    <n v="6100"/>
    <x v="146"/>
    <n v="360"/>
    <n v="0.16944444444444445"/>
    <x v="0"/>
    <x v="41"/>
    <n v="7"/>
    <x v="1"/>
    <x v="4"/>
  </r>
  <r>
    <x v="788"/>
    <n v="5500"/>
    <n v="55"/>
    <x v="11"/>
    <n v="6"/>
    <n v="5500"/>
    <x v="42"/>
    <n v="53"/>
    <n v="1.0377358490566038"/>
    <x v="0"/>
    <x v="90"/>
    <n v="0"/>
    <x v="1"/>
    <x v="2"/>
  </r>
  <r>
    <x v="789"/>
    <n v="42500"/>
    <n v="425"/>
    <x v="22"/>
    <n v="1"/>
    <n v="38300"/>
    <x v="250"/>
    <n v="1000"/>
    <n v="0.38300000000000001"/>
    <x v="0"/>
    <x v="0"/>
    <n v="42"/>
    <x v="2"/>
    <x v="4"/>
  </r>
  <r>
    <x v="790"/>
    <n v="17000"/>
    <n v="170"/>
    <x v="10"/>
    <n v="4"/>
    <n v="16000"/>
    <x v="251"/>
    <n v="385"/>
    <n v="0.41558441558441561"/>
    <x v="0"/>
    <x v="91"/>
    <n v="10"/>
    <x v="1"/>
    <x v="2"/>
  </r>
  <r>
    <x v="791"/>
    <n v="29000"/>
    <n v="290"/>
    <x v="25"/>
    <n v="6"/>
    <n v="23200"/>
    <x v="225"/>
    <n v="1200"/>
    <n v="0.19333333333333333"/>
    <x v="0"/>
    <x v="92"/>
    <n v="58"/>
    <x v="2"/>
    <x v="0"/>
  </r>
  <r>
    <x v="792"/>
    <n v="1500"/>
    <n v="15"/>
    <x v="11"/>
    <n v="5"/>
    <n v="1500"/>
    <x v="23"/>
    <n v="15"/>
    <n v="1"/>
    <x v="0"/>
    <x v="74"/>
    <n v="0"/>
    <x v="0"/>
    <x v="2"/>
  </r>
  <r>
    <x v="793"/>
    <n v="26100"/>
    <n v="261"/>
    <x v="11"/>
    <n v="6"/>
    <n v="26100"/>
    <x v="252"/>
    <n v="300"/>
    <n v="0.87"/>
    <x v="0"/>
    <x v="10"/>
    <n v="0"/>
    <x v="2"/>
    <x v="2"/>
  </r>
  <r>
    <x v="794"/>
    <n v="66000"/>
    <n v="660"/>
    <x v="29"/>
    <n v="4"/>
    <n v="39600"/>
    <x v="253"/>
    <n v="1200"/>
    <n v="0.33"/>
    <x v="0"/>
    <x v="0"/>
    <n v="264"/>
    <x v="2"/>
    <x v="3"/>
  </r>
  <r>
    <x v="795"/>
    <n v="17000"/>
    <n v="170"/>
    <x v="6"/>
    <n v="2"/>
    <n v="16200"/>
    <x v="120"/>
    <n v="210"/>
    <n v="0.77142857142857146"/>
    <x v="0"/>
    <x v="93"/>
    <n v="8"/>
    <x v="1"/>
    <x v="2"/>
  </r>
  <r>
    <x v="796"/>
    <n v="13000"/>
    <n v="130"/>
    <x v="30"/>
    <n v="6"/>
    <n v="9100"/>
    <x v="234"/>
    <n v="285"/>
    <n v="0.31929824561403508"/>
    <x v="0"/>
    <x v="43"/>
    <n v="39"/>
    <x v="1"/>
    <x v="3"/>
  </r>
  <r>
    <x v="797"/>
    <n v="9900"/>
    <n v="99"/>
    <x v="15"/>
    <n v="6"/>
    <n v="8800"/>
    <x v="65"/>
    <n v="175"/>
    <n v="0.50285714285714289"/>
    <x v="0"/>
    <x v="94"/>
    <n v="11"/>
    <x v="1"/>
    <x v="1"/>
  </r>
  <r>
    <x v="798"/>
    <n v="16900"/>
    <n v="169"/>
    <x v="10"/>
    <n v="4"/>
    <n v="16000"/>
    <x v="251"/>
    <n v="250"/>
    <n v="0.64"/>
    <x v="0"/>
    <x v="2"/>
    <n v="9"/>
    <x v="1"/>
    <x v="2"/>
  </r>
  <r>
    <x v="799"/>
    <n v="17900"/>
    <n v="179"/>
    <x v="11"/>
    <n v="6"/>
    <n v="17900"/>
    <x v="199"/>
    <n v="450"/>
    <n v="0.39777777777777779"/>
    <x v="0"/>
    <x v="15"/>
    <n v="0"/>
    <x v="1"/>
    <x v="2"/>
  </r>
  <r>
    <x v="800"/>
    <n v="14900"/>
    <n v="149"/>
    <x v="19"/>
    <n v="6"/>
    <n v="13700"/>
    <x v="218"/>
    <n v="330"/>
    <n v="0.41515151515151516"/>
    <x v="0"/>
    <x v="95"/>
    <n v="12"/>
    <x v="1"/>
    <x v="4"/>
  </r>
  <r>
    <x v="801"/>
    <n v="6000"/>
    <n v="60"/>
    <x v="25"/>
    <n v="6"/>
    <n v="4800"/>
    <x v="154"/>
    <n v="40"/>
    <n v="1.2"/>
    <x v="0"/>
    <x v="23"/>
    <n v="12"/>
    <x v="0"/>
    <x v="0"/>
  </r>
  <r>
    <x v="802"/>
    <n v="32500"/>
    <n v="325"/>
    <x v="25"/>
    <n v="6"/>
    <n v="26000"/>
    <x v="174"/>
    <n v="350"/>
    <n v="0.74285714285714288"/>
    <x v="0"/>
    <x v="66"/>
    <n v="65"/>
    <x v="2"/>
    <x v="0"/>
  </r>
  <r>
    <x v="803"/>
    <n v="15000"/>
    <n v="150"/>
    <x v="2"/>
    <n v="5"/>
    <n v="12800"/>
    <x v="101"/>
    <n v="114"/>
    <n v="1.1228070175438596"/>
    <x v="0"/>
    <x v="96"/>
    <n v="22"/>
    <x v="1"/>
    <x v="1"/>
  </r>
  <r>
    <x v="804"/>
    <n v="21000"/>
    <n v="210"/>
    <x v="19"/>
    <n v="5"/>
    <n v="19200"/>
    <x v="254"/>
    <n v="435"/>
    <n v="0.44137931034482758"/>
    <x v="0"/>
    <x v="97"/>
    <n v="18"/>
    <x v="1"/>
    <x v="4"/>
  </r>
  <r>
    <x v="805"/>
    <n v="28000"/>
    <n v="280"/>
    <x v="26"/>
    <n v="5"/>
    <n v="14000"/>
    <x v="187"/>
    <n v="175"/>
    <n v="0.8"/>
    <x v="0"/>
    <x v="94"/>
    <n v="140"/>
    <x v="1"/>
    <x v="3"/>
  </r>
  <r>
    <x v="806"/>
    <n v="5000"/>
    <n v="50"/>
    <x v="14"/>
    <n v="6"/>
    <n v="4500"/>
    <x v="21"/>
    <n v="100"/>
    <n v="0.45"/>
    <x v="0"/>
    <x v="1"/>
    <n v="5"/>
    <x v="0"/>
    <x v="4"/>
  </r>
  <r>
    <x v="807"/>
    <n v="8000"/>
    <n v="80"/>
    <x v="14"/>
    <n v="6"/>
    <n v="7200"/>
    <x v="82"/>
    <n v="280"/>
    <n v="0.25714285714285712"/>
    <x v="0"/>
    <x v="22"/>
    <n v="8"/>
    <x v="1"/>
    <x v="4"/>
  </r>
  <r>
    <x v="808"/>
    <n v="20000"/>
    <n v="200"/>
    <x v="30"/>
    <n v="1"/>
    <n v="14000"/>
    <x v="187"/>
    <n v="285"/>
    <n v="0.49122807017543857"/>
    <x v="0"/>
    <x v="43"/>
    <n v="60"/>
    <x v="1"/>
    <x v="3"/>
  </r>
  <r>
    <x v="809"/>
    <n v="19000"/>
    <n v="190"/>
    <x v="11"/>
    <n v="6"/>
    <n v="19000"/>
    <x v="89"/>
    <n v="300"/>
    <n v="0.6333333333333333"/>
    <x v="0"/>
    <x v="10"/>
    <n v="0"/>
    <x v="1"/>
    <x v="2"/>
  </r>
  <r>
    <x v="810"/>
    <n v="11900"/>
    <n v="119"/>
    <x v="10"/>
    <n v="6"/>
    <n v="11300"/>
    <x v="213"/>
    <n v="400"/>
    <n v="0.28249999999999997"/>
    <x v="0"/>
    <x v="18"/>
    <n v="6"/>
    <x v="1"/>
    <x v="2"/>
  </r>
  <r>
    <x v="811"/>
    <n v="17000"/>
    <n v="170"/>
    <x v="6"/>
    <n v="4"/>
    <n v="16200"/>
    <x v="120"/>
    <n v="340"/>
    <n v="0.47647058823529409"/>
    <x v="0"/>
    <x v="98"/>
    <n v="8"/>
    <x v="1"/>
    <x v="2"/>
  </r>
  <r>
    <x v="812"/>
    <n v="6000"/>
    <n v="60"/>
    <x v="1"/>
    <n v="1"/>
    <n v="5100"/>
    <x v="62"/>
    <n v="70"/>
    <n v="0.72857142857142854"/>
    <x v="0"/>
    <x v="11"/>
    <n v="9"/>
    <x v="1"/>
    <x v="1"/>
  </r>
  <r>
    <x v="813"/>
    <n v="5500"/>
    <n v="55"/>
    <x v="11"/>
    <n v="3"/>
    <n v="5500"/>
    <x v="42"/>
    <n v="55"/>
    <n v="1"/>
    <x v="0"/>
    <x v="99"/>
    <n v="0"/>
    <x v="1"/>
    <x v="2"/>
  </r>
  <r>
    <x v="814"/>
    <n v="8500"/>
    <n v="85"/>
    <x v="14"/>
    <n v="6"/>
    <n v="7600"/>
    <x v="255"/>
    <n v="250"/>
    <n v="0.30399999999999999"/>
    <x v="0"/>
    <x v="2"/>
    <n v="9"/>
    <x v="1"/>
    <x v="4"/>
  </r>
  <r>
    <x v="735"/>
    <n v="37000"/>
    <n v="370"/>
    <x v="24"/>
    <n v="3"/>
    <n v="32400"/>
    <x v="256"/>
    <n v="650"/>
    <n v="0.49846153846153846"/>
    <x v="0"/>
    <x v="100"/>
    <n v="46"/>
    <x v="2"/>
    <x v="1"/>
  </r>
  <r>
    <x v="815"/>
    <n v="16000"/>
    <n v="160"/>
    <x v="30"/>
    <n v="4"/>
    <n v="11200"/>
    <x v="165"/>
    <n v="285"/>
    <n v="0.39298245614035088"/>
    <x v="0"/>
    <x v="43"/>
    <n v="48"/>
    <x v="1"/>
    <x v="3"/>
  </r>
  <r>
    <x v="816"/>
    <n v="3000"/>
    <n v="30"/>
    <x v="11"/>
    <n v="5"/>
    <n v="3000"/>
    <x v="15"/>
    <n v="150"/>
    <n v="0.2"/>
    <x v="0"/>
    <x v="34"/>
    <n v="0"/>
    <x v="0"/>
    <x v="2"/>
  </r>
  <r>
    <x v="817"/>
    <n v="6000"/>
    <n v="60"/>
    <x v="14"/>
    <n v="2"/>
    <n v="5400"/>
    <x v="75"/>
    <n v="100"/>
    <n v="0.54"/>
    <x v="0"/>
    <x v="1"/>
    <n v="6"/>
    <x v="1"/>
    <x v="4"/>
  </r>
  <r>
    <x v="818"/>
    <n v="5500"/>
    <n v="55"/>
    <x v="22"/>
    <n v="4"/>
    <n v="5000"/>
    <x v="35"/>
    <n v="200"/>
    <n v="0.25"/>
    <x v="0"/>
    <x v="3"/>
    <n v="5"/>
    <x v="1"/>
    <x v="4"/>
  </r>
  <r>
    <x v="819"/>
    <n v="33000"/>
    <n v="330"/>
    <x v="14"/>
    <n v="6"/>
    <n v="29400"/>
    <x v="144"/>
    <n v="680"/>
    <n v="0.43235294117647061"/>
    <x v="0"/>
    <x v="26"/>
    <n v="36"/>
    <x v="2"/>
    <x v="4"/>
  </r>
  <r>
    <x v="820"/>
    <n v="12000"/>
    <n v="120"/>
    <x v="10"/>
    <n v="1"/>
    <n v="11400"/>
    <x v="229"/>
    <n v="400"/>
    <n v="0.28499999999999998"/>
    <x v="0"/>
    <x v="18"/>
    <n v="6"/>
    <x v="1"/>
    <x v="2"/>
  </r>
  <r>
    <x v="821"/>
    <n v="11000"/>
    <n v="110"/>
    <x v="30"/>
    <n v="2"/>
    <n v="7700"/>
    <x v="93"/>
    <n v="285"/>
    <n v="0.27017543859649124"/>
    <x v="0"/>
    <x v="43"/>
    <n v="33"/>
    <x v="1"/>
    <x v="3"/>
  </r>
  <r>
    <x v="822"/>
    <n v="27500"/>
    <n v="275"/>
    <x v="2"/>
    <n v="5"/>
    <n v="23400"/>
    <x v="238"/>
    <n v="200"/>
    <n v="1.17"/>
    <x v="0"/>
    <x v="3"/>
    <n v="41"/>
    <x v="2"/>
    <x v="1"/>
  </r>
  <r>
    <x v="823"/>
    <n v="5500"/>
    <n v="55"/>
    <x v="11"/>
    <n v="6"/>
    <n v="5500"/>
    <x v="42"/>
    <n v="55"/>
    <n v="1"/>
    <x v="0"/>
    <x v="99"/>
    <n v="0"/>
    <x v="1"/>
    <x v="2"/>
  </r>
  <r>
    <x v="824"/>
    <n v="22500"/>
    <n v="225"/>
    <x v="1"/>
    <n v="5"/>
    <n v="19100"/>
    <x v="54"/>
    <n v="190"/>
    <n v="1.0052631578947369"/>
    <x v="0"/>
    <x v="82"/>
    <n v="34"/>
    <x v="1"/>
    <x v="1"/>
  </r>
  <r>
    <x v="825"/>
    <n v="6500"/>
    <n v="65"/>
    <x v="17"/>
    <n v="6"/>
    <n v="6100"/>
    <x v="146"/>
    <n v="200"/>
    <n v="0.30499999999999999"/>
    <x v="0"/>
    <x v="3"/>
    <n v="4"/>
    <x v="1"/>
    <x v="4"/>
  </r>
  <r>
    <x v="826"/>
    <n v="4200"/>
    <n v="42"/>
    <x v="11"/>
    <n v="2"/>
    <n v="4200"/>
    <x v="189"/>
    <n v="400"/>
    <n v="0.105"/>
    <x v="0"/>
    <x v="18"/>
    <n v="0"/>
    <x v="0"/>
    <x v="2"/>
  </r>
  <r>
    <x v="827"/>
    <n v="27500"/>
    <n v="275"/>
    <x v="2"/>
    <n v="4"/>
    <n v="23400"/>
    <x v="238"/>
    <n v="200"/>
    <n v="1.17"/>
    <x v="0"/>
    <x v="3"/>
    <n v="41"/>
    <x v="2"/>
    <x v="1"/>
  </r>
  <r>
    <x v="828"/>
    <n v="13500"/>
    <n v="135"/>
    <x v="22"/>
    <n v="2"/>
    <n v="12200"/>
    <x v="134"/>
    <n v="300"/>
    <n v="0.40666666666666668"/>
    <x v="0"/>
    <x v="10"/>
    <n v="13"/>
    <x v="1"/>
    <x v="4"/>
  </r>
  <r>
    <x v="829"/>
    <n v="34000"/>
    <n v="340"/>
    <x v="11"/>
    <n v="2"/>
    <n v="34000"/>
    <x v="169"/>
    <n v="400"/>
    <n v="0.85"/>
    <x v="0"/>
    <x v="18"/>
    <n v="0"/>
    <x v="2"/>
    <x v="2"/>
  </r>
  <r>
    <x v="830"/>
    <n v="19000"/>
    <n v="190"/>
    <x v="14"/>
    <n v="6"/>
    <n v="17100"/>
    <x v="152"/>
    <n v="375"/>
    <n v="0.45600000000000002"/>
    <x v="0"/>
    <x v="75"/>
    <n v="19"/>
    <x v="1"/>
    <x v="4"/>
  </r>
  <r>
    <x v="831"/>
    <n v="10400"/>
    <n v="104"/>
    <x v="25"/>
    <n v="3"/>
    <n v="8300"/>
    <x v="257"/>
    <n v="500"/>
    <n v="0.16600000000000001"/>
    <x v="0"/>
    <x v="5"/>
    <n v="21"/>
    <x v="1"/>
    <x v="0"/>
  </r>
  <r>
    <x v="832"/>
    <n v="6000"/>
    <n v="60"/>
    <x v="11"/>
    <n v="4"/>
    <n v="6000"/>
    <x v="69"/>
    <n v="50"/>
    <n v="1.2"/>
    <x v="0"/>
    <x v="8"/>
    <n v="0"/>
    <x v="1"/>
    <x v="2"/>
  </r>
  <r>
    <x v="833"/>
    <n v="32500"/>
    <n v="325"/>
    <x v="11"/>
    <n v="6"/>
    <n v="32500"/>
    <x v="258"/>
    <n v="500"/>
    <n v="0.65"/>
    <x v="0"/>
    <x v="5"/>
    <n v="0"/>
    <x v="2"/>
    <x v="2"/>
  </r>
  <r>
    <x v="834"/>
    <n v="9900"/>
    <n v="99"/>
    <x v="11"/>
    <n v="3"/>
    <n v="9900"/>
    <x v="24"/>
    <n v="400"/>
    <n v="0.2475"/>
    <x v="0"/>
    <x v="18"/>
    <n v="0"/>
    <x v="1"/>
    <x v="2"/>
  </r>
  <r>
    <x v="835"/>
    <n v="22500"/>
    <n v="225"/>
    <x v="1"/>
    <n v="6"/>
    <n v="19100"/>
    <x v="54"/>
    <n v="200"/>
    <n v="0.95499999999999996"/>
    <x v="0"/>
    <x v="3"/>
    <n v="34"/>
    <x v="1"/>
    <x v="1"/>
  </r>
  <r>
    <x v="836"/>
    <n v="29500"/>
    <n v="295"/>
    <x v="11"/>
    <n v="3"/>
    <n v="29500"/>
    <x v="196"/>
    <n v="350"/>
    <n v="0.84285714285714286"/>
    <x v="0"/>
    <x v="66"/>
    <n v="0"/>
    <x v="2"/>
    <x v="2"/>
  </r>
  <r>
    <x v="837"/>
    <n v="2500"/>
    <n v="25"/>
    <x v="11"/>
    <n v="6"/>
    <n v="2500"/>
    <x v="14"/>
    <n v="65"/>
    <n v="0.38461538461538464"/>
    <x v="0"/>
    <x v="33"/>
    <n v="0"/>
    <x v="0"/>
    <x v="2"/>
  </r>
  <r>
    <x v="838"/>
    <n v="9100"/>
    <n v="91"/>
    <x v="11"/>
    <n v="5"/>
    <n v="9100"/>
    <x v="234"/>
    <n v="360"/>
    <n v="0.25277777777777777"/>
    <x v="0"/>
    <x v="41"/>
    <n v="0"/>
    <x v="1"/>
    <x v="2"/>
  </r>
  <r>
    <x v="839"/>
    <n v="22000"/>
    <n v="220"/>
    <x v="17"/>
    <n v="5"/>
    <n v="20500"/>
    <x v="125"/>
    <n v="425"/>
    <n v="0.4823529411764706"/>
    <x v="0"/>
    <x v="78"/>
    <n v="15"/>
    <x v="2"/>
    <x v="4"/>
  </r>
  <r>
    <x v="840"/>
    <n v="15000"/>
    <n v="150"/>
    <x v="11"/>
    <n v="3"/>
    <n v="15000"/>
    <x v="166"/>
    <n v="250"/>
    <n v="0.6"/>
    <x v="0"/>
    <x v="2"/>
    <n v="0"/>
    <x v="1"/>
    <x v="2"/>
  </r>
  <r>
    <x v="832"/>
    <n v="15000"/>
    <n v="150"/>
    <x v="2"/>
    <n v="3"/>
    <n v="12800"/>
    <x v="101"/>
    <n v="114"/>
    <n v="1.1228070175438596"/>
    <x v="0"/>
    <x v="96"/>
    <n v="22"/>
    <x v="1"/>
    <x v="1"/>
  </r>
  <r>
    <x v="841"/>
    <n v="33000"/>
    <n v="330"/>
    <x v="14"/>
    <n v="6"/>
    <n v="29700"/>
    <x v="167"/>
    <n v="400"/>
    <n v="0.74250000000000005"/>
    <x v="0"/>
    <x v="18"/>
    <n v="33"/>
    <x v="2"/>
    <x v="4"/>
  </r>
  <r>
    <x v="842"/>
    <n v="29500"/>
    <n v="295"/>
    <x v="11"/>
    <n v="6"/>
    <n v="29500"/>
    <x v="196"/>
    <n v="24"/>
    <n v="12.291666666666666"/>
    <x v="0"/>
    <x v="84"/>
    <n v="0"/>
    <x v="2"/>
    <x v="2"/>
  </r>
  <r>
    <x v="843"/>
    <n v="14900"/>
    <n v="149"/>
    <x v="19"/>
    <n v="5"/>
    <n v="13700"/>
    <x v="218"/>
    <n v="320"/>
    <n v="0.42812499999999998"/>
    <x v="0"/>
    <x v="87"/>
    <n v="12"/>
    <x v="1"/>
    <x v="4"/>
  </r>
  <r>
    <x v="816"/>
    <n v="11500"/>
    <n v="115"/>
    <x v="11"/>
    <n v="6"/>
    <n v="11500"/>
    <x v="105"/>
    <n v="600"/>
    <n v="0.19166666666666668"/>
    <x v="0"/>
    <x v="63"/>
    <n v="0"/>
    <x v="1"/>
    <x v="2"/>
  </r>
  <r>
    <x v="844"/>
    <n v="28000"/>
    <n v="280"/>
    <x v="26"/>
    <n v="5"/>
    <n v="14000"/>
    <x v="187"/>
    <n v="175"/>
    <n v="0.8"/>
    <x v="0"/>
    <x v="94"/>
    <n v="140"/>
    <x v="1"/>
    <x v="3"/>
  </r>
  <r>
    <x v="845"/>
    <n v="17900"/>
    <n v="179"/>
    <x v="11"/>
    <n v="6"/>
    <n v="17900"/>
    <x v="199"/>
    <n v="450"/>
    <n v="0.39777777777777779"/>
    <x v="0"/>
    <x v="15"/>
    <n v="0"/>
    <x v="1"/>
    <x v="2"/>
  </r>
  <r>
    <x v="846"/>
    <n v="14000"/>
    <n v="140"/>
    <x v="14"/>
    <n v="3"/>
    <n v="12600"/>
    <x v="259"/>
    <n v="500"/>
    <n v="0.252"/>
    <x v="0"/>
    <x v="5"/>
    <n v="14"/>
    <x v="1"/>
    <x v="4"/>
  </r>
  <r>
    <x v="847"/>
    <n v="32000"/>
    <n v="320"/>
    <x v="11"/>
    <n v="6"/>
    <n v="32000"/>
    <x v="260"/>
    <n v="500"/>
    <n v="0.64"/>
    <x v="0"/>
    <x v="5"/>
    <n v="0"/>
    <x v="2"/>
    <x v="2"/>
  </r>
  <r>
    <x v="769"/>
    <n v="29900"/>
    <n v="299"/>
    <x v="14"/>
    <n v="4"/>
    <n v="26900"/>
    <x v="261"/>
    <n v="700"/>
    <n v="0.38428571428571429"/>
    <x v="0"/>
    <x v="101"/>
    <n v="30"/>
    <x v="2"/>
    <x v="4"/>
  </r>
  <r>
    <x v="848"/>
    <n v="62000"/>
    <n v="620"/>
    <x v="11"/>
    <n v="1"/>
    <n v="62000"/>
    <x v="262"/>
    <n v="400"/>
    <n v="1.55"/>
    <x v="0"/>
    <x v="18"/>
    <n v="0"/>
    <x v="2"/>
    <x v="2"/>
  </r>
  <r>
    <x v="849"/>
    <n v="9900"/>
    <n v="99"/>
    <x v="25"/>
    <n v="6"/>
    <n v="7900"/>
    <x v="32"/>
    <n v="500"/>
    <n v="0.158"/>
    <x v="0"/>
    <x v="5"/>
    <n v="20"/>
    <x v="1"/>
    <x v="0"/>
  </r>
  <r>
    <x v="850"/>
    <n v="8500"/>
    <n v="85"/>
    <x v="6"/>
    <n v="1"/>
    <n v="8100"/>
    <x v="104"/>
    <n v="680"/>
    <n v="0.11911764705882352"/>
    <x v="0"/>
    <x v="26"/>
    <n v="4"/>
    <x v="1"/>
    <x v="2"/>
  </r>
  <r>
    <x v="851"/>
    <n v="5500"/>
    <n v="55"/>
    <x v="11"/>
    <n v="1"/>
    <n v="5500"/>
    <x v="42"/>
    <n v="400"/>
    <n v="0.13750000000000001"/>
    <x v="0"/>
    <x v="18"/>
    <n v="0"/>
    <x v="1"/>
    <x v="2"/>
  </r>
  <r>
    <x v="852"/>
    <n v="12000"/>
    <n v="120"/>
    <x v="14"/>
    <n v="4"/>
    <n v="10800"/>
    <x v="145"/>
    <n v="400"/>
    <n v="0.27"/>
    <x v="0"/>
    <x v="18"/>
    <n v="12"/>
    <x v="1"/>
    <x v="4"/>
  </r>
  <r>
    <x v="853"/>
    <n v="11400"/>
    <n v="114"/>
    <x v="11"/>
    <n v="6"/>
    <n v="11400"/>
    <x v="229"/>
    <n v="480"/>
    <n v="0.23749999999999999"/>
    <x v="0"/>
    <x v="86"/>
    <n v="0"/>
    <x v="1"/>
    <x v="2"/>
  </r>
  <r>
    <x v="854"/>
    <n v="29000"/>
    <n v="290"/>
    <x v="13"/>
    <n v="5"/>
    <n v="26700"/>
    <x v="263"/>
    <n v="630"/>
    <n v="0.4238095238095238"/>
    <x v="0"/>
    <x v="102"/>
    <n v="23"/>
    <x v="2"/>
    <x v="4"/>
  </r>
  <r>
    <x v="855"/>
    <n v="13000"/>
    <n v="130"/>
    <x v="6"/>
    <n v="4"/>
    <n v="12400"/>
    <x v="172"/>
    <n v="230"/>
    <n v="0.53913043478260869"/>
    <x v="0"/>
    <x v="103"/>
    <n v="6"/>
    <x v="1"/>
    <x v="2"/>
  </r>
  <r>
    <x v="856"/>
    <n v="18500"/>
    <n v="185"/>
    <x v="14"/>
    <n v="5"/>
    <n v="16500"/>
    <x v="264"/>
    <n v="250"/>
    <n v="0.66"/>
    <x v="0"/>
    <x v="2"/>
    <n v="20"/>
    <x v="1"/>
    <x v="4"/>
  </r>
  <r>
    <x v="857"/>
    <n v="59500"/>
    <n v="595"/>
    <x v="22"/>
    <n v="2"/>
    <n v="53600"/>
    <x v="265"/>
    <n v="500"/>
    <n v="1.0720000000000001"/>
    <x v="0"/>
    <x v="5"/>
    <n v="59"/>
    <x v="2"/>
    <x v="4"/>
  </r>
  <r>
    <x v="858"/>
    <n v="20000"/>
    <n v="200"/>
    <x v="11"/>
    <n v="5"/>
    <n v="20000"/>
    <x v="157"/>
    <n v="130"/>
    <n v="1.5384615384615385"/>
    <x v="0"/>
    <x v="83"/>
    <n v="0"/>
    <x v="2"/>
    <x v="2"/>
  </r>
  <r>
    <x v="859"/>
    <n v="49900"/>
    <n v="499"/>
    <x v="11"/>
    <n v="5"/>
    <n v="49900"/>
    <x v="51"/>
    <n v="750"/>
    <n v="0.66533333333333333"/>
    <x v="0"/>
    <x v="45"/>
    <n v="0"/>
    <x v="2"/>
    <x v="2"/>
  </r>
  <r>
    <x v="860"/>
    <n v="11000"/>
    <n v="110"/>
    <x v="30"/>
    <n v="6"/>
    <n v="7700"/>
    <x v="93"/>
    <n v="285"/>
    <n v="0.27017543859649124"/>
    <x v="0"/>
    <x v="43"/>
    <n v="33"/>
    <x v="1"/>
    <x v="3"/>
  </r>
  <r>
    <x v="861"/>
    <n v="16900"/>
    <n v="169"/>
    <x v="10"/>
    <n v="6"/>
    <n v="16000"/>
    <x v="251"/>
    <n v="250"/>
    <n v="0.64"/>
    <x v="0"/>
    <x v="2"/>
    <n v="9"/>
    <x v="1"/>
    <x v="2"/>
  </r>
  <r>
    <x v="862"/>
    <n v="32500"/>
    <n v="325"/>
    <x v="1"/>
    <n v="6"/>
    <n v="27600"/>
    <x v="181"/>
    <n v="200"/>
    <n v="1.38"/>
    <x v="0"/>
    <x v="3"/>
    <n v="49"/>
    <x v="2"/>
    <x v="1"/>
  </r>
  <r>
    <x v="863"/>
    <n v="41000"/>
    <n v="410"/>
    <x v="11"/>
    <n v="1"/>
    <n v="41000"/>
    <x v="266"/>
    <n v="1200"/>
    <n v="0.34166666666666667"/>
    <x v="0"/>
    <x v="0"/>
    <n v="0"/>
    <x v="2"/>
    <x v="2"/>
  </r>
  <r>
    <x v="864"/>
    <n v="20000"/>
    <n v="200"/>
    <x v="30"/>
    <n v="4"/>
    <n v="14000"/>
    <x v="187"/>
    <n v="285"/>
    <n v="0.49122807017543857"/>
    <x v="0"/>
    <x v="43"/>
    <n v="60"/>
    <x v="1"/>
    <x v="3"/>
  </r>
  <r>
    <x v="865"/>
    <n v="29900"/>
    <n v="299"/>
    <x v="14"/>
    <n v="6"/>
    <n v="26900"/>
    <x v="261"/>
    <n v="400"/>
    <n v="0.67249999999999999"/>
    <x v="0"/>
    <x v="18"/>
    <n v="30"/>
    <x v="2"/>
    <x v="4"/>
  </r>
  <r>
    <x v="866"/>
    <n v="4000"/>
    <n v="40"/>
    <x v="11"/>
    <n v="6"/>
    <n v="4000"/>
    <x v="131"/>
    <n v="46"/>
    <n v="0.86956521739130432"/>
    <x v="0"/>
    <x v="31"/>
    <n v="0"/>
    <x v="0"/>
    <x v="2"/>
  </r>
  <r>
    <x v="867"/>
    <n v="42500"/>
    <n v="425"/>
    <x v="22"/>
    <n v="3"/>
    <n v="38300"/>
    <x v="250"/>
    <n v="750"/>
    <n v="0.51066666666666671"/>
    <x v="0"/>
    <x v="45"/>
    <n v="42"/>
    <x v="2"/>
    <x v="4"/>
  </r>
  <r>
    <x v="868"/>
    <n v="23000"/>
    <n v="230"/>
    <x v="11"/>
    <n v="6"/>
    <n v="23000"/>
    <x v="122"/>
    <n v="241"/>
    <n v="0.9543568464730291"/>
    <x v="0"/>
    <x v="104"/>
    <n v="0"/>
    <x v="2"/>
    <x v="2"/>
  </r>
  <r>
    <x v="850"/>
    <n v="10500"/>
    <n v="105"/>
    <x v="11"/>
    <n v="6"/>
    <n v="10500"/>
    <x v="37"/>
    <n v="425"/>
    <n v="0.24705882352941178"/>
    <x v="0"/>
    <x v="78"/>
    <n v="0"/>
    <x v="1"/>
    <x v="2"/>
  </r>
  <r>
    <x v="869"/>
    <n v="59500"/>
    <n v="595"/>
    <x v="11"/>
    <n v="1"/>
    <n v="59500"/>
    <x v="267"/>
    <n v="1000"/>
    <n v="0.59499999999999997"/>
    <x v="0"/>
    <x v="0"/>
    <n v="0"/>
    <x v="2"/>
    <x v="2"/>
  </r>
  <r>
    <x v="870"/>
    <n v="1500"/>
    <n v="15"/>
    <x v="11"/>
    <n v="3"/>
    <n v="1500"/>
    <x v="23"/>
    <n v="20"/>
    <n v="0.75"/>
    <x v="0"/>
    <x v="29"/>
    <n v="0"/>
    <x v="0"/>
    <x v="2"/>
  </r>
  <r>
    <x v="871"/>
    <n v="14000"/>
    <n v="140"/>
    <x v="10"/>
    <n v="1"/>
    <n v="13300"/>
    <x v="217"/>
    <n v="290"/>
    <n v="0.45862068965517239"/>
    <x v="0"/>
    <x v="105"/>
    <n v="7"/>
    <x v="1"/>
    <x v="2"/>
  </r>
  <r>
    <x v="872"/>
    <n v="28000"/>
    <n v="280"/>
    <x v="26"/>
    <n v="5"/>
    <n v="14000"/>
    <x v="187"/>
    <n v="175"/>
    <n v="0.8"/>
    <x v="0"/>
    <x v="94"/>
    <n v="140"/>
    <x v="1"/>
    <x v="3"/>
  </r>
  <r>
    <x v="873"/>
    <n v="17500"/>
    <n v="175"/>
    <x v="6"/>
    <n v="6"/>
    <n v="16700"/>
    <x v="118"/>
    <n v="150"/>
    <n v="1.1133333333333333"/>
    <x v="0"/>
    <x v="34"/>
    <n v="8"/>
    <x v="1"/>
    <x v="2"/>
  </r>
  <r>
    <x v="874"/>
    <n v="10500"/>
    <n v="105"/>
    <x v="11"/>
    <n v="4"/>
    <n v="10500"/>
    <x v="37"/>
    <n v="440"/>
    <n v="0.23863636363636365"/>
    <x v="0"/>
    <x v="106"/>
    <n v="0"/>
    <x v="1"/>
    <x v="2"/>
  </r>
  <r>
    <x v="875"/>
    <n v="5500"/>
    <n v="55"/>
    <x v="11"/>
    <n v="5"/>
    <n v="5500"/>
    <x v="42"/>
    <n v="55"/>
    <n v="1"/>
    <x v="0"/>
    <x v="99"/>
    <n v="0"/>
    <x v="1"/>
    <x v="2"/>
  </r>
  <r>
    <x v="876"/>
    <n v="20000"/>
    <n v="200"/>
    <x v="11"/>
    <n v="6"/>
    <n v="20000"/>
    <x v="157"/>
    <n v="130"/>
    <n v="1.5384615384615385"/>
    <x v="0"/>
    <x v="83"/>
    <n v="0"/>
    <x v="2"/>
    <x v="2"/>
  </r>
  <r>
    <x v="877"/>
    <n v="5500"/>
    <n v="55"/>
    <x v="30"/>
    <n v="5"/>
    <n v="3800"/>
    <x v="85"/>
    <n v="80"/>
    <n v="0.47499999999999998"/>
    <x v="0"/>
    <x v="30"/>
    <n v="17"/>
    <x v="0"/>
    <x v="3"/>
  </r>
  <r>
    <x v="878"/>
    <n v="25000"/>
    <n v="250"/>
    <x v="11"/>
    <n v="1"/>
    <n v="25000"/>
    <x v="113"/>
    <n v="450"/>
    <n v="0.55555555555555558"/>
    <x v="0"/>
    <x v="15"/>
    <n v="0"/>
    <x v="2"/>
    <x v="2"/>
  </r>
  <r>
    <x v="879"/>
    <n v="22000"/>
    <n v="220"/>
    <x v="30"/>
    <n v="5"/>
    <n v="15400"/>
    <x v="268"/>
    <n v="285"/>
    <n v="0.54035087719298247"/>
    <x v="0"/>
    <x v="43"/>
    <n v="66"/>
    <x v="1"/>
    <x v="3"/>
  </r>
  <r>
    <x v="880"/>
    <n v="28800"/>
    <n v="288"/>
    <x v="11"/>
    <n v="6"/>
    <n v="28800"/>
    <x v="269"/>
    <n v="300"/>
    <n v="0.96"/>
    <x v="0"/>
    <x v="10"/>
    <n v="0"/>
    <x v="2"/>
    <x v="2"/>
  </r>
  <r>
    <x v="881"/>
    <n v="32500"/>
    <n v="325"/>
    <x v="25"/>
    <n v="6"/>
    <n v="26000"/>
    <x v="174"/>
    <n v="350"/>
    <n v="0.74285714285714288"/>
    <x v="0"/>
    <x v="66"/>
    <n v="65"/>
    <x v="2"/>
    <x v="0"/>
  </r>
  <r>
    <x v="882"/>
    <n v="20000"/>
    <n v="200"/>
    <x v="11"/>
    <n v="6"/>
    <n v="20000"/>
    <x v="157"/>
    <n v="130"/>
    <n v="1.5384615384615385"/>
    <x v="0"/>
    <x v="83"/>
    <n v="0"/>
    <x v="2"/>
    <x v="2"/>
  </r>
  <r>
    <x v="883"/>
    <n v="7500"/>
    <n v="75"/>
    <x v="11"/>
    <n v="6"/>
    <n v="7500"/>
    <x v="30"/>
    <n v="70"/>
    <n v="1.0714285714285714"/>
    <x v="0"/>
    <x v="11"/>
    <n v="0"/>
    <x v="1"/>
    <x v="2"/>
  </r>
  <r>
    <x v="884"/>
    <n v="12000"/>
    <n v="120"/>
    <x v="11"/>
    <n v="1"/>
    <n v="12000"/>
    <x v="127"/>
    <n v="400"/>
    <n v="0.3"/>
    <x v="0"/>
    <x v="18"/>
    <n v="0"/>
    <x v="1"/>
    <x v="2"/>
  </r>
  <r>
    <x v="885"/>
    <n v="20000"/>
    <n v="200"/>
    <x v="11"/>
    <n v="6"/>
    <n v="20000"/>
    <x v="157"/>
    <n v="130"/>
    <n v="1.5384615384615385"/>
    <x v="0"/>
    <x v="83"/>
    <n v="0"/>
    <x v="2"/>
    <x v="2"/>
  </r>
  <r>
    <x v="871"/>
    <n v="39900"/>
    <n v="399"/>
    <x v="15"/>
    <n v="6"/>
    <n v="35500"/>
    <x v="270"/>
    <n v="900"/>
    <n v="0.39444444444444443"/>
    <x v="0"/>
    <x v="53"/>
    <n v="44"/>
    <x v="2"/>
    <x v="1"/>
  </r>
  <r>
    <x v="886"/>
    <n v="5500"/>
    <n v="55"/>
    <x v="11"/>
    <n v="2"/>
    <n v="5500"/>
    <x v="42"/>
    <n v="42"/>
    <n v="1.3095238095238095"/>
    <x v="0"/>
    <x v="37"/>
    <n v="0"/>
    <x v="1"/>
    <x v="2"/>
  </r>
  <r>
    <x v="887"/>
    <n v="5500"/>
    <n v="55"/>
    <x v="11"/>
    <n v="6"/>
    <n v="5500"/>
    <x v="42"/>
    <n v="55"/>
    <n v="1"/>
    <x v="0"/>
    <x v="99"/>
    <n v="0"/>
    <x v="1"/>
    <x v="2"/>
  </r>
  <r>
    <x v="888"/>
    <n v="32000"/>
    <n v="320"/>
    <x v="14"/>
    <n v="5"/>
    <n v="28800"/>
    <x v="269"/>
    <n v="500"/>
    <n v="0.57599999999999996"/>
    <x v="0"/>
    <x v="5"/>
    <n v="32"/>
    <x v="2"/>
    <x v="4"/>
  </r>
  <r>
    <x v="889"/>
    <n v="6500"/>
    <n v="65"/>
    <x v="17"/>
    <n v="6"/>
    <n v="6100"/>
    <x v="146"/>
    <n v="200"/>
    <n v="0.30499999999999999"/>
    <x v="0"/>
    <x v="3"/>
    <n v="4"/>
    <x v="1"/>
    <x v="4"/>
  </r>
  <r>
    <x v="821"/>
    <n v="11000"/>
    <n v="110"/>
    <x v="30"/>
    <n v="1"/>
    <n v="7700"/>
    <x v="93"/>
    <n v="285"/>
    <n v="0.27017543859649124"/>
    <x v="0"/>
    <x v="43"/>
    <n v="33"/>
    <x v="1"/>
    <x v="3"/>
  </r>
  <r>
    <x v="883"/>
    <n v="5500"/>
    <n v="55"/>
    <x v="30"/>
    <n v="6"/>
    <n v="3800"/>
    <x v="85"/>
    <n v="80"/>
    <n v="0.47499999999999998"/>
    <x v="0"/>
    <x v="30"/>
    <n v="17"/>
    <x v="0"/>
    <x v="3"/>
  </r>
  <r>
    <x v="890"/>
    <n v="5500"/>
    <n v="55"/>
    <x v="11"/>
    <n v="3"/>
    <n v="5500"/>
    <x v="42"/>
    <n v="190"/>
    <n v="0.28947368421052633"/>
    <x v="0"/>
    <x v="82"/>
    <n v="0"/>
    <x v="1"/>
    <x v="2"/>
  </r>
  <r>
    <x v="891"/>
    <n v="66000"/>
    <n v="660"/>
    <x v="14"/>
    <n v="1"/>
    <n v="59400"/>
    <x v="271"/>
    <n v="3000"/>
    <n v="0.19800000000000001"/>
    <x v="0"/>
    <x v="6"/>
    <n v="66"/>
    <x v="2"/>
    <x v="4"/>
  </r>
  <r>
    <x v="784"/>
    <n v="18500"/>
    <n v="185"/>
    <x v="10"/>
    <n v="6"/>
    <n v="17500"/>
    <x v="81"/>
    <n v="475"/>
    <n v="0.36842105263157893"/>
    <x v="0"/>
    <x v="59"/>
    <n v="10"/>
    <x v="1"/>
    <x v="2"/>
  </r>
  <r>
    <x v="791"/>
    <n v="69000"/>
    <n v="690"/>
    <x v="17"/>
    <n v="2"/>
    <n v="64800"/>
    <x v="272"/>
    <n v="3000"/>
    <n v="0.216"/>
    <x v="0"/>
    <x v="6"/>
    <n v="42"/>
    <x v="2"/>
    <x v="4"/>
  </r>
  <r>
    <x v="892"/>
    <n v="11000"/>
    <n v="110"/>
    <x v="30"/>
    <n v="5"/>
    <n v="7700"/>
    <x v="93"/>
    <n v="285"/>
    <n v="0.27017543859649124"/>
    <x v="0"/>
    <x v="43"/>
    <n v="33"/>
    <x v="1"/>
    <x v="3"/>
  </r>
  <r>
    <x v="893"/>
    <n v="11000"/>
    <n v="110"/>
    <x v="30"/>
    <n v="2"/>
    <n v="7700"/>
    <x v="93"/>
    <n v="285"/>
    <n v="0.27017543859649124"/>
    <x v="0"/>
    <x v="43"/>
    <n v="33"/>
    <x v="1"/>
    <x v="3"/>
  </r>
  <r>
    <x v="894"/>
    <n v="17900"/>
    <n v="179"/>
    <x v="11"/>
    <n v="6"/>
    <n v="17900"/>
    <x v="199"/>
    <n v="450"/>
    <n v="0.39777777777777779"/>
    <x v="0"/>
    <x v="15"/>
    <n v="0"/>
    <x v="1"/>
    <x v="2"/>
  </r>
  <r>
    <x v="895"/>
    <n v="14000"/>
    <n v="140"/>
    <x v="1"/>
    <n v="6"/>
    <n v="11900"/>
    <x v="22"/>
    <n v="60"/>
    <n v="1.9833333333333334"/>
    <x v="0"/>
    <x v="16"/>
    <n v="21"/>
    <x v="1"/>
    <x v="1"/>
  </r>
  <r>
    <x v="896"/>
    <n v="14900"/>
    <n v="149"/>
    <x v="37"/>
    <n v="6"/>
    <n v="10900"/>
    <x v="87"/>
    <n v="500"/>
    <n v="0.218"/>
    <x v="0"/>
    <x v="5"/>
    <n v="40"/>
    <x v="1"/>
    <x v="3"/>
  </r>
  <r>
    <x v="897"/>
    <n v="27900"/>
    <n v="279"/>
    <x v="11"/>
    <n v="5"/>
    <n v="27900"/>
    <x v="192"/>
    <n v="300"/>
    <n v="0.93"/>
    <x v="0"/>
    <x v="10"/>
    <n v="0"/>
    <x v="2"/>
    <x v="2"/>
  </r>
  <r>
    <x v="898"/>
    <n v="14000"/>
    <n v="140"/>
    <x v="25"/>
    <n v="6"/>
    <n v="11200"/>
    <x v="165"/>
    <n v="80"/>
    <n v="1.4"/>
    <x v="0"/>
    <x v="30"/>
    <n v="28"/>
    <x v="1"/>
    <x v="0"/>
  </r>
  <r>
    <x v="899"/>
    <n v="16100"/>
    <n v="161"/>
    <x v="11"/>
    <n v="6"/>
    <n v="16100"/>
    <x v="222"/>
    <n v="300"/>
    <n v="0.53666666666666663"/>
    <x v="0"/>
    <x v="10"/>
    <n v="0"/>
    <x v="1"/>
    <x v="2"/>
  </r>
  <r>
    <x v="900"/>
    <n v="22500"/>
    <n v="225"/>
    <x v="1"/>
    <n v="6"/>
    <n v="19100"/>
    <x v="54"/>
    <n v="200"/>
    <n v="0.95499999999999996"/>
    <x v="0"/>
    <x v="3"/>
    <n v="34"/>
    <x v="1"/>
    <x v="1"/>
  </r>
  <r>
    <x v="901"/>
    <n v="12300"/>
    <n v="123"/>
    <x v="11"/>
    <n v="6"/>
    <n v="12300"/>
    <x v="273"/>
    <n v="600"/>
    <n v="0.20499999999999999"/>
    <x v="0"/>
    <x v="63"/>
    <n v="0"/>
    <x v="1"/>
    <x v="2"/>
  </r>
  <r>
    <x v="902"/>
    <n v="27500"/>
    <n v="275"/>
    <x v="14"/>
    <n v="6"/>
    <n v="24500"/>
    <x v="44"/>
    <n v="200"/>
    <n v="1.2250000000000001"/>
    <x v="0"/>
    <x v="3"/>
    <n v="30"/>
    <x v="2"/>
    <x v="4"/>
  </r>
  <r>
    <x v="903"/>
    <n v="7500"/>
    <n v="75"/>
    <x v="11"/>
    <n v="6"/>
    <n v="7500"/>
    <x v="30"/>
    <n v="180"/>
    <n v="0.41666666666666669"/>
    <x v="0"/>
    <x v="49"/>
    <n v="0"/>
    <x v="1"/>
    <x v="2"/>
  </r>
  <r>
    <x v="904"/>
    <n v="35000"/>
    <n v="350"/>
    <x v="11"/>
    <n v="6"/>
    <n v="35000"/>
    <x v="274"/>
    <n v="880"/>
    <n v="0.39772727272727271"/>
    <x v="0"/>
    <x v="107"/>
    <n v="0"/>
    <x v="2"/>
    <x v="2"/>
  </r>
  <r>
    <x v="905"/>
    <n v="13500"/>
    <n v="135"/>
    <x v="15"/>
    <n v="6"/>
    <n v="12000"/>
    <x v="127"/>
    <n v="300"/>
    <n v="0.4"/>
    <x v="0"/>
    <x v="10"/>
    <n v="15"/>
    <x v="1"/>
    <x v="1"/>
  </r>
  <r>
    <x v="906"/>
    <n v="5500"/>
    <n v="55"/>
    <x v="11"/>
    <n v="5"/>
    <n v="5500"/>
    <x v="42"/>
    <n v="190"/>
    <n v="0.28947368421052633"/>
    <x v="0"/>
    <x v="82"/>
    <n v="0"/>
    <x v="1"/>
    <x v="2"/>
  </r>
  <r>
    <x v="803"/>
    <n v="6000"/>
    <n v="60"/>
    <x v="17"/>
    <n v="6"/>
    <n v="5600"/>
    <x v="123"/>
    <n v="50"/>
    <n v="1.1200000000000001"/>
    <x v="0"/>
    <x v="8"/>
    <n v="4"/>
    <x v="1"/>
    <x v="4"/>
  </r>
  <r>
    <x v="907"/>
    <n v="11000"/>
    <n v="110"/>
    <x v="11"/>
    <n v="5"/>
    <n v="11000"/>
    <x v="139"/>
    <n v="300"/>
    <n v="0.36666666666666664"/>
    <x v="0"/>
    <x v="10"/>
    <n v="0"/>
    <x v="1"/>
    <x v="2"/>
  </r>
  <r>
    <x v="908"/>
    <n v="27500"/>
    <n v="275"/>
    <x v="2"/>
    <n v="6"/>
    <n v="23400"/>
    <x v="238"/>
    <n v="200"/>
    <n v="1.17"/>
    <x v="0"/>
    <x v="3"/>
    <n v="41"/>
    <x v="2"/>
    <x v="1"/>
  </r>
  <r>
    <x v="909"/>
    <n v="11400"/>
    <n v="114"/>
    <x v="11"/>
    <n v="6"/>
    <n v="11400"/>
    <x v="229"/>
    <n v="480"/>
    <n v="0.23749999999999999"/>
    <x v="0"/>
    <x v="86"/>
    <n v="0"/>
    <x v="1"/>
    <x v="2"/>
  </r>
  <r>
    <x v="910"/>
    <n v="23000"/>
    <n v="230"/>
    <x v="11"/>
    <n v="6"/>
    <n v="23000"/>
    <x v="122"/>
    <n v="250"/>
    <n v="0.92"/>
    <x v="0"/>
    <x v="2"/>
    <n v="0"/>
    <x v="2"/>
    <x v="2"/>
  </r>
  <r>
    <x v="911"/>
    <n v="23000"/>
    <n v="230"/>
    <x v="11"/>
    <n v="4"/>
    <n v="23000"/>
    <x v="122"/>
    <n v="400"/>
    <n v="0.57499999999999996"/>
    <x v="0"/>
    <x v="18"/>
    <n v="0"/>
    <x v="2"/>
    <x v="2"/>
  </r>
  <r>
    <x v="912"/>
    <n v="11000"/>
    <n v="110"/>
    <x v="11"/>
    <n v="4"/>
    <n v="11000"/>
    <x v="139"/>
    <n v="300"/>
    <n v="0.36666666666666664"/>
    <x v="0"/>
    <x v="10"/>
    <n v="0"/>
    <x v="1"/>
    <x v="2"/>
  </r>
  <r>
    <x v="913"/>
    <n v="11000"/>
    <n v="110"/>
    <x v="11"/>
    <n v="6"/>
    <n v="11000"/>
    <x v="139"/>
    <n v="300"/>
    <n v="0.36666666666666664"/>
    <x v="0"/>
    <x v="10"/>
    <n v="0"/>
    <x v="1"/>
    <x v="2"/>
  </r>
  <r>
    <x v="914"/>
    <n v="27200"/>
    <n v="272"/>
    <x v="11"/>
    <n v="1"/>
    <n v="27200"/>
    <x v="182"/>
    <n v="300"/>
    <n v="0.90666666666666662"/>
    <x v="0"/>
    <x v="10"/>
    <n v="0"/>
    <x v="2"/>
    <x v="2"/>
  </r>
  <r>
    <x v="915"/>
    <n v="25000"/>
    <n v="250"/>
    <x v="11"/>
    <n v="6"/>
    <n v="25000"/>
    <x v="113"/>
    <n v="250"/>
    <n v="1"/>
    <x v="0"/>
    <x v="2"/>
    <n v="0"/>
    <x v="2"/>
    <x v="2"/>
  </r>
  <r>
    <x v="916"/>
    <n v="33000"/>
    <n v="330"/>
    <x v="11"/>
    <n v="6"/>
    <n v="33000"/>
    <x v="275"/>
    <n v="500"/>
    <n v="0.66"/>
    <x v="0"/>
    <x v="5"/>
    <n v="0"/>
    <x v="2"/>
    <x v="2"/>
  </r>
  <r>
    <x v="917"/>
    <n v="17500"/>
    <n v="175"/>
    <x v="22"/>
    <n v="4"/>
    <n v="15800"/>
    <x v="236"/>
    <n v="375"/>
    <n v="0.42133333333333334"/>
    <x v="0"/>
    <x v="75"/>
    <n v="17"/>
    <x v="1"/>
    <x v="4"/>
  </r>
  <r>
    <x v="918"/>
    <n v="12000"/>
    <n v="120"/>
    <x v="11"/>
    <n v="6"/>
    <n v="12000"/>
    <x v="127"/>
    <n v="160"/>
    <n v="0.75"/>
    <x v="0"/>
    <x v="48"/>
    <n v="0"/>
    <x v="1"/>
    <x v="2"/>
  </r>
  <r>
    <x v="919"/>
    <n v="28000"/>
    <n v="280"/>
    <x v="26"/>
    <n v="6"/>
    <n v="14000"/>
    <x v="187"/>
    <n v="175"/>
    <n v="0.8"/>
    <x v="0"/>
    <x v="94"/>
    <n v="140"/>
    <x v="1"/>
    <x v="3"/>
  </r>
  <r>
    <x v="920"/>
    <n v="66000"/>
    <n v="660"/>
    <x v="13"/>
    <n v="2"/>
    <n v="60800"/>
    <x v="276"/>
    <n v="3000"/>
    <n v="0.20266666666666666"/>
    <x v="0"/>
    <x v="6"/>
    <n v="52"/>
    <x v="2"/>
    <x v="4"/>
  </r>
  <r>
    <x v="921"/>
    <n v="22500"/>
    <n v="225"/>
    <x v="1"/>
    <n v="6"/>
    <n v="19100"/>
    <x v="54"/>
    <n v="200"/>
    <n v="0.95499999999999996"/>
    <x v="0"/>
    <x v="3"/>
    <n v="34"/>
    <x v="1"/>
    <x v="1"/>
  </r>
  <r>
    <x v="922"/>
    <n v="27500"/>
    <n v="275"/>
    <x v="2"/>
    <n v="6"/>
    <n v="23400"/>
    <x v="238"/>
    <n v="200"/>
    <n v="1.17"/>
    <x v="0"/>
    <x v="3"/>
    <n v="41"/>
    <x v="2"/>
    <x v="1"/>
  </r>
  <r>
    <x v="923"/>
    <n v="27500"/>
    <n v="275"/>
    <x v="2"/>
    <n v="6"/>
    <n v="23400"/>
    <x v="238"/>
    <n v="200"/>
    <n v="1.17"/>
    <x v="0"/>
    <x v="3"/>
    <n v="41"/>
    <x v="2"/>
    <x v="1"/>
  </r>
  <r>
    <x v="924"/>
    <n v="14000"/>
    <n v="140"/>
    <x v="1"/>
    <n v="6"/>
    <n v="11900"/>
    <x v="22"/>
    <n v="60"/>
    <n v="1.9833333333333334"/>
    <x v="0"/>
    <x v="16"/>
    <n v="21"/>
    <x v="1"/>
    <x v="1"/>
  </r>
  <r>
    <x v="925"/>
    <n v="32500"/>
    <n v="325"/>
    <x v="22"/>
    <n v="5"/>
    <n v="29300"/>
    <x v="132"/>
    <n v="200"/>
    <n v="1.4650000000000001"/>
    <x v="0"/>
    <x v="3"/>
    <n v="32"/>
    <x v="2"/>
    <x v="4"/>
  </r>
  <r>
    <x v="926"/>
    <n v="27500"/>
    <n v="275"/>
    <x v="2"/>
    <n v="6"/>
    <n v="23400"/>
    <x v="238"/>
    <n v="200"/>
    <n v="1.17"/>
    <x v="0"/>
    <x v="3"/>
    <n v="41"/>
    <x v="2"/>
    <x v="1"/>
  </r>
  <r>
    <x v="927"/>
    <n v="11400"/>
    <n v="114"/>
    <x v="11"/>
    <n v="6"/>
    <n v="11400"/>
    <x v="229"/>
    <n v="480"/>
    <n v="0.23749999999999999"/>
    <x v="0"/>
    <x v="86"/>
    <n v="0"/>
    <x v="1"/>
    <x v="2"/>
  </r>
  <r>
    <x v="928"/>
    <n v="61000"/>
    <n v="610"/>
    <x v="11"/>
    <n v="2"/>
    <n v="61000"/>
    <x v="277"/>
    <n v="400"/>
    <n v="1.5249999999999999"/>
    <x v="0"/>
    <x v="18"/>
    <n v="0"/>
    <x v="2"/>
    <x v="2"/>
  </r>
  <r>
    <x v="929"/>
    <n v="9100"/>
    <n v="91"/>
    <x v="11"/>
    <n v="6"/>
    <n v="9100"/>
    <x v="234"/>
    <n v="60"/>
    <n v="1.5166666666666666"/>
    <x v="0"/>
    <x v="16"/>
    <n v="0"/>
    <x v="1"/>
    <x v="2"/>
  </r>
  <r>
    <x v="930"/>
    <n v="23000"/>
    <n v="230"/>
    <x v="11"/>
    <n v="4"/>
    <n v="23000"/>
    <x v="122"/>
    <n v="400"/>
    <n v="0.57499999999999996"/>
    <x v="0"/>
    <x v="18"/>
    <n v="0"/>
    <x v="2"/>
    <x v="2"/>
  </r>
  <r>
    <x v="931"/>
    <n v="27500"/>
    <n v="275"/>
    <x v="2"/>
    <n v="6"/>
    <n v="23400"/>
    <x v="238"/>
    <n v="200"/>
    <n v="1.17"/>
    <x v="0"/>
    <x v="3"/>
    <n v="41"/>
    <x v="2"/>
    <x v="1"/>
  </r>
  <r>
    <x v="932"/>
    <n v="6500"/>
    <n v="65"/>
    <x v="17"/>
    <n v="3"/>
    <n v="6100"/>
    <x v="146"/>
    <n v="52"/>
    <n v="1.1730769230769231"/>
    <x v="0"/>
    <x v="77"/>
    <n v="4"/>
    <x v="1"/>
    <x v="4"/>
  </r>
  <r>
    <x v="933"/>
    <n v="59500"/>
    <n v="595"/>
    <x v="11"/>
    <n v="5"/>
    <n v="59500"/>
    <x v="267"/>
    <n v="1000"/>
    <n v="0.59499999999999997"/>
    <x v="0"/>
    <x v="0"/>
    <n v="0"/>
    <x v="2"/>
    <x v="2"/>
  </r>
  <r>
    <x v="851"/>
    <n v="10500"/>
    <n v="105"/>
    <x v="11"/>
    <n v="4"/>
    <n v="10500"/>
    <x v="37"/>
    <n v="850"/>
    <n v="0.12352941176470589"/>
    <x v="0"/>
    <x v="108"/>
    <n v="0"/>
    <x v="1"/>
    <x v="2"/>
  </r>
  <r>
    <x v="934"/>
    <n v="2000"/>
    <n v="20"/>
    <x v="11"/>
    <n v="0"/>
    <n v="2000"/>
    <x v="68"/>
    <n v="90"/>
    <n v="0.22222222222222221"/>
    <x v="1"/>
    <x v="39"/>
    <n v="0"/>
    <x v="0"/>
    <x v="2"/>
  </r>
  <r>
    <x v="935"/>
    <n v="6000"/>
    <n v="60"/>
    <x v="17"/>
    <n v="0"/>
    <n v="5600"/>
    <x v="123"/>
    <n v="156"/>
    <n v="0.35897435897435898"/>
    <x v="1"/>
    <x v="109"/>
    <n v="4"/>
    <x v="1"/>
    <x v="4"/>
  </r>
  <r>
    <x v="936"/>
    <n v="15500"/>
    <n v="155"/>
    <x v="11"/>
    <n v="0"/>
    <n v="15500"/>
    <x v="221"/>
    <n v="500"/>
    <n v="0.31"/>
    <x v="1"/>
    <x v="5"/>
    <n v="0"/>
    <x v="1"/>
    <x v="2"/>
  </r>
  <r>
    <x v="937"/>
    <n v="6000"/>
    <n v="60"/>
    <x v="10"/>
    <n v="0"/>
    <n v="5700"/>
    <x v="16"/>
    <n v="200"/>
    <n v="0.28499999999999998"/>
    <x v="1"/>
    <x v="3"/>
    <n v="3"/>
    <x v="1"/>
    <x v="2"/>
  </r>
  <r>
    <x v="938"/>
    <n v="5000"/>
    <n v="50"/>
    <x v="38"/>
    <n v="0"/>
    <n v="3800"/>
    <x v="85"/>
    <n v="200"/>
    <n v="0.19"/>
    <x v="1"/>
    <x v="3"/>
    <n v="12"/>
    <x v="0"/>
    <x v="3"/>
  </r>
  <r>
    <x v="939"/>
    <n v="4000"/>
    <n v="40"/>
    <x v="12"/>
    <n v="0"/>
    <n v="3900"/>
    <x v="34"/>
    <n v="40"/>
    <n v="0.97499999999999998"/>
    <x v="1"/>
    <x v="23"/>
    <n v="1"/>
    <x v="0"/>
    <x v="2"/>
  </r>
  <r>
    <x v="940"/>
    <n v="3500"/>
    <n v="35"/>
    <x v="12"/>
    <n v="0"/>
    <n v="3400"/>
    <x v="96"/>
    <n v="70"/>
    <n v="0.48571428571428571"/>
    <x v="1"/>
    <x v="11"/>
    <n v="1"/>
    <x v="0"/>
    <x v="2"/>
  </r>
  <r>
    <x v="941"/>
    <n v="6000"/>
    <n v="60"/>
    <x v="10"/>
    <n v="0"/>
    <n v="5700"/>
    <x v="16"/>
    <n v="200"/>
    <n v="0.28499999999999998"/>
    <x v="1"/>
    <x v="3"/>
    <n v="3"/>
    <x v="1"/>
    <x v="2"/>
  </r>
  <r>
    <x v="942"/>
    <n v="3100"/>
    <n v="31"/>
    <x v="22"/>
    <n v="0"/>
    <n v="2800"/>
    <x v="19"/>
    <n v="70"/>
    <n v="0.4"/>
    <x v="1"/>
    <x v="11"/>
    <n v="3"/>
    <x v="0"/>
    <x v="4"/>
  </r>
  <r>
    <x v="943"/>
    <n v="6900"/>
    <n v="69"/>
    <x v="19"/>
    <n v="0"/>
    <n v="6300"/>
    <x v="6"/>
    <n v="250"/>
    <n v="0.252"/>
    <x v="1"/>
    <x v="2"/>
    <n v="6"/>
    <x v="1"/>
    <x v="4"/>
  </r>
  <r>
    <x v="944"/>
    <n v="26500"/>
    <n v="265"/>
    <x v="14"/>
    <n v="0"/>
    <n v="23600"/>
    <x v="278"/>
    <n v="575"/>
    <n v="0.41043478260869565"/>
    <x v="1"/>
    <x v="110"/>
    <n v="29"/>
    <x v="2"/>
    <x v="4"/>
  </r>
  <r>
    <x v="945"/>
    <n v="3100"/>
    <n v="31"/>
    <x v="22"/>
    <n v="0"/>
    <n v="2800"/>
    <x v="19"/>
    <n v="70"/>
    <n v="0.4"/>
    <x v="1"/>
    <x v="38"/>
    <n v="3"/>
    <x v="0"/>
    <x v="4"/>
  </r>
  <r>
    <x v="946"/>
    <n v="2400"/>
    <n v="24"/>
    <x v="11"/>
    <n v="0"/>
    <n v="2400"/>
    <x v="10"/>
    <n v="75"/>
    <n v="0.32"/>
    <x v="1"/>
    <x v="38"/>
    <n v="0"/>
    <x v="0"/>
    <x v="2"/>
  </r>
  <r>
    <x v="947"/>
    <n v="2000"/>
    <n v="20"/>
    <x v="14"/>
    <n v="0"/>
    <n v="1800"/>
    <x v="74"/>
    <n v="100"/>
    <n v="0.18"/>
    <x v="1"/>
    <x v="1"/>
    <n v="2"/>
    <x v="0"/>
    <x v="4"/>
  </r>
  <r>
    <x v="948"/>
    <n v="2500"/>
    <n v="25"/>
    <x v="11"/>
    <n v="0"/>
    <n v="2500"/>
    <x v="14"/>
    <n v="60"/>
    <n v="0.41666666666666669"/>
    <x v="1"/>
    <x v="16"/>
    <n v="0"/>
    <x v="0"/>
    <x v="2"/>
  </r>
  <r>
    <x v="949"/>
    <n v="12000"/>
    <n v="120"/>
    <x v="13"/>
    <n v="0"/>
    <n v="11100"/>
    <x v="210"/>
    <n v="950"/>
    <n v="0.1168421052631579"/>
    <x v="1"/>
    <x v="54"/>
    <n v="9"/>
    <x v="1"/>
    <x v="4"/>
  </r>
  <r>
    <x v="950"/>
    <n v="5500"/>
    <n v="55"/>
    <x v="18"/>
    <n v="0"/>
    <n v="5300"/>
    <x v="242"/>
    <n v="180"/>
    <n v="0.29444444444444445"/>
    <x v="1"/>
    <x v="49"/>
    <n v="2"/>
    <x v="1"/>
    <x v="2"/>
  </r>
  <r>
    <x v="951"/>
    <n v="13500"/>
    <n v="135"/>
    <x v="17"/>
    <n v="0"/>
    <n v="12600"/>
    <x v="259"/>
    <n v="500"/>
    <n v="0.252"/>
    <x v="1"/>
    <x v="5"/>
    <n v="9"/>
    <x v="1"/>
    <x v="4"/>
  </r>
  <r>
    <x v="952"/>
    <n v="16000"/>
    <n v="160"/>
    <x v="10"/>
    <n v="0"/>
    <n v="15200"/>
    <x v="39"/>
    <n v="320"/>
    <n v="0.47499999999999998"/>
    <x v="1"/>
    <x v="87"/>
    <n v="8"/>
    <x v="1"/>
    <x v="2"/>
  </r>
  <r>
    <x v="953"/>
    <n v="11500"/>
    <n v="115"/>
    <x v="6"/>
    <n v="0"/>
    <n v="11000"/>
    <x v="139"/>
    <n v="400"/>
    <n v="0.27500000000000002"/>
    <x v="1"/>
    <x v="18"/>
    <n v="5"/>
    <x v="1"/>
    <x v="2"/>
  </r>
  <r>
    <x v="954"/>
    <n v="29500"/>
    <n v="295"/>
    <x v="22"/>
    <n v="0"/>
    <n v="26600"/>
    <x v="158"/>
    <n v="350"/>
    <n v="0.76"/>
    <x v="1"/>
    <x v="66"/>
    <n v="29"/>
    <x v="2"/>
    <x v="4"/>
  </r>
  <r>
    <x v="955"/>
    <n v="5500"/>
    <n v="55"/>
    <x v="11"/>
    <n v="0"/>
    <n v="5500"/>
    <x v="42"/>
    <n v="190"/>
    <n v="0.28947368421052633"/>
    <x v="1"/>
    <x v="82"/>
    <n v="0"/>
    <x v="1"/>
    <x v="2"/>
  </r>
  <r>
    <x v="956"/>
    <n v="13500"/>
    <n v="135"/>
    <x v="11"/>
    <n v="0"/>
    <n v="13500"/>
    <x v="114"/>
    <n v="500"/>
    <n v="0.27"/>
    <x v="1"/>
    <x v="5"/>
    <n v="0"/>
    <x v="1"/>
    <x v="2"/>
  </r>
  <r>
    <x v="956"/>
    <n v="25000"/>
    <n v="250"/>
    <x v="11"/>
    <n v="0"/>
    <n v="25000"/>
    <x v="113"/>
    <n v="1000"/>
    <n v="0.25"/>
    <x v="1"/>
    <x v="0"/>
    <n v="0"/>
    <x v="2"/>
    <x v="2"/>
  </r>
  <r>
    <x v="957"/>
    <n v="8500"/>
    <n v="85"/>
    <x v="11"/>
    <n v="0"/>
    <n v="8500"/>
    <x v="227"/>
    <n v="400"/>
    <n v="0.21249999999999999"/>
    <x v="1"/>
    <x v="18"/>
    <n v="0"/>
    <x v="1"/>
    <x v="2"/>
  </r>
  <r>
    <x v="958"/>
    <n v="7900"/>
    <n v="79"/>
    <x v="11"/>
    <n v="0"/>
    <n v="7900"/>
    <x v="32"/>
    <n v="250"/>
    <n v="0.316"/>
    <x v="1"/>
    <x v="2"/>
    <n v="0"/>
    <x v="1"/>
    <x v="2"/>
  </r>
  <r>
    <x v="959"/>
    <n v="25000"/>
    <n v="250"/>
    <x v="11"/>
    <n v="0"/>
    <n v="25000"/>
    <x v="113"/>
    <n v="450"/>
    <n v="0.55555555555555558"/>
    <x v="1"/>
    <x v="15"/>
    <n v="0"/>
    <x v="2"/>
    <x v="2"/>
  </r>
  <r>
    <x v="960"/>
    <n v="30000"/>
    <n v="300"/>
    <x v="14"/>
    <n v="4"/>
    <n v="27000"/>
    <x v="149"/>
    <n v="1000"/>
    <n v="0.27"/>
    <x v="0"/>
    <x v="0"/>
    <n v="30"/>
    <x v="2"/>
    <x v="4"/>
  </r>
  <r>
    <x v="961"/>
    <n v="14500"/>
    <n v="145"/>
    <x v="19"/>
    <n v="3"/>
    <n v="13300"/>
    <x v="217"/>
    <n v="250"/>
    <n v="0.53200000000000003"/>
    <x v="0"/>
    <x v="2"/>
    <n v="12"/>
    <x v="1"/>
    <x v="4"/>
  </r>
  <r>
    <x v="962"/>
    <n v="17500"/>
    <n v="175"/>
    <x v="22"/>
    <n v="3"/>
    <n v="15800"/>
    <x v="236"/>
    <n v="500"/>
    <n v="0.316"/>
    <x v="0"/>
    <x v="5"/>
    <n v="17"/>
    <x v="1"/>
    <x v="4"/>
  </r>
  <r>
    <x v="963"/>
    <n v="24900"/>
    <n v="249"/>
    <x v="20"/>
    <n v="1"/>
    <n v="18600"/>
    <x v="279"/>
    <n v="500"/>
    <n v="0.372"/>
    <x v="0"/>
    <x v="5"/>
    <n v="63"/>
    <x v="1"/>
    <x v="3"/>
  </r>
  <r>
    <x v="964"/>
    <n v="27500"/>
    <n v="275"/>
    <x v="22"/>
    <n v="6"/>
    <n v="24800"/>
    <x v="179"/>
    <n v="450"/>
    <n v="0.55111111111111111"/>
    <x v="0"/>
    <x v="15"/>
    <n v="27"/>
    <x v="2"/>
    <x v="4"/>
  </r>
  <r>
    <x v="965"/>
    <n v="21500"/>
    <n v="215"/>
    <x v="10"/>
    <n v="1"/>
    <n v="20400"/>
    <x v="147"/>
    <n v="500"/>
    <n v="0.40799999999999997"/>
    <x v="0"/>
    <x v="5"/>
    <n v="11"/>
    <x v="2"/>
    <x v="2"/>
  </r>
  <r>
    <x v="966"/>
    <n v="25500"/>
    <n v="255"/>
    <x v="22"/>
    <n v="3"/>
    <n v="23000"/>
    <x v="122"/>
    <n v="450"/>
    <n v="0.51111111111111107"/>
    <x v="0"/>
    <x v="15"/>
    <n v="25"/>
    <x v="2"/>
    <x v="4"/>
  </r>
  <r>
    <x v="967"/>
    <n v="31900"/>
    <n v="319"/>
    <x v="2"/>
    <n v="1"/>
    <n v="27400"/>
    <x v="280"/>
    <n v="500"/>
    <n v="0.54800000000000004"/>
    <x v="0"/>
    <x v="5"/>
    <n v="45"/>
    <x v="2"/>
    <x v="1"/>
  </r>
  <r>
    <x v="968"/>
    <n v="16500"/>
    <n v="165"/>
    <x v="11"/>
    <n v="1"/>
    <n v="16500"/>
    <x v="264"/>
    <n v="500"/>
    <n v="0.33"/>
    <x v="0"/>
    <x v="5"/>
    <n v="0"/>
    <x v="1"/>
    <x v="2"/>
  </r>
  <r>
    <x v="969"/>
    <n v="26500"/>
    <n v="265"/>
    <x v="22"/>
    <n v="2"/>
    <n v="23900"/>
    <x v="138"/>
    <n v="500"/>
    <n v="0.47799999999999998"/>
    <x v="0"/>
    <x v="5"/>
    <n v="26"/>
    <x v="2"/>
    <x v="4"/>
  </r>
  <r>
    <x v="970"/>
    <n v="20000"/>
    <n v="200"/>
    <x v="14"/>
    <n v="2"/>
    <n v="18000"/>
    <x v="281"/>
    <n v="580"/>
    <n v="0.31034482758620691"/>
    <x v="0"/>
    <x v="14"/>
    <n v="20"/>
    <x v="1"/>
    <x v="4"/>
  </r>
  <r>
    <x v="971"/>
    <n v="16500"/>
    <n v="165"/>
    <x v="6"/>
    <n v="1"/>
    <n v="15700"/>
    <x v="160"/>
    <n v="500"/>
    <n v="0.314"/>
    <x v="0"/>
    <x v="5"/>
    <n v="8"/>
    <x v="1"/>
    <x v="2"/>
  </r>
  <r>
    <x v="972"/>
    <n v="25900"/>
    <n v="259"/>
    <x v="33"/>
    <n v="1"/>
    <n v="14700"/>
    <x v="168"/>
    <n v="500"/>
    <n v="0.29399999999999998"/>
    <x v="0"/>
    <x v="5"/>
    <n v="112"/>
    <x v="1"/>
    <x v="3"/>
  </r>
  <r>
    <x v="973"/>
    <n v="24500"/>
    <n v="245"/>
    <x v="22"/>
    <n v="2"/>
    <n v="22100"/>
    <x v="282"/>
    <n v="450"/>
    <n v="0.49111111111111111"/>
    <x v="0"/>
    <x v="15"/>
    <n v="24"/>
    <x v="2"/>
    <x v="4"/>
  </r>
  <r>
    <x v="974"/>
    <n v="26100"/>
    <n v="261"/>
    <x v="2"/>
    <n v="1"/>
    <n v="22200"/>
    <x v="283"/>
    <n v="500"/>
    <n v="0.44400000000000001"/>
    <x v="0"/>
    <x v="5"/>
    <n v="39"/>
    <x v="2"/>
    <x v="1"/>
  </r>
  <r>
    <x v="975"/>
    <n v="29000"/>
    <n v="290"/>
    <x v="23"/>
    <n v="1"/>
    <n v="20400"/>
    <x v="147"/>
    <n v="500"/>
    <n v="0.40799999999999997"/>
    <x v="0"/>
    <x v="5"/>
    <n v="86"/>
    <x v="2"/>
    <x v="3"/>
  </r>
  <r>
    <x v="976"/>
    <n v="27500"/>
    <n v="275"/>
    <x v="22"/>
    <n v="3"/>
    <n v="24800"/>
    <x v="179"/>
    <n v="450"/>
    <n v="0.55111111111111111"/>
    <x v="0"/>
    <x v="15"/>
    <n v="27"/>
    <x v="2"/>
    <x v="4"/>
  </r>
  <r>
    <x v="977"/>
    <n v="24900"/>
    <n v="249"/>
    <x v="21"/>
    <n v="1"/>
    <n v="17900"/>
    <x v="199"/>
    <n v="500"/>
    <n v="0.35799999999999998"/>
    <x v="0"/>
    <x v="5"/>
    <n v="70"/>
    <x v="1"/>
    <x v="3"/>
  </r>
  <r>
    <x v="978"/>
    <n v="17500"/>
    <n v="175"/>
    <x v="22"/>
    <n v="1"/>
    <n v="15800"/>
    <x v="236"/>
    <n v="580"/>
    <n v="0.27241379310344827"/>
    <x v="0"/>
    <x v="14"/>
    <n v="17"/>
    <x v="1"/>
    <x v="4"/>
  </r>
  <r>
    <x v="979"/>
    <n v="7500"/>
    <n v="75"/>
    <x v="22"/>
    <n v="1"/>
    <n v="6800"/>
    <x v="40"/>
    <n v="200"/>
    <n v="0.34"/>
    <x v="0"/>
    <x v="3"/>
    <n v="7"/>
    <x v="1"/>
    <x v="4"/>
  </r>
  <r>
    <x v="980"/>
    <n v="51500"/>
    <n v="515"/>
    <x v="18"/>
    <n v="1"/>
    <n v="49500"/>
    <x v="284"/>
    <n v="500"/>
    <n v="0.99"/>
    <x v="0"/>
    <x v="5"/>
    <n v="20"/>
    <x v="2"/>
    <x v="2"/>
  </r>
  <r>
    <x v="981"/>
    <n v="46500"/>
    <n v="465"/>
    <x v="6"/>
    <n v="1"/>
    <n v="44200"/>
    <x v="285"/>
    <n v="500"/>
    <n v="0.88400000000000001"/>
    <x v="0"/>
    <x v="5"/>
    <n v="23"/>
    <x v="2"/>
    <x v="2"/>
  </r>
  <r>
    <x v="982"/>
    <n v="21000"/>
    <n v="210"/>
    <x v="14"/>
    <n v="1"/>
    <n v="18900"/>
    <x v="223"/>
    <n v="116"/>
    <n v="1.6293103448275863"/>
    <x v="0"/>
    <x v="9"/>
    <n v="21"/>
    <x v="1"/>
    <x v="4"/>
  </r>
  <r>
    <x v="983"/>
    <n v="32900"/>
    <n v="329"/>
    <x v="38"/>
    <n v="1"/>
    <n v="24700"/>
    <x v="286"/>
    <n v="500"/>
    <n v="0.49399999999999999"/>
    <x v="0"/>
    <x v="5"/>
    <n v="82"/>
    <x v="2"/>
    <x v="3"/>
  </r>
  <r>
    <x v="984"/>
    <n v="21000"/>
    <n v="210"/>
    <x v="11"/>
    <n v="1"/>
    <n v="21000"/>
    <x v="50"/>
    <n v="450"/>
    <n v="0.46666666666666667"/>
    <x v="0"/>
    <x v="15"/>
    <n v="0"/>
    <x v="2"/>
    <x v="2"/>
  </r>
  <r>
    <x v="985"/>
    <n v="14000"/>
    <n v="140"/>
    <x v="11"/>
    <n v="0"/>
    <n v="14000"/>
    <x v="187"/>
    <n v="500"/>
    <n v="0.28000000000000003"/>
    <x v="1"/>
    <x v="5"/>
    <n v="0"/>
    <x v="1"/>
    <x v="2"/>
  </r>
  <r>
    <x v="986"/>
    <n v="14500"/>
    <n v="145"/>
    <x v="11"/>
    <n v="0"/>
    <n v="14500"/>
    <x v="150"/>
    <n v="450"/>
    <n v="0.32222222222222224"/>
    <x v="1"/>
    <x v="15"/>
    <n v="0"/>
    <x v="1"/>
    <x v="2"/>
  </r>
  <r>
    <x v="987"/>
    <n v="21500"/>
    <n v="215"/>
    <x v="10"/>
    <n v="0"/>
    <n v="20400"/>
    <x v="147"/>
    <n v="500"/>
    <n v="0.40799999999999997"/>
    <x v="1"/>
    <x v="5"/>
    <n v="11"/>
    <x v="2"/>
    <x v="2"/>
  </r>
  <r>
    <x v="988"/>
    <n v="27500"/>
    <n v="275"/>
    <x v="22"/>
    <n v="0"/>
    <n v="24800"/>
    <x v="179"/>
    <n v="450"/>
    <n v="0.55111111111111111"/>
    <x v="1"/>
    <x v="15"/>
    <n v="27"/>
    <x v="2"/>
    <x v="4"/>
  </r>
  <r>
    <x v="989"/>
    <n v="25000"/>
    <n v="250"/>
    <x v="11"/>
    <n v="0"/>
    <n v="25000"/>
    <x v="113"/>
    <n v="450"/>
    <n v="0.55555555555555558"/>
    <x v="1"/>
    <x v="15"/>
    <n v="0"/>
    <x v="2"/>
    <x v="2"/>
  </r>
  <r>
    <x v="990"/>
    <n v="25000"/>
    <n v="250"/>
    <x v="11"/>
    <n v="0"/>
    <n v="25000"/>
    <x v="113"/>
    <n v="450"/>
    <n v="0.55555555555555558"/>
    <x v="1"/>
    <x v="15"/>
    <n v="0"/>
    <x v="2"/>
    <x v="2"/>
  </r>
  <r>
    <x v="991"/>
    <n v="27000"/>
    <n v="270"/>
    <x v="11"/>
    <n v="0"/>
    <n v="27000"/>
    <x v="149"/>
    <n v="500"/>
    <n v="0.54"/>
    <x v="1"/>
    <x v="5"/>
    <n v="0"/>
    <x v="2"/>
    <x v="2"/>
  </r>
  <r>
    <x v="992"/>
    <n v="1000"/>
    <n v="10"/>
    <x v="11"/>
    <n v="6"/>
    <n v="1000"/>
    <x v="36"/>
    <n v="60"/>
    <n v="0.16666666666666666"/>
    <x v="0"/>
    <x v="111"/>
    <n v="0"/>
    <x v="0"/>
    <x v="2"/>
  </r>
  <r>
    <x v="993"/>
    <n v="3200"/>
    <n v="32"/>
    <x v="18"/>
    <n v="6"/>
    <n v="3100"/>
    <x v="38"/>
    <n v="120"/>
    <n v="0.25833333333333336"/>
    <x v="0"/>
    <x v="69"/>
    <n v="1"/>
    <x v="0"/>
    <x v="2"/>
  </r>
  <r>
    <x v="994"/>
    <n v="4500"/>
    <n v="45"/>
    <x v="39"/>
    <n v="4"/>
    <n v="2200"/>
    <x v="12"/>
    <n v="60"/>
    <n v="0.36666666666666664"/>
    <x v="0"/>
    <x v="38"/>
    <n v="23"/>
    <x v="0"/>
    <x v="3"/>
  </r>
  <r>
    <x v="995"/>
    <n v="4500"/>
    <n v="45"/>
    <x v="11"/>
    <n v="1"/>
    <n v="4500"/>
    <x v="21"/>
    <n v="200"/>
    <n v="0.22500000000000001"/>
    <x v="0"/>
    <x v="34"/>
    <n v="0"/>
    <x v="0"/>
    <x v="2"/>
  </r>
  <r>
    <x v="996"/>
    <n v="12000"/>
    <n v="120"/>
    <x v="3"/>
    <n v="5"/>
    <n v="9900"/>
    <x v="24"/>
    <n v="400"/>
    <n v="0.2475"/>
    <x v="0"/>
    <x v="18"/>
    <n v="21"/>
    <x v="1"/>
    <x v="0"/>
  </r>
  <r>
    <x v="997"/>
    <n v="4500"/>
    <n v="45"/>
    <x v="12"/>
    <n v="1"/>
    <n v="4400"/>
    <x v="95"/>
    <n v="200"/>
    <n v="0.22"/>
    <x v="0"/>
    <x v="3"/>
    <n v="1"/>
    <x v="0"/>
    <x v="2"/>
  </r>
  <r>
    <x v="998"/>
    <n v="3000"/>
    <n v="30"/>
    <x v="11"/>
    <n v="5"/>
    <n v="3000"/>
    <x v="15"/>
    <n v="75"/>
    <n v="0.4"/>
    <x v="0"/>
    <x v="38"/>
    <n v="0"/>
    <x v="0"/>
    <x v="2"/>
  </r>
  <r>
    <x v="999"/>
    <n v="15000"/>
    <n v="150"/>
    <x v="26"/>
    <n v="3"/>
    <n v="7500"/>
    <x v="30"/>
    <n v="250"/>
    <n v="0.3"/>
    <x v="0"/>
    <x v="2"/>
    <n v="75"/>
    <x v="1"/>
    <x v="3"/>
  </r>
  <r>
    <x v="1000"/>
    <n v="7000"/>
    <n v="70"/>
    <x v="11"/>
    <n v="4"/>
    <n v="7000"/>
    <x v="124"/>
    <n v="400"/>
    <n v="0.17499999999999999"/>
    <x v="0"/>
    <x v="18"/>
    <n v="0"/>
    <x v="1"/>
    <x v="2"/>
  </r>
  <r>
    <x v="1001"/>
    <n v="4500"/>
    <n v="45"/>
    <x v="39"/>
    <n v="5"/>
    <n v="2200"/>
    <x v="12"/>
    <n v="60"/>
    <n v="0.36666666666666664"/>
    <x v="0"/>
    <x v="38"/>
    <n v="23"/>
    <x v="0"/>
    <x v="3"/>
  </r>
  <r>
    <x v="997"/>
    <n v="2000"/>
    <n v="20"/>
    <x v="11"/>
    <n v="6"/>
    <n v="2000"/>
    <x v="68"/>
    <n v="100"/>
    <n v="0.2"/>
    <x v="0"/>
    <x v="1"/>
    <n v="0"/>
    <x v="0"/>
    <x v="2"/>
  </r>
  <r>
    <x v="1002"/>
    <n v="2000"/>
    <n v="20"/>
    <x v="11"/>
    <n v="3"/>
    <n v="2000"/>
    <x v="68"/>
    <n v="200"/>
    <n v="0.1"/>
    <x v="0"/>
    <x v="3"/>
    <n v="0"/>
    <x v="0"/>
    <x v="2"/>
  </r>
  <r>
    <x v="1003"/>
    <n v="6500"/>
    <n v="65"/>
    <x v="11"/>
    <n v="6"/>
    <n v="6500"/>
    <x v="100"/>
    <n v="400"/>
    <n v="0.16250000000000001"/>
    <x v="0"/>
    <x v="18"/>
    <n v="0"/>
    <x v="1"/>
    <x v="2"/>
  </r>
  <r>
    <x v="1004"/>
    <n v="4500"/>
    <n v="45"/>
    <x v="39"/>
    <n v="2"/>
    <n v="2200"/>
    <x v="12"/>
    <n v="60"/>
    <n v="0.36666666666666664"/>
    <x v="0"/>
    <x v="38"/>
    <n v="23"/>
    <x v="0"/>
    <x v="3"/>
  </r>
  <r>
    <x v="1005"/>
    <n v="3500"/>
    <n v="35"/>
    <x v="11"/>
    <n v="3"/>
    <n v="3500"/>
    <x v="1"/>
    <n v="182"/>
    <n v="0.19230769230769232"/>
    <x v="0"/>
    <x v="112"/>
    <n v="0"/>
    <x v="0"/>
    <x v="2"/>
  </r>
  <r>
    <x v="1006"/>
    <n v="8000"/>
    <n v="80"/>
    <x v="14"/>
    <n v="3"/>
    <n v="7200"/>
    <x v="82"/>
    <n v="168"/>
    <n v="0.42857142857142855"/>
    <x v="0"/>
    <x v="113"/>
    <n v="8"/>
    <x v="1"/>
    <x v="4"/>
  </r>
  <r>
    <x v="1007"/>
    <n v="1500"/>
    <n v="15"/>
    <x v="11"/>
    <n v="2"/>
    <n v="1500"/>
    <x v="23"/>
    <n v="45"/>
    <n v="0.33333333333333331"/>
    <x v="0"/>
    <x v="46"/>
    <n v="0"/>
    <x v="0"/>
    <x v="2"/>
  </r>
  <r>
    <x v="1008"/>
    <n v="15000"/>
    <n v="150"/>
    <x v="1"/>
    <n v="3"/>
    <n v="12700"/>
    <x v="287"/>
    <n v="300"/>
    <n v="0.42333333333333334"/>
    <x v="0"/>
    <x v="10"/>
    <n v="23"/>
    <x v="1"/>
    <x v="1"/>
  </r>
  <r>
    <x v="1009"/>
    <n v="7500"/>
    <n v="75"/>
    <x v="14"/>
    <n v="6"/>
    <n v="6750"/>
    <x v="288"/>
    <n v="300"/>
    <n v="0.22500000000000001"/>
    <x v="0"/>
    <x v="10"/>
    <n v="7.5"/>
    <x v="1"/>
    <x v="4"/>
  </r>
  <r>
    <x v="1010"/>
    <n v="2500"/>
    <n v="25"/>
    <x v="11"/>
    <n v="4"/>
    <n v="2500"/>
    <x v="14"/>
    <n v="200"/>
    <n v="0.125"/>
    <x v="0"/>
    <x v="3"/>
    <n v="0"/>
    <x v="0"/>
    <x v="2"/>
  </r>
  <r>
    <x v="1011"/>
    <n v="5000"/>
    <n v="50"/>
    <x v="1"/>
    <n v="6"/>
    <n v="4250"/>
    <x v="289"/>
    <n v="120"/>
    <n v="0.35416666666666669"/>
    <x v="0"/>
    <x v="69"/>
    <n v="7.5"/>
    <x v="0"/>
    <x v="1"/>
  </r>
  <r>
    <x v="1012"/>
    <n v="2300"/>
    <n v="23"/>
    <x v="5"/>
    <n v="1"/>
    <n v="2000"/>
    <x v="68"/>
    <n v="200"/>
    <n v="0.1"/>
    <x v="0"/>
    <x v="3"/>
    <n v="3"/>
    <x v="0"/>
    <x v="1"/>
  </r>
  <r>
    <x v="1013"/>
    <n v="8000"/>
    <n v="80"/>
    <x v="14"/>
    <n v="2"/>
    <n v="7200"/>
    <x v="82"/>
    <n v="500"/>
    <n v="0.14399999999999999"/>
    <x v="0"/>
    <x v="5"/>
    <n v="8"/>
    <x v="1"/>
    <x v="4"/>
  </r>
  <r>
    <x v="1014"/>
    <n v="6500"/>
    <n v="65"/>
    <x v="17"/>
    <n v="5"/>
    <n v="6100"/>
    <x v="146"/>
    <n v="200"/>
    <n v="0.30499999999999999"/>
    <x v="0"/>
    <x v="3"/>
    <n v="4"/>
    <x v="1"/>
    <x v="4"/>
  </r>
  <r>
    <x v="1015"/>
    <n v="2500"/>
    <n v="25"/>
    <x v="14"/>
    <n v="6"/>
    <n v="2250"/>
    <x v="290"/>
    <n v="75"/>
    <n v="0.3"/>
    <x v="0"/>
    <x v="38"/>
    <n v="2.5"/>
    <x v="0"/>
    <x v="4"/>
  </r>
  <r>
    <x v="1016"/>
    <n v="8000"/>
    <n v="80"/>
    <x v="28"/>
    <n v="4"/>
    <n v="5800"/>
    <x v="103"/>
    <n v="300"/>
    <n v="0.19333333333333333"/>
    <x v="0"/>
    <x v="10"/>
    <n v="22"/>
    <x v="1"/>
    <x v="3"/>
  </r>
  <r>
    <x v="1017"/>
    <n v="2500"/>
    <n v="25"/>
    <x v="11"/>
    <n v="6"/>
    <n v="2500"/>
    <x v="14"/>
    <n v="56"/>
    <n v="0.44642857142857145"/>
    <x v="0"/>
    <x v="114"/>
    <n v="0"/>
    <x v="0"/>
    <x v="2"/>
  </r>
  <r>
    <x v="1018"/>
    <n v="3000"/>
    <n v="30"/>
    <x v="14"/>
    <n v="3"/>
    <n v="2700"/>
    <x v="26"/>
    <n v="200"/>
    <n v="0.13500000000000001"/>
    <x v="0"/>
    <x v="3"/>
    <n v="3"/>
    <x v="0"/>
    <x v="4"/>
  </r>
  <r>
    <x v="1019"/>
    <n v="5000"/>
    <n v="50"/>
    <x v="0"/>
    <n v="3"/>
    <n v="4200"/>
    <x v="189"/>
    <n v="75"/>
    <n v="0.56000000000000005"/>
    <x v="0"/>
    <x v="38"/>
    <n v="8"/>
    <x v="0"/>
    <x v="0"/>
  </r>
  <r>
    <x v="1020"/>
    <n v="3000"/>
    <n v="30"/>
    <x v="18"/>
    <n v="1"/>
    <n v="2900"/>
    <x v="5"/>
    <n v="100"/>
    <n v="0.28999999999999998"/>
    <x v="0"/>
    <x v="1"/>
    <n v="1"/>
    <x v="0"/>
    <x v="2"/>
  </r>
  <r>
    <x v="1021"/>
    <n v="2500"/>
    <n v="25"/>
    <x v="19"/>
    <n v="3"/>
    <n v="2300"/>
    <x v="63"/>
    <n v="67"/>
    <n v="0.34328358208955223"/>
    <x v="0"/>
    <x v="115"/>
    <n v="2"/>
    <x v="0"/>
    <x v="4"/>
  </r>
  <r>
    <x v="1022"/>
    <n v="14000"/>
    <n v="140"/>
    <x v="20"/>
    <n v="5"/>
    <n v="10500"/>
    <x v="37"/>
    <n v="253"/>
    <n v="0.41501976284584979"/>
    <x v="0"/>
    <x v="116"/>
    <n v="35"/>
    <x v="1"/>
    <x v="3"/>
  </r>
  <r>
    <x v="1005"/>
    <n v="11000"/>
    <n v="110"/>
    <x v="2"/>
    <n v="1"/>
    <n v="9400"/>
    <x v="60"/>
    <n v="700"/>
    <n v="0.13428571428571429"/>
    <x v="0"/>
    <x v="101"/>
    <n v="16"/>
    <x v="1"/>
    <x v="1"/>
  </r>
  <r>
    <x v="1023"/>
    <n v="3000"/>
    <n v="30"/>
    <x v="11"/>
    <n v="6"/>
    <n v="3000"/>
    <x v="15"/>
    <n v="250"/>
    <n v="0.12"/>
    <x v="0"/>
    <x v="2"/>
    <n v="0"/>
    <x v="0"/>
    <x v="2"/>
  </r>
  <r>
    <x v="1024"/>
    <n v="2000"/>
    <n v="20"/>
    <x v="14"/>
    <n v="2"/>
    <n v="1800"/>
    <x v="74"/>
    <n v="47"/>
    <n v="0.38297872340425532"/>
    <x v="0"/>
    <x v="117"/>
    <n v="2"/>
    <x v="0"/>
    <x v="4"/>
  </r>
  <r>
    <x v="1025"/>
    <n v="2500"/>
    <n v="25"/>
    <x v="19"/>
    <n v="6"/>
    <n v="2300"/>
    <x v="63"/>
    <n v="75"/>
    <n v="0.30666666666666664"/>
    <x v="0"/>
    <x v="38"/>
    <n v="2"/>
    <x v="0"/>
    <x v="4"/>
  </r>
  <r>
    <x v="1026"/>
    <n v="3000"/>
    <n v="30"/>
    <x v="18"/>
    <n v="6"/>
    <n v="2900"/>
    <x v="5"/>
    <n v="100"/>
    <n v="0.28999999999999998"/>
    <x v="0"/>
    <x v="1"/>
    <n v="1"/>
    <x v="0"/>
    <x v="2"/>
  </r>
  <r>
    <x v="1027"/>
    <n v="9500"/>
    <n v="95"/>
    <x v="17"/>
    <n v="3"/>
    <n v="8900"/>
    <x v="25"/>
    <n v="100"/>
    <n v="0.89"/>
    <x v="0"/>
    <x v="1"/>
    <n v="6"/>
    <x v="1"/>
    <x v="4"/>
  </r>
  <r>
    <x v="1028"/>
    <n v="3500"/>
    <n v="35"/>
    <x v="3"/>
    <n v="4"/>
    <n v="2900"/>
    <x v="5"/>
    <n v="100"/>
    <n v="0.28999999999999998"/>
    <x v="0"/>
    <x v="1"/>
    <n v="6"/>
    <x v="0"/>
    <x v="0"/>
  </r>
  <r>
    <x v="1029"/>
    <n v="10500"/>
    <n v="105"/>
    <x v="35"/>
    <n v="4"/>
    <n v="8100"/>
    <x v="104"/>
    <n v="75"/>
    <n v="1.08"/>
    <x v="0"/>
    <x v="38"/>
    <n v="24"/>
    <x v="1"/>
    <x v="3"/>
  </r>
  <r>
    <x v="1030"/>
    <n v="7000"/>
    <n v="70"/>
    <x v="14"/>
    <n v="1"/>
    <n v="6300"/>
    <x v="6"/>
    <n v="150"/>
    <n v="0.42"/>
    <x v="0"/>
    <x v="34"/>
    <n v="7"/>
    <x v="1"/>
    <x v="4"/>
  </r>
  <r>
    <x v="1031"/>
    <n v="6000"/>
    <n v="60"/>
    <x v="14"/>
    <n v="3"/>
    <n v="5400"/>
    <x v="75"/>
    <n v="150"/>
    <n v="0.36"/>
    <x v="0"/>
    <x v="34"/>
    <n v="6"/>
    <x v="1"/>
    <x v="4"/>
  </r>
  <r>
    <x v="1032"/>
    <n v="5000"/>
    <n v="50"/>
    <x v="0"/>
    <n v="6"/>
    <n v="4200"/>
    <x v="189"/>
    <n v="75"/>
    <n v="0.56000000000000005"/>
    <x v="0"/>
    <x v="38"/>
    <n v="8"/>
    <x v="0"/>
    <x v="0"/>
  </r>
  <r>
    <x v="1033"/>
    <n v="12000"/>
    <n v="120"/>
    <x v="24"/>
    <n v="6"/>
    <n v="10560"/>
    <x v="291"/>
    <n v="600"/>
    <n v="0.17599999999999999"/>
    <x v="0"/>
    <x v="63"/>
    <n v="14.400000000000006"/>
    <x v="1"/>
    <x v="1"/>
  </r>
  <r>
    <x v="1034"/>
    <n v="5500"/>
    <n v="55"/>
    <x v="20"/>
    <n v="3"/>
    <n v="4100"/>
    <x v="99"/>
    <n v="150"/>
    <n v="0.27333333333333332"/>
    <x v="0"/>
    <x v="34"/>
    <n v="14"/>
    <x v="0"/>
    <x v="3"/>
  </r>
  <r>
    <x v="1024"/>
    <n v="2000"/>
    <n v="20"/>
    <x v="11"/>
    <n v="6"/>
    <n v="2000"/>
    <x v="68"/>
    <n v="47"/>
    <n v="0.42553191489361702"/>
    <x v="0"/>
    <x v="117"/>
    <n v="0"/>
    <x v="0"/>
    <x v="2"/>
  </r>
  <r>
    <x v="1035"/>
    <n v="5000"/>
    <n v="50"/>
    <x v="12"/>
    <n v="4"/>
    <n v="4900"/>
    <x v="7"/>
    <n v="120"/>
    <n v="0.40833333333333333"/>
    <x v="0"/>
    <x v="69"/>
    <n v="1"/>
    <x v="0"/>
    <x v="2"/>
  </r>
  <r>
    <x v="1036"/>
    <n v="4500"/>
    <n v="45"/>
    <x v="15"/>
    <n v="6"/>
    <n v="4000"/>
    <x v="131"/>
    <n v="60"/>
    <n v="0.66666666666666663"/>
    <x v="0"/>
    <x v="0"/>
    <n v="5"/>
    <x v="0"/>
    <x v="1"/>
  </r>
  <r>
    <x v="1037"/>
    <n v="4800"/>
    <n v="48"/>
    <x v="12"/>
    <n v="6"/>
    <n v="4700"/>
    <x v="128"/>
    <n v="300"/>
    <n v="0.15666666666666668"/>
    <x v="0"/>
    <x v="10"/>
    <n v="1"/>
    <x v="0"/>
    <x v="2"/>
  </r>
  <r>
    <x v="1006"/>
    <n v="14000"/>
    <n v="140"/>
    <x v="17"/>
    <n v="2"/>
    <n v="13100"/>
    <x v="292"/>
    <n v="336"/>
    <n v="0.38988095238095238"/>
    <x v="0"/>
    <x v="118"/>
    <n v="9"/>
    <x v="1"/>
    <x v="4"/>
  </r>
  <r>
    <x v="1038"/>
    <n v="12000"/>
    <n v="120"/>
    <x v="1"/>
    <n v="6"/>
    <n v="10200"/>
    <x v="293"/>
    <n v="600"/>
    <n v="0.17"/>
    <x v="0"/>
    <x v="63"/>
    <n v="18"/>
    <x v="1"/>
    <x v="1"/>
  </r>
  <r>
    <x v="1039"/>
    <n v="2500"/>
    <n v="25"/>
    <x v="19"/>
    <n v="6"/>
    <n v="2300"/>
    <x v="63"/>
    <n v="75"/>
    <n v="0.30666666666666664"/>
    <x v="0"/>
    <x v="38"/>
    <n v="2"/>
    <x v="0"/>
    <x v="4"/>
  </r>
  <r>
    <x v="1040"/>
    <n v="6000"/>
    <n v="60"/>
    <x v="14"/>
    <n v="4"/>
    <n v="5400"/>
    <x v="75"/>
    <n v="200"/>
    <n v="0.27"/>
    <x v="0"/>
    <x v="3"/>
    <n v="6"/>
    <x v="1"/>
    <x v="4"/>
  </r>
  <r>
    <x v="1041"/>
    <n v="4000"/>
    <n v="40"/>
    <x v="3"/>
    <n v="6"/>
    <n v="3300"/>
    <x v="86"/>
    <n v="30"/>
    <n v="1.1000000000000001"/>
    <x v="0"/>
    <x v="60"/>
    <n v="7"/>
    <x v="0"/>
    <x v="0"/>
  </r>
  <r>
    <x v="1042"/>
    <n v="6500"/>
    <n v="65"/>
    <x v="17"/>
    <n v="2"/>
    <n v="6100"/>
    <x v="146"/>
    <n v="200"/>
    <n v="0.30499999999999999"/>
    <x v="0"/>
    <x v="3"/>
    <n v="4"/>
    <x v="1"/>
    <x v="4"/>
  </r>
  <r>
    <x v="1043"/>
    <n v="10000"/>
    <n v="100"/>
    <x v="11"/>
    <n v="6"/>
    <n v="10000"/>
    <x v="141"/>
    <n v="500"/>
    <n v="0.2"/>
    <x v="0"/>
    <x v="5"/>
    <n v="0"/>
    <x v="1"/>
    <x v="2"/>
  </r>
  <r>
    <x v="1044"/>
    <n v="3500"/>
    <n v="35"/>
    <x v="35"/>
    <n v="3"/>
    <n v="2700"/>
    <x v="26"/>
    <n v="25"/>
    <n v="1.08"/>
    <x v="0"/>
    <x v="27"/>
    <n v="8"/>
    <x v="0"/>
    <x v="3"/>
  </r>
  <r>
    <x v="1006"/>
    <n v="15000"/>
    <n v="150"/>
    <x v="25"/>
    <n v="6"/>
    <n v="12000"/>
    <x v="127"/>
    <n v="696"/>
    <n v="0.17241379310344829"/>
    <x v="0"/>
    <x v="12"/>
    <n v="30"/>
    <x v="1"/>
    <x v="0"/>
  </r>
  <r>
    <x v="1045"/>
    <n v="3000"/>
    <n v="30"/>
    <x v="14"/>
    <n v="6"/>
    <n v="2700"/>
    <x v="26"/>
    <n v="200"/>
    <n v="0.13500000000000001"/>
    <x v="0"/>
    <x v="3"/>
    <n v="3"/>
    <x v="0"/>
    <x v="4"/>
  </r>
  <r>
    <x v="1035"/>
    <n v="3000"/>
    <n v="30"/>
    <x v="11"/>
    <n v="1"/>
    <n v="3000"/>
    <x v="15"/>
    <n v="75"/>
    <n v="0.4"/>
    <x v="0"/>
    <x v="38"/>
    <n v="0"/>
    <x v="0"/>
    <x v="2"/>
  </r>
  <r>
    <x v="1046"/>
    <n v="8000"/>
    <n v="80"/>
    <x v="1"/>
    <n v="6"/>
    <n v="6800"/>
    <x v="40"/>
    <n v="300"/>
    <n v="0.22666666666666666"/>
    <x v="0"/>
    <x v="10"/>
    <n v="12"/>
    <x v="1"/>
    <x v="1"/>
  </r>
  <r>
    <x v="1047"/>
    <n v="3000"/>
    <n v="30"/>
    <x v="11"/>
    <n v="3"/>
    <n v="3000"/>
    <x v="15"/>
    <n v="120"/>
    <n v="0.25"/>
    <x v="0"/>
    <x v="69"/>
    <n v="0"/>
    <x v="0"/>
    <x v="2"/>
  </r>
  <r>
    <x v="1048"/>
    <n v="3500"/>
    <n v="35"/>
    <x v="12"/>
    <n v="3"/>
    <n v="3400"/>
    <x v="96"/>
    <n v="75"/>
    <n v="0.45333333333333331"/>
    <x v="0"/>
    <x v="38"/>
    <n v="1"/>
    <x v="0"/>
    <x v="2"/>
  </r>
  <r>
    <x v="1049"/>
    <n v="21000"/>
    <n v="210"/>
    <x v="10"/>
    <n v="4"/>
    <n v="19900"/>
    <x v="49"/>
    <n v="400"/>
    <n v="0.4975"/>
    <x v="0"/>
    <x v="18"/>
    <n v="11"/>
    <x v="1"/>
    <x v="2"/>
  </r>
  <r>
    <x v="1050"/>
    <n v="12000"/>
    <n v="120"/>
    <x v="25"/>
    <n v="4"/>
    <n v="9600"/>
    <x v="294"/>
    <n v="300"/>
    <n v="0.32"/>
    <x v="0"/>
    <x v="10"/>
    <n v="24"/>
    <x v="1"/>
    <x v="0"/>
  </r>
  <r>
    <x v="1051"/>
    <n v="4500"/>
    <n v="45"/>
    <x v="15"/>
    <n v="6"/>
    <n v="4000"/>
    <x v="131"/>
    <n v="60"/>
    <n v="0.66666666666666663"/>
    <x v="0"/>
    <x v="0"/>
    <n v="5"/>
    <x v="0"/>
    <x v="1"/>
  </r>
  <r>
    <x v="1052"/>
    <n v="3000"/>
    <n v="30"/>
    <x v="17"/>
    <n v="6"/>
    <n v="2800"/>
    <x v="19"/>
    <n v="75"/>
    <n v="0.37333333333333335"/>
    <x v="0"/>
    <x v="38"/>
    <n v="2"/>
    <x v="0"/>
    <x v="4"/>
  </r>
  <r>
    <x v="1053"/>
    <n v="6000"/>
    <n v="60"/>
    <x v="11"/>
    <n v="6"/>
    <n v="6000"/>
    <x v="69"/>
    <n v="150"/>
    <n v="0.4"/>
    <x v="0"/>
    <x v="34"/>
    <n v="0"/>
    <x v="1"/>
    <x v="2"/>
  </r>
  <r>
    <x v="1054"/>
    <n v="6000"/>
    <n v="60"/>
    <x v="17"/>
    <n v="2"/>
    <n v="5600"/>
    <x v="123"/>
    <n v="200"/>
    <n v="0.28000000000000003"/>
    <x v="0"/>
    <x v="3"/>
    <n v="4"/>
    <x v="1"/>
    <x v="4"/>
  </r>
  <r>
    <x v="1055"/>
    <n v="4500"/>
    <n v="45"/>
    <x v="1"/>
    <n v="5"/>
    <n v="3800"/>
    <x v="85"/>
    <n v="75"/>
    <n v="0.50666666666666671"/>
    <x v="0"/>
    <x v="38"/>
    <n v="7"/>
    <x v="0"/>
    <x v="1"/>
  </r>
  <r>
    <x v="1056"/>
    <n v="4500"/>
    <n v="45"/>
    <x v="15"/>
    <n v="6"/>
    <n v="4000"/>
    <x v="131"/>
    <n v="60"/>
    <n v="0.66666666666666663"/>
    <x v="0"/>
    <x v="16"/>
    <n v="5"/>
    <x v="0"/>
    <x v="1"/>
  </r>
  <r>
    <x v="1057"/>
    <n v="6000"/>
    <n v="60"/>
    <x v="14"/>
    <n v="6"/>
    <n v="5400"/>
    <x v="75"/>
    <n v="180"/>
    <n v="0.3"/>
    <x v="0"/>
    <x v="82"/>
    <n v="6"/>
    <x v="1"/>
    <x v="4"/>
  </r>
  <r>
    <x v="1058"/>
    <n v="5000"/>
    <n v="50"/>
    <x v="17"/>
    <n v="6"/>
    <n v="4700"/>
    <x v="128"/>
    <n v="150"/>
    <n v="0.31333333333333335"/>
    <x v="0"/>
    <x v="34"/>
    <n v="3"/>
    <x v="0"/>
    <x v="4"/>
  </r>
  <r>
    <x v="1059"/>
    <n v="15000"/>
    <n v="150"/>
    <x v="20"/>
    <n v="2"/>
    <n v="11200"/>
    <x v="165"/>
    <n v="336"/>
    <n v="0.33333333333333331"/>
    <x v="0"/>
    <x v="118"/>
    <n v="38"/>
    <x v="1"/>
    <x v="3"/>
  </r>
  <r>
    <x v="1060"/>
    <n v="12000"/>
    <n v="120"/>
    <x v="14"/>
    <n v="6"/>
    <n v="10800"/>
    <x v="145"/>
    <n v="120"/>
    <n v="0.9"/>
    <x v="0"/>
    <x v="69"/>
    <n v="12"/>
    <x v="1"/>
    <x v="4"/>
  </r>
  <r>
    <x v="1061"/>
    <n v="3000"/>
    <n v="30"/>
    <x v="11"/>
    <n v="3"/>
    <n v="3000"/>
    <x v="15"/>
    <n v="150"/>
    <n v="0.2"/>
    <x v="0"/>
    <x v="34"/>
    <n v="0"/>
    <x v="0"/>
    <x v="2"/>
  </r>
  <r>
    <x v="1062"/>
    <n v="3500"/>
    <n v="35"/>
    <x v="35"/>
    <n v="1"/>
    <n v="2700"/>
    <x v="26"/>
    <n v="25"/>
    <n v="1.08"/>
    <x v="0"/>
    <x v="27"/>
    <n v="8"/>
    <x v="0"/>
    <x v="3"/>
  </r>
  <r>
    <x v="1063"/>
    <n v="6000"/>
    <n v="60"/>
    <x v="17"/>
    <n v="1"/>
    <n v="5600"/>
    <x v="123"/>
    <n v="100"/>
    <n v="0.56000000000000005"/>
    <x v="0"/>
    <x v="1"/>
    <n v="4"/>
    <x v="1"/>
    <x v="4"/>
  </r>
  <r>
    <x v="1064"/>
    <n v="14900"/>
    <n v="149"/>
    <x v="19"/>
    <n v="6"/>
    <n v="13700"/>
    <x v="218"/>
    <n v="450"/>
    <n v="0.30444444444444446"/>
    <x v="0"/>
    <x v="15"/>
    <n v="12"/>
    <x v="1"/>
    <x v="4"/>
  </r>
  <r>
    <x v="1065"/>
    <n v="6000"/>
    <n v="60"/>
    <x v="17"/>
    <n v="4"/>
    <n v="5600"/>
    <x v="123"/>
    <n v="200"/>
    <n v="0.28000000000000003"/>
    <x v="0"/>
    <x v="3"/>
    <n v="4"/>
    <x v="1"/>
    <x v="4"/>
  </r>
  <r>
    <x v="1066"/>
    <n v="9000"/>
    <n v="90"/>
    <x v="14"/>
    <n v="6"/>
    <n v="8100"/>
    <x v="104"/>
    <n v="168"/>
    <n v="0.48214285714285715"/>
    <x v="0"/>
    <x v="113"/>
    <n v="9"/>
    <x v="1"/>
    <x v="4"/>
  </r>
  <r>
    <x v="1067"/>
    <n v="1500"/>
    <n v="15"/>
    <x v="11"/>
    <n v="5"/>
    <n v="1500"/>
    <x v="23"/>
    <n v="45"/>
    <n v="0.33333333333333331"/>
    <x v="0"/>
    <x v="117"/>
    <n v="0"/>
    <x v="0"/>
    <x v="2"/>
  </r>
  <r>
    <x v="1068"/>
    <n v="7500"/>
    <n v="75"/>
    <x v="17"/>
    <n v="6"/>
    <n v="7000"/>
    <x v="124"/>
    <n v="100"/>
    <n v="0.7"/>
    <x v="0"/>
    <x v="3"/>
    <n v="5"/>
    <x v="1"/>
    <x v="4"/>
  </r>
  <r>
    <x v="1069"/>
    <n v="3000"/>
    <n v="30"/>
    <x v="11"/>
    <n v="6"/>
    <n v="3000"/>
    <x v="15"/>
    <n v="120"/>
    <n v="0.25"/>
    <x v="0"/>
    <x v="69"/>
    <n v="0"/>
    <x v="0"/>
    <x v="2"/>
  </r>
  <r>
    <x v="1070"/>
    <n v="3000"/>
    <n v="30"/>
    <x v="14"/>
    <n v="6"/>
    <n v="2700"/>
    <x v="26"/>
    <n v="200"/>
    <n v="0.13500000000000001"/>
    <x v="0"/>
    <x v="3"/>
    <n v="3"/>
    <x v="0"/>
    <x v="4"/>
  </r>
  <r>
    <x v="1071"/>
    <n v="6000"/>
    <n v="60"/>
    <x v="17"/>
    <n v="4"/>
    <n v="5600"/>
    <x v="123"/>
    <n v="200"/>
    <n v="0.28000000000000003"/>
    <x v="0"/>
    <x v="3"/>
    <n v="4"/>
    <x v="1"/>
    <x v="4"/>
  </r>
  <r>
    <x v="1072"/>
    <n v="10500"/>
    <n v="105"/>
    <x v="35"/>
    <n v="6"/>
    <n v="8100"/>
    <x v="104"/>
    <n v="75"/>
    <n v="1.08"/>
    <x v="0"/>
    <x v="38"/>
    <n v="24"/>
    <x v="1"/>
    <x v="3"/>
  </r>
  <r>
    <x v="1073"/>
    <n v="10500"/>
    <n v="105"/>
    <x v="35"/>
    <n v="6"/>
    <n v="8100"/>
    <x v="104"/>
    <n v="75"/>
    <n v="1.08"/>
    <x v="0"/>
    <x v="38"/>
    <n v="24"/>
    <x v="1"/>
    <x v="3"/>
  </r>
  <r>
    <x v="1074"/>
    <n v="7500"/>
    <n v="75"/>
    <x v="17"/>
    <n v="3"/>
    <n v="7000"/>
    <x v="124"/>
    <n v="100"/>
    <n v="0.7"/>
    <x v="0"/>
    <x v="3"/>
    <n v="5"/>
    <x v="1"/>
    <x v="4"/>
  </r>
  <r>
    <x v="1075"/>
    <n v="4500"/>
    <n v="45"/>
    <x v="11"/>
    <n v="2"/>
    <n v="4500"/>
    <x v="21"/>
    <n v="120"/>
    <n v="0.375"/>
    <x v="0"/>
    <x v="69"/>
    <n v="0"/>
    <x v="0"/>
    <x v="2"/>
  </r>
  <r>
    <x v="1076"/>
    <n v="12000"/>
    <n v="120"/>
    <x v="11"/>
    <n v="4"/>
    <n v="12000"/>
    <x v="127"/>
    <n v="400"/>
    <n v="0.3"/>
    <x v="0"/>
    <x v="18"/>
    <n v="0"/>
    <x v="1"/>
    <x v="2"/>
  </r>
  <r>
    <x v="1077"/>
    <n v="3000"/>
    <n v="30"/>
    <x v="14"/>
    <n v="6"/>
    <n v="2700"/>
    <x v="26"/>
    <n v="200"/>
    <n v="0.13500000000000001"/>
    <x v="0"/>
    <x v="3"/>
    <n v="3"/>
    <x v="0"/>
    <x v="4"/>
  </r>
  <r>
    <x v="1078"/>
    <n v="1500"/>
    <n v="15"/>
    <x v="11"/>
    <n v="5"/>
    <n v="1500"/>
    <x v="23"/>
    <n v="45"/>
    <n v="0.33333333333333331"/>
    <x v="0"/>
    <x v="46"/>
    <n v="0"/>
    <x v="0"/>
    <x v="2"/>
  </r>
  <r>
    <x v="1079"/>
    <n v="8000"/>
    <n v="80"/>
    <x v="14"/>
    <n v="6"/>
    <n v="7200"/>
    <x v="82"/>
    <n v="600"/>
    <n v="0.12"/>
    <x v="0"/>
    <x v="63"/>
    <n v="8"/>
    <x v="1"/>
    <x v="4"/>
  </r>
  <r>
    <x v="1035"/>
    <n v="6000"/>
    <n v="60"/>
    <x v="11"/>
    <n v="1"/>
    <n v="6000"/>
    <x v="69"/>
    <n v="120"/>
    <n v="0.5"/>
    <x v="0"/>
    <x v="69"/>
    <n v="0"/>
    <x v="1"/>
    <x v="2"/>
  </r>
  <r>
    <x v="1080"/>
    <n v="6000"/>
    <n v="60"/>
    <x v="17"/>
    <n v="6"/>
    <n v="5600"/>
    <x v="123"/>
    <n v="100"/>
    <n v="0.56000000000000005"/>
    <x v="0"/>
    <x v="1"/>
    <n v="4"/>
    <x v="1"/>
    <x v="4"/>
  </r>
  <r>
    <x v="1081"/>
    <n v="3000"/>
    <n v="30"/>
    <x v="18"/>
    <n v="6"/>
    <n v="2900"/>
    <x v="5"/>
    <n v="120"/>
    <n v="0.24166666666666667"/>
    <x v="0"/>
    <x v="69"/>
    <n v="1"/>
    <x v="0"/>
    <x v="2"/>
  </r>
  <r>
    <x v="1082"/>
    <n v="7000"/>
    <n v="70"/>
    <x v="15"/>
    <n v="6"/>
    <n v="6200"/>
    <x v="55"/>
    <n v="250"/>
    <n v="0.248"/>
    <x v="0"/>
    <x v="2"/>
    <n v="8"/>
    <x v="1"/>
    <x v="1"/>
  </r>
  <r>
    <x v="1083"/>
    <n v="3500"/>
    <n v="35"/>
    <x v="12"/>
    <n v="6"/>
    <n v="3400"/>
    <x v="96"/>
    <n v="100"/>
    <n v="0.34"/>
    <x v="0"/>
    <x v="1"/>
    <n v="1"/>
    <x v="0"/>
    <x v="2"/>
  </r>
  <r>
    <x v="1084"/>
    <n v="13000"/>
    <n v="130"/>
    <x v="14"/>
    <n v="3"/>
    <n v="11600"/>
    <x v="190"/>
    <n v="100"/>
    <n v="1.1599999999999999"/>
    <x v="0"/>
    <x v="34"/>
    <n v="14"/>
    <x v="1"/>
    <x v="4"/>
  </r>
  <r>
    <x v="1085"/>
    <n v="7000"/>
    <n v="70"/>
    <x v="14"/>
    <n v="6"/>
    <n v="6300"/>
    <x v="6"/>
    <n v="150"/>
    <n v="0.42"/>
    <x v="0"/>
    <x v="34"/>
    <n v="7"/>
    <x v="1"/>
    <x v="4"/>
  </r>
  <r>
    <x v="1086"/>
    <n v="6000"/>
    <n v="60"/>
    <x v="11"/>
    <n v="2"/>
    <n v="6000"/>
    <x v="69"/>
    <n v="250"/>
    <n v="0.24"/>
    <x v="0"/>
    <x v="2"/>
    <n v="0"/>
    <x v="1"/>
    <x v="2"/>
  </r>
  <r>
    <x v="1087"/>
    <n v="5000"/>
    <n v="50"/>
    <x v="11"/>
    <n v="6"/>
    <n v="5000"/>
    <x v="35"/>
    <n v="150"/>
    <n v="0.33333333333333331"/>
    <x v="0"/>
    <x v="34"/>
    <n v="0"/>
    <x v="1"/>
    <x v="2"/>
  </r>
  <r>
    <x v="1088"/>
    <n v="35000"/>
    <n v="350"/>
    <x v="11"/>
    <n v="1"/>
    <n v="35000"/>
    <x v="274"/>
    <n v="400"/>
    <n v="0.875"/>
    <x v="0"/>
    <x v="18"/>
    <n v="0"/>
    <x v="2"/>
    <x v="2"/>
  </r>
  <r>
    <x v="1089"/>
    <n v="13000"/>
    <n v="130"/>
    <x v="14"/>
    <n v="4"/>
    <n v="11600"/>
    <x v="190"/>
    <n v="100"/>
    <n v="1.1599999999999999"/>
    <x v="0"/>
    <x v="34"/>
    <n v="14"/>
    <x v="1"/>
    <x v="4"/>
  </r>
  <r>
    <x v="1090"/>
    <n v="1000"/>
    <n v="10"/>
    <x v="11"/>
    <n v="0"/>
    <n v="1000"/>
    <x v="36"/>
    <n v="75"/>
    <n v="0.13333333333333333"/>
    <x v="1"/>
    <x v="38"/>
    <n v="0"/>
    <x v="0"/>
    <x v="2"/>
  </r>
  <r>
    <x v="1091"/>
    <n v="3000"/>
    <n v="30"/>
    <x v="11"/>
    <n v="0"/>
    <n v="3000"/>
    <x v="15"/>
    <n v="250"/>
    <n v="0.12"/>
    <x v="1"/>
    <x v="2"/>
    <n v="0"/>
    <x v="0"/>
    <x v="2"/>
  </r>
  <r>
    <x v="992"/>
    <n v="2000"/>
    <n v="20"/>
    <x v="11"/>
    <n v="0"/>
    <n v="2000"/>
    <x v="68"/>
    <n v="100"/>
    <n v="0.2"/>
    <x v="1"/>
    <x v="1"/>
    <n v="0"/>
    <x v="0"/>
    <x v="2"/>
  </r>
  <r>
    <x v="1092"/>
    <n v="3500"/>
    <n v="35"/>
    <x v="19"/>
    <n v="0"/>
    <n v="3200"/>
    <x v="29"/>
    <n v="75"/>
    <n v="0.42666666666666669"/>
    <x v="1"/>
    <x v="38"/>
    <n v="3"/>
    <x v="0"/>
    <x v="4"/>
  </r>
  <r>
    <x v="1093"/>
    <n v="2500"/>
    <n v="25"/>
    <x v="11"/>
    <n v="0"/>
    <n v="2500"/>
    <x v="14"/>
    <n v="100"/>
    <n v="0.25"/>
    <x v="1"/>
    <x v="1"/>
    <n v="0"/>
    <x v="0"/>
    <x v="2"/>
  </r>
  <r>
    <x v="1094"/>
    <n v="2500"/>
    <n v="25"/>
    <x v="11"/>
    <n v="0"/>
    <n v="2500"/>
    <x v="14"/>
    <n v="75"/>
    <n v="0.33333333333333331"/>
    <x v="1"/>
    <x v="38"/>
    <n v="0"/>
    <x v="0"/>
    <x v="2"/>
  </r>
  <r>
    <x v="1033"/>
    <n v="4000"/>
    <n v="40"/>
    <x v="10"/>
    <n v="0"/>
    <n v="3800"/>
    <x v="85"/>
    <n v="200"/>
    <n v="0.19"/>
    <x v="1"/>
    <x v="3"/>
    <n v="2"/>
    <x v="0"/>
    <x v="2"/>
  </r>
  <r>
    <x v="1095"/>
    <n v="2500"/>
    <n v="25"/>
    <x v="11"/>
    <n v="0"/>
    <n v="2500"/>
    <x v="14"/>
    <n v="150"/>
    <n v="0.16666666666666666"/>
    <x v="1"/>
    <x v="34"/>
    <n v="0"/>
    <x v="0"/>
    <x v="2"/>
  </r>
  <r>
    <x v="1096"/>
    <n v="4500"/>
    <n v="45"/>
    <x v="11"/>
    <n v="0"/>
    <n v="4500"/>
    <x v="21"/>
    <n v="200"/>
    <n v="0.22500000000000001"/>
    <x v="1"/>
    <x v="3"/>
    <n v="0"/>
    <x v="0"/>
    <x v="2"/>
  </r>
  <r>
    <x v="1097"/>
    <n v="3500"/>
    <n v="35"/>
    <x v="12"/>
    <n v="0"/>
    <n v="3400"/>
    <x v="96"/>
    <n v="150"/>
    <n v="0.22666666666666666"/>
    <x v="1"/>
    <x v="34"/>
    <n v="1"/>
    <x v="0"/>
    <x v="2"/>
  </r>
  <r>
    <x v="1098"/>
    <n v="15000"/>
    <n v="150"/>
    <x v="26"/>
    <n v="0"/>
    <n v="7500"/>
    <x v="30"/>
    <n v="250"/>
    <n v="0.3"/>
    <x v="1"/>
    <x v="2"/>
    <n v="75"/>
    <x v="1"/>
    <x v="3"/>
  </r>
  <r>
    <x v="1099"/>
    <n v="2500"/>
    <n v="25"/>
    <x v="11"/>
    <n v="0"/>
    <n v="2500"/>
    <x v="14"/>
    <n v="120"/>
    <n v="0.20833333333333334"/>
    <x v="1"/>
    <x v="69"/>
    <n v="0"/>
    <x v="0"/>
    <x v="2"/>
  </r>
  <r>
    <x v="1100"/>
    <n v="2800"/>
    <n v="28"/>
    <x v="11"/>
    <n v="0"/>
    <n v="2800"/>
    <x v="19"/>
    <n v="200"/>
    <n v="0.14000000000000001"/>
    <x v="1"/>
    <x v="3"/>
    <n v="0"/>
    <x v="0"/>
    <x v="2"/>
  </r>
  <r>
    <x v="1101"/>
    <n v="8000"/>
    <n v="80"/>
    <x v="11"/>
    <n v="0"/>
    <n v="8000"/>
    <x v="111"/>
    <n v="600"/>
    <n v="0.13333333333333333"/>
    <x v="1"/>
    <x v="63"/>
    <n v="0"/>
    <x v="1"/>
    <x v="2"/>
  </r>
  <r>
    <x v="1009"/>
    <n v="1000"/>
    <n v="10"/>
    <x v="11"/>
    <n v="0"/>
    <n v="1000"/>
    <x v="36"/>
    <n v="46"/>
    <n v="0.21739130434782608"/>
    <x v="1"/>
    <x v="46"/>
    <n v="0"/>
    <x v="0"/>
    <x v="2"/>
  </r>
  <r>
    <x v="1102"/>
    <n v="2500"/>
    <n v="25"/>
    <x v="19"/>
    <n v="0"/>
    <n v="2300"/>
    <x v="63"/>
    <n v="75"/>
    <n v="0.30666666666666664"/>
    <x v="1"/>
    <x v="38"/>
    <n v="2"/>
    <x v="0"/>
    <x v="4"/>
  </r>
  <r>
    <x v="1103"/>
    <n v="4500"/>
    <n v="45"/>
    <x v="11"/>
    <n v="0"/>
    <n v="4500"/>
    <x v="21"/>
    <n v="300"/>
    <n v="0.15"/>
    <x v="1"/>
    <x v="10"/>
    <n v="0"/>
    <x v="0"/>
    <x v="2"/>
  </r>
  <r>
    <x v="1104"/>
    <n v="6500"/>
    <n v="65"/>
    <x v="17"/>
    <n v="0"/>
    <n v="6100"/>
    <x v="146"/>
    <n v="200"/>
    <n v="0.30499999999999999"/>
    <x v="1"/>
    <x v="1"/>
    <n v="4"/>
    <x v="1"/>
    <x v="4"/>
  </r>
  <r>
    <x v="1105"/>
    <n v="3500"/>
    <n v="35"/>
    <x v="12"/>
    <n v="0"/>
    <n v="3400"/>
    <x v="96"/>
    <n v="150"/>
    <n v="0.22666666666666666"/>
    <x v="1"/>
    <x v="34"/>
    <n v="1"/>
    <x v="0"/>
    <x v="2"/>
  </r>
  <r>
    <x v="1106"/>
    <n v="2500"/>
    <n v="25"/>
    <x v="24"/>
    <n v="0"/>
    <n v="2200"/>
    <x v="12"/>
    <n v="150"/>
    <n v="0.14666666666666667"/>
    <x v="1"/>
    <x v="34"/>
    <n v="3"/>
    <x v="0"/>
    <x v="1"/>
  </r>
  <r>
    <x v="1107"/>
    <n v="7500"/>
    <n v="75"/>
    <x v="11"/>
    <n v="0"/>
    <n v="7500"/>
    <x v="30"/>
    <n v="200"/>
    <n v="0.375"/>
    <x v="1"/>
    <x v="3"/>
    <n v="0"/>
    <x v="1"/>
    <x v="2"/>
  </r>
  <r>
    <x v="1108"/>
    <n v="3000"/>
    <n v="30"/>
    <x v="18"/>
    <n v="0"/>
    <n v="2900"/>
    <x v="5"/>
    <n v="120"/>
    <n v="0.24166666666666667"/>
    <x v="1"/>
    <x v="69"/>
    <n v="1"/>
    <x v="0"/>
    <x v="2"/>
  </r>
  <r>
    <x v="1109"/>
    <n v="1000"/>
    <n v="10"/>
    <x v="11"/>
    <n v="0"/>
    <n v="1000"/>
    <x v="36"/>
    <n v="60"/>
    <n v="0.16666666666666666"/>
    <x v="1"/>
    <x v="16"/>
    <n v="0"/>
    <x v="0"/>
    <x v="2"/>
  </r>
  <r>
    <x v="1110"/>
    <n v="1000"/>
    <n v="10"/>
    <x v="11"/>
    <n v="0"/>
    <n v="1000"/>
    <x v="36"/>
    <n v="28"/>
    <n v="0.35714285714285715"/>
    <x v="1"/>
    <x v="61"/>
    <n v="0"/>
    <x v="0"/>
    <x v="2"/>
  </r>
  <r>
    <x v="1111"/>
    <n v="1500"/>
    <n v="15"/>
    <x v="11"/>
    <n v="0"/>
    <n v="1500"/>
    <x v="23"/>
    <n v="45"/>
    <n v="0.33333333333333331"/>
    <x v="1"/>
    <x v="46"/>
    <n v="0"/>
    <x v="0"/>
    <x v="2"/>
  </r>
  <r>
    <x v="1112"/>
    <n v="2500"/>
    <n v="25"/>
    <x v="14"/>
    <n v="0"/>
    <n v="2250"/>
    <x v="290"/>
    <n v="100"/>
    <n v="0.22500000000000001"/>
    <x v="1"/>
    <x v="38"/>
    <n v="2.5"/>
    <x v="0"/>
    <x v="4"/>
  </r>
  <r>
    <x v="1113"/>
    <n v="3500"/>
    <n v="35"/>
    <x v="11"/>
    <n v="0"/>
    <n v="3500"/>
    <x v="1"/>
    <n v="300"/>
    <n v="0.11666666666666667"/>
    <x v="1"/>
    <x v="10"/>
    <n v="0"/>
    <x v="0"/>
    <x v="2"/>
  </r>
  <r>
    <x v="1114"/>
    <n v="8000"/>
    <n v="80"/>
    <x v="11"/>
    <n v="0"/>
    <n v="8000"/>
    <x v="111"/>
    <n v="300"/>
    <n v="0.26666666666666666"/>
    <x v="1"/>
    <x v="10"/>
    <n v="0"/>
    <x v="1"/>
    <x v="2"/>
  </r>
  <r>
    <x v="1115"/>
    <n v="1500"/>
    <n v="15"/>
    <x v="11"/>
    <n v="0"/>
    <n v="1500"/>
    <x v="23"/>
    <n v="45"/>
    <n v="0.33333333333333331"/>
    <x v="1"/>
    <x v="46"/>
    <n v="0"/>
    <x v="0"/>
    <x v="2"/>
  </r>
  <r>
    <x v="1116"/>
    <n v="2500"/>
    <n v="25"/>
    <x v="11"/>
    <n v="0"/>
    <n v="2500"/>
    <x v="14"/>
    <n v="100"/>
    <n v="0.25"/>
    <x v="1"/>
    <x v="1"/>
    <n v="0"/>
    <x v="0"/>
    <x v="2"/>
  </r>
  <r>
    <x v="1005"/>
    <n v="5000"/>
    <n v="50"/>
    <x v="17"/>
    <n v="0"/>
    <n v="4700"/>
    <x v="128"/>
    <n v="300"/>
    <n v="0.15666666666666668"/>
    <x v="1"/>
    <x v="10"/>
    <n v="3"/>
    <x v="0"/>
    <x v="4"/>
  </r>
  <r>
    <x v="1117"/>
    <n v="6500"/>
    <n v="65"/>
    <x v="11"/>
    <n v="0"/>
    <n v="6500"/>
    <x v="100"/>
    <n v="200"/>
    <n v="0.32500000000000001"/>
    <x v="1"/>
    <x v="3"/>
    <n v="0"/>
    <x v="1"/>
    <x v="2"/>
  </r>
  <r>
    <x v="1118"/>
    <n v="3000"/>
    <n v="30"/>
    <x v="18"/>
    <n v="0"/>
    <n v="2900"/>
    <x v="5"/>
    <n v="120"/>
    <n v="0.24166666666666667"/>
    <x v="1"/>
    <x v="69"/>
    <n v="1"/>
    <x v="0"/>
    <x v="2"/>
  </r>
  <r>
    <x v="992"/>
    <n v="23000"/>
    <n v="230"/>
    <x v="20"/>
    <n v="0"/>
    <n v="17200"/>
    <x v="97"/>
    <n v="1000"/>
    <n v="0.17199999999999999"/>
    <x v="1"/>
    <x v="0"/>
    <n v="58"/>
    <x v="1"/>
    <x v="3"/>
  </r>
  <r>
    <x v="1119"/>
    <n v="1500"/>
    <n v="15"/>
    <x v="11"/>
    <n v="0"/>
    <n v="1500"/>
    <x v="23"/>
    <n v="45"/>
    <n v="0.33333333333333331"/>
    <x v="1"/>
    <x v="46"/>
    <n v="0"/>
    <x v="0"/>
    <x v="2"/>
  </r>
  <r>
    <x v="1120"/>
    <n v="1000"/>
    <n v="10"/>
    <x v="11"/>
    <n v="0"/>
    <n v="1000"/>
    <x v="36"/>
    <n v="28"/>
    <n v="0.35714285714285715"/>
    <x v="1"/>
    <x v="61"/>
    <n v="0"/>
    <x v="0"/>
    <x v="2"/>
  </r>
  <r>
    <x v="1096"/>
    <n v="7000"/>
    <n v="70"/>
    <x v="11"/>
    <n v="0"/>
    <n v="7000"/>
    <x v="124"/>
    <n v="500"/>
    <n v="0.14000000000000001"/>
    <x v="1"/>
    <x v="5"/>
    <n v="0"/>
    <x v="1"/>
    <x v="2"/>
  </r>
  <r>
    <x v="1121"/>
    <n v="10500"/>
    <n v="105"/>
    <x v="35"/>
    <n v="0"/>
    <n v="8100"/>
    <x v="104"/>
    <n v="75"/>
    <n v="1.08"/>
    <x v="1"/>
    <x v="38"/>
    <n v="24"/>
    <x v="1"/>
    <x v="3"/>
  </r>
  <r>
    <x v="1122"/>
    <n v="6000"/>
    <n v="60"/>
    <x v="14"/>
    <n v="0"/>
    <n v="5400"/>
    <x v="75"/>
    <n v="200"/>
    <n v="0.27"/>
    <x v="1"/>
    <x v="3"/>
    <n v="6"/>
    <x v="1"/>
    <x v="4"/>
  </r>
  <r>
    <x v="1123"/>
    <n v="3500"/>
    <n v="35"/>
    <x v="3"/>
    <n v="0"/>
    <n v="2900"/>
    <x v="5"/>
    <n v="150"/>
    <n v="0.19333333333333333"/>
    <x v="1"/>
    <x v="34"/>
    <n v="6"/>
    <x v="0"/>
    <x v="0"/>
  </r>
  <r>
    <x v="1124"/>
    <n v="4000"/>
    <n v="40"/>
    <x v="11"/>
    <n v="0"/>
    <n v="4000"/>
    <x v="131"/>
    <n v="300"/>
    <n v="0.13333333333333333"/>
    <x v="1"/>
    <x v="10"/>
    <n v="0"/>
    <x v="0"/>
    <x v="2"/>
  </r>
  <r>
    <x v="1123"/>
    <n v="3500"/>
    <n v="35"/>
    <x v="11"/>
    <n v="0"/>
    <n v="3500"/>
    <x v="1"/>
    <n v="150"/>
    <n v="0.23333333333333334"/>
    <x v="1"/>
    <x v="34"/>
    <n v="0"/>
    <x v="0"/>
    <x v="2"/>
  </r>
  <r>
    <x v="1125"/>
    <n v="16000"/>
    <n v="160"/>
    <x v="40"/>
    <n v="3"/>
    <n v="10400"/>
    <x v="185"/>
    <n v="80"/>
    <n v="1.3"/>
    <x v="0"/>
    <x v="30"/>
    <n v="56"/>
    <x v="1"/>
    <x v="3"/>
  </r>
  <r>
    <x v="1126"/>
    <n v="2500"/>
    <n v="25"/>
    <x v="11"/>
    <n v="6"/>
    <n v="2500"/>
    <x v="14"/>
    <n v="50"/>
    <n v="0.5"/>
    <x v="0"/>
    <x v="8"/>
    <n v="0"/>
    <x v="0"/>
    <x v="2"/>
  </r>
  <r>
    <x v="1127"/>
    <n v="11500"/>
    <n v="115"/>
    <x v="14"/>
    <n v="6"/>
    <n v="10300"/>
    <x v="195"/>
    <n v="100"/>
    <n v="1.03"/>
    <x v="0"/>
    <x v="1"/>
    <n v="12"/>
    <x v="1"/>
    <x v="4"/>
  </r>
  <r>
    <x v="1128"/>
    <n v="10900"/>
    <n v="109"/>
    <x v="18"/>
    <n v="6"/>
    <n v="10500"/>
    <x v="37"/>
    <n v="750"/>
    <n v="0.14000000000000001"/>
    <x v="0"/>
    <x v="45"/>
    <n v="4"/>
    <x v="1"/>
    <x v="2"/>
  </r>
  <r>
    <x v="1129"/>
    <n v="11500"/>
    <n v="115"/>
    <x v="6"/>
    <n v="6"/>
    <n v="11000"/>
    <x v="139"/>
    <n v="750"/>
    <n v="0.14666666666666667"/>
    <x v="0"/>
    <x v="5"/>
    <n v="5"/>
    <x v="1"/>
    <x v="2"/>
  </r>
  <r>
    <x v="1130"/>
    <n v="12000"/>
    <n v="120"/>
    <x v="14"/>
    <n v="6"/>
    <n v="10800"/>
    <x v="145"/>
    <n v="120"/>
    <n v="0.9"/>
    <x v="0"/>
    <x v="69"/>
    <n v="12"/>
    <x v="1"/>
    <x v="4"/>
  </r>
  <r>
    <x v="1131"/>
    <n v="3500"/>
    <n v="35"/>
    <x v="12"/>
    <n v="6"/>
    <n v="3400"/>
    <x v="96"/>
    <n v="75"/>
    <n v="0.45333333333333331"/>
    <x v="0"/>
    <x v="38"/>
    <n v="1"/>
    <x v="0"/>
    <x v="2"/>
  </r>
  <r>
    <x v="1132"/>
    <n v="11400"/>
    <n v="114"/>
    <x v="4"/>
    <n v="2"/>
    <n v="9300"/>
    <x v="295"/>
    <n v="200"/>
    <n v="0.46500000000000002"/>
    <x v="0"/>
    <x v="3"/>
    <n v="21"/>
    <x v="1"/>
    <x v="0"/>
  </r>
  <r>
    <x v="1133"/>
    <n v="22500"/>
    <n v="225"/>
    <x v="38"/>
    <n v="6"/>
    <n v="16900"/>
    <x v="117"/>
    <n v="150"/>
    <n v="1.1266666666666667"/>
    <x v="0"/>
    <x v="34"/>
    <n v="56"/>
    <x v="1"/>
    <x v="3"/>
  </r>
  <r>
    <x v="1134"/>
    <n v="5800"/>
    <n v="58"/>
    <x v="10"/>
    <n v="6"/>
    <n v="5500"/>
    <x v="42"/>
    <n v="100"/>
    <n v="0.55000000000000004"/>
    <x v="0"/>
    <x v="1"/>
    <n v="3"/>
    <x v="1"/>
    <x v="2"/>
  </r>
  <r>
    <x v="1135"/>
    <n v="10100"/>
    <n v="101"/>
    <x v="10"/>
    <n v="2"/>
    <n v="9500"/>
    <x v="79"/>
    <n v="150"/>
    <n v="0.6333333333333333"/>
    <x v="0"/>
    <x v="34"/>
    <n v="6"/>
    <x v="1"/>
    <x v="2"/>
  </r>
  <r>
    <x v="1136"/>
    <n v="43200"/>
    <n v="432"/>
    <x v="1"/>
    <n v="6"/>
    <n v="36700"/>
    <x v="296"/>
    <n v="100"/>
    <n v="3.67"/>
    <x v="0"/>
    <x v="1"/>
    <n v="65"/>
    <x v="2"/>
    <x v="1"/>
  </r>
  <r>
    <x v="1137"/>
    <n v="5000"/>
    <n v="50"/>
    <x v="11"/>
    <n v="6"/>
    <n v="5000"/>
    <x v="35"/>
    <n v="58"/>
    <n v="0.86206896551724133"/>
    <x v="0"/>
    <x v="0"/>
    <n v="0"/>
    <x v="1"/>
    <x v="2"/>
  </r>
  <r>
    <x v="1138"/>
    <n v="7500"/>
    <n v="75"/>
    <x v="11"/>
    <n v="6"/>
    <n v="7500"/>
    <x v="30"/>
    <n v="125"/>
    <n v="0.6"/>
    <x v="0"/>
    <x v="119"/>
    <n v="0"/>
    <x v="1"/>
    <x v="2"/>
  </r>
  <r>
    <x v="1139"/>
    <n v="7900"/>
    <n v="79"/>
    <x v="5"/>
    <n v="6"/>
    <n v="6800"/>
    <x v="40"/>
    <n v="50"/>
    <n v="1.36"/>
    <x v="0"/>
    <x v="8"/>
    <n v="11"/>
    <x v="1"/>
    <x v="1"/>
  </r>
  <r>
    <x v="1140"/>
    <n v="16600"/>
    <n v="166"/>
    <x v="10"/>
    <n v="4"/>
    <n v="15700"/>
    <x v="160"/>
    <n v="375"/>
    <n v="0.41866666666666669"/>
    <x v="0"/>
    <x v="75"/>
    <n v="9"/>
    <x v="1"/>
    <x v="2"/>
  </r>
  <r>
    <x v="1141"/>
    <n v="26000"/>
    <n v="260"/>
    <x v="10"/>
    <n v="6"/>
    <n v="24700"/>
    <x v="286"/>
    <n v="625"/>
    <n v="0.3952"/>
    <x v="0"/>
    <x v="120"/>
    <n v="13"/>
    <x v="2"/>
    <x v="2"/>
  </r>
  <r>
    <x v="1142"/>
    <n v="25000"/>
    <n v="250"/>
    <x v="14"/>
    <n v="3"/>
    <n v="22500"/>
    <x v="171"/>
    <n v="100"/>
    <n v="2.25"/>
    <x v="0"/>
    <x v="1"/>
    <n v="25"/>
    <x v="2"/>
    <x v="4"/>
  </r>
  <r>
    <x v="1143"/>
    <n v="3000"/>
    <n v="30"/>
    <x v="18"/>
    <n v="3"/>
    <n v="2900"/>
    <x v="5"/>
    <n v="100"/>
    <n v="0.28999999999999998"/>
    <x v="0"/>
    <x v="119"/>
    <n v="1"/>
    <x v="0"/>
    <x v="2"/>
  </r>
  <r>
    <x v="1131"/>
    <n v="7000"/>
    <n v="70"/>
    <x v="14"/>
    <n v="6"/>
    <n v="6300"/>
    <x v="6"/>
    <n v="125"/>
    <n v="0.504"/>
    <x v="0"/>
    <x v="119"/>
    <n v="7"/>
    <x v="1"/>
    <x v="4"/>
  </r>
  <r>
    <x v="1144"/>
    <n v="1000"/>
    <n v="10"/>
    <x v="11"/>
    <n v="6"/>
    <n v="1000"/>
    <x v="36"/>
    <n v="18"/>
    <n v="0.55555555555555558"/>
    <x v="0"/>
    <x v="121"/>
    <n v="0"/>
    <x v="0"/>
    <x v="2"/>
  </r>
  <r>
    <x v="1145"/>
    <n v="21300"/>
    <n v="213"/>
    <x v="14"/>
    <n v="6"/>
    <n v="19000"/>
    <x v="89"/>
    <n v="110"/>
    <n v="1.7272727272727273"/>
    <x v="0"/>
    <x v="122"/>
    <n v="23"/>
    <x v="1"/>
    <x v="4"/>
  </r>
  <r>
    <x v="1146"/>
    <n v="5000"/>
    <n v="50"/>
    <x v="14"/>
    <n v="4"/>
    <n v="4500"/>
    <x v="21"/>
    <n v="50"/>
    <n v="0.9"/>
    <x v="0"/>
    <x v="8"/>
    <n v="5"/>
    <x v="0"/>
    <x v="4"/>
  </r>
  <r>
    <x v="1147"/>
    <n v="3000"/>
    <n v="30"/>
    <x v="11"/>
    <n v="6"/>
    <n v="3000"/>
    <x v="15"/>
    <n v="20"/>
    <n v="1.5"/>
    <x v="0"/>
    <x v="29"/>
    <n v="0"/>
    <x v="0"/>
    <x v="2"/>
  </r>
  <r>
    <x v="1148"/>
    <n v="13000"/>
    <n v="130"/>
    <x v="19"/>
    <n v="1"/>
    <n v="11900"/>
    <x v="22"/>
    <n v="150"/>
    <n v="0.79333333333333333"/>
    <x v="0"/>
    <x v="3"/>
    <n v="11"/>
    <x v="1"/>
    <x v="4"/>
  </r>
  <r>
    <x v="1149"/>
    <n v="3000"/>
    <n v="30"/>
    <x v="11"/>
    <n v="6"/>
    <n v="3000"/>
    <x v="15"/>
    <n v="20"/>
    <n v="1.5"/>
    <x v="0"/>
    <x v="29"/>
    <n v="0"/>
    <x v="0"/>
    <x v="2"/>
  </r>
  <r>
    <x v="1150"/>
    <n v="13500"/>
    <n v="135"/>
    <x v="10"/>
    <n v="6"/>
    <n v="12800"/>
    <x v="101"/>
    <n v="50"/>
    <n v="2.56"/>
    <x v="0"/>
    <x v="8"/>
    <n v="7"/>
    <x v="1"/>
    <x v="2"/>
  </r>
  <r>
    <x v="1151"/>
    <n v="5000"/>
    <n v="50"/>
    <x v="12"/>
    <n v="1"/>
    <n v="4900"/>
    <x v="7"/>
    <n v="80"/>
    <n v="0.61250000000000004"/>
    <x v="0"/>
    <x v="30"/>
    <n v="1"/>
    <x v="0"/>
    <x v="2"/>
  </r>
  <r>
    <x v="1152"/>
    <n v="19900"/>
    <n v="199"/>
    <x v="17"/>
    <n v="5"/>
    <n v="18600"/>
    <x v="279"/>
    <n v="375"/>
    <n v="0.496"/>
    <x v="0"/>
    <x v="75"/>
    <n v="13"/>
    <x v="1"/>
    <x v="4"/>
  </r>
  <r>
    <x v="1153"/>
    <n v="8800"/>
    <n v="88"/>
    <x v="17"/>
    <n v="6"/>
    <n v="8200"/>
    <x v="211"/>
    <n v="290"/>
    <n v="0.28275862068965518"/>
    <x v="0"/>
    <x v="13"/>
    <n v="6"/>
    <x v="1"/>
    <x v="4"/>
  </r>
  <r>
    <x v="1151"/>
    <n v="16000"/>
    <n v="160"/>
    <x v="14"/>
    <n v="4"/>
    <n v="14400"/>
    <x v="142"/>
    <n v="300"/>
    <n v="0.48"/>
    <x v="0"/>
    <x v="10"/>
    <n v="16"/>
    <x v="1"/>
    <x v="4"/>
  </r>
  <r>
    <x v="1154"/>
    <n v="3000"/>
    <n v="30"/>
    <x v="11"/>
    <n v="4"/>
    <n v="3000"/>
    <x v="15"/>
    <n v="20"/>
    <n v="1.5"/>
    <x v="0"/>
    <x v="29"/>
    <n v="0"/>
    <x v="0"/>
    <x v="2"/>
  </r>
  <r>
    <x v="1155"/>
    <n v="18500"/>
    <n v="185"/>
    <x v="1"/>
    <n v="3"/>
    <n v="15700"/>
    <x v="160"/>
    <n v="100"/>
    <n v="1.57"/>
    <x v="0"/>
    <x v="1"/>
    <n v="28"/>
    <x v="1"/>
    <x v="1"/>
  </r>
  <r>
    <x v="1156"/>
    <n v="29000"/>
    <n v="290"/>
    <x v="14"/>
    <n v="6"/>
    <n v="26100"/>
    <x v="252"/>
    <n v="625"/>
    <n v="0.41760000000000003"/>
    <x v="0"/>
    <x v="120"/>
    <n v="29"/>
    <x v="2"/>
    <x v="4"/>
  </r>
  <r>
    <x v="1157"/>
    <n v="22500"/>
    <n v="225"/>
    <x v="17"/>
    <n v="4"/>
    <n v="21000"/>
    <x v="50"/>
    <n v="418"/>
    <n v="0.50239234449760761"/>
    <x v="0"/>
    <x v="123"/>
    <n v="15"/>
    <x v="2"/>
    <x v="4"/>
  </r>
  <r>
    <x v="1158"/>
    <n v="15000"/>
    <n v="150"/>
    <x v="17"/>
    <n v="5"/>
    <n v="14100"/>
    <x v="297"/>
    <n v="180"/>
    <n v="0.78333333333333333"/>
    <x v="0"/>
    <x v="49"/>
    <n v="9"/>
    <x v="1"/>
    <x v="4"/>
  </r>
  <r>
    <x v="1159"/>
    <n v="49900"/>
    <n v="499"/>
    <x v="13"/>
    <n v="4"/>
    <n v="46000"/>
    <x v="298"/>
    <n v="232"/>
    <n v="1.9827586206896552"/>
    <x v="0"/>
    <x v="7"/>
    <n v="39"/>
    <x v="2"/>
    <x v="4"/>
  </r>
  <r>
    <x v="1160"/>
    <n v="19900"/>
    <n v="199"/>
    <x v="25"/>
    <n v="2"/>
    <n v="15900"/>
    <x v="28"/>
    <n v="250"/>
    <n v="0.63600000000000001"/>
    <x v="0"/>
    <x v="2"/>
    <n v="40"/>
    <x v="1"/>
    <x v="0"/>
  </r>
  <r>
    <x v="1161"/>
    <n v="9900"/>
    <n v="99"/>
    <x v="11"/>
    <n v="6"/>
    <n v="9900"/>
    <x v="24"/>
    <n v="750"/>
    <n v="0.13200000000000001"/>
    <x v="0"/>
    <x v="45"/>
    <n v="0"/>
    <x v="1"/>
    <x v="2"/>
  </r>
  <r>
    <x v="1162"/>
    <n v="10000"/>
    <n v="100"/>
    <x v="10"/>
    <n v="6"/>
    <n v="9500"/>
    <x v="79"/>
    <n v="200"/>
    <n v="0.47499999999999998"/>
    <x v="0"/>
    <x v="3"/>
    <n v="5"/>
    <x v="1"/>
    <x v="2"/>
  </r>
  <r>
    <x v="1163"/>
    <n v="8800"/>
    <n v="88"/>
    <x v="11"/>
    <n v="2"/>
    <n v="8800"/>
    <x v="65"/>
    <n v="180"/>
    <n v="0.48888888888888887"/>
    <x v="0"/>
    <x v="49"/>
    <n v="0"/>
    <x v="1"/>
    <x v="2"/>
  </r>
  <r>
    <x v="1164"/>
    <n v="8900"/>
    <n v="89"/>
    <x v="6"/>
    <n v="6"/>
    <n v="8500"/>
    <x v="227"/>
    <n v="200"/>
    <n v="0.42499999999999999"/>
    <x v="0"/>
    <x v="3"/>
    <n v="4"/>
    <x v="1"/>
    <x v="2"/>
  </r>
  <r>
    <x v="1165"/>
    <n v="19900"/>
    <n v="199"/>
    <x v="11"/>
    <n v="6"/>
    <n v="19900"/>
    <x v="49"/>
    <n v="192"/>
    <n v="1.0364583333333333"/>
    <x v="0"/>
    <x v="49"/>
    <n v="0"/>
    <x v="1"/>
    <x v="2"/>
  </r>
  <r>
    <x v="1166"/>
    <n v="9000"/>
    <n v="90"/>
    <x v="11"/>
    <n v="5"/>
    <n v="9000"/>
    <x v="109"/>
    <n v="150"/>
    <n v="0.6"/>
    <x v="0"/>
    <x v="34"/>
    <n v="0"/>
    <x v="1"/>
    <x v="2"/>
  </r>
  <r>
    <x v="1167"/>
    <n v="19500"/>
    <n v="195"/>
    <x v="14"/>
    <n v="4"/>
    <n v="17400"/>
    <x v="220"/>
    <n v="180"/>
    <n v="0.96666666666666667"/>
    <x v="0"/>
    <x v="49"/>
    <n v="21"/>
    <x v="1"/>
    <x v="4"/>
  </r>
  <r>
    <x v="1168"/>
    <n v="13000"/>
    <n v="130"/>
    <x v="14"/>
    <n v="2"/>
    <n v="11700"/>
    <x v="177"/>
    <n v="80"/>
    <n v="1.4624999999999999"/>
    <x v="0"/>
    <x v="30"/>
    <n v="13"/>
    <x v="1"/>
    <x v="4"/>
  </r>
  <r>
    <x v="1169"/>
    <n v="14000"/>
    <n v="140"/>
    <x v="19"/>
    <n v="2"/>
    <n v="12800"/>
    <x v="101"/>
    <n v="200"/>
    <n v="0.64"/>
    <x v="0"/>
    <x v="3"/>
    <n v="12"/>
    <x v="1"/>
    <x v="4"/>
  </r>
  <r>
    <x v="1170"/>
    <n v="3000"/>
    <n v="30"/>
    <x v="18"/>
    <n v="6"/>
    <n v="2900"/>
    <x v="5"/>
    <n v="406"/>
    <n v="7.1428571428571425E-2"/>
    <x v="0"/>
    <x v="124"/>
    <n v="1"/>
    <x v="0"/>
    <x v="2"/>
  </r>
  <r>
    <x v="1171"/>
    <n v="9900"/>
    <n v="99"/>
    <x v="6"/>
    <n v="6"/>
    <n v="9500"/>
    <x v="79"/>
    <n v="750"/>
    <n v="0.12666666666666668"/>
    <x v="0"/>
    <x v="45"/>
    <n v="4"/>
    <x v="1"/>
    <x v="2"/>
  </r>
  <r>
    <x v="1172"/>
    <n v="19000"/>
    <n v="190"/>
    <x v="2"/>
    <n v="6"/>
    <n v="16200"/>
    <x v="120"/>
    <n v="175"/>
    <n v="0.92571428571428571"/>
    <x v="0"/>
    <x v="30"/>
    <n v="28"/>
    <x v="1"/>
    <x v="1"/>
  </r>
  <r>
    <x v="1173"/>
    <n v="7500"/>
    <n v="75"/>
    <x v="10"/>
    <n v="4"/>
    <n v="7100"/>
    <x v="135"/>
    <n v="100"/>
    <n v="0.71"/>
    <x v="0"/>
    <x v="1"/>
    <n v="4"/>
    <x v="1"/>
    <x v="2"/>
  </r>
  <r>
    <x v="1174"/>
    <n v="8200"/>
    <n v="82"/>
    <x v="22"/>
    <n v="6"/>
    <n v="7400"/>
    <x v="208"/>
    <n v="190"/>
    <n v="0.38947368421052631"/>
    <x v="0"/>
    <x v="82"/>
    <n v="8"/>
    <x v="1"/>
    <x v="4"/>
  </r>
  <r>
    <x v="1175"/>
    <n v="7900"/>
    <n v="79"/>
    <x v="17"/>
    <n v="6"/>
    <n v="7400"/>
    <x v="208"/>
    <n v="1160"/>
    <n v="6.3793103448275865E-2"/>
    <x v="0"/>
    <x v="29"/>
    <n v="5"/>
    <x v="1"/>
    <x v="4"/>
  </r>
  <r>
    <x v="1176"/>
    <n v="7900"/>
    <n v="79"/>
    <x v="11"/>
    <n v="6"/>
    <n v="7900"/>
    <x v="32"/>
    <n v="200"/>
    <n v="0.39500000000000002"/>
    <x v="0"/>
    <x v="3"/>
    <n v="0"/>
    <x v="1"/>
    <x v="2"/>
  </r>
  <r>
    <x v="1177"/>
    <n v="7500"/>
    <n v="75"/>
    <x v="22"/>
    <n v="6"/>
    <n v="6800"/>
    <x v="40"/>
    <n v="70"/>
    <n v="0.97142857142857142"/>
    <x v="0"/>
    <x v="11"/>
    <n v="7"/>
    <x v="1"/>
    <x v="4"/>
  </r>
  <r>
    <x v="1178"/>
    <n v="13500"/>
    <n v="135"/>
    <x v="10"/>
    <n v="5"/>
    <n v="12800"/>
    <x v="101"/>
    <n v="50"/>
    <n v="2.56"/>
    <x v="0"/>
    <x v="8"/>
    <n v="7"/>
    <x v="1"/>
    <x v="2"/>
  </r>
  <r>
    <x v="1179"/>
    <n v="26500"/>
    <n v="265"/>
    <x v="11"/>
    <n v="2"/>
    <n v="26500"/>
    <x v="71"/>
    <n v="396"/>
    <n v="0.66919191919191923"/>
    <x v="0"/>
    <x v="41"/>
    <n v="0"/>
    <x v="2"/>
    <x v="2"/>
  </r>
  <r>
    <x v="1180"/>
    <n v="16000"/>
    <n v="160"/>
    <x v="15"/>
    <n v="6"/>
    <n v="14100"/>
    <x v="297"/>
    <n v="375"/>
    <n v="0.376"/>
    <x v="0"/>
    <x v="75"/>
    <n v="19"/>
    <x v="1"/>
    <x v="1"/>
  </r>
  <r>
    <x v="1181"/>
    <n v="14000"/>
    <n v="140"/>
    <x v="1"/>
    <n v="6"/>
    <n v="11900"/>
    <x v="22"/>
    <n v="5"/>
    <n v="23.8"/>
    <x v="0"/>
    <x v="7"/>
    <n v="21"/>
    <x v="1"/>
    <x v="1"/>
  </r>
  <r>
    <x v="1182"/>
    <n v="9900"/>
    <n v="99"/>
    <x v="11"/>
    <n v="3"/>
    <n v="9900"/>
    <x v="24"/>
    <n v="232"/>
    <n v="0.42672413793103448"/>
    <x v="0"/>
    <x v="7"/>
    <n v="0"/>
    <x v="1"/>
    <x v="2"/>
  </r>
  <r>
    <x v="1183"/>
    <n v="25000"/>
    <n v="250"/>
    <x v="14"/>
    <n v="3"/>
    <n v="22500"/>
    <x v="171"/>
    <n v="30"/>
    <n v="7.5"/>
    <x v="0"/>
    <x v="60"/>
    <n v="25"/>
    <x v="2"/>
    <x v="4"/>
  </r>
  <r>
    <x v="1184"/>
    <n v="49900"/>
    <n v="499"/>
    <x v="14"/>
    <n v="3"/>
    <n v="44900"/>
    <x v="108"/>
    <n v="650"/>
    <n v="0.6907692307692308"/>
    <x v="0"/>
    <x v="100"/>
    <n v="50"/>
    <x v="2"/>
    <x v="4"/>
  </r>
  <r>
    <x v="1185"/>
    <n v="9800"/>
    <n v="98"/>
    <x v="11"/>
    <n v="5"/>
    <n v="9800"/>
    <x v="129"/>
    <n v="100"/>
    <n v="0.98"/>
    <x v="0"/>
    <x v="1"/>
    <n v="0"/>
    <x v="1"/>
    <x v="2"/>
  </r>
  <r>
    <x v="1186"/>
    <n v="12000"/>
    <n v="120"/>
    <x v="11"/>
    <n v="3"/>
    <n v="12000"/>
    <x v="127"/>
    <n v="348"/>
    <n v="0.34482758620689657"/>
    <x v="0"/>
    <x v="4"/>
    <n v="0"/>
    <x v="1"/>
    <x v="2"/>
  </r>
  <r>
    <x v="1187"/>
    <n v="18900"/>
    <n v="189"/>
    <x v="11"/>
    <n v="6"/>
    <n v="18900"/>
    <x v="223"/>
    <n v="1500"/>
    <n v="0.126"/>
    <x v="0"/>
    <x v="125"/>
    <n v="0"/>
    <x v="1"/>
    <x v="2"/>
  </r>
  <r>
    <x v="1188"/>
    <n v="7500"/>
    <n v="75"/>
    <x v="11"/>
    <n v="6"/>
    <n v="7500"/>
    <x v="30"/>
    <n v="40"/>
    <n v="1.875"/>
    <x v="0"/>
    <x v="23"/>
    <n v="0"/>
    <x v="1"/>
    <x v="2"/>
  </r>
  <r>
    <x v="1189"/>
    <n v="33000"/>
    <n v="330"/>
    <x v="12"/>
    <n v="6"/>
    <n v="32300"/>
    <x v="299"/>
    <n v="30"/>
    <n v="10.766666666666667"/>
    <x v="0"/>
    <x v="60"/>
    <n v="7"/>
    <x v="2"/>
    <x v="2"/>
  </r>
  <r>
    <x v="1190"/>
    <n v="8000"/>
    <n v="80"/>
    <x v="11"/>
    <n v="1"/>
    <n v="8000"/>
    <x v="111"/>
    <n v="60"/>
    <n v="1.3333333333333333"/>
    <x v="0"/>
    <x v="16"/>
    <n v="0"/>
    <x v="1"/>
    <x v="2"/>
  </r>
  <r>
    <x v="1191"/>
    <n v="21000"/>
    <n v="210"/>
    <x v="11"/>
    <n v="6"/>
    <n v="21000"/>
    <x v="50"/>
    <n v="150"/>
    <n v="1.4"/>
    <x v="0"/>
    <x v="34"/>
    <n v="0"/>
    <x v="2"/>
    <x v="2"/>
  </r>
  <r>
    <x v="1192"/>
    <n v="9900"/>
    <n v="99"/>
    <x v="11"/>
    <n v="6"/>
    <n v="9900"/>
    <x v="24"/>
    <n v="232"/>
    <n v="0.42672413793103448"/>
    <x v="0"/>
    <x v="7"/>
    <n v="0"/>
    <x v="1"/>
    <x v="2"/>
  </r>
  <r>
    <x v="1193"/>
    <n v="44900"/>
    <n v="449"/>
    <x v="13"/>
    <n v="6"/>
    <n v="41500"/>
    <x v="300"/>
    <n v="44"/>
    <n v="9.4318181818181817"/>
    <x v="0"/>
    <x v="126"/>
    <n v="34"/>
    <x v="2"/>
    <x v="4"/>
  </r>
  <r>
    <x v="1194"/>
    <n v="9000"/>
    <n v="90"/>
    <x v="11"/>
    <n v="6"/>
    <n v="9000"/>
    <x v="109"/>
    <n v="1160"/>
    <n v="7.7586206896551727E-2"/>
    <x v="0"/>
    <x v="29"/>
    <n v="0"/>
    <x v="1"/>
    <x v="2"/>
  </r>
  <r>
    <x v="1195"/>
    <n v="21000"/>
    <n v="210"/>
    <x v="13"/>
    <n v="5"/>
    <n v="19400"/>
    <x v="151"/>
    <n v="150"/>
    <n v="1.2933333333333332"/>
    <x v="0"/>
    <x v="34"/>
    <n v="16"/>
    <x v="1"/>
    <x v="4"/>
  </r>
  <r>
    <x v="1196"/>
    <n v="15000"/>
    <n v="150"/>
    <x v="11"/>
    <n v="4"/>
    <n v="15000"/>
    <x v="166"/>
    <n v="180"/>
    <n v="0.83333333333333337"/>
    <x v="0"/>
    <x v="49"/>
    <n v="0"/>
    <x v="1"/>
    <x v="2"/>
  </r>
  <r>
    <x v="1197"/>
    <n v="10500"/>
    <n v="105"/>
    <x v="11"/>
    <n v="2"/>
    <n v="10500"/>
    <x v="37"/>
    <n v="175"/>
    <n v="0.6"/>
    <x v="0"/>
    <x v="94"/>
    <n v="0"/>
    <x v="1"/>
    <x v="2"/>
  </r>
  <r>
    <x v="1198"/>
    <n v="21000"/>
    <n v="210"/>
    <x v="13"/>
    <n v="6"/>
    <n v="19400"/>
    <x v="151"/>
    <n v="120"/>
    <n v="1.6166666666666667"/>
    <x v="0"/>
    <x v="69"/>
    <n v="16"/>
    <x v="1"/>
    <x v="4"/>
  </r>
  <r>
    <x v="1199"/>
    <n v="38000"/>
    <n v="380"/>
    <x v="11"/>
    <n v="3"/>
    <n v="38000"/>
    <x v="301"/>
    <n v="340"/>
    <n v="1.1176470588235294"/>
    <x v="0"/>
    <x v="98"/>
    <n v="0"/>
    <x v="2"/>
    <x v="2"/>
  </r>
  <r>
    <x v="1200"/>
    <n v="18000"/>
    <n v="180"/>
    <x v="11"/>
    <n v="1"/>
    <n v="18000"/>
    <x v="281"/>
    <n v="100"/>
    <n v="1.8"/>
    <x v="0"/>
    <x v="1"/>
    <n v="0"/>
    <x v="1"/>
    <x v="2"/>
  </r>
  <r>
    <x v="1201"/>
    <n v="7500"/>
    <n v="75"/>
    <x v="5"/>
    <n v="4"/>
    <n v="6500"/>
    <x v="100"/>
    <n v="25"/>
    <n v="2.6"/>
    <x v="0"/>
    <x v="27"/>
    <n v="10"/>
    <x v="1"/>
    <x v="1"/>
  </r>
  <r>
    <x v="1202"/>
    <n v="19500"/>
    <n v="195"/>
    <x v="14"/>
    <n v="6"/>
    <n v="17400"/>
    <x v="220"/>
    <n v="150"/>
    <n v="1.1599999999999999"/>
    <x v="0"/>
    <x v="34"/>
    <n v="21"/>
    <x v="1"/>
    <x v="4"/>
  </r>
  <r>
    <x v="1203"/>
    <n v="2000"/>
    <n v="20"/>
    <x v="11"/>
    <n v="1"/>
    <n v="2000"/>
    <x v="68"/>
    <n v="58"/>
    <n v="0.34482758620689657"/>
    <x v="0"/>
    <x v="0"/>
    <n v="0"/>
    <x v="0"/>
    <x v="2"/>
  </r>
  <r>
    <x v="1204"/>
    <n v="15000"/>
    <n v="150"/>
    <x v="25"/>
    <n v="5"/>
    <n v="12000"/>
    <x v="127"/>
    <n v="250"/>
    <n v="0.48"/>
    <x v="0"/>
    <x v="2"/>
    <n v="30"/>
    <x v="1"/>
    <x v="0"/>
  </r>
  <r>
    <x v="1205"/>
    <n v="9900"/>
    <n v="99"/>
    <x v="11"/>
    <n v="6"/>
    <n v="9900"/>
    <x v="24"/>
    <n v="232"/>
    <n v="0.42672413793103448"/>
    <x v="0"/>
    <x v="7"/>
    <n v="0"/>
    <x v="1"/>
    <x v="2"/>
  </r>
  <r>
    <x v="1206"/>
    <n v="9900"/>
    <n v="99"/>
    <x v="11"/>
    <n v="3"/>
    <n v="9900"/>
    <x v="24"/>
    <n v="750"/>
    <n v="0.13200000000000001"/>
    <x v="0"/>
    <x v="45"/>
    <n v="0"/>
    <x v="1"/>
    <x v="2"/>
  </r>
  <r>
    <x v="1207"/>
    <n v="11000"/>
    <n v="110"/>
    <x v="14"/>
    <n v="3"/>
    <n v="9900"/>
    <x v="24"/>
    <n v="120"/>
    <n v="0.82499999999999996"/>
    <x v="0"/>
    <x v="69"/>
    <n v="11"/>
    <x v="1"/>
    <x v="4"/>
  </r>
  <r>
    <x v="1208"/>
    <n v="3000"/>
    <n v="30"/>
    <x v="0"/>
    <n v="6"/>
    <n v="2500"/>
    <x v="14"/>
    <n v="58"/>
    <n v="0.43103448275862066"/>
    <x v="0"/>
    <x v="0"/>
    <n v="5"/>
    <x v="0"/>
    <x v="0"/>
  </r>
  <r>
    <x v="1209"/>
    <n v="26000"/>
    <n v="260"/>
    <x v="14"/>
    <n v="6"/>
    <n v="23400"/>
    <x v="238"/>
    <n v="116"/>
    <n v="2.0172413793103448"/>
    <x v="0"/>
    <x v="9"/>
    <n v="26"/>
    <x v="2"/>
    <x v="4"/>
  </r>
  <r>
    <x v="1210"/>
    <n v="14900"/>
    <n v="149"/>
    <x v="11"/>
    <n v="2"/>
    <n v="14900"/>
    <x v="27"/>
    <n v="0"/>
    <e v="#DIV/0!"/>
    <x v="0"/>
    <x v="65"/>
    <n v="0"/>
    <x v="1"/>
    <x v="2"/>
  </r>
  <r>
    <x v="1211"/>
    <n v="5500"/>
    <n v="55"/>
    <x v="11"/>
    <n v="3"/>
    <n v="5500"/>
    <x v="42"/>
    <n v="100"/>
    <n v="0.55000000000000004"/>
    <x v="0"/>
    <x v="1"/>
    <n v="0"/>
    <x v="1"/>
    <x v="2"/>
  </r>
  <r>
    <x v="1212"/>
    <n v="5800"/>
    <n v="58"/>
    <x v="11"/>
    <n v="6"/>
    <n v="5800"/>
    <x v="103"/>
    <n v="150"/>
    <n v="0.38666666666666666"/>
    <x v="0"/>
    <x v="34"/>
    <n v="0"/>
    <x v="1"/>
    <x v="2"/>
  </r>
  <r>
    <x v="1213"/>
    <n v="3300"/>
    <n v="33"/>
    <x v="11"/>
    <n v="6"/>
    <n v="3300"/>
    <x v="86"/>
    <n v="20"/>
    <n v="1.65"/>
    <x v="0"/>
    <x v="29"/>
    <n v="0"/>
    <x v="0"/>
    <x v="2"/>
  </r>
  <r>
    <x v="1214"/>
    <n v="12000"/>
    <n v="120"/>
    <x v="14"/>
    <n v="4"/>
    <n v="10800"/>
    <x v="145"/>
    <n v="232"/>
    <n v="0.46551724137931033"/>
    <x v="0"/>
    <x v="7"/>
    <n v="12"/>
    <x v="1"/>
    <x v="4"/>
  </r>
  <r>
    <x v="1215"/>
    <n v="17500"/>
    <n v="175"/>
    <x v="14"/>
    <n v="4"/>
    <n v="15700"/>
    <x v="160"/>
    <n v="100"/>
    <n v="1.57"/>
    <x v="0"/>
    <x v="1"/>
    <n v="18"/>
    <x v="1"/>
    <x v="4"/>
  </r>
  <r>
    <x v="1216"/>
    <n v="9900"/>
    <n v="99"/>
    <x v="11"/>
    <n v="1"/>
    <n v="9900"/>
    <x v="24"/>
    <n v="232"/>
    <n v="0.42672413793103448"/>
    <x v="0"/>
    <x v="7"/>
    <n v="0"/>
    <x v="1"/>
    <x v="2"/>
  </r>
  <r>
    <x v="1217"/>
    <n v="14900"/>
    <n v="149"/>
    <x v="14"/>
    <n v="4"/>
    <n v="13400"/>
    <x v="106"/>
    <n v="50"/>
    <n v="2.68"/>
    <x v="0"/>
    <x v="8"/>
    <n v="15"/>
    <x v="1"/>
    <x v="4"/>
  </r>
  <r>
    <x v="1218"/>
    <n v="20000"/>
    <n v="200"/>
    <x v="14"/>
    <n v="3"/>
    <n v="18000"/>
    <x v="281"/>
    <n v="72"/>
    <n v="2.5"/>
    <x v="0"/>
    <x v="62"/>
    <n v="20"/>
    <x v="1"/>
    <x v="4"/>
  </r>
  <r>
    <x v="1219"/>
    <n v="34000"/>
    <n v="340"/>
    <x v="24"/>
    <n v="6"/>
    <n v="29800"/>
    <x v="240"/>
    <n v="28"/>
    <n v="10.642857142857142"/>
    <x v="0"/>
    <x v="61"/>
    <n v="42"/>
    <x v="2"/>
    <x v="1"/>
  </r>
  <r>
    <x v="1220"/>
    <n v="62000"/>
    <n v="620"/>
    <x v="11"/>
    <n v="1"/>
    <n v="62000"/>
    <x v="262"/>
    <n v="172"/>
    <n v="3.6046511627906979"/>
    <x v="0"/>
    <x v="127"/>
    <n v="0"/>
    <x v="2"/>
    <x v="2"/>
  </r>
  <r>
    <x v="1221"/>
    <n v="8500"/>
    <n v="85"/>
    <x v="1"/>
    <n v="4"/>
    <n v="7200"/>
    <x v="82"/>
    <n v="64"/>
    <n v="1.125"/>
    <x v="0"/>
    <x v="128"/>
    <n v="13"/>
    <x v="1"/>
    <x v="1"/>
  </r>
  <r>
    <x v="1222"/>
    <n v="19500"/>
    <n v="195"/>
    <x v="14"/>
    <n v="5"/>
    <n v="17400"/>
    <x v="220"/>
    <n v="150"/>
    <n v="1.1599999999999999"/>
    <x v="0"/>
    <x v="34"/>
    <n v="21"/>
    <x v="1"/>
    <x v="4"/>
  </r>
  <r>
    <x v="1223"/>
    <n v="6000"/>
    <n v="60"/>
    <x v="11"/>
    <n v="6"/>
    <n v="6000"/>
    <x v="69"/>
    <n v="100"/>
    <n v="0.6"/>
    <x v="0"/>
    <x v="1"/>
    <n v="0"/>
    <x v="1"/>
    <x v="2"/>
  </r>
  <r>
    <x v="1224"/>
    <n v="9900"/>
    <n v="99"/>
    <x v="14"/>
    <n v="4"/>
    <n v="8900"/>
    <x v="25"/>
    <n v="100"/>
    <n v="0.89"/>
    <x v="0"/>
    <x v="1"/>
    <n v="10"/>
    <x v="1"/>
    <x v="4"/>
  </r>
  <r>
    <x v="1225"/>
    <n v="109900"/>
    <n v="1099"/>
    <x v="4"/>
    <n v="2"/>
    <n v="89900"/>
    <x v="302"/>
    <n v="44"/>
    <n v="20.431818181818183"/>
    <x v="0"/>
    <x v="126"/>
    <n v="200"/>
    <x v="2"/>
    <x v="0"/>
  </r>
  <r>
    <x v="1226"/>
    <n v="19900"/>
    <n v="199"/>
    <x v="25"/>
    <n v="2"/>
    <n v="15900"/>
    <x v="28"/>
    <n v="150"/>
    <n v="1.06"/>
    <x v="0"/>
    <x v="34"/>
    <n v="40"/>
    <x v="1"/>
    <x v="0"/>
  </r>
  <r>
    <x v="1227"/>
    <n v="62000"/>
    <n v="620"/>
    <x v="11"/>
    <n v="6"/>
    <n v="62000"/>
    <x v="262"/>
    <n v="172"/>
    <n v="3.6046511627906979"/>
    <x v="0"/>
    <x v="127"/>
    <n v="0"/>
    <x v="2"/>
    <x v="2"/>
  </r>
  <r>
    <x v="1228"/>
    <n v="7500"/>
    <n v="75"/>
    <x v="22"/>
    <n v="4"/>
    <n v="6800"/>
    <x v="40"/>
    <n v="200"/>
    <n v="0.34"/>
    <x v="0"/>
    <x v="3"/>
    <n v="7"/>
    <x v="1"/>
    <x v="4"/>
  </r>
  <r>
    <x v="1229"/>
    <n v="14900"/>
    <n v="149"/>
    <x v="11"/>
    <n v="6"/>
    <n v="14900"/>
    <x v="27"/>
    <n v="600"/>
    <n v="0.24833333333333332"/>
    <x v="0"/>
    <x v="63"/>
    <n v="0"/>
    <x v="1"/>
    <x v="2"/>
  </r>
  <r>
    <x v="1230"/>
    <n v="12000"/>
    <n v="120"/>
    <x v="17"/>
    <n v="5"/>
    <n v="11200"/>
    <x v="165"/>
    <n v="180"/>
    <n v="0.62222222222222223"/>
    <x v="0"/>
    <x v="49"/>
    <n v="8"/>
    <x v="1"/>
    <x v="4"/>
  </r>
  <r>
    <x v="1231"/>
    <n v="23500"/>
    <n v="235"/>
    <x v="13"/>
    <n v="6"/>
    <n v="21800"/>
    <x v="303"/>
    <n v="1160"/>
    <n v="0.18793103448275861"/>
    <x v="0"/>
    <x v="29"/>
    <n v="17"/>
    <x v="2"/>
    <x v="4"/>
  </r>
  <r>
    <x v="1175"/>
    <n v="24500"/>
    <n v="245"/>
    <x v="22"/>
    <n v="6"/>
    <n v="22100"/>
    <x v="282"/>
    <n v="72"/>
    <n v="3.0694444444444446"/>
    <x v="0"/>
    <x v="62"/>
    <n v="24"/>
    <x v="2"/>
    <x v="4"/>
  </r>
  <r>
    <x v="1232"/>
    <n v="19900"/>
    <n v="199"/>
    <x v="15"/>
    <n v="4"/>
    <n v="17700"/>
    <x v="209"/>
    <n v="196"/>
    <n v="0.90306122448979587"/>
    <x v="0"/>
    <x v="129"/>
    <n v="22"/>
    <x v="1"/>
    <x v="1"/>
  </r>
  <r>
    <x v="1233"/>
    <n v="21500"/>
    <n v="215"/>
    <x v="17"/>
    <n v="3"/>
    <n v="20000"/>
    <x v="157"/>
    <n v="100"/>
    <n v="2"/>
    <x v="0"/>
    <x v="1"/>
    <n v="15"/>
    <x v="2"/>
    <x v="4"/>
  </r>
  <r>
    <x v="1234"/>
    <n v="31500"/>
    <n v="315"/>
    <x v="11"/>
    <n v="4"/>
    <n v="31500"/>
    <x v="304"/>
    <n v="30"/>
    <n v="10.5"/>
    <x v="0"/>
    <x v="60"/>
    <n v="0"/>
    <x v="2"/>
    <x v="2"/>
  </r>
  <r>
    <x v="1235"/>
    <n v="8000"/>
    <n v="80"/>
    <x v="19"/>
    <n v="4"/>
    <n v="7300"/>
    <x v="175"/>
    <n v="100"/>
    <n v="0.73"/>
    <x v="0"/>
    <x v="1"/>
    <n v="7"/>
    <x v="1"/>
    <x v="4"/>
  </r>
  <r>
    <x v="1236"/>
    <n v="22500"/>
    <n v="225"/>
    <x v="25"/>
    <n v="4"/>
    <n v="18000"/>
    <x v="281"/>
    <n v="250"/>
    <n v="0.72"/>
    <x v="0"/>
    <x v="2"/>
    <n v="45"/>
    <x v="1"/>
    <x v="0"/>
  </r>
  <r>
    <x v="1237"/>
    <n v="17500"/>
    <n v="175"/>
    <x v="11"/>
    <n v="5"/>
    <n v="17500"/>
    <x v="81"/>
    <n v="870"/>
    <n v="0.20114942528735633"/>
    <x v="0"/>
    <x v="74"/>
    <n v="0"/>
    <x v="1"/>
    <x v="2"/>
  </r>
  <r>
    <x v="1238"/>
    <n v="14300"/>
    <n v="143"/>
    <x v="11"/>
    <n v="6"/>
    <n v="14300"/>
    <x v="155"/>
    <n v="200"/>
    <n v="0.71499999999999997"/>
    <x v="0"/>
    <x v="3"/>
    <n v="0"/>
    <x v="1"/>
    <x v="2"/>
  </r>
  <r>
    <x v="1239"/>
    <n v="23500"/>
    <n v="235"/>
    <x v="22"/>
    <n v="6"/>
    <n v="21200"/>
    <x v="92"/>
    <n v="125"/>
    <n v="1.696"/>
    <x v="0"/>
    <x v="119"/>
    <n v="23"/>
    <x v="2"/>
    <x v="4"/>
  </r>
  <r>
    <x v="1240"/>
    <n v="9500"/>
    <n v="95"/>
    <x v="11"/>
    <n v="4"/>
    <n v="9500"/>
    <x v="79"/>
    <n v="200"/>
    <n v="0.47499999999999998"/>
    <x v="0"/>
    <x v="3"/>
    <n v="0"/>
    <x v="1"/>
    <x v="2"/>
  </r>
  <r>
    <x v="1241"/>
    <n v="19900"/>
    <n v="199"/>
    <x v="11"/>
    <n v="3"/>
    <n v="19900"/>
    <x v="49"/>
    <n v="192"/>
    <n v="1.0364583333333333"/>
    <x v="0"/>
    <x v="130"/>
    <n v="0"/>
    <x v="1"/>
    <x v="2"/>
  </r>
  <r>
    <x v="1242"/>
    <n v="19900"/>
    <n v="199"/>
    <x v="6"/>
    <n v="5"/>
    <n v="19100"/>
    <x v="54"/>
    <n v="250"/>
    <n v="0.76400000000000001"/>
    <x v="0"/>
    <x v="2"/>
    <n v="8"/>
    <x v="1"/>
    <x v="2"/>
  </r>
  <r>
    <x v="1243"/>
    <n v="13500"/>
    <n v="135"/>
    <x v="11"/>
    <n v="1"/>
    <n v="13500"/>
    <x v="114"/>
    <n v="192"/>
    <n v="0.703125"/>
    <x v="0"/>
    <x v="130"/>
    <n v="0"/>
    <x v="1"/>
    <x v="2"/>
  </r>
  <r>
    <x v="1244"/>
    <n v="2500"/>
    <n v="25"/>
    <x v="11"/>
    <n v="5"/>
    <n v="2500"/>
    <x v="14"/>
    <n v="20"/>
    <n v="1.25"/>
    <x v="0"/>
    <x v="29"/>
    <n v="0"/>
    <x v="0"/>
    <x v="2"/>
  </r>
  <r>
    <x v="1245"/>
    <n v="8000"/>
    <n v="80"/>
    <x v="17"/>
    <n v="2"/>
    <n v="7500"/>
    <x v="30"/>
    <n v="250"/>
    <n v="0.3"/>
    <x v="0"/>
    <x v="2"/>
    <n v="5"/>
    <x v="1"/>
    <x v="4"/>
  </r>
  <r>
    <x v="1246"/>
    <n v="17000"/>
    <n v="170"/>
    <x v="14"/>
    <n v="6"/>
    <n v="15300"/>
    <x v="245"/>
    <n v="150"/>
    <n v="1.02"/>
    <x v="0"/>
    <x v="34"/>
    <n v="17"/>
    <x v="1"/>
    <x v="4"/>
  </r>
  <r>
    <x v="1247"/>
    <n v="6500"/>
    <n v="65"/>
    <x v="22"/>
    <n v="3"/>
    <n v="5900"/>
    <x v="31"/>
    <n v="24"/>
    <n v="2.4583333333333335"/>
    <x v="0"/>
    <x v="84"/>
    <n v="6"/>
    <x v="1"/>
    <x v="4"/>
  </r>
  <r>
    <x v="1248"/>
    <n v="13300"/>
    <n v="133"/>
    <x v="12"/>
    <n v="5"/>
    <n v="13000"/>
    <x v="241"/>
    <n v="1160"/>
    <n v="0.11206896551724138"/>
    <x v="0"/>
    <x v="29"/>
    <n v="3"/>
    <x v="1"/>
    <x v="2"/>
  </r>
  <r>
    <x v="1249"/>
    <n v="15800"/>
    <n v="158"/>
    <x v="17"/>
    <n v="5"/>
    <n v="14700"/>
    <x v="168"/>
    <n v="180"/>
    <n v="0.81666666666666665"/>
    <x v="0"/>
    <x v="49"/>
    <n v="11"/>
    <x v="1"/>
    <x v="4"/>
  </r>
  <r>
    <x v="1250"/>
    <n v="28500"/>
    <n v="285"/>
    <x v="11"/>
    <n v="5"/>
    <n v="28500"/>
    <x v="305"/>
    <n v="340"/>
    <n v="0.83823529411764708"/>
    <x v="0"/>
    <x v="19"/>
    <n v="0"/>
    <x v="2"/>
    <x v="2"/>
  </r>
  <r>
    <x v="1251"/>
    <n v="55000"/>
    <n v="550"/>
    <x v="11"/>
    <n v="6"/>
    <n v="55000"/>
    <x v="306"/>
    <n v="159"/>
    <n v="3.459119496855346"/>
    <x v="0"/>
    <x v="131"/>
    <n v="0"/>
    <x v="2"/>
    <x v="2"/>
  </r>
  <r>
    <x v="1252"/>
    <n v="39900"/>
    <n v="399"/>
    <x v="14"/>
    <n v="6"/>
    <n v="35900"/>
    <x v="216"/>
    <n v="150"/>
    <n v="2.3933333333333335"/>
    <x v="0"/>
    <x v="34"/>
    <n v="40"/>
    <x v="2"/>
    <x v="4"/>
  </r>
  <r>
    <x v="1253"/>
    <n v="55000"/>
    <n v="550"/>
    <x v="11"/>
    <n v="4"/>
    <n v="55000"/>
    <x v="306"/>
    <n v="159"/>
    <n v="3.459119496855346"/>
    <x v="0"/>
    <x v="40"/>
    <n v="0"/>
    <x v="2"/>
    <x v="2"/>
  </r>
  <r>
    <x v="1254"/>
    <n v="9900"/>
    <n v="99"/>
    <x v="14"/>
    <n v="6"/>
    <n v="8900"/>
    <x v="25"/>
    <n v="250"/>
    <n v="0.35599999999999998"/>
    <x v="0"/>
    <x v="2"/>
    <n v="10"/>
    <x v="1"/>
    <x v="4"/>
  </r>
  <r>
    <x v="1255"/>
    <n v="9800"/>
    <n v="98"/>
    <x v="11"/>
    <n v="4"/>
    <n v="9800"/>
    <x v="129"/>
    <n v="232"/>
    <n v="0.42241379310344829"/>
    <x v="0"/>
    <x v="7"/>
    <n v="0"/>
    <x v="1"/>
    <x v="2"/>
  </r>
  <r>
    <x v="1256"/>
    <n v="20000"/>
    <n v="200"/>
    <x v="14"/>
    <n v="3"/>
    <n v="18000"/>
    <x v="281"/>
    <n v="120"/>
    <n v="1.5"/>
    <x v="0"/>
    <x v="69"/>
    <n v="20"/>
    <x v="1"/>
    <x v="4"/>
  </r>
  <r>
    <x v="1257"/>
    <n v="19900"/>
    <n v="199"/>
    <x v="11"/>
    <n v="4"/>
    <n v="19900"/>
    <x v="49"/>
    <n v="200"/>
    <n v="0.995"/>
    <x v="0"/>
    <x v="3"/>
    <n v="0"/>
    <x v="1"/>
    <x v="2"/>
  </r>
  <r>
    <x v="1258"/>
    <n v="26000"/>
    <n v="260"/>
    <x v="10"/>
    <n v="6"/>
    <n v="24700"/>
    <x v="286"/>
    <n v="625"/>
    <n v="0.3952"/>
    <x v="0"/>
    <x v="120"/>
    <n v="13"/>
    <x v="2"/>
    <x v="2"/>
  </r>
  <r>
    <x v="1259"/>
    <n v="7500"/>
    <n v="75"/>
    <x v="11"/>
    <n v="6"/>
    <n v="7500"/>
    <x v="30"/>
    <n v="200"/>
    <n v="0.375"/>
    <x v="0"/>
    <x v="3"/>
    <n v="0"/>
    <x v="1"/>
    <x v="2"/>
  </r>
  <r>
    <x v="1260"/>
    <n v="29900"/>
    <n v="299"/>
    <x v="17"/>
    <n v="5"/>
    <n v="27900"/>
    <x v="192"/>
    <n v="28"/>
    <n v="9.9642857142857135"/>
    <x v="0"/>
    <x v="61"/>
    <n v="20"/>
    <x v="2"/>
    <x v="4"/>
  </r>
  <r>
    <x v="1261"/>
    <n v="7000"/>
    <n v="70"/>
    <x v="11"/>
    <n v="6"/>
    <n v="7000"/>
    <x v="124"/>
    <n v="100"/>
    <n v="0.7"/>
    <x v="0"/>
    <x v="1"/>
    <n v="0"/>
    <x v="1"/>
    <x v="2"/>
  </r>
  <r>
    <x v="1262"/>
    <n v="20000"/>
    <n v="200"/>
    <x v="14"/>
    <n v="6"/>
    <n v="18000"/>
    <x v="281"/>
    <n v="120"/>
    <n v="1.5"/>
    <x v="0"/>
    <x v="69"/>
    <n v="20"/>
    <x v="1"/>
    <x v="4"/>
  </r>
  <r>
    <x v="1263"/>
    <n v="6500"/>
    <n v="65"/>
    <x v="14"/>
    <n v="4"/>
    <n v="5800"/>
    <x v="103"/>
    <n v="40"/>
    <n v="1.45"/>
    <x v="0"/>
    <x v="23"/>
    <n v="7"/>
    <x v="1"/>
    <x v="4"/>
  </r>
  <r>
    <x v="1264"/>
    <n v="19000"/>
    <n v="190"/>
    <x v="11"/>
    <n v="4"/>
    <n v="19000"/>
    <x v="89"/>
    <n v="175"/>
    <n v="1.0857142857142856"/>
    <x v="0"/>
    <x v="94"/>
    <n v="0"/>
    <x v="1"/>
    <x v="2"/>
  </r>
  <r>
    <x v="1265"/>
    <n v="13000"/>
    <n v="130"/>
    <x v="24"/>
    <n v="2"/>
    <n v="11400"/>
    <x v="229"/>
    <n v="200"/>
    <n v="0.56999999999999995"/>
    <x v="0"/>
    <x v="3"/>
    <n v="16"/>
    <x v="1"/>
    <x v="1"/>
  </r>
  <r>
    <x v="1266"/>
    <n v="17600"/>
    <n v="176"/>
    <x v="14"/>
    <n v="3"/>
    <n v="15800"/>
    <x v="236"/>
    <n v="375"/>
    <n v="0.42133333333333334"/>
    <x v="0"/>
    <x v="75"/>
    <n v="18"/>
    <x v="1"/>
    <x v="4"/>
  </r>
  <r>
    <x v="1267"/>
    <n v="12500"/>
    <n v="125"/>
    <x v="11"/>
    <n v="6"/>
    <n v="12500"/>
    <x v="98"/>
    <n v="75"/>
    <n v="1.6666666666666667"/>
    <x v="0"/>
    <x v="38"/>
    <n v="0"/>
    <x v="1"/>
    <x v="2"/>
  </r>
  <r>
    <x v="1268"/>
    <n v="15000"/>
    <n v="150"/>
    <x v="17"/>
    <n v="3"/>
    <n v="14000"/>
    <x v="187"/>
    <n v="400"/>
    <n v="0.35"/>
    <x v="0"/>
    <x v="18"/>
    <n v="10"/>
    <x v="1"/>
    <x v="4"/>
  </r>
  <r>
    <x v="1269"/>
    <n v="9900"/>
    <n v="99"/>
    <x v="14"/>
    <n v="6"/>
    <n v="8900"/>
    <x v="25"/>
    <n v="250"/>
    <n v="0.35599999999999998"/>
    <x v="0"/>
    <x v="2"/>
    <n v="10"/>
    <x v="1"/>
    <x v="4"/>
  </r>
  <r>
    <x v="1270"/>
    <n v="16000"/>
    <n v="160"/>
    <x v="11"/>
    <n v="5"/>
    <n v="16000"/>
    <x v="251"/>
    <n v="232"/>
    <n v="0.68965517241379315"/>
    <x v="0"/>
    <x v="7"/>
    <n v="0"/>
    <x v="1"/>
    <x v="2"/>
  </r>
  <r>
    <x v="1271"/>
    <n v="34900"/>
    <n v="349"/>
    <x v="17"/>
    <n v="5"/>
    <n v="32500"/>
    <x v="258"/>
    <n v="58"/>
    <n v="5.6034482758620694"/>
    <x v="0"/>
    <x v="0"/>
    <n v="24"/>
    <x v="2"/>
    <x v="4"/>
  </r>
  <r>
    <x v="1272"/>
    <n v="16500"/>
    <n v="165"/>
    <x v="24"/>
    <n v="3"/>
    <n v="14500"/>
    <x v="150"/>
    <n v="200"/>
    <n v="0.72499999999999998"/>
    <x v="0"/>
    <x v="3"/>
    <n v="20"/>
    <x v="1"/>
    <x v="1"/>
  </r>
  <r>
    <x v="1273"/>
    <n v="37500"/>
    <n v="375"/>
    <x v="11"/>
    <n v="1"/>
    <n v="37500"/>
    <x v="88"/>
    <n v="340"/>
    <n v="1.1029411764705883"/>
    <x v="0"/>
    <x v="49"/>
    <n v="0"/>
    <x v="2"/>
    <x v="2"/>
  </r>
  <r>
    <x v="1274"/>
    <n v="24900"/>
    <n v="249"/>
    <x v="17"/>
    <n v="6"/>
    <n v="23400"/>
    <x v="238"/>
    <n v="340"/>
    <n v="0.68823529411764706"/>
    <x v="0"/>
    <x v="98"/>
    <n v="15"/>
    <x v="2"/>
    <x v="4"/>
  </r>
  <r>
    <x v="1275"/>
    <n v="22500"/>
    <n v="225"/>
    <x v="6"/>
    <n v="3"/>
    <n v="21400"/>
    <x v="307"/>
    <n v="250"/>
    <n v="0.85599999999999998"/>
    <x v="0"/>
    <x v="2"/>
    <n v="11"/>
    <x v="2"/>
    <x v="2"/>
  </r>
  <r>
    <x v="1276"/>
    <n v="60000"/>
    <n v="600"/>
    <x v="14"/>
    <n v="2"/>
    <n v="54000"/>
    <x v="308"/>
    <n v="200"/>
    <n v="2.7"/>
    <x v="0"/>
    <x v="3"/>
    <n v="60"/>
    <x v="2"/>
    <x v="4"/>
  </r>
  <r>
    <x v="1277"/>
    <n v="15000"/>
    <n v="150"/>
    <x v="14"/>
    <n v="6"/>
    <n v="13500"/>
    <x v="114"/>
    <n v="250"/>
    <n v="0.54"/>
    <x v="0"/>
    <x v="2"/>
    <n v="15"/>
    <x v="1"/>
    <x v="4"/>
  </r>
  <r>
    <x v="1278"/>
    <n v="62000"/>
    <n v="620"/>
    <x v="11"/>
    <n v="6"/>
    <n v="62000"/>
    <x v="262"/>
    <n v="172"/>
    <n v="3.6046511627906979"/>
    <x v="0"/>
    <x v="127"/>
    <n v="0"/>
    <x v="2"/>
    <x v="2"/>
  </r>
  <r>
    <x v="1279"/>
    <n v="16500"/>
    <n v="165"/>
    <x v="22"/>
    <n v="6"/>
    <n v="15000"/>
    <x v="166"/>
    <n v="200"/>
    <n v="0.75"/>
    <x v="0"/>
    <x v="3"/>
    <n v="15"/>
    <x v="1"/>
    <x v="4"/>
  </r>
  <r>
    <x v="1280"/>
    <n v="55000"/>
    <n v="550"/>
    <x v="11"/>
    <n v="4"/>
    <n v="55000"/>
    <x v="306"/>
    <n v="160"/>
    <n v="3.4375"/>
    <x v="0"/>
    <x v="40"/>
    <n v="0"/>
    <x v="2"/>
    <x v="2"/>
  </r>
  <r>
    <x v="1281"/>
    <n v="28200"/>
    <n v="282"/>
    <x v="11"/>
    <n v="3"/>
    <n v="28200"/>
    <x v="309"/>
    <n v="360"/>
    <n v="0.78333333333333333"/>
    <x v="0"/>
    <x v="41"/>
    <n v="0"/>
    <x v="2"/>
    <x v="2"/>
  </r>
  <r>
    <x v="1282"/>
    <n v="17600"/>
    <n v="176"/>
    <x v="14"/>
    <n v="6"/>
    <n v="15800"/>
    <x v="236"/>
    <n v="375"/>
    <n v="0.42133333333333334"/>
    <x v="0"/>
    <x v="75"/>
    <n v="18"/>
    <x v="1"/>
    <x v="4"/>
  </r>
  <r>
    <x v="1283"/>
    <n v="15000"/>
    <n v="150"/>
    <x v="25"/>
    <n v="5"/>
    <n v="12000"/>
    <x v="127"/>
    <n v="250"/>
    <n v="0.48"/>
    <x v="0"/>
    <x v="2"/>
    <n v="30"/>
    <x v="1"/>
    <x v="0"/>
  </r>
  <r>
    <x v="1284"/>
    <n v="9000"/>
    <n v="90"/>
    <x v="14"/>
    <n v="1"/>
    <n v="8100"/>
    <x v="104"/>
    <n v="80"/>
    <n v="1.0125"/>
    <x v="0"/>
    <x v="30"/>
    <n v="9"/>
    <x v="1"/>
    <x v="4"/>
  </r>
  <r>
    <x v="1285"/>
    <n v="11000"/>
    <n v="110"/>
    <x v="11"/>
    <n v="6"/>
    <n v="11000"/>
    <x v="139"/>
    <n v="200"/>
    <n v="0.55000000000000004"/>
    <x v="0"/>
    <x v="3"/>
    <n v="0"/>
    <x v="1"/>
    <x v="2"/>
  </r>
  <r>
    <x v="1286"/>
    <n v="25000"/>
    <n v="250"/>
    <x v="11"/>
    <n v="1"/>
    <n v="25000"/>
    <x v="113"/>
    <n v="150"/>
    <n v="1.6666666666666667"/>
    <x v="0"/>
    <x v="34"/>
    <n v="0"/>
    <x v="2"/>
    <x v="2"/>
  </r>
  <r>
    <x v="1158"/>
    <n v="13700"/>
    <n v="137"/>
    <x v="14"/>
    <n v="4"/>
    <n v="12300"/>
    <x v="273"/>
    <n v="180"/>
    <n v="0.68333333333333335"/>
    <x v="0"/>
    <x v="49"/>
    <n v="14"/>
    <x v="1"/>
    <x v="4"/>
  </r>
  <r>
    <x v="1287"/>
    <n v="25000"/>
    <n v="250"/>
    <x v="14"/>
    <n v="6"/>
    <n v="22500"/>
    <x v="171"/>
    <n v="500"/>
    <n v="0.45"/>
    <x v="0"/>
    <x v="5"/>
    <n v="25"/>
    <x v="2"/>
    <x v="4"/>
  </r>
  <r>
    <x v="1288"/>
    <n v="39900"/>
    <n v="399"/>
    <x v="25"/>
    <n v="3"/>
    <n v="31900"/>
    <x v="204"/>
    <n v="300"/>
    <n v="1.0633333333333332"/>
    <x v="0"/>
    <x v="10"/>
    <n v="80"/>
    <x v="2"/>
    <x v="0"/>
  </r>
  <r>
    <x v="1289"/>
    <n v="42900"/>
    <n v="429"/>
    <x v="1"/>
    <n v="1"/>
    <n v="36400"/>
    <x v="310"/>
    <n v="24"/>
    <n v="15.166666666666666"/>
    <x v="0"/>
    <x v="84"/>
    <n v="65"/>
    <x v="2"/>
    <x v="1"/>
  </r>
  <r>
    <x v="1290"/>
    <n v="9900"/>
    <n v="99"/>
    <x v="11"/>
    <n v="6"/>
    <n v="9900"/>
    <x v="24"/>
    <n v="200"/>
    <n v="0.495"/>
    <x v="0"/>
    <x v="3"/>
    <n v="0"/>
    <x v="1"/>
    <x v="2"/>
  </r>
  <r>
    <x v="1291"/>
    <n v="39900"/>
    <n v="399"/>
    <x v="25"/>
    <n v="6"/>
    <n v="31900"/>
    <x v="204"/>
    <n v="400"/>
    <n v="0.79749999999999999"/>
    <x v="0"/>
    <x v="18"/>
    <n v="80"/>
    <x v="2"/>
    <x v="0"/>
  </r>
  <r>
    <x v="1292"/>
    <n v="22500"/>
    <n v="225"/>
    <x v="11"/>
    <n v="6"/>
    <n v="22500"/>
    <x v="171"/>
    <n v="60"/>
    <n v="3.75"/>
    <x v="0"/>
    <x v="16"/>
    <n v="0"/>
    <x v="2"/>
    <x v="2"/>
  </r>
  <r>
    <x v="1293"/>
    <n v="17000"/>
    <n v="170"/>
    <x v="11"/>
    <n v="6"/>
    <n v="17000"/>
    <x v="193"/>
    <n v="180"/>
    <n v="0.94444444444444442"/>
    <x v="0"/>
    <x v="49"/>
    <n v="0"/>
    <x v="1"/>
    <x v="2"/>
  </r>
  <r>
    <x v="1294"/>
    <n v="7500"/>
    <n v="75"/>
    <x v="11"/>
    <n v="5"/>
    <n v="7500"/>
    <x v="30"/>
    <n v="150"/>
    <n v="0.5"/>
    <x v="0"/>
    <x v="69"/>
    <n v="0"/>
    <x v="1"/>
    <x v="2"/>
  </r>
  <r>
    <x v="1295"/>
    <n v="10000"/>
    <n v="100"/>
    <x v="11"/>
    <n v="4"/>
    <n v="10000"/>
    <x v="141"/>
    <n v="100"/>
    <n v="1"/>
    <x v="0"/>
    <x v="1"/>
    <n v="0"/>
    <x v="1"/>
    <x v="2"/>
  </r>
  <r>
    <x v="1169"/>
    <n v="14000"/>
    <n v="140"/>
    <x v="14"/>
    <n v="1"/>
    <n v="12600"/>
    <x v="259"/>
    <n v="200"/>
    <n v="0.63"/>
    <x v="0"/>
    <x v="3"/>
    <n v="14"/>
    <x v="1"/>
    <x v="4"/>
  </r>
  <r>
    <x v="1296"/>
    <n v="30000"/>
    <n v="300"/>
    <x v="19"/>
    <n v="3"/>
    <n v="27500"/>
    <x v="156"/>
    <n v="0"/>
    <e v="#DIV/0!"/>
    <x v="0"/>
    <x v="65"/>
    <n v="25"/>
    <x v="2"/>
    <x v="4"/>
  </r>
  <r>
    <x v="1297"/>
    <n v="9000"/>
    <n v="90"/>
    <x v="14"/>
    <n v="6"/>
    <n v="8100"/>
    <x v="104"/>
    <n v="406"/>
    <n v="0.19950738916256158"/>
    <x v="0"/>
    <x v="124"/>
    <n v="9"/>
    <x v="1"/>
    <x v="4"/>
  </r>
  <r>
    <x v="1298"/>
    <n v="64500"/>
    <n v="645"/>
    <x v="10"/>
    <n v="3"/>
    <n v="61200"/>
    <x v="311"/>
    <n v="650"/>
    <n v="0.94153846153846155"/>
    <x v="0"/>
    <x v="100"/>
    <n v="33"/>
    <x v="2"/>
    <x v="2"/>
  </r>
  <r>
    <x v="1299"/>
    <n v="2900"/>
    <n v="29"/>
    <x v="11"/>
    <n v="5"/>
    <n v="2900"/>
    <x v="5"/>
    <n v="20"/>
    <n v="1.45"/>
    <x v="0"/>
    <x v="29"/>
    <n v="0"/>
    <x v="0"/>
    <x v="2"/>
  </r>
  <r>
    <x v="1300"/>
    <n v="14000"/>
    <n v="140"/>
    <x v="11"/>
    <n v="6"/>
    <n v="14000"/>
    <x v="187"/>
    <n v="160"/>
    <n v="0.875"/>
    <x v="0"/>
    <x v="48"/>
    <n v="0"/>
    <x v="1"/>
    <x v="2"/>
  </r>
  <r>
    <x v="1301"/>
    <n v="18200"/>
    <n v="182"/>
    <x v="1"/>
    <n v="6"/>
    <n v="15400"/>
    <x v="268"/>
    <n v="300"/>
    <n v="0.51333333333333331"/>
    <x v="0"/>
    <x v="10"/>
    <n v="28"/>
    <x v="1"/>
    <x v="1"/>
  </r>
  <r>
    <x v="1302"/>
    <n v="30900"/>
    <n v="309"/>
    <x v="14"/>
    <n v="6"/>
    <n v="27800"/>
    <x v="312"/>
    <n v="250"/>
    <n v="1.1120000000000001"/>
    <x v="0"/>
    <x v="2"/>
    <n v="31"/>
    <x v="2"/>
    <x v="4"/>
  </r>
  <r>
    <x v="1303"/>
    <n v="19500"/>
    <n v="195"/>
    <x v="14"/>
    <n v="5"/>
    <n v="17400"/>
    <x v="220"/>
    <n v="150"/>
    <n v="1.1599999999999999"/>
    <x v="0"/>
    <x v="34"/>
    <n v="21"/>
    <x v="1"/>
    <x v="4"/>
  </r>
  <r>
    <x v="1304"/>
    <n v="12000"/>
    <n v="120"/>
    <x v="11"/>
    <n v="5"/>
    <n v="12000"/>
    <x v="127"/>
    <n v="180"/>
    <n v="0.66666666666666663"/>
    <x v="0"/>
    <x v="49"/>
    <n v="0"/>
    <x v="1"/>
    <x v="2"/>
  </r>
  <r>
    <x v="1305"/>
    <n v="3000"/>
    <n v="30"/>
    <x v="11"/>
    <n v="2"/>
    <n v="3000"/>
    <x v="15"/>
    <n v="406"/>
    <n v="7.3891625615763554E-2"/>
    <x v="0"/>
    <x v="124"/>
    <n v="0"/>
    <x v="0"/>
    <x v="2"/>
  </r>
  <r>
    <x v="1306"/>
    <n v="15000"/>
    <n v="150"/>
    <x v="4"/>
    <n v="4"/>
    <n v="12300"/>
    <x v="273"/>
    <n v="232"/>
    <n v="0.53017241379310343"/>
    <x v="0"/>
    <x v="7"/>
    <n v="27"/>
    <x v="1"/>
    <x v="0"/>
  </r>
  <r>
    <x v="1307"/>
    <n v="19900"/>
    <n v="199"/>
    <x v="17"/>
    <n v="5"/>
    <n v="18600"/>
    <x v="279"/>
    <n v="250"/>
    <n v="0.74399999999999999"/>
    <x v="0"/>
    <x v="2"/>
    <n v="13"/>
    <x v="1"/>
    <x v="4"/>
  </r>
  <r>
    <x v="1308"/>
    <n v="39900"/>
    <n v="399"/>
    <x v="1"/>
    <n v="4"/>
    <n v="33900"/>
    <x v="313"/>
    <n v="400"/>
    <n v="0.84750000000000003"/>
    <x v="0"/>
    <x v="18"/>
    <n v="60"/>
    <x v="2"/>
    <x v="1"/>
  </r>
  <r>
    <x v="1309"/>
    <n v="5500"/>
    <n v="55"/>
    <x v="11"/>
    <n v="6"/>
    <n v="5500"/>
    <x v="42"/>
    <n v="10"/>
    <n v="5.5"/>
    <x v="0"/>
    <x v="14"/>
    <n v="0"/>
    <x v="1"/>
    <x v="2"/>
  </r>
  <r>
    <x v="1310"/>
    <n v="23000"/>
    <n v="230"/>
    <x v="4"/>
    <n v="1"/>
    <n v="18800"/>
    <x v="224"/>
    <n v="400"/>
    <n v="0.47"/>
    <x v="0"/>
    <x v="18"/>
    <n v="42"/>
    <x v="1"/>
    <x v="0"/>
  </r>
  <r>
    <x v="1288"/>
    <n v="31000"/>
    <n v="310"/>
    <x v="1"/>
    <n v="6"/>
    <n v="26300"/>
    <x v="314"/>
    <n v="200"/>
    <n v="1.3149999999999999"/>
    <x v="0"/>
    <x v="3"/>
    <n v="47"/>
    <x v="2"/>
    <x v="1"/>
  </r>
  <r>
    <x v="1311"/>
    <n v="20000"/>
    <n v="200"/>
    <x v="14"/>
    <n v="6"/>
    <n v="18000"/>
    <x v="281"/>
    <n v="120"/>
    <n v="1.5"/>
    <x v="0"/>
    <x v="69"/>
    <n v="20"/>
    <x v="1"/>
    <x v="4"/>
  </r>
  <r>
    <x v="1312"/>
    <n v="34900"/>
    <n v="349"/>
    <x v="14"/>
    <n v="1"/>
    <n v="31400"/>
    <x v="315"/>
    <n v="100"/>
    <n v="3.14"/>
    <x v="0"/>
    <x v="1"/>
    <n v="35"/>
    <x v="2"/>
    <x v="4"/>
  </r>
  <r>
    <x v="1313"/>
    <n v="27000"/>
    <n v="270"/>
    <x v="1"/>
    <n v="6"/>
    <n v="22900"/>
    <x v="316"/>
    <n v="300"/>
    <n v="0.76333333333333331"/>
    <x v="0"/>
    <x v="10"/>
    <n v="41"/>
    <x v="2"/>
    <x v="1"/>
  </r>
  <r>
    <x v="1314"/>
    <n v="16500"/>
    <n v="165"/>
    <x v="11"/>
    <n v="4"/>
    <n v="16500"/>
    <x v="264"/>
    <n v="210"/>
    <n v="0.7857142857142857"/>
    <x v="0"/>
    <x v="93"/>
    <n v="0"/>
    <x v="1"/>
    <x v="2"/>
  </r>
  <r>
    <x v="1315"/>
    <n v="24900"/>
    <n v="249"/>
    <x v="11"/>
    <n v="6"/>
    <n v="24900"/>
    <x v="45"/>
    <n v="116"/>
    <n v="2.146551724137931"/>
    <x v="0"/>
    <x v="9"/>
    <n v="0"/>
    <x v="2"/>
    <x v="2"/>
  </r>
  <r>
    <x v="1316"/>
    <n v="18500"/>
    <n v="185"/>
    <x v="11"/>
    <n v="2"/>
    <n v="18500"/>
    <x v="317"/>
    <n v="100"/>
    <n v="1.85"/>
    <x v="0"/>
    <x v="1"/>
    <n v="0"/>
    <x v="1"/>
    <x v="2"/>
  </r>
  <r>
    <x v="1317"/>
    <n v="15000"/>
    <n v="150"/>
    <x v="11"/>
    <n v="6"/>
    <n v="15000"/>
    <x v="166"/>
    <n v="100"/>
    <n v="1.5"/>
    <x v="0"/>
    <x v="1"/>
    <n v="0"/>
    <x v="1"/>
    <x v="2"/>
  </r>
  <r>
    <x v="1261"/>
    <n v="10500"/>
    <n v="105"/>
    <x v="11"/>
    <n v="6"/>
    <n v="10500"/>
    <x v="37"/>
    <n v="150"/>
    <n v="0.7"/>
    <x v="0"/>
    <x v="34"/>
    <n v="0"/>
    <x v="1"/>
    <x v="2"/>
  </r>
  <r>
    <x v="1318"/>
    <n v="32000"/>
    <n v="320"/>
    <x v="3"/>
    <n v="6"/>
    <n v="26500"/>
    <x v="71"/>
    <n v="400"/>
    <n v="0.66249999999999998"/>
    <x v="0"/>
    <x v="18"/>
    <n v="55"/>
    <x v="2"/>
    <x v="0"/>
  </r>
  <r>
    <x v="1319"/>
    <n v="55000"/>
    <n v="550"/>
    <x v="11"/>
    <n v="3"/>
    <n v="55000"/>
    <x v="306"/>
    <n v="88"/>
    <n v="6.25"/>
    <x v="0"/>
    <x v="131"/>
    <n v="0"/>
    <x v="2"/>
    <x v="2"/>
  </r>
  <r>
    <x v="1320"/>
    <n v="19000"/>
    <n v="190"/>
    <x v="15"/>
    <n v="6"/>
    <n v="16900"/>
    <x v="117"/>
    <n v="150"/>
    <n v="1.1266666666666667"/>
    <x v="0"/>
    <x v="34"/>
    <n v="21"/>
    <x v="1"/>
    <x v="1"/>
  </r>
  <r>
    <x v="1321"/>
    <n v="14000"/>
    <n v="140"/>
    <x v="14"/>
    <n v="4"/>
    <n v="12600"/>
    <x v="259"/>
    <n v="100"/>
    <n v="1.26"/>
    <x v="0"/>
    <x v="1"/>
    <n v="14"/>
    <x v="1"/>
    <x v="4"/>
  </r>
  <r>
    <x v="1322"/>
    <n v="7500"/>
    <n v="75"/>
    <x v="10"/>
    <n v="6"/>
    <n v="7100"/>
    <x v="135"/>
    <n v="78"/>
    <n v="0.91025641025641024"/>
    <x v="0"/>
    <x v="132"/>
    <n v="4"/>
    <x v="1"/>
    <x v="2"/>
  </r>
  <r>
    <x v="1323"/>
    <n v="19900"/>
    <n v="199"/>
    <x v="11"/>
    <n v="4"/>
    <n v="19900"/>
    <x v="49"/>
    <n v="196"/>
    <n v="1.0153061224489797"/>
    <x v="0"/>
    <x v="129"/>
    <n v="0"/>
    <x v="1"/>
    <x v="2"/>
  </r>
  <r>
    <x v="1284"/>
    <n v="19000"/>
    <n v="190"/>
    <x v="11"/>
    <n v="6"/>
    <n v="19000"/>
    <x v="89"/>
    <n v="175"/>
    <n v="1.0857142857142856"/>
    <x v="0"/>
    <x v="49"/>
    <n v="0"/>
    <x v="1"/>
    <x v="2"/>
  </r>
  <r>
    <x v="1324"/>
    <n v="18000"/>
    <n v="180"/>
    <x v="11"/>
    <n v="6"/>
    <n v="18000"/>
    <x v="281"/>
    <n v="200"/>
    <n v="0.9"/>
    <x v="0"/>
    <x v="3"/>
    <n v="0"/>
    <x v="1"/>
    <x v="2"/>
  </r>
  <r>
    <x v="1325"/>
    <n v="15500"/>
    <n v="155"/>
    <x v="22"/>
    <n v="4"/>
    <n v="14000"/>
    <x v="187"/>
    <n v="180"/>
    <n v="0.77777777777777779"/>
    <x v="0"/>
    <x v="49"/>
    <n v="15"/>
    <x v="1"/>
    <x v="4"/>
  </r>
  <r>
    <x v="1326"/>
    <n v="12000"/>
    <n v="120"/>
    <x v="17"/>
    <n v="6"/>
    <n v="11200"/>
    <x v="165"/>
    <n v="180"/>
    <n v="0.62222222222222223"/>
    <x v="0"/>
    <x v="49"/>
    <n v="8"/>
    <x v="1"/>
    <x v="4"/>
  </r>
  <r>
    <x v="1327"/>
    <n v="6500"/>
    <n v="65"/>
    <x v="14"/>
    <n v="6"/>
    <n v="5800"/>
    <x v="103"/>
    <n v="40"/>
    <n v="1.45"/>
    <x v="0"/>
    <x v="23"/>
    <n v="7"/>
    <x v="1"/>
    <x v="4"/>
  </r>
  <r>
    <x v="1328"/>
    <n v="55500"/>
    <n v="555"/>
    <x v="17"/>
    <n v="6"/>
    <n v="52100"/>
    <x v="72"/>
    <n v="650"/>
    <n v="0.80153846153846153"/>
    <x v="0"/>
    <x v="100"/>
    <n v="34"/>
    <x v="2"/>
    <x v="4"/>
  </r>
  <r>
    <x v="1134"/>
    <n v="10000"/>
    <n v="100"/>
    <x v="11"/>
    <n v="1"/>
    <n v="10000"/>
    <x v="141"/>
    <n v="200"/>
    <n v="0.5"/>
    <x v="0"/>
    <x v="3"/>
    <n v="0"/>
    <x v="1"/>
    <x v="2"/>
  </r>
  <r>
    <x v="1329"/>
    <n v="8500"/>
    <n v="85"/>
    <x v="11"/>
    <n v="5"/>
    <n v="8500"/>
    <x v="227"/>
    <n v="200"/>
    <n v="0.42499999999999999"/>
    <x v="0"/>
    <x v="3"/>
    <n v="0"/>
    <x v="1"/>
    <x v="2"/>
  </r>
  <r>
    <x v="1330"/>
    <n v="18500"/>
    <n v="185"/>
    <x v="19"/>
    <n v="6"/>
    <n v="16900"/>
    <x v="117"/>
    <n v="5"/>
    <n v="33.799999999999997"/>
    <x v="0"/>
    <x v="7"/>
    <n v="16"/>
    <x v="1"/>
    <x v="4"/>
  </r>
  <r>
    <x v="1331"/>
    <n v="18000"/>
    <n v="180"/>
    <x v="11"/>
    <n v="6"/>
    <n v="18000"/>
    <x v="281"/>
    <n v="600"/>
    <n v="0.3"/>
    <x v="0"/>
    <x v="63"/>
    <n v="0"/>
    <x v="1"/>
    <x v="2"/>
  </r>
  <r>
    <x v="1332"/>
    <n v="62000"/>
    <n v="620"/>
    <x v="11"/>
    <n v="1"/>
    <n v="62000"/>
    <x v="262"/>
    <n v="172"/>
    <n v="3.6046511627906979"/>
    <x v="0"/>
    <x v="127"/>
    <n v="0"/>
    <x v="2"/>
    <x v="2"/>
  </r>
  <r>
    <x v="1333"/>
    <n v="22500"/>
    <n v="225"/>
    <x v="11"/>
    <n v="6"/>
    <n v="22500"/>
    <x v="171"/>
    <n v="418"/>
    <n v="0.53827751196172247"/>
    <x v="0"/>
    <x v="123"/>
    <n v="0"/>
    <x v="2"/>
    <x v="2"/>
  </r>
  <r>
    <x v="1334"/>
    <n v="19900"/>
    <n v="199"/>
    <x v="14"/>
    <n v="6"/>
    <n v="17900"/>
    <x v="199"/>
    <n v="250"/>
    <n v="0.71599999999999997"/>
    <x v="0"/>
    <x v="2"/>
    <n v="20"/>
    <x v="1"/>
    <x v="4"/>
  </r>
  <r>
    <x v="1335"/>
    <n v="14000"/>
    <n v="140"/>
    <x v="14"/>
    <n v="4"/>
    <n v="12600"/>
    <x v="259"/>
    <n v="250"/>
    <n v="0.504"/>
    <x v="0"/>
    <x v="2"/>
    <n v="14"/>
    <x v="1"/>
    <x v="4"/>
  </r>
  <r>
    <x v="1336"/>
    <n v="29900"/>
    <n v="299"/>
    <x v="3"/>
    <n v="5"/>
    <n v="24700"/>
    <x v="286"/>
    <n v="200"/>
    <n v="1.2350000000000001"/>
    <x v="0"/>
    <x v="3"/>
    <n v="52"/>
    <x v="2"/>
    <x v="0"/>
  </r>
  <r>
    <x v="1337"/>
    <n v="24000"/>
    <n v="240"/>
    <x v="13"/>
    <n v="2"/>
    <n v="22100"/>
    <x v="282"/>
    <n v="340"/>
    <n v="0.65"/>
    <x v="0"/>
    <x v="98"/>
    <n v="19"/>
    <x v="2"/>
    <x v="4"/>
  </r>
  <r>
    <x v="1338"/>
    <n v="25000"/>
    <n v="250"/>
    <x v="11"/>
    <n v="5"/>
    <n v="25000"/>
    <x v="113"/>
    <n v="120"/>
    <n v="2.0833333333333335"/>
    <x v="0"/>
    <x v="69"/>
    <n v="0"/>
    <x v="2"/>
    <x v="2"/>
  </r>
  <r>
    <x v="1339"/>
    <n v="22000"/>
    <n v="220"/>
    <x v="11"/>
    <n v="5"/>
    <n v="22000"/>
    <x v="318"/>
    <n v="190"/>
    <n v="1.1578947368421053"/>
    <x v="0"/>
    <x v="82"/>
    <n v="0"/>
    <x v="2"/>
    <x v="2"/>
  </r>
  <r>
    <x v="1237"/>
    <n v="15500"/>
    <n v="155"/>
    <x v="11"/>
    <n v="6"/>
    <n v="15500"/>
    <x v="221"/>
    <n v="870"/>
    <n v="0.17816091954022989"/>
    <x v="0"/>
    <x v="74"/>
    <n v="0"/>
    <x v="1"/>
    <x v="2"/>
  </r>
  <r>
    <x v="1340"/>
    <n v="9300"/>
    <n v="93"/>
    <x v="10"/>
    <n v="6"/>
    <n v="8800"/>
    <x v="65"/>
    <n v="80"/>
    <n v="1.1000000000000001"/>
    <x v="0"/>
    <x v="30"/>
    <n v="5"/>
    <x v="1"/>
    <x v="2"/>
  </r>
  <r>
    <x v="1341"/>
    <n v="31000"/>
    <n v="310"/>
    <x v="24"/>
    <n v="1"/>
    <n v="27200"/>
    <x v="182"/>
    <n v="200"/>
    <n v="1.36"/>
    <x v="0"/>
    <x v="3"/>
    <n v="38"/>
    <x v="2"/>
    <x v="1"/>
  </r>
  <r>
    <x v="1342"/>
    <n v="8500"/>
    <n v="85"/>
    <x v="11"/>
    <n v="5"/>
    <n v="8500"/>
    <x v="227"/>
    <n v="200"/>
    <n v="0.42499999999999999"/>
    <x v="0"/>
    <x v="3"/>
    <n v="0"/>
    <x v="1"/>
    <x v="2"/>
  </r>
  <r>
    <x v="1343"/>
    <n v="13000"/>
    <n v="130"/>
    <x v="15"/>
    <n v="2"/>
    <n v="11500"/>
    <x v="105"/>
    <n v="50"/>
    <n v="2.2999999999999998"/>
    <x v="0"/>
    <x v="8"/>
    <n v="15"/>
    <x v="1"/>
    <x v="1"/>
  </r>
  <r>
    <x v="1344"/>
    <n v="15500"/>
    <n v="155"/>
    <x v="17"/>
    <n v="6"/>
    <n v="14500"/>
    <x v="150"/>
    <n v="100"/>
    <n v="1.45"/>
    <x v="0"/>
    <x v="1"/>
    <n v="10"/>
    <x v="1"/>
    <x v="4"/>
  </r>
  <r>
    <x v="1345"/>
    <n v="32000"/>
    <n v="320"/>
    <x v="11"/>
    <n v="4"/>
    <n v="32000"/>
    <x v="260"/>
    <n v="24"/>
    <n v="13.333333333333334"/>
    <x v="0"/>
    <x v="84"/>
    <n v="0"/>
    <x v="2"/>
    <x v="2"/>
  </r>
  <r>
    <x v="1346"/>
    <n v="22500"/>
    <n v="225"/>
    <x v="22"/>
    <n v="6"/>
    <n v="20300"/>
    <x v="58"/>
    <n v="200"/>
    <n v="1.0149999999999999"/>
    <x v="0"/>
    <x v="3"/>
    <n v="22"/>
    <x v="2"/>
    <x v="4"/>
  </r>
  <r>
    <x v="1347"/>
    <n v="14900"/>
    <n v="149"/>
    <x v="11"/>
    <n v="6"/>
    <n v="14900"/>
    <x v="27"/>
    <n v="192"/>
    <n v="0.77604166666666663"/>
    <x v="0"/>
    <x v="130"/>
    <n v="0"/>
    <x v="1"/>
    <x v="2"/>
  </r>
  <r>
    <x v="1348"/>
    <n v="11500"/>
    <n v="115"/>
    <x v="11"/>
    <n v="4"/>
    <n v="11500"/>
    <x v="105"/>
    <n v="100"/>
    <n v="1.1499999999999999"/>
    <x v="0"/>
    <x v="1"/>
    <n v="0"/>
    <x v="1"/>
    <x v="2"/>
  </r>
  <r>
    <x v="1349"/>
    <n v="19500"/>
    <n v="195"/>
    <x v="22"/>
    <n v="6"/>
    <n v="17600"/>
    <x v="188"/>
    <n v="150"/>
    <n v="1.1733333333333333"/>
    <x v="0"/>
    <x v="34"/>
    <n v="19"/>
    <x v="1"/>
    <x v="4"/>
  </r>
  <r>
    <x v="1304"/>
    <n v="26400"/>
    <n v="264"/>
    <x v="11"/>
    <n v="6"/>
    <n v="26400"/>
    <x v="319"/>
    <n v="340"/>
    <n v="0.77647058823529413"/>
    <x v="0"/>
    <x v="98"/>
    <n v="0"/>
    <x v="2"/>
    <x v="2"/>
  </r>
  <r>
    <x v="1350"/>
    <n v="10500"/>
    <n v="105"/>
    <x v="11"/>
    <n v="4"/>
    <n v="10500"/>
    <x v="37"/>
    <n v="1160"/>
    <n v="9.0517241379310345E-2"/>
    <x v="0"/>
    <x v="29"/>
    <n v="0"/>
    <x v="1"/>
    <x v="2"/>
  </r>
  <r>
    <x v="1351"/>
    <n v="18000"/>
    <n v="180"/>
    <x v="22"/>
    <n v="2"/>
    <n v="16300"/>
    <x v="320"/>
    <n v="100"/>
    <n v="1.63"/>
    <x v="0"/>
    <x v="1"/>
    <n v="17"/>
    <x v="1"/>
    <x v="4"/>
  </r>
  <r>
    <x v="1352"/>
    <n v="19000"/>
    <n v="190"/>
    <x v="11"/>
    <n v="5"/>
    <n v="19000"/>
    <x v="89"/>
    <n v="200"/>
    <n v="0.95"/>
    <x v="0"/>
    <x v="3"/>
    <n v="0"/>
    <x v="1"/>
    <x v="2"/>
  </r>
  <r>
    <x v="1353"/>
    <n v="9000"/>
    <n v="90"/>
    <x v="14"/>
    <n v="6"/>
    <n v="8100"/>
    <x v="104"/>
    <n v="100"/>
    <n v="0.81"/>
    <x v="0"/>
    <x v="1"/>
    <n v="9"/>
    <x v="1"/>
    <x v="4"/>
  </r>
  <r>
    <x v="1354"/>
    <n v="19900"/>
    <n v="199"/>
    <x v="11"/>
    <n v="6"/>
    <n v="19900"/>
    <x v="49"/>
    <n v="200"/>
    <n v="0.995"/>
    <x v="0"/>
    <x v="3"/>
    <n v="0"/>
    <x v="1"/>
    <x v="2"/>
  </r>
  <r>
    <x v="1355"/>
    <n v="17500"/>
    <n v="175"/>
    <x v="11"/>
    <n v="3"/>
    <n v="17500"/>
    <x v="81"/>
    <n v="812"/>
    <n v="0.21551724137931033"/>
    <x v="0"/>
    <x v="55"/>
    <n v="0"/>
    <x v="1"/>
    <x v="2"/>
  </r>
  <r>
    <x v="1356"/>
    <n v="109900"/>
    <n v="1099"/>
    <x v="4"/>
    <n v="6"/>
    <n v="89900"/>
    <x v="302"/>
    <n v="54"/>
    <n v="16.648148148148149"/>
    <x v="0"/>
    <x v="36"/>
    <n v="200"/>
    <x v="2"/>
    <x v="0"/>
  </r>
  <r>
    <x v="1236"/>
    <n v="19900"/>
    <n v="199"/>
    <x v="14"/>
    <n v="6"/>
    <n v="17900"/>
    <x v="199"/>
    <n v="250"/>
    <n v="0.71599999999999997"/>
    <x v="0"/>
    <x v="2"/>
    <n v="20"/>
    <x v="1"/>
    <x v="4"/>
  </r>
  <r>
    <x v="1357"/>
    <n v="12500"/>
    <n v="125"/>
    <x v="14"/>
    <n v="6"/>
    <n v="11200"/>
    <x v="165"/>
    <n v="100"/>
    <n v="1.1200000000000001"/>
    <x v="0"/>
    <x v="1"/>
    <n v="13"/>
    <x v="1"/>
    <x v="4"/>
  </r>
  <r>
    <x v="1321"/>
    <n v="18000"/>
    <n v="180"/>
    <x v="14"/>
    <n v="6"/>
    <n v="16200"/>
    <x v="120"/>
    <n v="150"/>
    <n v="1.08"/>
    <x v="0"/>
    <x v="34"/>
    <n v="18"/>
    <x v="1"/>
    <x v="4"/>
  </r>
  <r>
    <x v="1358"/>
    <n v="22500"/>
    <n v="225"/>
    <x v="25"/>
    <n v="6"/>
    <n v="18000"/>
    <x v="281"/>
    <n v="250"/>
    <n v="0.72"/>
    <x v="0"/>
    <x v="2"/>
    <n v="45"/>
    <x v="1"/>
    <x v="0"/>
  </r>
  <r>
    <x v="1359"/>
    <n v="18000"/>
    <n v="180"/>
    <x v="11"/>
    <n v="1"/>
    <n v="18000"/>
    <x v="281"/>
    <n v="174"/>
    <n v="1.0344827586206897"/>
    <x v="0"/>
    <x v="6"/>
    <n v="0"/>
    <x v="1"/>
    <x v="2"/>
  </r>
  <r>
    <x v="1335"/>
    <n v="28500"/>
    <n v="285"/>
    <x v="13"/>
    <n v="6"/>
    <n v="26300"/>
    <x v="314"/>
    <n v="500"/>
    <n v="0.52600000000000002"/>
    <x v="0"/>
    <x v="5"/>
    <n v="22"/>
    <x v="2"/>
    <x v="4"/>
  </r>
  <r>
    <x v="1360"/>
    <n v="23500"/>
    <n v="235"/>
    <x v="13"/>
    <n v="6"/>
    <n v="21800"/>
    <x v="303"/>
    <n v="1160"/>
    <n v="0.18793103448275861"/>
    <x v="0"/>
    <x v="29"/>
    <n v="17"/>
    <x v="2"/>
    <x v="4"/>
  </r>
  <r>
    <x v="1361"/>
    <n v="5500"/>
    <n v="55"/>
    <x v="22"/>
    <n v="6"/>
    <n v="5000"/>
    <x v="35"/>
    <n v="80"/>
    <n v="0.625"/>
    <x v="0"/>
    <x v="30"/>
    <n v="5"/>
    <x v="1"/>
    <x v="4"/>
  </r>
  <r>
    <x v="1362"/>
    <n v="18000"/>
    <n v="180"/>
    <x v="11"/>
    <n v="2"/>
    <n v="18000"/>
    <x v="281"/>
    <n v="625"/>
    <n v="0.28799999999999998"/>
    <x v="0"/>
    <x v="120"/>
    <n v="0"/>
    <x v="1"/>
    <x v="2"/>
  </r>
  <r>
    <x v="1363"/>
    <n v="42500"/>
    <n v="425"/>
    <x v="25"/>
    <n v="5"/>
    <n v="34000"/>
    <x v="169"/>
    <n v="400"/>
    <n v="0.85"/>
    <x v="0"/>
    <x v="28"/>
    <n v="85"/>
    <x v="2"/>
    <x v="0"/>
  </r>
  <r>
    <x v="1364"/>
    <n v="13000"/>
    <n v="130"/>
    <x v="11"/>
    <n v="4"/>
    <n v="13000"/>
    <x v="241"/>
    <n v="50"/>
    <n v="2.6"/>
    <x v="0"/>
    <x v="8"/>
    <n v="0"/>
    <x v="1"/>
    <x v="2"/>
  </r>
  <r>
    <x v="1365"/>
    <n v="55000"/>
    <n v="550"/>
    <x v="11"/>
    <n v="3"/>
    <n v="55000"/>
    <x v="306"/>
    <n v="159"/>
    <n v="3.459119496855346"/>
    <x v="0"/>
    <x v="127"/>
    <n v="0"/>
    <x v="2"/>
    <x v="2"/>
  </r>
  <r>
    <x v="1238"/>
    <n v="23500"/>
    <n v="235"/>
    <x v="11"/>
    <n v="6"/>
    <n v="23500"/>
    <x v="184"/>
    <n v="400"/>
    <n v="0.58750000000000002"/>
    <x v="0"/>
    <x v="18"/>
    <n v="0"/>
    <x v="2"/>
    <x v="2"/>
  </r>
  <r>
    <x v="1366"/>
    <n v="24900"/>
    <n v="249"/>
    <x v="11"/>
    <n v="4"/>
    <n v="24900"/>
    <x v="45"/>
    <n v="100"/>
    <n v="2.4900000000000002"/>
    <x v="0"/>
    <x v="1"/>
    <n v="0"/>
    <x v="2"/>
    <x v="2"/>
  </r>
  <r>
    <x v="1367"/>
    <n v="2000"/>
    <n v="20"/>
    <x v="11"/>
    <n v="3"/>
    <n v="2000"/>
    <x v="68"/>
    <n v="58"/>
    <n v="0.34482758620689657"/>
    <x v="0"/>
    <x v="0"/>
    <n v="0"/>
    <x v="0"/>
    <x v="2"/>
  </r>
  <r>
    <x v="1368"/>
    <n v="13500"/>
    <n v="135"/>
    <x v="10"/>
    <n v="6"/>
    <n v="12800"/>
    <x v="101"/>
    <n v="50"/>
    <n v="2.56"/>
    <x v="0"/>
    <x v="8"/>
    <n v="7"/>
    <x v="1"/>
    <x v="2"/>
  </r>
  <r>
    <x v="1298"/>
    <n v="24000"/>
    <n v="240"/>
    <x v="11"/>
    <n v="4"/>
    <n v="24000"/>
    <x v="214"/>
    <n v="340"/>
    <n v="0.70588235294117652"/>
    <x v="0"/>
    <x v="98"/>
    <n v="0"/>
    <x v="2"/>
    <x v="2"/>
  </r>
  <r>
    <x v="1369"/>
    <n v="19900"/>
    <n v="199"/>
    <x v="11"/>
    <n v="6"/>
    <n v="19900"/>
    <x v="49"/>
    <n v="192"/>
    <n v="1.0364583333333333"/>
    <x v="0"/>
    <x v="130"/>
    <n v="0"/>
    <x v="1"/>
    <x v="2"/>
  </r>
  <r>
    <x v="1370"/>
    <n v="27500"/>
    <n v="275"/>
    <x v="14"/>
    <n v="6"/>
    <n v="24700"/>
    <x v="286"/>
    <n v="200"/>
    <n v="1.2350000000000001"/>
    <x v="0"/>
    <x v="3"/>
    <n v="28"/>
    <x v="2"/>
    <x v="4"/>
  </r>
  <r>
    <x v="1371"/>
    <n v="154900"/>
    <n v="1549"/>
    <x v="41"/>
    <n v="3"/>
    <n v="84900"/>
    <x v="321"/>
    <n v="82"/>
    <n v="10.353658536585366"/>
    <x v="0"/>
    <x v="133"/>
    <n v="700"/>
    <x v="2"/>
    <x v="3"/>
  </r>
  <r>
    <x v="1372"/>
    <n v="19500"/>
    <n v="195"/>
    <x v="14"/>
    <n v="6"/>
    <n v="17400"/>
    <x v="220"/>
    <n v="150"/>
    <n v="1.1599999999999999"/>
    <x v="0"/>
    <x v="34"/>
    <n v="21"/>
    <x v="1"/>
    <x v="4"/>
  </r>
  <r>
    <x v="1373"/>
    <n v="37500"/>
    <n v="375"/>
    <x v="14"/>
    <n v="6"/>
    <n v="33400"/>
    <x v="322"/>
    <n v="340"/>
    <n v="0.98235294117647054"/>
    <x v="0"/>
    <x v="98"/>
    <n v="41"/>
    <x v="2"/>
    <x v="4"/>
  </r>
  <r>
    <x v="1374"/>
    <n v="8500"/>
    <n v="85"/>
    <x v="13"/>
    <n v="4"/>
    <n v="7900"/>
    <x v="32"/>
    <n v="64"/>
    <n v="1.234375"/>
    <x v="0"/>
    <x v="128"/>
    <n v="6"/>
    <x v="1"/>
    <x v="4"/>
  </r>
  <r>
    <x v="1375"/>
    <n v="19500"/>
    <n v="195"/>
    <x v="22"/>
    <n v="6"/>
    <n v="17600"/>
    <x v="188"/>
    <n v="150"/>
    <n v="1.1733333333333333"/>
    <x v="0"/>
    <x v="34"/>
    <n v="19"/>
    <x v="1"/>
    <x v="4"/>
  </r>
  <r>
    <x v="1376"/>
    <n v="11500"/>
    <n v="115"/>
    <x v="11"/>
    <n v="5"/>
    <n v="11500"/>
    <x v="105"/>
    <n v="1160"/>
    <n v="9.9137931034482762E-2"/>
    <x v="0"/>
    <x v="29"/>
    <n v="0"/>
    <x v="1"/>
    <x v="2"/>
  </r>
  <r>
    <x v="1377"/>
    <n v="69900"/>
    <n v="699"/>
    <x v="8"/>
    <n v="1"/>
    <n v="54900"/>
    <x v="323"/>
    <n v="50"/>
    <n v="10.98"/>
    <x v="0"/>
    <x v="8"/>
    <n v="150"/>
    <x v="2"/>
    <x v="3"/>
  </r>
  <r>
    <x v="1378"/>
    <n v="109900"/>
    <n v="1099"/>
    <x v="35"/>
    <n v="3"/>
    <n v="84900"/>
    <x v="321"/>
    <n v="72"/>
    <n v="11.791666666666666"/>
    <x v="0"/>
    <x v="62"/>
    <n v="250"/>
    <x v="2"/>
    <x v="3"/>
  </r>
  <r>
    <x v="1379"/>
    <n v="17500"/>
    <n v="175"/>
    <x v="22"/>
    <n v="6"/>
    <n v="15800"/>
    <x v="236"/>
    <n v="100"/>
    <n v="1.58"/>
    <x v="0"/>
    <x v="1"/>
    <n v="17"/>
    <x v="1"/>
    <x v="4"/>
  </r>
  <r>
    <x v="1380"/>
    <n v="5000"/>
    <n v="50"/>
    <x v="11"/>
    <n v="4"/>
    <n v="5000"/>
    <x v="35"/>
    <n v="130"/>
    <n v="0.38461538461538464"/>
    <x v="0"/>
    <x v="83"/>
    <n v="0"/>
    <x v="1"/>
    <x v="2"/>
  </r>
  <r>
    <x v="1381"/>
    <n v="14500"/>
    <n v="145"/>
    <x v="22"/>
    <n v="5"/>
    <n v="13100"/>
    <x v="292"/>
    <n v="100"/>
    <n v="1.31"/>
    <x v="0"/>
    <x v="1"/>
    <n v="14"/>
    <x v="1"/>
    <x v="4"/>
  </r>
  <r>
    <x v="1274"/>
    <n v="55500"/>
    <n v="555"/>
    <x v="17"/>
    <n v="6"/>
    <n v="52100"/>
    <x v="72"/>
    <n v="650"/>
    <n v="0.80153846153846153"/>
    <x v="0"/>
    <x v="100"/>
    <n v="34"/>
    <x v="2"/>
    <x v="4"/>
  </r>
  <r>
    <x v="1382"/>
    <n v="59900"/>
    <n v="599"/>
    <x v="1"/>
    <n v="1"/>
    <n v="50900"/>
    <x v="53"/>
    <n v="30"/>
    <n v="16.966666666666665"/>
    <x v="0"/>
    <x v="60"/>
    <n v="90"/>
    <x v="2"/>
    <x v="1"/>
  </r>
  <r>
    <x v="1383"/>
    <n v="17800"/>
    <n v="178"/>
    <x v="11"/>
    <n v="6"/>
    <n v="17800"/>
    <x v="115"/>
    <n v="340"/>
    <n v="0.52352941176470591"/>
    <x v="0"/>
    <x v="98"/>
    <n v="0"/>
    <x v="1"/>
    <x v="2"/>
  </r>
  <r>
    <x v="1384"/>
    <n v="22500"/>
    <n v="225"/>
    <x v="17"/>
    <n v="3"/>
    <n v="21000"/>
    <x v="50"/>
    <n v="340"/>
    <n v="0.61764705882352944"/>
    <x v="0"/>
    <x v="98"/>
    <n v="15"/>
    <x v="2"/>
    <x v="4"/>
  </r>
  <r>
    <x v="1385"/>
    <n v="19900"/>
    <n v="199"/>
    <x v="10"/>
    <n v="4"/>
    <n v="18900"/>
    <x v="223"/>
    <n v="125"/>
    <n v="1.512"/>
    <x v="0"/>
    <x v="119"/>
    <n v="10"/>
    <x v="1"/>
    <x v="2"/>
  </r>
  <r>
    <x v="1386"/>
    <n v="19900"/>
    <n v="199"/>
    <x v="11"/>
    <n v="1"/>
    <n v="19900"/>
    <x v="49"/>
    <n v="150"/>
    <n v="1.3266666666666667"/>
    <x v="0"/>
    <x v="34"/>
    <n v="0"/>
    <x v="1"/>
    <x v="2"/>
  </r>
  <r>
    <x v="1387"/>
    <n v="69900"/>
    <n v="699"/>
    <x v="3"/>
    <n v="6"/>
    <n v="57500"/>
    <x v="324"/>
    <n v="50"/>
    <n v="11.5"/>
    <x v="0"/>
    <x v="8"/>
    <n v="124"/>
    <x v="2"/>
    <x v="0"/>
  </r>
  <r>
    <x v="1388"/>
    <n v="19900"/>
    <n v="199"/>
    <x v="11"/>
    <n v="1"/>
    <n v="19900"/>
    <x v="49"/>
    <n v="150"/>
    <n v="1.3266666666666667"/>
    <x v="0"/>
    <x v="34"/>
    <n v="0"/>
    <x v="1"/>
    <x v="2"/>
  </r>
  <r>
    <x v="1389"/>
    <n v="19900"/>
    <n v="199"/>
    <x v="11"/>
    <n v="6"/>
    <n v="19900"/>
    <x v="49"/>
    <n v="500"/>
    <n v="0.39800000000000002"/>
    <x v="0"/>
    <x v="5"/>
    <n v="0"/>
    <x v="1"/>
    <x v="2"/>
  </r>
  <r>
    <x v="1390"/>
    <n v="37500"/>
    <n v="375"/>
    <x v="22"/>
    <n v="6"/>
    <n v="33800"/>
    <x v="325"/>
    <n v="340"/>
    <n v="0.99411764705882355"/>
    <x v="0"/>
    <x v="98"/>
    <n v="37"/>
    <x v="2"/>
    <x v="4"/>
  </r>
  <r>
    <x v="1391"/>
    <n v="64900"/>
    <n v="649"/>
    <x v="14"/>
    <n v="6"/>
    <n v="57800"/>
    <x v="326"/>
    <n v="232"/>
    <n v="2.4913793103448274"/>
    <x v="0"/>
    <x v="7"/>
    <n v="71"/>
    <x v="2"/>
    <x v="4"/>
  </r>
  <r>
    <x v="1339"/>
    <n v="21000"/>
    <n v="210"/>
    <x v="5"/>
    <n v="1"/>
    <n v="18200"/>
    <x v="327"/>
    <n v="190"/>
    <n v="0.95789473684210524"/>
    <x v="0"/>
    <x v="82"/>
    <n v="28"/>
    <x v="1"/>
    <x v="1"/>
  </r>
  <r>
    <x v="1392"/>
    <n v="37500"/>
    <n v="375"/>
    <x v="11"/>
    <n v="2"/>
    <n v="37500"/>
    <x v="88"/>
    <n v="116"/>
    <n v="3.2327586206896552"/>
    <x v="0"/>
    <x v="9"/>
    <n v="0"/>
    <x v="2"/>
    <x v="2"/>
  </r>
  <r>
    <x v="1272"/>
    <n v="30000"/>
    <n v="300"/>
    <x v="24"/>
    <n v="1"/>
    <n v="26400"/>
    <x v="319"/>
    <n v="400"/>
    <n v="0.66"/>
    <x v="0"/>
    <x v="18"/>
    <n v="36"/>
    <x v="2"/>
    <x v="1"/>
  </r>
  <r>
    <x v="1393"/>
    <n v="7500"/>
    <n v="75"/>
    <x v="11"/>
    <n v="6"/>
    <n v="7500"/>
    <x v="30"/>
    <n v="70"/>
    <n v="1.0714285714285714"/>
    <x v="0"/>
    <x v="11"/>
    <n v="0"/>
    <x v="1"/>
    <x v="2"/>
  </r>
  <r>
    <x v="1394"/>
    <n v="14000"/>
    <n v="140"/>
    <x v="14"/>
    <n v="6"/>
    <n v="12600"/>
    <x v="259"/>
    <n v="70"/>
    <n v="1.8"/>
    <x v="0"/>
    <x v="11"/>
    <n v="14"/>
    <x v="1"/>
    <x v="4"/>
  </r>
  <r>
    <x v="1395"/>
    <n v="9300"/>
    <n v="93"/>
    <x v="11"/>
    <n v="6"/>
    <n v="9300"/>
    <x v="295"/>
    <n v="80"/>
    <n v="1.1625000000000001"/>
    <x v="0"/>
    <x v="30"/>
    <n v="0"/>
    <x v="1"/>
    <x v="2"/>
  </r>
  <r>
    <x v="1396"/>
    <n v="12000"/>
    <n v="120"/>
    <x v="11"/>
    <n v="6"/>
    <n v="12000"/>
    <x v="127"/>
    <n v="180"/>
    <n v="0.66666666666666663"/>
    <x v="0"/>
    <x v="49"/>
    <n v="0"/>
    <x v="1"/>
    <x v="2"/>
  </r>
  <r>
    <x v="1397"/>
    <n v="10000"/>
    <n v="100"/>
    <x v="14"/>
    <n v="6"/>
    <n v="9000"/>
    <x v="109"/>
    <n v="25"/>
    <n v="3.6"/>
    <x v="0"/>
    <x v="27"/>
    <n v="10"/>
    <x v="1"/>
    <x v="4"/>
  </r>
  <r>
    <x v="1171"/>
    <n v="6900"/>
    <n v="69"/>
    <x v="11"/>
    <n v="5"/>
    <n v="6900"/>
    <x v="18"/>
    <n v="200"/>
    <n v="0.34499999999999997"/>
    <x v="0"/>
    <x v="3"/>
    <n v="0"/>
    <x v="1"/>
    <x v="2"/>
  </r>
  <r>
    <x v="1398"/>
    <n v="36000"/>
    <n v="360"/>
    <x v="14"/>
    <n v="6"/>
    <n v="32400"/>
    <x v="256"/>
    <n v="24"/>
    <n v="13.5"/>
    <x v="0"/>
    <x v="84"/>
    <n v="36"/>
    <x v="2"/>
    <x v="4"/>
  </r>
  <r>
    <x v="1169"/>
    <n v="26000"/>
    <n v="260"/>
    <x v="4"/>
    <n v="1"/>
    <n v="21300"/>
    <x v="198"/>
    <n v="400"/>
    <n v="0.53249999999999997"/>
    <x v="0"/>
    <x v="18"/>
    <n v="47"/>
    <x v="2"/>
    <x v="0"/>
  </r>
  <r>
    <x v="1265"/>
    <n v="49000"/>
    <n v="490"/>
    <x v="20"/>
    <n v="4"/>
    <n v="36700"/>
    <x v="296"/>
    <n v="700"/>
    <n v="0.52428571428571424"/>
    <x v="0"/>
    <x v="101"/>
    <n v="123"/>
    <x v="2"/>
    <x v="3"/>
  </r>
  <r>
    <x v="1348"/>
    <n v="20000"/>
    <n v="200"/>
    <x v="11"/>
    <n v="6"/>
    <n v="20000"/>
    <x v="157"/>
    <n v="200"/>
    <n v="1"/>
    <x v="0"/>
    <x v="3"/>
    <n v="0"/>
    <x v="2"/>
    <x v="2"/>
  </r>
  <r>
    <x v="1399"/>
    <n v="32500"/>
    <n v="325"/>
    <x v="11"/>
    <n v="4"/>
    <n v="32500"/>
    <x v="258"/>
    <n v="400"/>
    <n v="0.8125"/>
    <x v="0"/>
    <x v="18"/>
    <n v="0"/>
    <x v="2"/>
    <x v="2"/>
  </r>
  <r>
    <x v="1400"/>
    <n v="19900"/>
    <n v="199"/>
    <x v="11"/>
    <n v="1"/>
    <n v="19900"/>
    <x v="49"/>
    <n v="193"/>
    <n v="1.0310880829015545"/>
    <x v="0"/>
    <x v="134"/>
    <n v="0"/>
    <x v="1"/>
    <x v="2"/>
  </r>
  <r>
    <x v="1401"/>
    <n v="18500"/>
    <n v="185"/>
    <x v="1"/>
    <n v="6"/>
    <n v="15700"/>
    <x v="160"/>
    <n v="100"/>
    <n v="1.57"/>
    <x v="0"/>
    <x v="1"/>
    <n v="28"/>
    <x v="1"/>
    <x v="1"/>
  </r>
  <r>
    <x v="1189"/>
    <n v="55500"/>
    <n v="555"/>
    <x v="11"/>
    <n v="1"/>
    <n v="55500"/>
    <x v="328"/>
    <n v="60"/>
    <n v="9.25"/>
    <x v="0"/>
    <x v="16"/>
    <n v="0"/>
    <x v="2"/>
    <x v="2"/>
  </r>
  <r>
    <x v="1402"/>
    <n v="24900"/>
    <n v="249"/>
    <x v="25"/>
    <n v="6"/>
    <n v="19900"/>
    <x v="49"/>
    <n v="250"/>
    <n v="0.79600000000000004"/>
    <x v="0"/>
    <x v="2"/>
    <n v="50"/>
    <x v="1"/>
    <x v="0"/>
  </r>
  <r>
    <x v="1400"/>
    <n v="20900"/>
    <n v="209"/>
    <x v="11"/>
    <n v="3"/>
    <n v="20900"/>
    <x v="329"/>
    <n v="193"/>
    <n v="1.0829015544041452"/>
    <x v="0"/>
    <x v="134"/>
    <n v="0"/>
    <x v="2"/>
    <x v="2"/>
  </r>
  <r>
    <x v="1196"/>
    <n v="28500"/>
    <n v="285"/>
    <x v="17"/>
    <n v="6"/>
    <n v="26600"/>
    <x v="158"/>
    <n v="340"/>
    <n v="0.78235294117647058"/>
    <x v="0"/>
    <x v="98"/>
    <n v="19"/>
    <x v="2"/>
    <x v="4"/>
  </r>
  <r>
    <x v="1403"/>
    <n v="24900"/>
    <n v="249"/>
    <x v="11"/>
    <n v="4"/>
    <n v="24900"/>
    <x v="45"/>
    <n v="150"/>
    <n v="1.66"/>
    <x v="0"/>
    <x v="34"/>
    <n v="0"/>
    <x v="2"/>
    <x v="2"/>
  </r>
  <r>
    <x v="1361"/>
    <n v="15000"/>
    <n v="150"/>
    <x v="14"/>
    <n v="6"/>
    <n v="13500"/>
    <x v="114"/>
    <n v="250"/>
    <n v="0.54"/>
    <x v="0"/>
    <x v="2"/>
    <n v="15"/>
    <x v="1"/>
    <x v="4"/>
  </r>
  <r>
    <x v="1318"/>
    <n v="17000"/>
    <n v="170"/>
    <x v="2"/>
    <n v="6"/>
    <n v="14600"/>
    <x v="330"/>
    <n v="200"/>
    <n v="0.73"/>
    <x v="0"/>
    <x v="3"/>
    <n v="24"/>
    <x v="1"/>
    <x v="1"/>
  </r>
  <r>
    <x v="1404"/>
    <n v="26800"/>
    <n v="268"/>
    <x v="10"/>
    <n v="1"/>
    <n v="25200"/>
    <x v="331"/>
    <n v="340"/>
    <n v="0.74117647058823533"/>
    <x v="0"/>
    <x v="98"/>
    <n v="16"/>
    <x v="2"/>
    <x v="2"/>
  </r>
  <r>
    <x v="1158"/>
    <n v="28000"/>
    <n v="280"/>
    <x v="1"/>
    <n v="6"/>
    <n v="23600"/>
    <x v="278"/>
    <n v="340"/>
    <n v="0.69411764705882351"/>
    <x v="0"/>
    <x v="98"/>
    <n v="44"/>
    <x v="2"/>
    <x v="1"/>
  </r>
  <r>
    <x v="1293"/>
    <n v="29500"/>
    <n v="295"/>
    <x v="22"/>
    <n v="6"/>
    <n v="26600"/>
    <x v="158"/>
    <n v="340"/>
    <n v="0.78235294117647058"/>
    <x v="0"/>
    <x v="98"/>
    <n v="29"/>
    <x v="2"/>
    <x v="4"/>
  </r>
  <r>
    <x v="1405"/>
    <n v="34500"/>
    <n v="345"/>
    <x v="11"/>
    <n v="6"/>
    <n v="34500"/>
    <x v="332"/>
    <n v="58"/>
    <n v="5.9482758620689653"/>
    <x v="0"/>
    <x v="0"/>
    <n v="0"/>
    <x v="2"/>
    <x v="2"/>
  </r>
  <r>
    <x v="1406"/>
    <n v="36500"/>
    <n v="365"/>
    <x v="11"/>
    <n v="1"/>
    <n v="36500"/>
    <x v="333"/>
    <n v="340"/>
    <n v="1.0735294117647058"/>
    <x v="0"/>
    <x v="98"/>
    <n v="0"/>
    <x v="2"/>
    <x v="2"/>
  </r>
  <r>
    <x v="1407"/>
    <n v="20000"/>
    <n v="200"/>
    <x v="25"/>
    <n v="2"/>
    <n v="16000"/>
    <x v="251"/>
    <n v="200"/>
    <n v="0.8"/>
    <x v="0"/>
    <x v="2"/>
    <n v="40"/>
    <x v="1"/>
    <x v="0"/>
  </r>
  <r>
    <x v="1235"/>
    <n v="23500"/>
    <n v="235"/>
    <x v="25"/>
    <n v="6"/>
    <n v="18800"/>
    <x v="224"/>
    <n v="400"/>
    <n v="0.47"/>
    <x v="0"/>
    <x v="18"/>
    <n v="47"/>
    <x v="1"/>
    <x v="0"/>
  </r>
  <r>
    <x v="1408"/>
    <n v="25000"/>
    <n v="250"/>
    <x v="11"/>
    <n v="6"/>
    <n v="25000"/>
    <x v="113"/>
    <n v="150"/>
    <n v="1.6666666666666667"/>
    <x v="0"/>
    <x v="34"/>
    <n v="0"/>
    <x v="2"/>
    <x v="2"/>
  </r>
  <r>
    <x v="1409"/>
    <n v="7100"/>
    <n v="71"/>
    <x v="11"/>
    <n v="6"/>
    <n v="7100"/>
    <x v="135"/>
    <n v="200"/>
    <n v="0.35499999999999998"/>
    <x v="0"/>
    <x v="3"/>
    <n v="0"/>
    <x v="1"/>
    <x v="2"/>
  </r>
  <r>
    <x v="1410"/>
    <n v="19000"/>
    <n v="190"/>
    <x v="17"/>
    <n v="6"/>
    <n v="17800"/>
    <x v="115"/>
    <n v="200"/>
    <n v="0.89"/>
    <x v="0"/>
    <x v="3"/>
    <n v="12"/>
    <x v="1"/>
    <x v="4"/>
  </r>
  <r>
    <x v="1411"/>
    <n v="39900"/>
    <n v="399"/>
    <x v="11"/>
    <n v="1"/>
    <n v="39900"/>
    <x v="52"/>
    <n v="200"/>
    <n v="1.9950000000000001"/>
    <x v="0"/>
    <x v="3"/>
    <n v="0"/>
    <x v="2"/>
    <x v="2"/>
  </r>
  <r>
    <x v="1412"/>
    <n v="8000"/>
    <n v="80"/>
    <x v="14"/>
    <n v="2"/>
    <n v="7200"/>
    <x v="82"/>
    <n v="20"/>
    <n v="3.6"/>
    <x v="0"/>
    <x v="29"/>
    <n v="8"/>
    <x v="1"/>
    <x v="4"/>
  </r>
  <r>
    <x v="1413"/>
    <n v="23000"/>
    <n v="230"/>
    <x v="11"/>
    <n v="4"/>
    <n v="23000"/>
    <x v="122"/>
    <n v="150"/>
    <n v="1.5333333333333334"/>
    <x v="0"/>
    <x v="69"/>
    <n v="0"/>
    <x v="2"/>
    <x v="2"/>
  </r>
  <r>
    <x v="1414"/>
    <n v="24500"/>
    <n v="245"/>
    <x v="22"/>
    <n v="6"/>
    <n v="22100"/>
    <x v="282"/>
    <n v="100"/>
    <n v="2.21"/>
    <x v="0"/>
    <x v="1"/>
    <n v="24"/>
    <x v="2"/>
    <x v="4"/>
  </r>
  <r>
    <x v="1415"/>
    <n v="9000"/>
    <n v="90"/>
    <x v="17"/>
    <n v="4"/>
    <n v="8400"/>
    <x v="17"/>
    <n v="80"/>
    <n v="1.05"/>
    <x v="0"/>
    <x v="30"/>
    <n v="6"/>
    <x v="1"/>
    <x v="4"/>
  </r>
  <r>
    <x v="1416"/>
    <n v="10900"/>
    <n v="109"/>
    <x v="18"/>
    <n v="0"/>
    <n v="10500"/>
    <x v="37"/>
    <n v="750"/>
    <n v="0.14000000000000001"/>
    <x v="1"/>
    <x v="45"/>
    <n v="4"/>
    <x v="1"/>
    <x v="2"/>
  </r>
  <r>
    <x v="1417"/>
    <n v="12300"/>
    <n v="123"/>
    <x v="11"/>
    <n v="0"/>
    <n v="12300"/>
    <x v="273"/>
    <n v="300"/>
    <n v="0.41"/>
    <x v="1"/>
    <x v="10"/>
    <n v="0"/>
    <x v="1"/>
    <x v="2"/>
  </r>
  <r>
    <x v="1418"/>
    <n v="3000"/>
    <n v="30"/>
    <x v="18"/>
    <n v="0"/>
    <n v="2900"/>
    <x v="5"/>
    <n v="406"/>
    <n v="7.1428571428571425E-2"/>
    <x v="1"/>
    <x v="124"/>
    <n v="1"/>
    <x v="0"/>
    <x v="2"/>
  </r>
  <r>
    <x v="1419"/>
    <n v="4800"/>
    <n v="48"/>
    <x v="12"/>
    <n v="0"/>
    <n v="4700"/>
    <x v="128"/>
    <n v="120"/>
    <n v="0.39166666666666666"/>
    <x v="1"/>
    <x v="69"/>
    <n v="1"/>
    <x v="0"/>
    <x v="2"/>
  </r>
  <r>
    <x v="1420"/>
    <n v="21500"/>
    <n v="215"/>
    <x v="22"/>
    <n v="0"/>
    <n v="19400"/>
    <x v="151"/>
    <n v="400"/>
    <n v="0.48499999999999999"/>
    <x v="1"/>
    <x v="18"/>
    <n v="21"/>
    <x v="1"/>
    <x v="4"/>
  </r>
  <r>
    <x v="1151"/>
    <n v="9000"/>
    <n v="90"/>
    <x v="14"/>
    <n v="0"/>
    <n v="8100"/>
    <x v="104"/>
    <n v="150"/>
    <n v="0.54"/>
    <x v="1"/>
    <x v="34"/>
    <n v="9"/>
    <x v="1"/>
    <x v="4"/>
  </r>
  <r>
    <x v="1229"/>
    <n v="10000"/>
    <n v="100"/>
    <x v="0"/>
    <n v="0"/>
    <n v="8400"/>
    <x v="17"/>
    <n v="500"/>
    <n v="0.16800000000000001"/>
    <x v="1"/>
    <x v="1"/>
    <n v="16"/>
    <x v="1"/>
    <x v="0"/>
  </r>
  <r>
    <x v="1421"/>
    <n v="11500"/>
    <n v="115"/>
    <x v="13"/>
    <n v="0"/>
    <n v="10600"/>
    <x v="215"/>
    <n v="75"/>
    <n v="1.4133333333333333"/>
    <x v="1"/>
    <x v="38"/>
    <n v="9"/>
    <x v="1"/>
    <x v="4"/>
  </r>
  <r>
    <x v="1422"/>
    <n v="9000"/>
    <n v="90"/>
    <x v="11"/>
    <n v="0"/>
    <n v="9000"/>
    <x v="109"/>
    <n v="406"/>
    <n v="0.22167487684729065"/>
    <x v="1"/>
    <x v="124"/>
    <n v="0"/>
    <x v="1"/>
    <x v="2"/>
  </r>
  <r>
    <x v="1423"/>
    <n v="3200"/>
    <n v="32"/>
    <x v="22"/>
    <n v="0"/>
    <n v="2900"/>
    <x v="5"/>
    <n v="406"/>
    <n v="7.1428571428571425E-2"/>
    <x v="1"/>
    <x v="124"/>
    <n v="3"/>
    <x v="0"/>
    <x v="4"/>
  </r>
  <r>
    <x v="1424"/>
    <n v="8400"/>
    <n v="84"/>
    <x v="11"/>
    <n v="0"/>
    <n v="8400"/>
    <x v="17"/>
    <n v="400"/>
    <n v="0.21"/>
    <x v="1"/>
    <x v="1"/>
    <n v="0"/>
    <x v="1"/>
    <x v="2"/>
  </r>
  <r>
    <x v="1425"/>
    <n v="24900"/>
    <n v="249"/>
    <x v="13"/>
    <n v="0"/>
    <n v="23000"/>
    <x v="122"/>
    <n v="58"/>
    <n v="3.9655172413793105"/>
    <x v="1"/>
    <x v="0"/>
    <n v="19"/>
    <x v="2"/>
    <x v="4"/>
  </r>
  <r>
    <x v="1194"/>
    <n v="9000"/>
    <n v="90"/>
    <x v="18"/>
    <n v="0"/>
    <n v="8700"/>
    <x v="180"/>
    <n v="58"/>
    <n v="1.5"/>
    <x v="1"/>
    <x v="29"/>
    <n v="3"/>
    <x v="1"/>
    <x v="2"/>
  </r>
  <r>
    <x v="1426"/>
    <n v="4200"/>
    <n v="42"/>
    <x v="12"/>
    <n v="0"/>
    <n v="4100"/>
    <x v="99"/>
    <n v="406"/>
    <n v="0.10098522167487685"/>
    <x v="1"/>
    <x v="124"/>
    <n v="1"/>
    <x v="0"/>
    <x v="2"/>
  </r>
  <r>
    <x v="1427"/>
    <n v="8200"/>
    <n v="82"/>
    <x v="22"/>
    <n v="0"/>
    <n v="7400"/>
    <x v="208"/>
    <n v="27"/>
    <n v="2.7407407407407409"/>
    <x v="1"/>
    <x v="79"/>
    <n v="8"/>
    <x v="1"/>
    <x v="4"/>
  </r>
  <r>
    <x v="1428"/>
    <n v="14500"/>
    <n v="145"/>
    <x v="22"/>
    <n v="0"/>
    <n v="13100"/>
    <x v="292"/>
    <n v="100"/>
    <n v="1.31"/>
    <x v="1"/>
    <x v="1"/>
    <n v="14"/>
    <x v="1"/>
    <x v="4"/>
  </r>
  <r>
    <x v="1429"/>
    <n v="6700"/>
    <n v="67"/>
    <x v="14"/>
    <n v="0"/>
    <n v="6000"/>
    <x v="69"/>
    <n v="100"/>
    <n v="0.6"/>
    <x v="1"/>
    <x v="1"/>
    <n v="7"/>
    <x v="1"/>
    <x v="4"/>
  </r>
  <r>
    <x v="1430"/>
    <n v="13000"/>
    <n v="130"/>
    <x v="13"/>
    <n v="0"/>
    <n v="12000"/>
    <x v="127"/>
    <n v="200"/>
    <n v="0.6"/>
    <x v="1"/>
    <x v="3"/>
    <n v="10"/>
    <x v="1"/>
    <x v="4"/>
  </r>
  <r>
    <x v="1431"/>
    <n v="18500"/>
    <n v="185"/>
    <x v="11"/>
    <n v="0"/>
    <n v="18500"/>
    <x v="317"/>
    <n v="870"/>
    <n v="0.21264367816091953"/>
    <x v="1"/>
    <x v="74"/>
    <n v="0"/>
    <x v="1"/>
    <x v="2"/>
  </r>
  <r>
    <x v="1432"/>
    <n v="11600"/>
    <n v="116"/>
    <x v="11"/>
    <n v="0"/>
    <n v="11600"/>
    <x v="190"/>
    <n v="400"/>
    <n v="0.28999999999999998"/>
    <x v="1"/>
    <x v="18"/>
    <n v="0"/>
    <x v="1"/>
    <x v="2"/>
  </r>
  <r>
    <x v="1433"/>
    <n v="39900"/>
    <n v="399"/>
    <x v="13"/>
    <n v="0"/>
    <n v="36900"/>
    <x v="170"/>
    <n v="26"/>
    <n v="14.192307692307692"/>
    <x v="1"/>
    <x v="135"/>
    <n v="30"/>
    <x v="2"/>
    <x v="4"/>
  </r>
  <r>
    <x v="1434"/>
    <n v="1800"/>
    <n v="18"/>
    <x v="11"/>
    <n v="1"/>
    <n v="1800"/>
    <x v="74"/>
    <n v="150"/>
    <n v="0.12"/>
    <x v="0"/>
    <x v="34"/>
    <n v="0"/>
    <x v="0"/>
    <x v="2"/>
  </r>
  <r>
    <x v="1435"/>
    <n v="9600"/>
    <n v="96"/>
    <x v="13"/>
    <n v="6"/>
    <n v="8900"/>
    <x v="25"/>
    <n v="500"/>
    <n v="0.17799999999999999"/>
    <x v="0"/>
    <x v="5"/>
    <n v="7"/>
    <x v="1"/>
    <x v="4"/>
  </r>
  <r>
    <x v="1436"/>
    <n v="6900"/>
    <n v="69"/>
    <x v="11"/>
    <n v="6"/>
    <n v="6900"/>
    <x v="18"/>
    <n v="30"/>
    <n v="2.2999999999999998"/>
    <x v="0"/>
    <x v="60"/>
    <n v="0"/>
    <x v="1"/>
    <x v="2"/>
  </r>
  <r>
    <x v="1437"/>
    <n v="18900"/>
    <n v="189"/>
    <x v="10"/>
    <n v="2"/>
    <n v="17900"/>
    <x v="199"/>
    <n v="425"/>
    <n v="0.42117647058823532"/>
    <x v="0"/>
    <x v="78"/>
    <n v="10"/>
    <x v="1"/>
    <x v="2"/>
  </r>
  <r>
    <x v="1438"/>
    <n v="19000"/>
    <n v="190"/>
    <x v="13"/>
    <n v="4"/>
    <n v="17500"/>
    <x v="81"/>
    <n v="750"/>
    <n v="0.23333333333333334"/>
    <x v="0"/>
    <x v="45"/>
    <n v="15"/>
    <x v="1"/>
    <x v="4"/>
  </r>
  <r>
    <x v="1439"/>
    <n v="6600"/>
    <n v="66"/>
    <x v="11"/>
    <n v="6"/>
    <n v="6600"/>
    <x v="194"/>
    <n v="125"/>
    <n v="0.52800000000000002"/>
    <x v="0"/>
    <x v="119"/>
    <n v="0"/>
    <x v="1"/>
    <x v="2"/>
  </r>
  <r>
    <x v="1440"/>
    <n v="5500"/>
    <n v="55"/>
    <x v="11"/>
    <n v="3"/>
    <n v="5500"/>
    <x v="42"/>
    <n v="10"/>
    <n v="5.5"/>
    <x v="0"/>
    <x v="14"/>
    <n v="0"/>
    <x v="1"/>
    <x v="2"/>
  </r>
  <r>
    <x v="1441"/>
    <n v="10100"/>
    <n v="101"/>
    <x v="12"/>
    <n v="4"/>
    <n v="9800"/>
    <x v="129"/>
    <n v="200"/>
    <n v="0.49"/>
    <x v="0"/>
    <x v="3"/>
    <n v="3"/>
    <x v="1"/>
    <x v="2"/>
  </r>
  <r>
    <x v="1442"/>
    <n v="18500"/>
    <n v="185"/>
    <x v="10"/>
    <n v="1"/>
    <n v="17500"/>
    <x v="81"/>
    <n v="750"/>
    <n v="0.23333333333333334"/>
    <x v="0"/>
    <x v="45"/>
    <n v="10"/>
    <x v="1"/>
    <x v="2"/>
  </r>
  <r>
    <x v="1443"/>
    <n v="17800"/>
    <n v="178"/>
    <x v="11"/>
    <n v="6"/>
    <n v="17800"/>
    <x v="115"/>
    <n v="1000"/>
    <n v="0.17799999999999999"/>
    <x v="0"/>
    <x v="0"/>
    <n v="0"/>
    <x v="1"/>
    <x v="2"/>
  </r>
  <r>
    <x v="1444"/>
    <n v="5000"/>
    <n v="50"/>
    <x v="19"/>
    <n v="6"/>
    <n v="4600"/>
    <x v="126"/>
    <n v="50"/>
    <n v="0.92"/>
    <x v="0"/>
    <x v="8"/>
    <n v="4"/>
    <x v="0"/>
    <x v="4"/>
  </r>
  <r>
    <x v="1445"/>
    <n v="18900"/>
    <n v="189"/>
    <x v="10"/>
    <n v="6"/>
    <n v="17900"/>
    <x v="199"/>
    <n v="1000"/>
    <n v="0.17899999999999999"/>
    <x v="0"/>
    <x v="0"/>
    <n v="10"/>
    <x v="1"/>
    <x v="2"/>
  </r>
  <r>
    <x v="1446"/>
    <n v="15000"/>
    <n v="150"/>
    <x v="6"/>
    <n v="6"/>
    <n v="14300"/>
    <x v="155"/>
    <n v="580"/>
    <n v="0.24655172413793103"/>
    <x v="0"/>
    <x v="14"/>
    <n v="7"/>
    <x v="1"/>
    <x v="2"/>
  </r>
  <r>
    <x v="1447"/>
    <n v="9800"/>
    <n v="98"/>
    <x v="10"/>
    <n v="6"/>
    <n v="9300"/>
    <x v="295"/>
    <n v="75"/>
    <n v="1.24"/>
    <x v="0"/>
    <x v="38"/>
    <n v="5"/>
    <x v="1"/>
    <x v="2"/>
  </r>
  <r>
    <x v="1448"/>
    <n v="3500"/>
    <n v="35"/>
    <x v="12"/>
    <n v="6"/>
    <n v="3400"/>
    <x v="96"/>
    <n v="58"/>
    <n v="0.58620689655172409"/>
    <x v="0"/>
    <x v="0"/>
    <n v="1"/>
    <x v="0"/>
    <x v="2"/>
  </r>
  <r>
    <x v="1449"/>
    <n v="18200"/>
    <n v="182"/>
    <x v="18"/>
    <n v="6"/>
    <n v="17600"/>
    <x v="188"/>
    <n v="400"/>
    <n v="0.44"/>
    <x v="0"/>
    <x v="18"/>
    <n v="6"/>
    <x v="1"/>
    <x v="2"/>
  </r>
  <r>
    <x v="1450"/>
    <n v="8200"/>
    <n v="82"/>
    <x v="17"/>
    <n v="4"/>
    <n v="7700"/>
    <x v="93"/>
    <n v="26"/>
    <n v="2.9615384615384617"/>
    <x v="0"/>
    <x v="135"/>
    <n v="5"/>
    <x v="1"/>
    <x v="4"/>
  </r>
  <r>
    <x v="1451"/>
    <n v="19900"/>
    <n v="199"/>
    <x v="14"/>
    <n v="6"/>
    <n v="17900"/>
    <x v="199"/>
    <n v="1000"/>
    <n v="0.17899999999999999"/>
    <x v="0"/>
    <x v="0"/>
    <n v="20"/>
    <x v="1"/>
    <x v="4"/>
  </r>
  <r>
    <x v="1452"/>
    <n v="13500"/>
    <n v="135"/>
    <x v="11"/>
    <n v="6"/>
    <n v="13500"/>
    <x v="114"/>
    <n v="500"/>
    <n v="0.27"/>
    <x v="0"/>
    <x v="5"/>
    <n v="0"/>
    <x v="1"/>
    <x v="2"/>
  </r>
  <r>
    <x v="1453"/>
    <n v="20000"/>
    <n v="200"/>
    <x v="17"/>
    <n v="1"/>
    <n v="18800"/>
    <x v="224"/>
    <n v="1000"/>
    <n v="0.188"/>
    <x v="0"/>
    <x v="0"/>
    <n v="12"/>
    <x v="1"/>
    <x v="4"/>
  </r>
  <r>
    <x v="1454"/>
    <n v="15400"/>
    <n v="154"/>
    <x v="13"/>
    <n v="4"/>
    <n v="14300"/>
    <x v="155"/>
    <n v="100"/>
    <n v="1.43"/>
    <x v="0"/>
    <x v="1"/>
    <n v="11"/>
    <x v="1"/>
    <x v="4"/>
  </r>
  <r>
    <x v="1455"/>
    <n v="15000"/>
    <n v="150"/>
    <x v="6"/>
    <n v="2"/>
    <n v="14300"/>
    <x v="155"/>
    <n v="580"/>
    <n v="0.24655172413793103"/>
    <x v="0"/>
    <x v="14"/>
    <n v="7"/>
    <x v="1"/>
    <x v="2"/>
  </r>
  <r>
    <x v="1456"/>
    <n v="22500"/>
    <n v="225"/>
    <x v="16"/>
    <n v="6"/>
    <n v="22100"/>
    <x v="282"/>
    <n v="1000"/>
    <n v="0.221"/>
    <x v="0"/>
    <x v="0"/>
    <n v="4"/>
    <x v="2"/>
    <x v="2"/>
  </r>
  <r>
    <x v="1457"/>
    <n v="14000"/>
    <n v="140"/>
    <x v="14"/>
    <n v="6"/>
    <n v="12600"/>
    <x v="259"/>
    <n v="116"/>
    <n v="1.0862068965517242"/>
    <x v="0"/>
    <x v="9"/>
    <n v="14"/>
    <x v="1"/>
    <x v="4"/>
  </r>
  <r>
    <x v="1458"/>
    <n v="8200"/>
    <n v="82"/>
    <x v="22"/>
    <n v="6"/>
    <n v="7400"/>
    <x v="208"/>
    <n v="1000"/>
    <n v="7.3999999999999996E-2"/>
    <x v="0"/>
    <x v="0"/>
    <n v="8"/>
    <x v="1"/>
    <x v="4"/>
  </r>
  <r>
    <x v="1459"/>
    <n v="17000"/>
    <n v="170"/>
    <x v="11"/>
    <n v="6"/>
    <n v="16900"/>
    <x v="117"/>
    <n v="1000"/>
    <n v="0.16900000000000001"/>
    <x v="0"/>
    <x v="0"/>
    <n v="1"/>
    <x v="1"/>
    <x v="2"/>
  </r>
  <r>
    <x v="1460"/>
    <n v="14900"/>
    <n v="149"/>
    <x v="22"/>
    <n v="2"/>
    <n v="13500"/>
    <x v="114"/>
    <n v="58"/>
    <n v="2.3275862068965516"/>
    <x v="0"/>
    <x v="0"/>
    <n v="14"/>
    <x v="1"/>
    <x v="4"/>
  </r>
  <r>
    <x v="1461"/>
    <n v="4000"/>
    <n v="40"/>
    <x v="12"/>
    <n v="1"/>
    <n v="3900"/>
    <x v="34"/>
    <n v="58"/>
    <n v="0.67241379310344829"/>
    <x v="0"/>
    <x v="0"/>
    <n v="1"/>
    <x v="0"/>
    <x v="2"/>
  </r>
  <r>
    <x v="1462"/>
    <n v="3500"/>
    <n v="35"/>
    <x v="12"/>
    <n v="2"/>
    <n v="3400"/>
    <x v="96"/>
    <n v="174"/>
    <n v="0.19540229885057472"/>
    <x v="0"/>
    <x v="6"/>
    <n v="1"/>
    <x v="0"/>
    <x v="2"/>
  </r>
  <r>
    <x v="1463"/>
    <n v="6200"/>
    <n v="62"/>
    <x v="17"/>
    <n v="5"/>
    <n v="5800"/>
    <x v="103"/>
    <n v="250"/>
    <n v="0.23200000000000001"/>
    <x v="0"/>
    <x v="2"/>
    <n v="4"/>
    <x v="1"/>
    <x v="4"/>
  </r>
  <r>
    <x v="1464"/>
    <n v="1600"/>
    <n v="16"/>
    <x v="11"/>
    <n v="6"/>
    <n v="1600"/>
    <x v="9"/>
    <n v="290"/>
    <n v="5.5172413793103448E-2"/>
    <x v="0"/>
    <x v="13"/>
    <n v="0"/>
    <x v="0"/>
    <x v="2"/>
  </r>
  <r>
    <x v="1465"/>
    <n v="3300"/>
    <n v="33"/>
    <x v="11"/>
    <n v="4"/>
    <n v="3300"/>
    <x v="86"/>
    <n v="60"/>
    <n v="0.55000000000000004"/>
    <x v="0"/>
    <x v="16"/>
    <n v="0"/>
    <x v="0"/>
    <x v="2"/>
  </r>
  <r>
    <x v="1466"/>
    <n v="8200"/>
    <n v="82"/>
    <x v="17"/>
    <n v="6"/>
    <n v="7700"/>
    <x v="93"/>
    <n v="26"/>
    <n v="2.9615384615384617"/>
    <x v="0"/>
    <x v="135"/>
    <n v="5"/>
    <x v="1"/>
    <x v="4"/>
  </r>
  <r>
    <x v="1467"/>
    <n v="21000"/>
    <n v="210"/>
    <x v="14"/>
    <n v="6"/>
    <n v="18900"/>
    <x v="223"/>
    <n v="348"/>
    <n v="0.5431034482758621"/>
    <x v="0"/>
    <x v="4"/>
    <n v="21"/>
    <x v="1"/>
    <x v="4"/>
  </r>
  <r>
    <x v="1468"/>
    <n v="6500"/>
    <n v="65"/>
    <x v="22"/>
    <n v="4"/>
    <n v="5900"/>
    <x v="31"/>
    <n v="120"/>
    <n v="0.49166666666666664"/>
    <x v="0"/>
    <x v="69"/>
    <n v="6"/>
    <x v="1"/>
    <x v="4"/>
  </r>
  <r>
    <x v="1469"/>
    <n v="22500"/>
    <n v="225"/>
    <x v="11"/>
    <n v="6"/>
    <n v="22500"/>
    <x v="171"/>
    <n v="1000"/>
    <n v="0.22500000000000001"/>
    <x v="0"/>
    <x v="0"/>
    <n v="0"/>
    <x v="2"/>
    <x v="2"/>
  </r>
  <r>
    <x v="1470"/>
    <n v="12500"/>
    <n v="125"/>
    <x v="22"/>
    <n v="6"/>
    <n v="11300"/>
    <x v="213"/>
    <n v="58"/>
    <n v="1.9482758620689655"/>
    <x v="0"/>
    <x v="0"/>
    <n v="12"/>
    <x v="1"/>
    <x v="4"/>
  </r>
  <r>
    <x v="1471"/>
    <n v="5000"/>
    <n v="50"/>
    <x v="12"/>
    <n v="6"/>
    <n v="4900"/>
    <x v="7"/>
    <n v="58"/>
    <n v="0.84482758620689657"/>
    <x v="0"/>
    <x v="0"/>
    <n v="1"/>
    <x v="0"/>
    <x v="2"/>
  </r>
  <r>
    <x v="1472"/>
    <n v="17900"/>
    <n v="179"/>
    <x v="14"/>
    <n v="6"/>
    <n v="16100"/>
    <x v="222"/>
    <n v="1000"/>
    <n v="0.161"/>
    <x v="0"/>
    <x v="0"/>
    <n v="18"/>
    <x v="1"/>
    <x v="4"/>
  </r>
  <r>
    <x v="1473"/>
    <n v="16000"/>
    <n v="160"/>
    <x v="11"/>
    <n v="6"/>
    <n v="16000"/>
    <x v="251"/>
    <n v="30"/>
    <n v="5.333333333333333"/>
    <x v="0"/>
    <x v="60"/>
    <n v="0"/>
    <x v="1"/>
    <x v="2"/>
  </r>
  <r>
    <x v="1474"/>
    <n v="28000"/>
    <n v="280"/>
    <x v="17"/>
    <n v="6"/>
    <n v="26300"/>
    <x v="314"/>
    <n v="1500"/>
    <n v="0.17533333333333334"/>
    <x v="0"/>
    <x v="0"/>
    <n v="17"/>
    <x v="2"/>
    <x v="4"/>
  </r>
  <r>
    <x v="1475"/>
    <n v="4500"/>
    <n v="45"/>
    <x v="12"/>
    <n v="6"/>
    <n v="4400"/>
    <x v="95"/>
    <n v="116"/>
    <n v="0.37931034482758619"/>
    <x v="0"/>
    <x v="9"/>
    <n v="1"/>
    <x v="0"/>
    <x v="2"/>
  </r>
  <r>
    <x v="1476"/>
    <n v="10300"/>
    <n v="103"/>
    <x v="10"/>
    <n v="6"/>
    <n v="9700"/>
    <x v="41"/>
    <n v="500"/>
    <n v="0.19400000000000001"/>
    <x v="0"/>
    <x v="5"/>
    <n v="6"/>
    <x v="1"/>
    <x v="2"/>
  </r>
  <r>
    <x v="1477"/>
    <n v="14800"/>
    <n v="148"/>
    <x v="13"/>
    <n v="6"/>
    <n v="13700"/>
    <x v="218"/>
    <n v="750"/>
    <n v="0.18266666666666667"/>
    <x v="0"/>
    <x v="45"/>
    <n v="11"/>
    <x v="1"/>
    <x v="4"/>
  </r>
  <r>
    <x v="1478"/>
    <n v="26900"/>
    <n v="269"/>
    <x v="11"/>
    <n v="6"/>
    <n v="26900"/>
    <x v="261"/>
    <n v="385"/>
    <n v="0.69870129870129871"/>
    <x v="0"/>
    <x v="91"/>
    <n v="0"/>
    <x v="2"/>
    <x v="2"/>
  </r>
  <r>
    <x v="1479"/>
    <n v="4000"/>
    <n v="40"/>
    <x v="12"/>
    <n v="6"/>
    <n v="3900"/>
    <x v="34"/>
    <n v="15"/>
    <n v="2.6"/>
    <x v="0"/>
    <x v="74"/>
    <n v="1"/>
    <x v="0"/>
    <x v="2"/>
  </r>
  <r>
    <x v="1480"/>
    <n v="17500"/>
    <n v="175"/>
    <x v="11"/>
    <n v="6"/>
    <n v="17500"/>
    <x v="81"/>
    <n v="1000"/>
    <n v="0.17499999999999999"/>
    <x v="0"/>
    <x v="0"/>
    <n v="0"/>
    <x v="1"/>
    <x v="2"/>
  </r>
  <r>
    <x v="1481"/>
    <n v="22500"/>
    <n v="225"/>
    <x v="10"/>
    <n v="3"/>
    <n v="21300"/>
    <x v="198"/>
    <n v="300"/>
    <n v="0.71"/>
    <x v="0"/>
    <x v="10"/>
    <n v="12"/>
    <x v="2"/>
    <x v="2"/>
  </r>
  <r>
    <x v="1482"/>
    <n v="5500"/>
    <n v="55"/>
    <x v="11"/>
    <n v="6"/>
    <n v="5500"/>
    <x v="42"/>
    <n v="10"/>
    <n v="5.5"/>
    <x v="0"/>
    <x v="14"/>
    <n v="0"/>
    <x v="1"/>
    <x v="2"/>
  </r>
  <r>
    <x v="1483"/>
    <n v="32000"/>
    <n v="320"/>
    <x v="11"/>
    <n v="6"/>
    <n v="32000"/>
    <x v="260"/>
    <n v="2000"/>
    <n v="0.16"/>
    <x v="0"/>
    <x v="9"/>
    <n v="0"/>
    <x v="2"/>
    <x v="2"/>
  </r>
  <r>
    <x v="1484"/>
    <n v="7500"/>
    <n v="75"/>
    <x v="22"/>
    <n v="6"/>
    <n v="6800"/>
    <x v="40"/>
    <n v="290"/>
    <n v="0.23448275862068965"/>
    <x v="0"/>
    <x v="13"/>
    <n v="7"/>
    <x v="1"/>
    <x v="4"/>
  </r>
  <r>
    <x v="1485"/>
    <n v="6500"/>
    <n v="65"/>
    <x v="5"/>
    <n v="5"/>
    <n v="5600"/>
    <x v="123"/>
    <n v="100"/>
    <n v="0.56000000000000005"/>
    <x v="0"/>
    <x v="1"/>
    <n v="9"/>
    <x v="1"/>
    <x v="1"/>
  </r>
  <r>
    <x v="1486"/>
    <n v="60000"/>
    <n v="600"/>
    <x v="19"/>
    <n v="1"/>
    <n v="54900"/>
    <x v="323"/>
    <n v="4000"/>
    <n v="0.13725000000000001"/>
    <x v="0"/>
    <x v="7"/>
    <n v="51"/>
    <x v="2"/>
    <x v="4"/>
  </r>
  <r>
    <x v="1487"/>
    <n v="8500"/>
    <n v="85"/>
    <x v="13"/>
    <n v="1"/>
    <n v="7900"/>
    <x v="32"/>
    <n v="50"/>
    <n v="1.58"/>
    <x v="0"/>
    <x v="8"/>
    <n v="6"/>
    <x v="1"/>
    <x v="4"/>
  </r>
  <r>
    <x v="1488"/>
    <n v="14900"/>
    <n v="149"/>
    <x v="10"/>
    <n v="4"/>
    <n v="14100"/>
    <x v="297"/>
    <n v="240"/>
    <n v="0.58750000000000002"/>
    <x v="0"/>
    <x v="19"/>
    <n v="8"/>
    <x v="1"/>
    <x v="2"/>
  </r>
  <r>
    <x v="1489"/>
    <n v="11000"/>
    <n v="110"/>
    <x v="12"/>
    <n v="4"/>
    <n v="10700"/>
    <x v="136"/>
    <n v="58"/>
    <n v="1.8448275862068966"/>
    <x v="0"/>
    <x v="0"/>
    <n v="3"/>
    <x v="1"/>
    <x v="2"/>
  </r>
  <r>
    <x v="1490"/>
    <n v="1900"/>
    <n v="19"/>
    <x v="11"/>
    <n v="4"/>
    <n v="1900"/>
    <x v="8"/>
    <n v="50"/>
    <n v="0.38"/>
    <x v="0"/>
    <x v="8"/>
    <n v="0"/>
    <x v="0"/>
    <x v="2"/>
  </r>
  <r>
    <x v="1491"/>
    <n v="19000"/>
    <n v="190"/>
    <x v="2"/>
    <n v="4"/>
    <n v="16200"/>
    <x v="120"/>
    <n v="80"/>
    <n v="2.0249999999999999"/>
    <x v="0"/>
    <x v="30"/>
    <n v="28"/>
    <x v="1"/>
    <x v="1"/>
  </r>
  <r>
    <x v="1492"/>
    <n v="6500"/>
    <n v="65"/>
    <x v="5"/>
    <n v="6"/>
    <n v="5600"/>
    <x v="123"/>
    <n v="150"/>
    <n v="0.37333333333333335"/>
    <x v="0"/>
    <x v="34"/>
    <n v="9"/>
    <x v="1"/>
    <x v="1"/>
  </r>
  <r>
    <x v="1493"/>
    <n v="9500"/>
    <n v="95"/>
    <x v="22"/>
    <n v="6"/>
    <n v="8600"/>
    <x v="110"/>
    <n v="500"/>
    <n v="0.17199999999999999"/>
    <x v="0"/>
    <x v="5"/>
    <n v="9"/>
    <x v="1"/>
    <x v="4"/>
  </r>
  <r>
    <x v="1494"/>
    <n v="20000"/>
    <n v="200"/>
    <x v="11"/>
    <n v="2"/>
    <n v="20000"/>
    <x v="157"/>
    <n v="174"/>
    <n v="1.1494252873563218"/>
    <x v="0"/>
    <x v="6"/>
    <n v="0"/>
    <x v="2"/>
    <x v="2"/>
  </r>
  <r>
    <x v="1495"/>
    <n v="15000"/>
    <n v="150"/>
    <x v="0"/>
    <n v="2"/>
    <n v="12600"/>
    <x v="259"/>
    <n v="240"/>
    <n v="0.52500000000000002"/>
    <x v="0"/>
    <x v="19"/>
    <n v="24"/>
    <x v="1"/>
    <x v="0"/>
  </r>
  <r>
    <x v="1496"/>
    <n v="20000"/>
    <n v="200"/>
    <x v="14"/>
    <n v="6"/>
    <n v="18000"/>
    <x v="281"/>
    <n v="1000"/>
    <n v="0.18"/>
    <x v="0"/>
    <x v="0"/>
    <n v="20"/>
    <x v="1"/>
    <x v="4"/>
  </r>
  <r>
    <x v="1497"/>
    <n v="10700"/>
    <n v="107"/>
    <x v="14"/>
    <n v="3"/>
    <n v="9600"/>
    <x v="294"/>
    <n v="500"/>
    <n v="0.192"/>
    <x v="0"/>
    <x v="5"/>
    <n v="11"/>
    <x v="1"/>
    <x v="4"/>
  </r>
  <r>
    <x v="1498"/>
    <n v="15000"/>
    <n v="150"/>
    <x v="11"/>
    <n v="4"/>
    <n v="14900"/>
    <x v="27"/>
    <n v="240"/>
    <n v="0.62083333333333335"/>
    <x v="0"/>
    <x v="19"/>
    <n v="1"/>
    <x v="1"/>
    <x v="2"/>
  </r>
  <r>
    <x v="1499"/>
    <n v="13500"/>
    <n v="135"/>
    <x v="22"/>
    <n v="1"/>
    <n v="12200"/>
    <x v="134"/>
    <n v="348"/>
    <n v="0.35057471264367818"/>
    <x v="0"/>
    <x v="4"/>
    <n v="13"/>
    <x v="1"/>
    <x v="4"/>
  </r>
  <r>
    <x v="1500"/>
    <n v="8000"/>
    <n v="80"/>
    <x v="14"/>
    <n v="3"/>
    <n v="7200"/>
    <x v="82"/>
    <n v="1160"/>
    <n v="6.2068965517241378E-2"/>
    <x v="0"/>
    <x v="29"/>
    <n v="8"/>
    <x v="1"/>
    <x v="4"/>
  </r>
  <r>
    <x v="1501"/>
    <n v="5500"/>
    <n v="55"/>
    <x v="11"/>
    <n v="1"/>
    <n v="5500"/>
    <x v="42"/>
    <n v="500"/>
    <n v="0.11"/>
    <x v="0"/>
    <x v="5"/>
    <n v="0"/>
    <x v="1"/>
    <x v="2"/>
  </r>
  <r>
    <x v="1502"/>
    <n v="1900"/>
    <n v="19"/>
    <x v="11"/>
    <n v="4"/>
    <n v="1900"/>
    <x v="8"/>
    <n v="60"/>
    <n v="0.31666666666666665"/>
    <x v="0"/>
    <x v="16"/>
    <n v="0"/>
    <x v="0"/>
    <x v="2"/>
  </r>
  <r>
    <x v="1503"/>
    <n v="6800"/>
    <n v="68"/>
    <x v="12"/>
    <n v="3"/>
    <n v="6600"/>
    <x v="194"/>
    <n v="58"/>
    <n v="1.1379310344827587"/>
    <x v="0"/>
    <x v="0"/>
    <n v="2"/>
    <x v="1"/>
    <x v="2"/>
  </r>
  <r>
    <x v="1504"/>
    <n v="20500"/>
    <n v="205"/>
    <x v="19"/>
    <n v="3"/>
    <n v="18800"/>
    <x v="224"/>
    <n v="975"/>
    <n v="0.19282051282051282"/>
    <x v="0"/>
    <x v="136"/>
    <n v="17"/>
    <x v="1"/>
    <x v="4"/>
  </r>
  <r>
    <x v="1505"/>
    <n v="15000"/>
    <n v="150"/>
    <x v="4"/>
    <n v="3"/>
    <n v="12300"/>
    <x v="273"/>
    <n v="174"/>
    <n v="0.7068965517241379"/>
    <x v="0"/>
    <x v="0"/>
    <n v="27"/>
    <x v="1"/>
    <x v="0"/>
  </r>
  <r>
    <x v="1506"/>
    <n v="21000"/>
    <n v="210"/>
    <x v="14"/>
    <n v="2"/>
    <n v="18900"/>
    <x v="223"/>
    <n v="400"/>
    <n v="0.47249999999999998"/>
    <x v="0"/>
    <x v="18"/>
    <n v="21"/>
    <x v="1"/>
    <x v="4"/>
  </r>
  <r>
    <x v="1507"/>
    <n v="7500"/>
    <n v="75"/>
    <x v="11"/>
    <n v="3"/>
    <n v="7500"/>
    <x v="30"/>
    <n v="8"/>
    <n v="9.375"/>
    <x v="0"/>
    <x v="137"/>
    <n v="0"/>
    <x v="1"/>
    <x v="2"/>
  </r>
  <r>
    <x v="1508"/>
    <n v="14000"/>
    <n v="140"/>
    <x v="14"/>
    <n v="6"/>
    <n v="12600"/>
    <x v="259"/>
    <n v="174"/>
    <n v="0.72413793103448276"/>
    <x v="0"/>
    <x v="6"/>
    <n v="14"/>
    <x v="1"/>
    <x v="4"/>
  </r>
  <r>
    <x v="1509"/>
    <n v="21500"/>
    <n v="215"/>
    <x v="16"/>
    <n v="6"/>
    <n v="21100"/>
    <x v="163"/>
    <n v="2000"/>
    <n v="0.1055"/>
    <x v="0"/>
    <x v="9"/>
    <n v="4"/>
    <x v="2"/>
    <x v="2"/>
  </r>
  <r>
    <x v="1510"/>
    <n v="7000"/>
    <n v="70"/>
    <x v="12"/>
    <n v="5"/>
    <n v="6800"/>
    <x v="40"/>
    <n v="58"/>
    <n v="1.1724137931034482"/>
    <x v="0"/>
    <x v="0"/>
    <n v="2"/>
    <x v="1"/>
    <x v="2"/>
  </r>
  <r>
    <x v="1511"/>
    <n v="6400"/>
    <n v="64"/>
    <x v="17"/>
    <n v="6"/>
    <n v="6000"/>
    <x v="69"/>
    <n v="100"/>
    <n v="0.6"/>
    <x v="0"/>
    <x v="1"/>
    <n v="4"/>
    <x v="1"/>
    <x v="4"/>
  </r>
  <r>
    <x v="1512"/>
    <n v="2500"/>
    <n v="25"/>
    <x v="11"/>
    <n v="1"/>
    <n v="2500"/>
    <x v="14"/>
    <n v="23"/>
    <n v="1.0869565217391304"/>
    <x v="0"/>
    <x v="27"/>
    <n v="0"/>
    <x v="0"/>
    <x v="2"/>
  </r>
  <r>
    <x v="1513"/>
    <n v="6500"/>
    <n v="65"/>
    <x v="5"/>
    <n v="6"/>
    <n v="5600"/>
    <x v="123"/>
    <n v="100"/>
    <n v="0.56000000000000005"/>
    <x v="0"/>
    <x v="1"/>
    <n v="9"/>
    <x v="1"/>
    <x v="1"/>
  </r>
  <r>
    <x v="1514"/>
    <n v="6800"/>
    <n v="68"/>
    <x v="10"/>
    <n v="6"/>
    <n v="6400"/>
    <x v="66"/>
    <n v="40"/>
    <n v="1.6"/>
    <x v="0"/>
    <x v="23"/>
    <n v="4"/>
    <x v="1"/>
    <x v="2"/>
  </r>
  <r>
    <x v="1515"/>
    <n v="24000"/>
    <n v="240"/>
    <x v="1"/>
    <n v="5"/>
    <n v="20400"/>
    <x v="147"/>
    <n v="50"/>
    <n v="4.08"/>
    <x v="0"/>
    <x v="8"/>
    <n v="36"/>
    <x v="2"/>
    <x v="1"/>
  </r>
  <r>
    <x v="1516"/>
    <n v="17500"/>
    <n v="175"/>
    <x v="22"/>
    <n v="6"/>
    <n v="15800"/>
    <x v="236"/>
    <n v="58"/>
    <n v="2.7241379310344827"/>
    <x v="0"/>
    <x v="0"/>
    <n v="17"/>
    <x v="1"/>
    <x v="4"/>
  </r>
  <r>
    <x v="1517"/>
    <n v="16000"/>
    <n v="160"/>
    <x v="17"/>
    <n v="4"/>
    <n v="14900"/>
    <x v="27"/>
    <n v="375"/>
    <n v="0.39733333333333332"/>
    <x v="0"/>
    <x v="75"/>
    <n v="11"/>
    <x v="1"/>
    <x v="4"/>
  </r>
  <r>
    <x v="1518"/>
    <n v="10300"/>
    <n v="103"/>
    <x v="10"/>
    <n v="6"/>
    <n v="9700"/>
    <x v="41"/>
    <n v="500"/>
    <n v="0.19400000000000001"/>
    <x v="0"/>
    <x v="5"/>
    <n v="6"/>
    <x v="1"/>
    <x v="2"/>
  </r>
  <r>
    <x v="1519"/>
    <n v="15000"/>
    <n v="150"/>
    <x v="24"/>
    <n v="4"/>
    <n v="13200"/>
    <x v="186"/>
    <n v="137"/>
    <n v="0.96350364963503654"/>
    <x v="0"/>
    <x v="138"/>
    <n v="18"/>
    <x v="1"/>
    <x v="1"/>
  </r>
  <r>
    <x v="1520"/>
    <n v="5000"/>
    <n v="50"/>
    <x v="12"/>
    <n v="6"/>
    <n v="4900"/>
    <x v="7"/>
    <n v="58"/>
    <n v="0.84482758620689657"/>
    <x v="0"/>
    <x v="0"/>
    <n v="1"/>
    <x v="0"/>
    <x v="2"/>
  </r>
  <r>
    <x v="1521"/>
    <n v="27500"/>
    <n v="275"/>
    <x v="2"/>
    <n v="6"/>
    <n v="23400"/>
    <x v="238"/>
    <n v="232"/>
    <n v="1.0086206896551724"/>
    <x v="0"/>
    <x v="0"/>
    <n v="41"/>
    <x v="2"/>
    <x v="1"/>
  </r>
  <r>
    <x v="1522"/>
    <n v="8000"/>
    <n v="80"/>
    <x v="17"/>
    <n v="4"/>
    <n v="7500"/>
    <x v="30"/>
    <n v="696"/>
    <n v="0.10775862068965517"/>
    <x v="0"/>
    <x v="12"/>
    <n v="5"/>
    <x v="1"/>
    <x v="4"/>
  </r>
  <r>
    <x v="1523"/>
    <n v="7500"/>
    <n v="75"/>
    <x v="22"/>
    <n v="5"/>
    <n v="6800"/>
    <x v="40"/>
    <n v="290"/>
    <n v="0.23448275862068965"/>
    <x v="0"/>
    <x v="13"/>
    <n v="7"/>
    <x v="1"/>
    <x v="4"/>
  </r>
  <r>
    <x v="1524"/>
    <n v="8000"/>
    <n v="80"/>
    <x v="11"/>
    <n v="1"/>
    <n v="8000"/>
    <x v="111"/>
    <n v="58"/>
    <n v="1.3793103448275863"/>
    <x v="0"/>
    <x v="0"/>
    <n v="0"/>
    <x v="1"/>
    <x v="2"/>
  </r>
  <r>
    <x v="1525"/>
    <n v="9000"/>
    <n v="90"/>
    <x v="19"/>
    <n v="6"/>
    <n v="8200"/>
    <x v="211"/>
    <n v="120"/>
    <n v="0.68333333333333335"/>
    <x v="0"/>
    <x v="69"/>
    <n v="8"/>
    <x v="1"/>
    <x v="4"/>
  </r>
  <r>
    <x v="1526"/>
    <n v="53000"/>
    <n v="530"/>
    <x v="6"/>
    <n v="6"/>
    <n v="50700"/>
    <x v="334"/>
    <n v="2000"/>
    <n v="0.2535"/>
    <x v="0"/>
    <x v="9"/>
    <n v="23"/>
    <x v="2"/>
    <x v="2"/>
  </r>
  <r>
    <x v="1527"/>
    <n v="5000"/>
    <n v="50"/>
    <x v="12"/>
    <n v="6"/>
    <n v="4900"/>
    <x v="7"/>
    <n v="105"/>
    <n v="0.46666666666666667"/>
    <x v="0"/>
    <x v="1"/>
    <n v="1"/>
    <x v="0"/>
    <x v="2"/>
  </r>
  <r>
    <x v="1528"/>
    <n v="7500"/>
    <n v="75"/>
    <x v="22"/>
    <n v="3"/>
    <n v="6800"/>
    <x v="40"/>
    <n v="25"/>
    <n v="2.72"/>
    <x v="0"/>
    <x v="27"/>
    <n v="7"/>
    <x v="1"/>
    <x v="4"/>
  </r>
  <r>
    <x v="1529"/>
    <n v="18800"/>
    <n v="188"/>
    <x v="14"/>
    <n v="6"/>
    <n v="16900"/>
    <x v="117"/>
    <n v="35"/>
    <n v="4.8285714285714283"/>
    <x v="0"/>
    <x v="52"/>
    <n v="19"/>
    <x v="1"/>
    <x v="4"/>
  </r>
  <r>
    <x v="1530"/>
    <n v="39000"/>
    <n v="390"/>
    <x v="15"/>
    <n v="6"/>
    <n v="34700"/>
    <x v="161"/>
    <n v="696"/>
    <n v="0.49856321839080459"/>
    <x v="0"/>
    <x v="12"/>
    <n v="43"/>
    <x v="2"/>
    <x v="1"/>
  </r>
  <r>
    <x v="1531"/>
    <n v="80000"/>
    <n v="800"/>
    <x v="1"/>
    <n v="6"/>
    <n v="68000"/>
    <x v="335"/>
    <n v="3000"/>
    <n v="0.22666666666666666"/>
    <x v="0"/>
    <x v="6"/>
    <n v="120"/>
    <x v="2"/>
    <x v="1"/>
  </r>
  <r>
    <x v="1532"/>
    <n v="15000"/>
    <n v="150"/>
    <x v="14"/>
    <n v="6"/>
    <n v="13500"/>
    <x v="114"/>
    <n v="58"/>
    <n v="2.3275862068965516"/>
    <x v="0"/>
    <x v="0"/>
    <n v="15"/>
    <x v="1"/>
    <x v="4"/>
  </r>
  <r>
    <x v="1533"/>
    <n v="11400"/>
    <n v="114"/>
    <x v="11"/>
    <n v="6"/>
    <n v="11400"/>
    <x v="229"/>
    <n v="800"/>
    <n v="0.14249999999999999"/>
    <x v="0"/>
    <x v="107"/>
    <n v="0"/>
    <x v="1"/>
    <x v="2"/>
  </r>
  <r>
    <x v="1534"/>
    <n v="5500"/>
    <n v="55"/>
    <x v="11"/>
    <n v="1"/>
    <n v="5500"/>
    <x v="42"/>
    <n v="10"/>
    <n v="5.5"/>
    <x v="0"/>
    <x v="14"/>
    <n v="0"/>
    <x v="1"/>
    <x v="2"/>
  </r>
  <r>
    <x v="1535"/>
    <n v="15000"/>
    <n v="150"/>
    <x v="11"/>
    <n v="2"/>
    <n v="15000"/>
    <x v="166"/>
    <n v="58"/>
    <n v="2.5862068965517242"/>
    <x v="0"/>
    <x v="0"/>
    <n v="0"/>
    <x v="1"/>
    <x v="2"/>
  </r>
  <r>
    <x v="1536"/>
    <n v="33000"/>
    <n v="330"/>
    <x v="14"/>
    <n v="6"/>
    <n v="29700"/>
    <x v="167"/>
    <n v="290"/>
    <n v="1.0241379310344827"/>
    <x v="0"/>
    <x v="13"/>
    <n v="33"/>
    <x v="2"/>
    <x v="4"/>
  </r>
  <r>
    <x v="1537"/>
    <n v="18000"/>
    <n v="180"/>
    <x v="10"/>
    <n v="6"/>
    <n v="17000"/>
    <x v="193"/>
    <n v="1000"/>
    <n v="0.17"/>
    <x v="0"/>
    <x v="0"/>
    <n v="10"/>
    <x v="1"/>
    <x v="2"/>
  </r>
  <r>
    <x v="1538"/>
    <n v="81000"/>
    <n v="810"/>
    <x v="13"/>
    <n v="2"/>
    <n v="75000"/>
    <x v="336"/>
    <n v="4000"/>
    <n v="0.1875"/>
    <x v="0"/>
    <x v="7"/>
    <n v="60"/>
    <x v="2"/>
    <x v="4"/>
  </r>
  <r>
    <x v="1539"/>
    <n v="9000"/>
    <n v="90"/>
    <x v="14"/>
    <n v="6"/>
    <n v="8100"/>
    <x v="104"/>
    <n v="348"/>
    <n v="0.23275862068965517"/>
    <x v="0"/>
    <x v="6"/>
    <n v="9"/>
    <x v="1"/>
    <x v="4"/>
  </r>
  <r>
    <x v="1540"/>
    <n v="16100"/>
    <n v="161"/>
    <x v="10"/>
    <n v="6"/>
    <n v="15200"/>
    <x v="39"/>
    <n v="245"/>
    <n v="0.62040816326530612"/>
    <x v="0"/>
    <x v="139"/>
    <n v="9"/>
    <x v="1"/>
    <x v="2"/>
  </r>
  <r>
    <x v="1541"/>
    <n v="9500"/>
    <n v="95"/>
    <x v="22"/>
    <n v="6"/>
    <n v="8600"/>
    <x v="110"/>
    <n v="50"/>
    <n v="1.72"/>
    <x v="0"/>
    <x v="8"/>
    <n v="9"/>
    <x v="1"/>
    <x v="4"/>
  </r>
  <r>
    <x v="1542"/>
    <n v="10200"/>
    <n v="102"/>
    <x v="11"/>
    <n v="1"/>
    <n v="10200"/>
    <x v="293"/>
    <n v="400"/>
    <n v="0.255"/>
    <x v="0"/>
    <x v="18"/>
    <n v="0"/>
    <x v="1"/>
    <x v="2"/>
  </r>
  <r>
    <x v="1543"/>
    <n v="15000"/>
    <n v="150"/>
    <x v="17"/>
    <n v="6"/>
    <n v="14000"/>
    <x v="187"/>
    <n v="58"/>
    <n v="2.4137931034482758"/>
    <x v="0"/>
    <x v="0"/>
    <n v="10"/>
    <x v="1"/>
    <x v="4"/>
  </r>
  <r>
    <x v="1544"/>
    <n v="28000"/>
    <n v="280"/>
    <x v="14"/>
    <n v="6"/>
    <n v="25200"/>
    <x v="331"/>
    <n v="600"/>
    <n v="0.42"/>
    <x v="0"/>
    <x v="63"/>
    <n v="28"/>
    <x v="2"/>
    <x v="4"/>
  </r>
  <r>
    <x v="1545"/>
    <n v="32500"/>
    <n v="325"/>
    <x v="14"/>
    <n v="6"/>
    <n v="29200"/>
    <x v="249"/>
    <n v="900"/>
    <n v="0.32444444444444442"/>
    <x v="0"/>
    <x v="53"/>
    <n v="33"/>
    <x v="2"/>
    <x v="4"/>
  </r>
  <r>
    <x v="1546"/>
    <n v="6800"/>
    <n v="68"/>
    <x v="11"/>
    <n v="6"/>
    <n v="6800"/>
    <x v="40"/>
    <n v="116"/>
    <n v="0.58620689655172409"/>
    <x v="0"/>
    <x v="9"/>
    <n v="0"/>
    <x v="1"/>
    <x v="2"/>
  </r>
  <r>
    <x v="1547"/>
    <n v="3000"/>
    <n v="30"/>
    <x v="17"/>
    <n v="6"/>
    <n v="2800"/>
    <x v="19"/>
    <n v="1000"/>
    <n v="2.8000000000000001E-2"/>
    <x v="0"/>
    <x v="140"/>
    <n v="2"/>
    <x v="0"/>
    <x v="4"/>
  </r>
  <r>
    <x v="1548"/>
    <n v="65000"/>
    <n v="650"/>
    <x v="19"/>
    <n v="6"/>
    <n v="59800"/>
    <x v="337"/>
    <n v="1900"/>
    <n v="0.31473684210526315"/>
    <x v="0"/>
    <x v="0"/>
    <n v="52"/>
    <x v="2"/>
    <x v="4"/>
  </r>
  <r>
    <x v="1549"/>
    <n v="72000"/>
    <n v="720"/>
    <x v="22"/>
    <n v="4"/>
    <n v="64900"/>
    <x v="338"/>
    <n v="4000"/>
    <n v="0.16225000000000001"/>
    <x v="0"/>
    <x v="7"/>
    <n v="71"/>
    <x v="2"/>
    <x v="4"/>
  </r>
  <r>
    <x v="1550"/>
    <n v="10500"/>
    <n v="105"/>
    <x v="17"/>
    <n v="6"/>
    <n v="9800"/>
    <x v="129"/>
    <n v="500"/>
    <n v="0.19600000000000001"/>
    <x v="0"/>
    <x v="5"/>
    <n v="7"/>
    <x v="1"/>
    <x v="4"/>
  </r>
  <r>
    <x v="1551"/>
    <n v="10000"/>
    <n v="100"/>
    <x v="14"/>
    <n v="6"/>
    <n v="9000"/>
    <x v="109"/>
    <n v="50"/>
    <n v="1.8"/>
    <x v="0"/>
    <x v="8"/>
    <n v="10"/>
    <x v="1"/>
    <x v="4"/>
  </r>
  <r>
    <x v="1552"/>
    <n v="9800"/>
    <n v="98"/>
    <x v="10"/>
    <n v="6"/>
    <n v="9300"/>
    <x v="295"/>
    <n v="75"/>
    <n v="1.24"/>
    <x v="0"/>
    <x v="38"/>
    <n v="5"/>
    <x v="1"/>
    <x v="2"/>
  </r>
  <r>
    <x v="1553"/>
    <n v="15000"/>
    <n v="150"/>
    <x v="14"/>
    <n v="6"/>
    <n v="13500"/>
    <x v="114"/>
    <n v="58"/>
    <n v="2.3275862068965516"/>
    <x v="0"/>
    <x v="0"/>
    <n v="15"/>
    <x v="1"/>
    <x v="4"/>
  </r>
  <r>
    <x v="1554"/>
    <n v="20500"/>
    <n v="205"/>
    <x v="19"/>
    <n v="6"/>
    <n v="18800"/>
    <x v="224"/>
    <n v="975"/>
    <n v="0.19282051282051282"/>
    <x v="0"/>
    <x v="136"/>
    <n v="17"/>
    <x v="1"/>
    <x v="4"/>
  </r>
  <r>
    <x v="1555"/>
    <n v="39000"/>
    <n v="390"/>
    <x v="0"/>
    <n v="6"/>
    <n v="32400"/>
    <x v="256"/>
    <n v="58"/>
    <n v="5.5862068965517242"/>
    <x v="0"/>
    <x v="0"/>
    <n v="66"/>
    <x v="2"/>
    <x v="0"/>
  </r>
  <r>
    <x v="1556"/>
    <n v="7000"/>
    <n v="70"/>
    <x v="14"/>
    <n v="6"/>
    <n v="6300"/>
    <x v="6"/>
    <n v="50"/>
    <n v="1.26"/>
    <x v="0"/>
    <x v="8"/>
    <n v="7"/>
    <x v="1"/>
    <x v="4"/>
  </r>
  <r>
    <x v="1557"/>
    <n v="15500"/>
    <n v="155"/>
    <x v="2"/>
    <n v="5"/>
    <n v="13200"/>
    <x v="186"/>
    <n v="100"/>
    <n v="1.32"/>
    <x v="0"/>
    <x v="1"/>
    <n v="23"/>
    <x v="1"/>
    <x v="1"/>
  </r>
  <r>
    <x v="1558"/>
    <n v="7000"/>
    <n v="70"/>
    <x v="14"/>
    <n v="6"/>
    <n v="6300"/>
    <x v="6"/>
    <n v="50"/>
    <n v="1.26"/>
    <x v="0"/>
    <x v="8"/>
    <n v="7"/>
    <x v="1"/>
    <x v="4"/>
  </r>
  <r>
    <x v="1559"/>
    <n v="25000"/>
    <n v="250"/>
    <x v="11"/>
    <n v="6"/>
    <n v="25000"/>
    <x v="113"/>
    <n v="1000"/>
    <n v="0.25"/>
    <x v="0"/>
    <x v="0"/>
    <n v="0"/>
    <x v="2"/>
    <x v="2"/>
  </r>
  <r>
    <x v="1560"/>
    <n v="3000"/>
    <n v="30"/>
    <x v="18"/>
    <n v="6"/>
    <n v="2900"/>
    <x v="5"/>
    <n v="220"/>
    <n v="0.13181818181818181"/>
    <x v="0"/>
    <x v="141"/>
    <n v="1"/>
    <x v="0"/>
    <x v="2"/>
  </r>
  <r>
    <x v="1561"/>
    <n v="7500"/>
    <n v="75"/>
    <x v="10"/>
    <n v="4"/>
    <n v="7100"/>
    <x v="135"/>
    <n v="75"/>
    <n v="0.94666666666666666"/>
    <x v="0"/>
    <x v="38"/>
    <n v="4"/>
    <x v="1"/>
    <x v="2"/>
  </r>
  <r>
    <x v="1562"/>
    <n v="1200"/>
    <n v="12"/>
    <x v="11"/>
    <n v="4"/>
    <n v="1200"/>
    <x v="4"/>
    <n v="15"/>
    <n v="0.8"/>
    <x v="0"/>
    <x v="74"/>
    <n v="0"/>
    <x v="0"/>
    <x v="2"/>
  </r>
  <r>
    <x v="1563"/>
    <n v="6800"/>
    <n v="68"/>
    <x v="10"/>
    <n v="6"/>
    <n v="6400"/>
    <x v="66"/>
    <n v="40"/>
    <n v="1.6"/>
    <x v="0"/>
    <x v="23"/>
    <n v="4"/>
    <x v="1"/>
    <x v="2"/>
  </r>
  <r>
    <x v="1564"/>
    <n v="7500"/>
    <n v="75"/>
    <x v="19"/>
    <n v="4"/>
    <n v="6900"/>
    <x v="18"/>
    <n v="80"/>
    <n v="0.86250000000000004"/>
    <x v="0"/>
    <x v="30"/>
    <n v="6"/>
    <x v="1"/>
    <x v="4"/>
  </r>
  <r>
    <x v="1565"/>
    <n v="3000"/>
    <n v="30"/>
    <x v="17"/>
    <n v="6"/>
    <n v="2800"/>
    <x v="19"/>
    <n v="1160"/>
    <n v="2.4137931034482758E-2"/>
    <x v="0"/>
    <x v="29"/>
    <n v="2"/>
    <x v="0"/>
    <x v="4"/>
  </r>
  <r>
    <x v="1476"/>
    <n v="20500"/>
    <n v="205"/>
    <x v="19"/>
    <n v="6"/>
    <n v="18800"/>
    <x v="224"/>
    <n v="975"/>
    <n v="0.19282051282051282"/>
    <x v="0"/>
    <x v="136"/>
    <n v="17"/>
    <x v="1"/>
    <x v="4"/>
  </r>
  <r>
    <x v="1566"/>
    <n v="18900"/>
    <n v="189"/>
    <x v="14"/>
    <n v="6"/>
    <n v="17000"/>
    <x v="193"/>
    <n v="30"/>
    <n v="5.666666666666667"/>
    <x v="0"/>
    <x v="60"/>
    <n v="19"/>
    <x v="1"/>
    <x v="4"/>
  </r>
  <r>
    <x v="1567"/>
    <n v="16100"/>
    <n v="161"/>
    <x v="10"/>
    <n v="6"/>
    <n v="15200"/>
    <x v="39"/>
    <n v="245"/>
    <n v="0.62040816326530612"/>
    <x v="0"/>
    <x v="139"/>
    <n v="9"/>
    <x v="1"/>
    <x v="2"/>
  </r>
  <r>
    <x v="1568"/>
    <n v="13500"/>
    <n v="135"/>
    <x v="22"/>
    <n v="5"/>
    <n v="12200"/>
    <x v="134"/>
    <n v="58"/>
    <n v="2.103448275862069"/>
    <x v="0"/>
    <x v="0"/>
    <n v="13"/>
    <x v="1"/>
    <x v="4"/>
  </r>
  <r>
    <x v="1569"/>
    <n v="15000"/>
    <n v="150"/>
    <x v="24"/>
    <n v="1"/>
    <n v="13200"/>
    <x v="186"/>
    <n v="137"/>
    <n v="0.96350364963503654"/>
    <x v="0"/>
    <x v="138"/>
    <n v="18"/>
    <x v="1"/>
    <x v="1"/>
  </r>
  <r>
    <x v="1570"/>
    <n v="5500"/>
    <n v="55"/>
    <x v="11"/>
    <n v="4"/>
    <n v="5500"/>
    <x v="42"/>
    <n v="10"/>
    <n v="5.5"/>
    <x v="0"/>
    <x v="14"/>
    <n v="0"/>
    <x v="1"/>
    <x v="2"/>
  </r>
  <r>
    <x v="1571"/>
    <n v="8000"/>
    <n v="80"/>
    <x v="14"/>
    <n v="6"/>
    <n v="7200"/>
    <x v="82"/>
    <n v="50"/>
    <n v="1.44"/>
    <x v="0"/>
    <x v="8"/>
    <n v="8"/>
    <x v="1"/>
    <x v="4"/>
  </r>
  <r>
    <x v="1572"/>
    <n v="11500"/>
    <n v="115"/>
    <x v="2"/>
    <n v="6"/>
    <n v="9800"/>
    <x v="129"/>
    <n v="58"/>
    <n v="1.6896551724137931"/>
    <x v="0"/>
    <x v="0"/>
    <n v="17"/>
    <x v="1"/>
    <x v="1"/>
  </r>
  <r>
    <x v="1573"/>
    <n v="29900"/>
    <n v="299"/>
    <x v="14"/>
    <n v="2"/>
    <n v="26900"/>
    <x v="261"/>
    <n v="75"/>
    <n v="3.5866666666666664"/>
    <x v="0"/>
    <x v="38"/>
    <n v="30"/>
    <x v="2"/>
    <x v="4"/>
  </r>
  <r>
    <x v="1574"/>
    <n v="26500"/>
    <n v="265"/>
    <x v="11"/>
    <n v="6"/>
    <n v="26500"/>
    <x v="71"/>
    <n v="58"/>
    <n v="4.568965517241379"/>
    <x v="0"/>
    <x v="0"/>
    <n v="0"/>
    <x v="2"/>
    <x v="2"/>
  </r>
  <r>
    <x v="1559"/>
    <n v="22500"/>
    <n v="225"/>
    <x v="11"/>
    <n v="6"/>
    <n v="22500"/>
    <x v="171"/>
    <n v="1000"/>
    <n v="0.22500000000000001"/>
    <x v="0"/>
    <x v="0"/>
    <n v="0"/>
    <x v="2"/>
    <x v="2"/>
  </r>
  <r>
    <x v="1575"/>
    <n v="13900"/>
    <n v="139"/>
    <x v="14"/>
    <n v="6"/>
    <n v="12500"/>
    <x v="98"/>
    <n v="30"/>
    <n v="4.166666666666667"/>
    <x v="0"/>
    <x v="60"/>
    <n v="14"/>
    <x v="1"/>
    <x v="4"/>
  </r>
  <r>
    <x v="1576"/>
    <n v="2900"/>
    <n v="29"/>
    <x v="18"/>
    <n v="5"/>
    <n v="2800"/>
    <x v="19"/>
    <n v="58"/>
    <n v="0.48275862068965519"/>
    <x v="0"/>
    <x v="0"/>
    <n v="1"/>
    <x v="0"/>
    <x v="2"/>
  </r>
  <r>
    <x v="1577"/>
    <n v="16500"/>
    <n v="165"/>
    <x v="10"/>
    <n v="5"/>
    <n v="15600"/>
    <x v="183"/>
    <n v="975"/>
    <n v="0.16"/>
    <x v="0"/>
    <x v="136"/>
    <n v="9"/>
    <x v="1"/>
    <x v="2"/>
  </r>
  <r>
    <x v="1578"/>
    <n v="17900"/>
    <n v="179"/>
    <x v="14"/>
    <n v="6"/>
    <n v="16100"/>
    <x v="222"/>
    <n v="1000"/>
    <n v="0.161"/>
    <x v="0"/>
    <x v="0"/>
    <n v="18"/>
    <x v="1"/>
    <x v="4"/>
  </r>
  <r>
    <x v="1579"/>
    <n v="16100"/>
    <n v="161"/>
    <x v="10"/>
    <n v="5"/>
    <n v="15200"/>
    <x v="39"/>
    <n v="245"/>
    <n v="0.62040816326530612"/>
    <x v="0"/>
    <x v="139"/>
    <n v="9"/>
    <x v="1"/>
    <x v="2"/>
  </r>
  <r>
    <x v="1580"/>
    <n v="32000"/>
    <n v="320"/>
    <x v="11"/>
    <n v="2"/>
    <n v="32000"/>
    <x v="260"/>
    <n v="58"/>
    <n v="5.5172413793103452"/>
    <x v="0"/>
    <x v="0"/>
    <n v="0"/>
    <x v="2"/>
    <x v="2"/>
  </r>
  <r>
    <x v="1581"/>
    <n v="22000"/>
    <n v="220"/>
    <x v="14"/>
    <n v="6"/>
    <n v="19800"/>
    <x v="116"/>
    <n v="58"/>
    <n v="3.4137931034482758"/>
    <x v="0"/>
    <x v="0"/>
    <n v="22"/>
    <x v="1"/>
    <x v="4"/>
  </r>
  <r>
    <x v="1582"/>
    <n v="28000"/>
    <n v="280"/>
    <x v="14"/>
    <n v="6"/>
    <n v="25200"/>
    <x v="331"/>
    <n v="100"/>
    <n v="2.52"/>
    <x v="0"/>
    <x v="1"/>
    <n v="28"/>
    <x v="2"/>
    <x v="4"/>
  </r>
  <r>
    <x v="1583"/>
    <n v="14000"/>
    <n v="140"/>
    <x v="11"/>
    <n v="6"/>
    <n v="14000"/>
    <x v="187"/>
    <n v="174"/>
    <n v="0.8045977011494253"/>
    <x v="0"/>
    <x v="6"/>
    <n v="0"/>
    <x v="1"/>
    <x v="2"/>
  </r>
  <r>
    <x v="1584"/>
    <n v="7800"/>
    <n v="78"/>
    <x v="14"/>
    <n v="6"/>
    <n v="7000"/>
    <x v="124"/>
    <n v="58"/>
    <n v="1.2068965517241379"/>
    <x v="0"/>
    <x v="0"/>
    <n v="8"/>
    <x v="1"/>
    <x v="4"/>
  </r>
  <r>
    <x v="1585"/>
    <n v="7400"/>
    <n v="74"/>
    <x v="10"/>
    <n v="6"/>
    <n v="7000"/>
    <x v="124"/>
    <n v="200"/>
    <n v="0.35"/>
    <x v="0"/>
    <x v="3"/>
    <n v="4"/>
    <x v="1"/>
    <x v="2"/>
  </r>
  <r>
    <x v="1586"/>
    <n v="11900"/>
    <n v="119"/>
    <x v="14"/>
    <n v="6"/>
    <n v="10700"/>
    <x v="136"/>
    <n v="40"/>
    <n v="2.6749999999999998"/>
    <x v="0"/>
    <x v="23"/>
    <n v="12"/>
    <x v="1"/>
    <x v="4"/>
  </r>
  <r>
    <x v="1490"/>
    <n v="2000"/>
    <n v="20"/>
    <x v="11"/>
    <n v="6"/>
    <n v="2000"/>
    <x v="68"/>
    <n v="75"/>
    <n v="0.26666666666666666"/>
    <x v="0"/>
    <x v="38"/>
    <n v="0"/>
    <x v="0"/>
    <x v="2"/>
  </r>
  <r>
    <x v="1587"/>
    <n v="7900"/>
    <n v="79"/>
    <x v="14"/>
    <n v="6"/>
    <n v="7100"/>
    <x v="135"/>
    <n v="25"/>
    <n v="2.84"/>
    <x v="0"/>
    <x v="27"/>
    <n v="8"/>
    <x v="1"/>
    <x v="4"/>
  </r>
  <r>
    <x v="1469"/>
    <n v="49900"/>
    <n v="499"/>
    <x v="11"/>
    <n v="1"/>
    <n v="49900"/>
    <x v="51"/>
    <n v="2000"/>
    <n v="0.2495"/>
    <x v="0"/>
    <x v="9"/>
    <n v="0"/>
    <x v="2"/>
    <x v="2"/>
  </r>
  <r>
    <x v="1588"/>
    <n v="70000"/>
    <n v="700"/>
    <x v="3"/>
    <n v="6"/>
    <n v="58100"/>
    <x v="339"/>
    <n v="580"/>
    <n v="1.0017241379310344"/>
    <x v="0"/>
    <x v="14"/>
    <n v="119"/>
    <x v="2"/>
    <x v="0"/>
  </r>
  <r>
    <x v="1589"/>
    <n v="5000"/>
    <n v="50"/>
    <x v="12"/>
    <n v="6"/>
    <n v="4900"/>
    <x v="7"/>
    <n v="25"/>
    <n v="1.96"/>
    <x v="0"/>
    <x v="27"/>
    <n v="1"/>
    <x v="0"/>
    <x v="2"/>
  </r>
  <r>
    <x v="1548"/>
    <n v="32500"/>
    <n v="325"/>
    <x v="10"/>
    <n v="6"/>
    <n v="30800"/>
    <x v="340"/>
    <n v="900"/>
    <n v="0.34222222222222221"/>
    <x v="0"/>
    <x v="53"/>
    <n v="17"/>
    <x v="2"/>
    <x v="2"/>
  </r>
  <r>
    <x v="1590"/>
    <n v="5000"/>
    <n v="50"/>
    <x v="11"/>
    <n v="1"/>
    <n v="5000"/>
    <x v="35"/>
    <n v="58"/>
    <n v="0.86206896551724133"/>
    <x v="0"/>
    <x v="0"/>
    <n v="0"/>
    <x v="1"/>
    <x v="2"/>
  </r>
  <r>
    <x v="1591"/>
    <n v="22000"/>
    <n v="220"/>
    <x v="11"/>
    <n v="4"/>
    <n v="22000"/>
    <x v="318"/>
    <n v="1000"/>
    <n v="0.22"/>
    <x v="0"/>
    <x v="0"/>
    <n v="0"/>
    <x v="2"/>
    <x v="2"/>
  </r>
  <r>
    <x v="1592"/>
    <n v="18800"/>
    <n v="188"/>
    <x v="14"/>
    <n v="4"/>
    <n v="16900"/>
    <x v="117"/>
    <n v="35"/>
    <n v="4.8285714285714283"/>
    <x v="0"/>
    <x v="52"/>
    <n v="19"/>
    <x v="1"/>
    <x v="4"/>
  </r>
  <r>
    <x v="1593"/>
    <n v="18000"/>
    <n v="180"/>
    <x v="12"/>
    <n v="6"/>
    <n v="17500"/>
    <x v="81"/>
    <n v="58"/>
    <n v="3.0172413793103448"/>
    <x v="0"/>
    <x v="0"/>
    <n v="5"/>
    <x v="1"/>
    <x v="2"/>
  </r>
  <r>
    <x v="1594"/>
    <n v="0"/>
    <n v="0"/>
    <x v="11"/>
    <n v="1"/>
    <n v="0"/>
    <x v="341"/>
    <n v="75"/>
    <n v="0"/>
    <x v="0"/>
    <x v="38"/>
    <n v="0"/>
    <x v="0"/>
    <x v="2"/>
  </r>
  <r>
    <x v="1595"/>
    <n v="1200"/>
    <n v="12"/>
    <x v="11"/>
    <n v="6"/>
    <n v="1200"/>
    <x v="4"/>
    <n v="15"/>
    <n v="0.8"/>
    <x v="0"/>
    <x v="74"/>
    <n v="0"/>
    <x v="0"/>
    <x v="2"/>
  </r>
  <r>
    <x v="1596"/>
    <n v="6000"/>
    <n v="60"/>
    <x v="14"/>
    <n v="5"/>
    <n v="5400"/>
    <x v="75"/>
    <n v="1160"/>
    <n v="4.6551724137931037E-2"/>
    <x v="0"/>
    <x v="29"/>
    <n v="6"/>
    <x v="1"/>
    <x v="4"/>
  </r>
  <r>
    <x v="1597"/>
    <n v="4200"/>
    <n v="42"/>
    <x v="12"/>
    <n v="6"/>
    <n v="4100"/>
    <x v="99"/>
    <n v="116"/>
    <n v="0.35344827586206895"/>
    <x v="0"/>
    <x v="9"/>
    <n v="1"/>
    <x v="0"/>
    <x v="2"/>
  </r>
  <r>
    <x v="1598"/>
    <n v="6900"/>
    <n v="69"/>
    <x v="15"/>
    <n v="6"/>
    <n v="6100"/>
    <x v="146"/>
    <n v="30"/>
    <n v="2.0333333333333332"/>
    <x v="0"/>
    <x v="60"/>
    <n v="8"/>
    <x v="1"/>
    <x v="1"/>
  </r>
  <r>
    <x v="1599"/>
    <n v="25000"/>
    <n v="250"/>
    <x v="14"/>
    <n v="3"/>
    <n v="22500"/>
    <x v="171"/>
    <n v="85"/>
    <n v="2.6470588235294117"/>
    <x v="0"/>
    <x v="0"/>
    <n v="25"/>
    <x v="2"/>
    <x v="4"/>
  </r>
  <r>
    <x v="1600"/>
    <n v="24000"/>
    <n v="240"/>
    <x v="11"/>
    <n v="6"/>
    <n v="24000"/>
    <x v="214"/>
    <n v="580"/>
    <n v="0.41379310344827586"/>
    <x v="0"/>
    <x v="8"/>
    <n v="0"/>
    <x v="2"/>
    <x v="2"/>
  </r>
  <r>
    <x v="1601"/>
    <n v="14000"/>
    <n v="140"/>
    <x v="13"/>
    <n v="6"/>
    <n v="12900"/>
    <x v="237"/>
    <n v="58"/>
    <n v="2.2241379310344827"/>
    <x v="0"/>
    <x v="0"/>
    <n v="11"/>
    <x v="1"/>
    <x v="4"/>
  </r>
  <r>
    <x v="1602"/>
    <n v="26000"/>
    <n v="260"/>
    <x v="11"/>
    <n v="6"/>
    <n v="26000"/>
    <x v="174"/>
    <n v="1000"/>
    <n v="0.26"/>
    <x v="0"/>
    <x v="0"/>
    <n v="0"/>
    <x v="2"/>
    <x v="2"/>
  </r>
  <r>
    <x v="1559"/>
    <n v="25000"/>
    <n v="250"/>
    <x v="11"/>
    <n v="4"/>
    <n v="25000"/>
    <x v="113"/>
    <n v="1000"/>
    <n v="0.25"/>
    <x v="0"/>
    <x v="0"/>
    <n v="0"/>
    <x v="2"/>
    <x v="2"/>
  </r>
  <r>
    <x v="1603"/>
    <n v="2300"/>
    <n v="23"/>
    <x v="6"/>
    <n v="0"/>
    <n v="2200"/>
    <x v="12"/>
    <n v="300"/>
    <n v="7.3333333333333334E-2"/>
    <x v="1"/>
    <x v="10"/>
    <n v="1"/>
    <x v="0"/>
    <x v="2"/>
  </r>
  <r>
    <x v="1604"/>
    <n v="11600"/>
    <n v="116"/>
    <x v="11"/>
    <n v="0"/>
    <n v="11600"/>
    <x v="190"/>
    <n v="250"/>
    <n v="0.46400000000000002"/>
    <x v="1"/>
    <x v="2"/>
    <n v="0"/>
    <x v="1"/>
    <x v="2"/>
  </r>
  <r>
    <x v="1605"/>
    <n v="8900"/>
    <n v="89"/>
    <x v="11"/>
    <n v="0"/>
    <n v="8900"/>
    <x v="25"/>
    <n v="60"/>
    <n v="1.4833333333333334"/>
    <x v="1"/>
    <x v="16"/>
    <n v="0"/>
    <x v="1"/>
    <x v="2"/>
  </r>
  <r>
    <x v="1606"/>
    <n v="8600"/>
    <n v="86"/>
    <x v="12"/>
    <n v="0"/>
    <n v="8400"/>
    <x v="17"/>
    <n v="1000"/>
    <n v="8.4000000000000005E-2"/>
    <x v="1"/>
    <x v="0"/>
    <n v="2"/>
    <x v="1"/>
    <x v="2"/>
  </r>
  <r>
    <x v="1607"/>
    <n v="13600"/>
    <n v="136"/>
    <x v="18"/>
    <n v="0"/>
    <n v="13100"/>
    <x v="292"/>
    <n v="1000"/>
    <n v="0.13100000000000001"/>
    <x v="1"/>
    <x v="0"/>
    <n v="5"/>
    <x v="1"/>
    <x v="2"/>
  </r>
  <r>
    <x v="1608"/>
    <n v="1000"/>
    <n v="10"/>
    <x v="11"/>
    <n v="0"/>
    <n v="1000"/>
    <x v="36"/>
    <n v="140"/>
    <n v="7.1428571428571425E-2"/>
    <x v="1"/>
    <x v="70"/>
    <n v="0"/>
    <x v="0"/>
    <x v="2"/>
  </r>
  <r>
    <x v="1609"/>
    <n v="9000"/>
    <n v="90"/>
    <x v="19"/>
    <n v="0"/>
    <n v="8200"/>
    <x v="211"/>
    <n v="100"/>
    <n v="0.82"/>
    <x v="1"/>
    <x v="1"/>
    <n v="8"/>
    <x v="1"/>
    <x v="4"/>
  </r>
  <r>
    <x v="1610"/>
    <n v="1200"/>
    <n v="12"/>
    <x v="19"/>
    <n v="0"/>
    <n v="1100"/>
    <x v="20"/>
    <n v="58"/>
    <n v="0.18965517241379309"/>
    <x v="1"/>
    <x v="0"/>
    <n v="1"/>
    <x v="0"/>
    <x v="4"/>
  </r>
  <r>
    <x v="1611"/>
    <n v="6500"/>
    <n v="65"/>
    <x v="22"/>
    <n v="0"/>
    <n v="5900"/>
    <x v="31"/>
    <n v="116"/>
    <n v="0.50862068965517238"/>
    <x v="1"/>
    <x v="9"/>
    <n v="6"/>
    <x v="1"/>
    <x v="4"/>
  </r>
  <r>
    <x v="1612"/>
    <n v="19000"/>
    <n v="190"/>
    <x v="13"/>
    <n v="0"/>
    <n v="17500"/>
    <x v="81"/>
    <n v="58"/>
    <n v="3.0172413793103448"/>
    <x v="1"/>
    <x v="0"/>
    <n v="15"/>
    <x v="1"/>
    <x v="4"/>
  </r>
  <r>
    <x v="1613"/>
    <n v="10500"/>
    <n v="105"/>
    <x v="12"/>
    <n v="0"/>
    <n v="10200"/>
    <x v="293"/>
    <n v="58"/>
    <n v="1.7586206896551724"/>
    <x v="1"/>
    <x v="0"/>
    <n v="3"/>
    <x v="1"/>
    <x v="2"/>
  </r>
  <r>
    <x v="1603"/>
    <n v="4500"/>
    <n v="45"/>
    <x v="11"/>
    <n v="0"/>
    <n v="4500"/>
    <x v="21"/>
    <n v="600"/>
    <n v="7.4999999999999997E-2"/>
    <x v="1"/>
    <x v="63"/>
    <n v="0"/>
    <x v="0"/>
    <x v="2"/>
  </r>
  <r>
    <x v="1614"/>
    <n v="6900"/>
    <n v="69"/>
    <x v="14"/>
    <n v="0"/>
    <n v="6200"/>
    <x v="55"/>
    <n v="500"/>
    <n v="0.124"/>
    <x v="1"/>
    <x v="5"/>
    <n v="7"/>
    <x v="1"/>
    <x v="4"/>
  </r>
  <r>
    <x v="1615"/>
    <n v="23500"/>
    <n v="235"/>
    <x v="22"/>
    <n v="0"/>
    <n v="21200"/>
    <x v="92"/>
    <n v="860"/>
    <n v="0.24651162790697675"/>
    <x v="1"/>
    <x v="142"/>
    <n v="23"/>
    <x v="2"/>
    <x v="4"/>
  </r>
  <r>
    <x v="1616"/>
    <n v="2500"/>
    <n v="25"/>
    <x v="11"/>
    <n v="0"/>
    <n v="2500"/>
    <x v="14"/>
    <n v="75"/>
    <n v="0.33333333333333331"/>
    <x v="1"/>
    <x v="38"/>
    <n v="0"/>
    <x v="0"/>
    <x v="2"/>
  </r>
  <r>
    <x v="1486"/>
    <n v="20800"/>
    <n v="208"/>
    <x v="17"/>
    <n v="0"/>
    <n v="19500"/>
    <x v="342"/>
    <n v="1000"/>
    <n v="0.19500000000000001"/>
    <x v="1"/>
    <x v="0"/>
    <n v="13"/>
    <x v="1"/>
    <x v="4"/>
  </r>
  <r>
    <x v="1617"/>
    <n v="8000"/>
    <n v="80"/>
    <x v="1"/>
    <n v="0"/>
    <n v="6800"/>
    <x v="40"/>
    <n v="58"/>
    <n v="1.1724137931034482"/>
    <x v="1"/>
    <x v="0"/>
    <n v="12"/>
    <x v="1"/>
    <x v="1"/>
  </r>
  <r>
    <x v="1618"/>
    <n v="25000"/>
    <n v="250"/>
    <x v="14"/>
    <n v="0"/>
    <n v="22500"/>
    <x v="171"/>
    <n v="100"/>
    <n v="2.25"/>
    <x v="1"/>
    <x v="1"/>
    <n v="25"/>
    <x v="2"/>
    <x v="4"/>
  </r>
  <r>
    <x v="1465"/>
    <n v="3000"/>
    <n v="30"/>
    <x v="11"/>
    <n v="0"/>
    <n v="3000"/>
    <x v="15"/>
    <n v="60"/>
    <n v="0.5"/>
    <x v="1"/>
    <x v="16"/>
    <n v="0"/>
    <x v="0"/>
    <x v="2"/>
  </r>
  <r>
    <x v="1619"/>
    <n v="4000"/>
    <n v="40"/>
    <x v="26"/>
    <n v="6"/>
    <n v="2000"/>
    <x v="68"/>
    <n v="75"/>
    <n v="0.26666666666666666"/>
    <x v="0"/>
    <x v="38"/>
    <n v="20"/>
    <x v="0"/>
    <x v="3"/>
  </r>
  <r>
    <x v="1620"/>
    <n v="4000"/>
    <n v="40"/>
    <x v="26"/>
    <n v="6"/>
    <n v="2000"/>
    <x v="68"/>
    <n v="75"/>
    <n v="0.26666666666666666"/>
    <x v="0"/>
    <x v="38"/>
    <n v="20"/>
    <x v="0"/>
    <x v="3"/>
  </r>
  <r>
    <x v="1621"/>
    <n v="8200"/>
    <n v="82"/>
    <x v="11"/>
    <n v="6"/>
    <n v="8200"/>
    <x v="211"/>
    <n v="174"/>
    <n v="0.47126436781609193"/>
    <x v="0"/>
    <x v="6"/>
    <n v="0"/>
    <x v="1"/>
    <x v="2"/>
  </r>
  <r>
    <x v="1622"/>
    <n v="24500"/>
    <n v="245"/>
    <x v="14"/>
    <n v="6"/>
    <n v="22000"/>
    <x v="318"/>
    <n v="580"/>
    <n v="0.37931034482758619"/>
    <x v="0"/>
    <x v="14"/>
    <n v="25"/>
    <x v="2"/>
    <x v="4"/>
  </r>
  <r>
    <x v="1623"/>
    <n v="4500"/>
    <n v="45"/>
    <x v="17"/>
    <n v="6"/>
    <n v="4200"/>
    <x v="189"/>
    <n v="120"/>
    <n v="0.35"/>
    <x v="0"/>
    <x v="69"/>
    <n v="3"/>
    <x v="0"/>
    <x v="4"/>
  </r>
  <r>
    <x v="1624"/>
    <n v="4500"/>
    <n v="45"/>
    <x v="17"/>
    <n v="2"/>
    <n v="4200"/>
    <x v="189"/>
    <n v="120"/>
    <n v="0.35"/>
    <x v="0"/>
    <x v="49"/>
    <n v="3"/>
    <x v="0"/>
    <x v="4"/>
  </r>
  <r>
    <x v="1625"/>
    <n v="4000"/>
    <n v="40"/>
    <x v="14"/>
    <n v="4"/>
    <n v="3600"/>
    <x v="46"/>
    <n v="8"/>
    <n v="4.5"/>
    <x v="0"/>
    <x v="137"/>
    <n v="4"/>
    <x v="0"/>
    <x v="4"/>
  </r>
  <r>
    <x v="1626"/>
    <n v="2000"/>
    <n v="20"/>
    <x v="11"/>
    <n v="6"/>
    <n v="2000"/>
    <x v="68"/>
    <n v="1160"/>
    <n v="1.7241379310344827E-2"/>
    <x v="0"/>
    <x v="29"/>
    <n v="0"/>
    <x v="0"/>
    <x v="2"/>
  </r>
  <r>
    <x v="1627"/>
    <n v="22800"/>
    <n v="228"/>
    <x v="14"/>
    <n v="6"/>
    <n v="20500"/>
    <x v="125"/>
    <n v="580"/>
    <n v="0.35344827586206895"/>
    <x v="0"/>
    <x v="14"/>
    <n v="23"/>
    <x v="2"/>
    <x v="4"/>
  </r>
  <r>
    <x v="1628"/>
    <n v="8500"/>
    <n v="85"/>
    <x v="22"/>
    <n v="6"/>
    <n v="7700"/>
    <x v="93"/>
    <n v="25"/>
    <n v="3.08"/>
    <x v="0"/>
    <x v="27"/>
    <n v="8"/>
    <x v="1"/>
    <x v="4"/>
  </r>
  <r>
    <x v="1628"/>
    <n v="14500"/>
    <n v="145"/>
    <x v="15"/>
    <n v="2"/>
    <n v="12900"/>
    <x v="237"/>
    <n v="50"/>
    <n v="2.58"/>
    <x v="0"/>
    <x v="8"/>
    <n v="16"/>
    <x v="1"/>
    <x v="1"/>
  </r>
  <r>
    <x v="1629"/>
    <n v="4500"/>
    <n v="45"/>
    <x v="17"/>
    <n v="6"/>
    <n v="4200"/>
    <x v="189"/>
    <n v="120"/>
    <n v="0.35"/>
    <x v="0"/>
    <x v="69"/>
    <n v="3"/>
    <x v="0"/>
    <x v="4"/>
  </r>
  <r>
    <x v="1630"/>
    <n v="15900"/>
    <n v="159"/>
    <x v="14"/>
    <n v="6"/>
    <n v="14300"/>
    <x v="155"/>
    <n v="225"/>
    <n v="0.63555555555555554"/>
    <x v="0"/>
    <x v="21"/>
    <n v="16"/>
    <x v="1"/>
    <x v="4"/>
  </r>
  <r>
    <x v="1631"/>
    <n v="4000"/>
    <n v="40"/>
    <x v="12"/>
    <n v="6"/>
    <n v="3900"/>
    <x v="34"/>
    <n v="8"/>
    <n v="4.875"/>
    <x v="0"/>
    <x v="137"/>
    <n v="1"/>
    <x v="0"/>
    <x v="2"/>
  </r>
  <r>
    <x v="1632"/>
    <n v="6500"/>
    <n v="65"/>
    <x v="14"/>
    <n v="4"/>
    <n v="5800"/>
    <x v="103"/>
    <n v="100"/>
    <n v="0.57999999999999996"/>
    <x v="0"/>
    <x v="1"/>
    <n v="7"/>
    <x v="1"/>
    <x v="4"/>
  </r>
  <r>
    <x v="1633"/>
    <n v="18900"/>
    <n v="189"/>
    <x v="1"/>
    <n v="6"/>
    <n v="16000"/>
    <x v="251"/>
    <n v="50"/>
    <n v="3.2"/>
    <x v="0"/>
    <x v="8"/>
    <n v="29"/>
    <x v="1"/>
    <x v="1"/>
  </r>
  <r>
    <x v="1634"/>
    <n v="16500"/>
    <n v="165"/>
    <x v="14"/>
    <n v="6"/>
    <n v="14800"/>
    <x v="228"/>
    <n v="170"/>
    <n v="0.87058823529411766"/>
    <x v="0"/>
    <x v="80"/>
    <n v="17"/>
    <x v="1"/>
    <x v="4"/>
  </r>
  <r>
    <x v="1635"/>
    <n v="22800"/>
    <n v="228"/>
    <x v="14"/>
    <n v="6"/>
    <n v="20500"/>
    <x v="125"/>
    <n v="580"/>
    <n v="0.35344827586206895"/>
    <x v="0"/>
    <x v="14"/>
    <n v="23"/>
    <x v="2"/>
    <x v="4"/>
  </r>
  <r>
    <x v="1636"/>
    <n v="13000"/>
    <n v="130"/>
    <x v="14"/>
    <n v="6"/>
    <n v="11700"/>
    <x v="177"/>
    <n v="100"/>
    <n v="1.17"/>
    <x v="0"/>
    <x v="1"/>
    <n v="13"/>
    <x v="1"/>
    <x v="4"/>
  </r>
  <r>
    <x v="1637"/>
    <n v="14900"/>
    <n v="149"/>
    <x v="10"/>
    <n v="5"/>
    <n v="14100"/>
    <x v="297"/>
    <n v="35"/>
    <n v="4.0285714285714285"/>
    <x v="0"/>
    <x v="52"/>
    <n v="8"/>
    <x v="1"/>
    <x v="2"/>
  </r>
  <r>
    <x v="1638"/>
    <n v="18900"/>
    <n v="189"/>
    <x v="14"/>
    <n v="6"/>
    <n v="17000"/>
    <x v="193"/>
    <n v="72"/>
    <n v="2.3611111111111112"/>
    <x v="0"/>
    <x v="62"/>
    <n v="19"/>
    <x v="1"/>
    <x v="4"/>
  </r>
  <r>
    <x v="1639"/>
    <n v="24500"/>
    <n v="245"/>
    <x v="14"/>
    <n v="2"/>
    <n v="22000"/>
    <x v="318"/>
    <n v="580"/>
    <n v="0.37931034482758619"/>
    <x v="0"/>
    <x v="14"/>
    <n v="25"/>
    <x v="2"/>
    <x v="4"/>
  </r>
  <r>
    <x v="1640"/>
    <n v="13000"/>
    <n v="130"/>
    <x v="11"/>
    <n v="6"/>
    <n v="13000"/>
    <x v="241"/>
    <n v="100"/>
    <n v="1.3"/>
    <x v="0"/>
    <x v="1"/>
    <n v="0"/>
    <x v="1"/>
    <x v="2"/>
  </r>
  <r>
    <x v="1641"/>
    <n v="15000"/>
    <n v="150"/>
    <x v="14"/>
    <n v="6"/>
    <n v="13500"/>
    <x v="114"/>
    <n v="580"/>
    <n v="0.23275862068965517"/>
    <x v="0"/>
    <x v="14"/>
    <n v="15"/>
    <x v="1"/>
    <x v="4"/>
  </r>
  <r>
    <x v="1642"/>
    <n v="4500"/>
    <n v="45"/>
    <x v="17"/>
    <n v="6"/>
    <n v="4200"/>
    <x v="189"/>
    <n v="120"/>
    <n v="0.35"/>
    <x v="0"/>
    <x v="69"/>
    <n v="3"/>
    <x v="0"/>
    <x v="4"/>
  </r>
  <r>
    <x v="1643"/>
    <n v="11000"/>
    <n v="110"/>
    <x v="35"/>
    <n v="3"/>
    <n v="8500"/>
    <x v="227"/>
    <n v="100"/>
    <n v="0.85"/>
    <x v="0"/>
    <x v="1"/>
    <n v="25"/>
    <x v="1"/>
    <x v="3"/>
  </r>
  <r>
    <x v="1644"/>
    <n v="29900"/>
    <n v="299"/>
    <x v="1"/>
    <n v="6"/>
    <n v="25400"/>
    <x v="343"/>
    <n v="1000"/>
    <n v="0.254"/>
    <x v="0"/>
    <x v="0"/>
    <n v="45"/>
    <x v="2"/>
    <x v="1"/>
  </r>
  <r>
    <x v="1645"/>
    <n v="11000"/>
    <n v="110"/>
    <x v="14"/>
    <n v="6"/>
    <n v="9900"/>
    <x v="24"/>
    <n v="100"/>
    <n v="0.99"/>
    <x v="0"/>
    <x v="1"/>
    <n v="11"/>
    <x v="1"/>
    <x v="4"/>
  </r>
  <r>
    <x v="1646"/>
    <n v="29000"/>
    <n v="290"/>
    <x v="1"/>
    <n v="6"/>
    <n v="24600"/>
    <x v="344"/>
    <n v="80"/>
    <n v="3.0750000000000002"/>
    <x v="0"/>
    <x v="30"/>
    <n v="44"/>
    <x v="2"/>
    <x v="1"/>
  </r>
  <r>
    <x v="1647"/>
    <n v="12000"/>
    <n v="120"/>
    <x v="11"/>
    <n v="6"/>
    <n v="12000"/>
    <x v="127"/>
    <n v="174"/>
    <n v="0.68965517241379315"/>
    <x v="0"/>
    <x v="6"/>
    <n v="0"/>
    <x v="1"/>
    <x v="2"/>
  </r>
  <r>
    <x v="1648"/>
    <n v="22800"/>
    <n v="228"/>
    <x v="14"/>
    <n v="6"/>
    <n v="20500"/>
    <x v="125"/>
    <n v="580"/>
    <n v="0.35344827586206895"/>
    <x v="0"/>
    <x v="14"/>
    <n v="23"/>
    <x v="2"/>
    <x v="4"/>
  </r>
  <r>
    <x v="1649"/>
    <n v="4500"/>
    <n v="45"/>
    <x v="19"/>
    <n v="6"/>
    <n v="4100"/>
    <x v="99"/>
    <n v="8"/>
    <n v="5.125"/>
    <x v="0"/>
    <x v="137"/>
    <n v="4"/>
    <x v="0"/>
    <x v="4"/>
  </r>
  <r>
    <x v="1650"/>
    <n v="13000"/>
    <n v="130"/>
    <x v="10"/>
    <n v="1"/>
    <n v="12300"/>
    <x v="273"/>
    <n v="130"/>
    <n v="0.94615384615384612"/>
    <x v="0"/>
    <x v="83"/>
    <n v="7"/>
    <x v="1"/>
    <x v="2"/>
  </r>
  <r>
    <x v="1651"/>
    <n v="41500"/>
    <n v="415"/>
    <x v="13"/>
    <n v="6"/>
    <n v="38500"/>
    <x v="345"/>
    <n v="900"/>
    <n v="0.42777777777777776"/>
    <x v="0"/>
    <x v="53"/>
    <n v="30"/>
    <x v="2"/>
    <x v="4"/>
  </r>
  <r>
    <x v="1625"/>
    <n v="8500"/>
    <n v="85"/>
    <x v="14"/>
    <n v="5"/>
    <n v="7600"/>
    <x v="255"/>
    <n v="25"/>
    <n v="3.04"/>
    <x v="0"/>
    <x v="27"/>
    <n v="9"/>
    <x v="1"/>
    <x v="4"/>
  </r>
  <r>
    <x v="1652"/>
    <n v="12500"/>
    <n v="125"/>
    <x v="22"/>
    <n v="6"/>
    <n v="11300"/>
    <x v="213"/>
    <n v="45"/>
    <n v="2.5111111111111111"/>
    <x v="0"/>
    <x v="46"/>
    <n v="12"/>
    <x v="1"/>
    <x v="4"/>
  </r>
  <r>
    <x v="1653"/>
    <n v="24900"/>
    <n v="249"/>
    <x v="2"/>
    <n v="6"/>
    <n v="21200"/>
    <x v="92"/>
    <n v="1000"/>
    <n v="0.21199999999999999"/>
    <x v="0"/>
    <x v="0"/>
    <n v="37"/>
    <x v="2"/>
    <x v="1"/>
  </r>
  <r>
    <x v="1654"/>
    <n v="34900"/>
    <n v="349"/>
    <x v="18"/>
    <n v="6"/>
    <n v="33800"/>
    <x v="325"/>
    <n v="950"/>
    <n v="0.35578947368421054"/>
    <x v="0"/>
    <x v="0"/>
    <n v="11"/>
    <x v="2"/>
    <x v="2"/>
  </r>
  <r>
    <x v="1655"/>
    <n v="10000"/>
    <n v="100"/>
    <x v="15"/>
    <n v="6"/>
    <n v="8900"/>
    <x v="25"/>
    <n v="28"/>
    <n v="3.1785714285714284"/>
    <x v="0"/>
    <x v="79"/>
    <n v="11"/>
    <x v="1"/>
    <x v="1"/>
  </r>
  <r>
    <x v="1656"/>
    <n v="36000"/>
    <n v="360"/>
    <x v="1"/>
    <n v="6"/>
    <n v="30600"/>
    <x v="346"/>
    <n v="580"/>
    <n v="0.52758620689655178"/>
    <x v="0"/>
    <x v="14"/>
    <n v="54"/>
    <x v="2"/>
    <x v="1"/>
  </r>
  <r>
    <x v="1657"/>
    <n v="5000"/>
    <n v="50"/>
    <x v="17"/>
    <n v="4"/>
    <n v="4700"/>
    <x v="128"/>
    <n v="10"/>
    <n v="4.7"/>
    <x v="0"/>
    <x v="14"/>
    <n v="3"/>
    <x v="0"/>
    <x v="4"/>
  </r>
  <r>
    <x v="1658"/>
    <n v="7500"/>
    <n v="75"/>
    <x v="10"/>
    <n v="6"/>
    <n v="7100"/>
    <x v="135"/>
    <n v="15"/>
    <n v="4.7333333333333334"/>
    <x v="0"/>
    <x v="74"/>
    <n v="4"/>
    <x v="1"/>
    <x v="2"/>
  </r>
  <r>
    <x v="1659"/>
    <n v="23500"/>
    <n v="235"/>
    <x v="10"/>
    <n v="6"/>
    <n v="22300"/>
    <x v="347"/>
    <n v="500"/>
    <n v="0.44600000000000001"/>
    <x v="0"/>
    <x v="5"/>
    <n v="12"/>
    <x v="2"/>
    <x v="2"/>
  </r>
  <r>
    <x v="1643"/>
    <n v="11000"/>
    <n v="110"/>
    <x v="35"/>
    <n v="5"/>
    <n v="8500"/>
    <x v="227"/>
    <n v="100"/>
    <n v="0.85"/>
    <x v="0"/>
    <x v="1"/>
    <n v="25"/>
    <x v="1"/>
    <x v="3"/>
  </r>
  <r>
    <x v="1660"/>
    <n v="17500"/>
    <n v="175"/>
    <x v="14"/>
    <n v="6"/>
    <n v="15700"/>
    <x v="160"/>
    <n v="230"/>
    <n v="0.68260869565217386"/>
    <x v="0"/>
    <x v="103"/>
    <n v="18"/>
    <x v="1"/>
    <x v="4"/>
  </r>
  <r>
    <x v="1661"/>
    <n v="19000"/>
    <n v="190"/>
    <x v="17"/>
    <n v="6"/>
    <n v="17700"/>
    <x v="209"/>
    <n v="500"/>
    <n v="0.35399999999999998"/>
    <x v="0"/>
    <x v="5"/>
    <n v="13"/>
    <x v="1"/>
    <x v="4"/>
  </r>
  <r>
    <x v="1662"/>
    <n v="10500"/>
    <n v="105"/>
    <x v="22"/>
    <n v="4"/>
    <n v="9500"/>
    <x v="79"/>
    <n v="116"/>
    <n v="0.81896551724137934"/>
    <x v="0"/>
    <x v="9"/>
    <n v="10"/>
    <x v="1"/>
    <x v="4"/>
  </r>
  <r>
    <x v="1663"/>
    <n v="19500"/>
    <n v="195"/>
    <x v="17"/>
    <n v="6"/>
    <n v="18200"/>
    <x v="327"/>
    <n v="30"/>
    <n v="6.0666666666666664"/>
    <x v="0"/>
    <x v="60"/>
    <n v="13"/>
    <x v="1"/>
    <x v="4"/>
  </r>
  <r>
    <x v="1664"/>
    <n v="39500"/>
    <n v="395"/>
    <x v="25"/>
    <n v="4"/>
    <n v="31600"/>
    <x v="348"/>
    <n v="100"/>
    <n v="3.16"/>
    <x v="0"/>
    <x v="1"/>
    <n v="79"/>
    <x v="2"/>
    <x v="0"/>
  </r>
  <r>
    <x v="1665"/>
    <n v="49500"/>
    <n v="495"/>
    <x v="25"/>
    <n v="6"/>
    <n v="39600"/>
    <x v="253"/>
    <n v="500"/>
    <n v="0.79200000000000004"/>
    <x v="0"/>
    <x v="5"/>
    <n v="99"/>
    <x v="2"/>
    <x v="0"/>
  </r>
  <r>
    <x v="1666"/>
    <n v="22500"/>
    <n v="225"/>
    <x v="11"/>
    <n v="6"/>
    <n v="22500"/>
    <x v="171"/>
    <n v="60"/>
    <n v="3.75"/>
    <x v="0"/>
    <x v="16"/>
    <n v="0"/>
    <x v="2"/>
    <x v="2"/>
  </r>
  <r>
    <x v="1667"/>
    <n v="9900"/>
    <n v="99"/>
    <x v="11"/>
    <n v="1"/>
    <n v="9900"/>
    <x v="24"/>
    <n v="250"/>
    <n v="0.39600000000000002"/>
    <x v="0"/>
    <x v="27"/>
    <n v="0"/>
    <x v="1"/>
    <x v="2"/>
  </r>
  <r>
    <x v="1668"/>
    <n v="10500"/>
    <n v="105"/>
    <x v="15"/>
    <n v="6"/>
    <n v="9300"/>
    <x v="295"/>
    <n v="25"/>
    <n v="3.72"/>
    <x v="0"/>
    <x v="27"/>
    <n v="12"/>
    <x v="1"/>
    <x v="1"/>
  </r>
  <r>
    <x v="1669"/>
    <n v="20500"/>
    <n v="205"/>
    <x v="25"/>
    <n v="1"/>
    <n v="16400"/>
    <x v="349"/>
    <n v="60"/>
    <n v="2.7333333333333334"/>
    <x v="0"/>
    <x v="16"/>
    <n v="41"/>
    <x v="1"/>
    <x v="0"/>
  </r>
  <r>
    <x v="1670"/>
    <n v="27000"/>
    <n v="270"/>
    <x v="11"/>
    <n v="2"/>
    <n v="27000"/>
    <x v="149"/>
    <n v="200"/>
    <n v="1.35"/>
    <x v="0"/>
    <x v="3"/>
    <n v="0"/>
    <x v="2"/>
    <x v="2"/>
  </r>
  <r>
    <x v="1671"/>
    <n v="14000"/>
    <n v="140"/>
    <x v="10"/>
    <n v="6"/>
    <n v="13300"/>
    <x v="217"/>
    <n v="100"/>
    <n v="1.33"/>
    <x v="0"/>
    <x v="1"/>
    <n v="7"/>
    <x v="1"/>
    <x v="2"/>
  </r>
  <r>
    <x v="1672"/>
    <n v="40000"/>
    <n v="400"/>
    <x v="1"/>
    <n v="1"/>
    <n v="34000"/>
    <x v="169"/>
    <n v="1000"/>
    <n v="0.34"/>
    <x v="0"/>
    <x v="0"/>
    <n v="60"/>
    <x v="2"/>
    <x v="1"/>
  </r>
  <r>
    <x v="1673"/>
    <n v="23500"/>
    <n v="235"/>
    <x v="1"/>
    <n v="6"/>
    <n v="19900"/>
    <x v="49"/>
    <n v="1000"/>
    <n v="0.19900000000000001"/>
    <x v="0"/>
    <x v="0"/>
    <n v="36"/>
    <x v="1"/>
    <x v="1"/>
  </r>
  <r>
    <x v="1674"/>
    <n v="4000"/>
    <n v="40"/>
    <x v="26"/>
    <n v="0"/>
    <n v="2000"/>
    <x v="68"/>
    <n v="75"/>
    <n v="0.26666666666666666"/>
    <x v="1"/>
    <x v="38"/>
    <n v="20"/>
    <x v="0"/>
    <x v="3"/>
  </r>
  <r>
    <x v="1675"/>
    <n v="5400"/>
    <n v="54"/>
    <x v="15"/>
    <n v="0"/>
    <n v="4800"/>
    <x v="154"/>
    <n v="5"/>
    <n v="9.6"/>
    <x v="1"/>
    <x v="13"/>
    <n v="6"/>
    <x v="0"/>
    <x v="1"/>
  </r>
  <r>
    <x v="1676"/>
    <n v="10500"/>
    <n v="105"/>
    <x v="1"/>
    <n v="0"/>
    <n v="8900"/>
    <x v="25"/>
    <n v="100"/>
    <n v="0.89"/>
    <x v="1"/>
    <x v="1"/>
    <n v="16"/>
    <x v="1"/>
    <x v="1"/>
  </r>
  <r>
    <x v="1645"/>
    <n v="6000"/>
    <n v="60"/>
    <x v="11"/>
    <n v="0"/>
    <n v="6000"/>
    <x v="69"/>
    <n v="50"/>
    <n v="1.2"/>
    <x v="1"/>
    <x v="8"/>
    <n v="0"/>
    <x v="1"/>
    <x v="2"/>
  </r>
  <r>
    <x v="1677"/>
    <n v="5000"/>
    <n v="50"/>
    <x v="12"/>
    <n v="1"/>
    <n v="4900"/>
    <x v="7"/>
    <n v="300"/>
    <n v="0.16333333333333333"/>
    <x v="0"/>
    <x v="10"/>
    <n v="1"/>
    <x v="0"/>
    <x v="2"/>
  </r>
  <r>
    <x v="1678"/>
    <n v="7900"/>
    <n v="79"/>
    <x v="20"/>
    <n v="6"/>
    <n v="5900"/>
    <x v="31"/>
    <n v="330"/>
    <n v="0.1787878787878788"/>
    <x v="0"/>
    <x v="95"/>
    <n v="20"/>
    <x v="1"/>
    <x v="3"/>
  </r>
  <r>
    <x v="1679"/>
    <n v="5000"/>
    <n v="50"/>
    <x v="12"/>
    <n v="6"/>
    <n v="4900"/>
    <x v="7"/>
    <n v="300"/>
    <n v="0.16333333333333333"/>
    <x v="0"/>
    <x v="10"/>
    <n v="1"/>
    <x v="0"/>
    <x v="2"/>
  </r>
  <r>
    <x v="1680"/>
    <n v="7900"/>
    <n v="79"/>
    <x v="20"/>
    <n v="6"/>
    <n v="5900"/>
    <x v="31"/>
    <n v="330"/>
    <n v="0.1787878787878788"/>
    <x v="0"/>
    <x v="95"/>
    <n v="20"/>
    <x v="1"/>
    <x v="3"/>
  </r>
  <r>
    <x v="1681"/>
    <n v="10900"/>
    <n v="109"/>
    <x v="10"/>
    <n v="3"/>
    <n v="10300"/>
    <x v="195"/>
    <n v="107"/>
    <n v="0.96261682242990654"/>
    <x v="0"/>
    <x v="122"/>
    <n v="6"/>
    <x v="1"/>
    <x v="2"/>
  </r>
  <r>
    <x v="1682"/>
    <n v="7900"/>
    <n v="79"/>
    <x v="20"/>
    <n v="6"/>
    <n v="5900"/>
    <x v="31"/>
    <n v="330"/>
    <n v="0.1787878787878788"/>
    <x v="0"/>
    <x v="95"/>
    <n v="20"/>
    <x v="1"/>
    <x v="3"/>
  </r>
  <r>
    <x v="1683"/>
    <n v="7900"/>
    <n v="79"/>
    <x v="20"/>
    <n v="6"/>
    <n v="5900"/>
    <x v="31"/>
    <n v="330"/>
    <n v="0.1787878787878788"/>
    <x v="0"/>
    <x v="95"/>
    <n v="20"/>
    <x v="1"/>
    <x v="3"/>
  </r>
  <r>
    <x v="1684"/>
    <n v="7900"/>
    <n v="79"/>
    <x v="20"/>
    <n v="6"/>
    <n v="5900"/>
    <x v="31"/>
    <n v="330"/>
    <n v="0.1787878787878788"/>
    <x v="0"/>
    <x v="95"/>
    <n v="20"/>
    <x v="1"/>
    <x v="3"/>
  </r>
  <r>
    <x v="1685"/>
    <n v="4900"/>
    <n v="49"/>
    <x v="12"/>
    <n v="6"/>
    <n v="4800"/>
    <x v="154"/>
    <n v="60"/>
    <n v="0.8"/>
    <x v="0"/>
    <x v="16"/>
    <n v="1"/>
    <x v="0"/>
    <x v="2"/>
  </r>
  <r>
    <x v="1686"/>
    <n v="7900"/>
    <n v="79"/>
    <x v="20"/>
    <n v="6"/>
    <n v="5900"/>
    <x v="31"/>
    <n v="330"/>
    <n v="0.1787878787878788"/>
    <x v="0"/>
    <x v="95"/>
    <n v="20"/>
    <x v="1"/>
    <x v="3"/>
  </r>
  <r>
    <x v="1687"/>
    <n v="10900"/>
    <n v="109"/>
    <x v="10"/>
    <n v="6"/>
    <n v="10300"/>
    <x v="195"/>
    <n v="107"/>
    <n v="0.96261682242990654"/>
    <x v="0"/>
    <x v="122"/>
    <n v="6"/>
    <x v="1"/>
    <x v="2"/>
  </r>
  <r>
    <x v="1688"/>
    <n v="9900"/>
    <n v="99"/>
    <x v="10"/>
    <n v="6"/>
    <n v="9400"/>
    <x v="60"/>
    <n v="250"/>
    <n v="0.376"/>
    <x v="0"/>
    <x v="2"/>
    <n v="5"/>
    <x v="1"/>
    <x v="2"/>
  </r>
  <r>
    <x v="1689"/>
    <n v="3900"/>
    <n v="39"/>
    <x v="12"/>
    <n v="6"/>
    <n v="3800"/>
    <x v="85"/>
    <n v="35"/>
    <n v="1.0857142857142856"/>
    <x v="0"/>
    <x v="52"/>
    <n v="1"/>
    <x v="0"/>
    <x v="2"/>
  </r>
  <r>
    <x v="1690"/>
    <n v="8000"/>
    <n v="80"/>
    <x v="14"/>
    <n v="2"/>
    <n v="7200"/>
    <x v="82"/>
    <n v="94"/>
    <n v="0.76595744680851063"/>
    <x v="0"/>
    <x v="143"/>
    <n v="8"/>
    <x v="1"/>
    <x v="4"/>
  </r>
  <r>
    <x v="1691"/>
    <n v="3900"/>
    <n v="39"/>
    <x v="1"/>
    <n v="6"/>
    <n v="3300"/>
    <x v="86"/>
    <n v="35"/>
    <n v="0.94285714285714284"/>
    <x v="0"/>
    <x v="52"/>
    <n v="6"/>
    <x v="0"/>
    <x v="1"/>
  </r>
  <r>
    <x v="1692"/>
    <n v="7500"/>
    <n v="75"/>
    <x v="22"/>
    <n v="6"/>
    <n v="6800"/>
    <x v="40"/>
    <n v="85"/>
    <n v="0.8"/>
    <x v="0"/>
    <x v="67"/>
    <n v="7"/>
    <x v="1"/>
    <x v="4"/>
  </r>
  <r>
    <x v="1693"/>
    <n v="8000"/>
    <n v="80"/>
    <x v="1"/>
    <n v="6"/>
    <n v="6800"/>
    <x v="40"/>
    <n v="92"/>
    <n v="0.73913043478260865"/>
    <x v="0"/>
    <x v="144"/>
    <n v="12"/>
    <x v="1"/>
    <x v="1"/>
  </r>
  <r>
    <x v="1694"/>
    <n v="9900"/>
    <n v="99"/>
    <x v="25"/>
    <n v="6"/>
    <n v="7900"/>
    <x v="32"/>
    <n v="125"/>
    <n v="0.63200000000000001"/>
    <x v="0"/>
    <x v="119"/>
    <n v="20"/>
    <x v="1"/>
    <x v="0"/>
  </r>
  <r>
    <x v="1695"/>
    <n v="6500"/>
    <n v="65"/>
    <x v="13"/>
    <n v="6"/>
    <n v="6000"/>
    <x v="69"/>
    <n v="200"/>
    <n v="0.3"/>
    <x v="0"/>
    <x v="3"/>
    <n v="5"/>
    <x v="1"/>
    <x v="4"/>
  </r>
  <r>
    <x v="1696"/>
    <n v="17500"/>
    <n v="175"/>
    <x v="2"/>
    <n v="6"/>
    <n v="14900"/>
    <x v="27"/>
    <n v="125"/>
    <n v="1.1919999999999999"/>
    <x v="0"/>
    <x v="119"/>
    <n v="26"/>
    <x v="1"/>
    <x v="1"/>
  </r>
  <r>
    <x v="1697"/>
    <n v="7500"/>
    <n v="75"/>
    <x v="5"/>
    <n v="6"/>
    <n v="6500"/>
    <x v="100"/>
    <n v="85"/>
    <n v="0.76470588235294112"/>
    <x v="0"/>
    <x v="67"/>
    <n v="10"/>
    <x v="1"/>
    <x v="1"/>
  </r>
  <r>
    <x v="1698"/>
    <n v="2500"/>
    <n v="25"/>
    <x v="11"/>
    <n v="6"/>
    <n v="2500"/>
    <x v="14"/>
    <n v="100"/>
    <n v="0.25"/>
    <x v="0"/>
    <x v="1"/>
    <n v="0"/>
    <x v="0"/>
    <x v="2"/>
  </r>
  <r>
    <x v="1699"/>
    <n v="9900"/>
    <n v="99"/>
    <x v="1"/>
    <n v="6"/>
    <n v="8400"/>
    <x v="17"/>
    <n v="125"/>
    <n v="0.67200000000000004"/>
    <x v="0"/>
    <x v="34"/>
    <n v="15"/>
    <x v="1"/>
    <x v="1"/>
  </r>
  <r>
    <x v="1700"/>
    <n v="9500"/>
    <n v="95"/>
    <x v="11"/>
    <n v="6"/>
    <n v="9500"/>
    <x v="79"/>
    <n v="200"/>
    <n v="0.47499999999999998"/>
    <x v="0"/>
    <x v="3"/>
    <n v="0"/>
    <x v="1"/>
    <x v="2"/>
  </r>
  <r>
    <x v="1701"/>
    <n v="5000"/>
    <n v="50"/>
    <x v="30"/>
    <n v="6"/>
    <n v="3500"/>
    <x v="1"/>
    <n v="125"/>
    <n v="0.28000000000000003"/>
    <x v="0"/>
    <x v="119"/>
    <n v="15"/>
    <x v="0"/>
    <x v="3"/>
  </r>
  <r>
    <x v="1702"/>
    <n v="5000"/>
    <n v="50"/>
    <x v="12"/>
    <n v="6"/>
    <n v="4900"/>
    <x v="7"/>
    <n v="30"/>
    <n v="1.6333333333333333"/>
    <x v="0"/>
    <x v="60"/>
    <n v="1"/>
    <x v="0"/>
    <x v="2"/>
  </r>
  <r>
    <x v="1703"/>
    <n v="5000"/>
    <n v="50"/>
    <x v="30"/>
    <n v="6"/>
    <n v="3500"/>
    <x v="1"/>
    <n v="125"/>
    <n v="0.28000000000000003"/>
    <x v="0"/>
    <x v="119"/>
    <n v="15"/>
    <x v="0"/>
    <x v="3"/>
  </r>
  <r>
    <x v="1704"/>
    <n v="30000"/>
    <n v="300"/>
    <x v="15"/>
    <n v="6"/>
    <n v="26700"/>
    <x v="263"/>
    <n v="580"/>
    <n v="0.46034482758620687"/>
    <x v="0"/>
    <x v="14"/>
    <n v="33"/>
    <x v="2"/>
    <x v="1"/>
  </r>
  <r>
    <x v="1705"/>
    <n v="5000"/>
    <n v="50"/>
    <x v="30"/>
    <n v="0"/>
    <n v="3500"/>
    <x v="1"/>
    <n v="125"/>
    <n v="0.28000000000000003"/>
    <x v="1"/>
    <x v="119"/>
    <n v="15"/>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94D787-D12F-412E-AB6F-C234DC5588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B5" firstHeaderRow="1" firstDataRow="1" firstDataCol="0"/>
  <pivotFields count="14">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showAll="0">
      <items count="6">
        <item x="2"/>
        <item x="1"/>
        <item x="0"/>
        <item x="3"/>
        <item x="4"/>
        <item t="default"/>
      </items>
    </pivotField>
  </pivotFields>
  <rowItems count="1">
    <i/>
  </rowItems>
  <colItems count="1">
    <i/>
  </colItems>
  <dataFields count="1">
    <dataField name="Count of Product Name" fld="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9721A0-C9E0-4FC5-9046-AB84288721D2}"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R4:S15" firstHeaderRow="1" firstDataRow="1" firstDataCol="1"/>
  <pivotFields count="14">
    <pivotField axis="axisRow" showAll="0" measureFilter="1" sortType="ascending">
      <items count="1707">
        <item x="1482"/>
        <item x="257"/>
        <item x="350"/>
        <item x="1584"/>
        <item x="1703"/>
        <item x="1701"/>
        <item x="1705"/>
        <item x="198"/>
        <item x="1695"/>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685"/>
        <item x="1691"/>
        <item x="1699"/>
        <item x="1696"/>
        <item x="1693"/>
        <item x="1692"/>
        <item x="1690"/>
        <item x="1697"/>
        <item x="1689"/>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1678"/>
        <item x="1686"/>
        <item x="1682"/>
        <item x="1684"/>
        <item x="1680"/>
        <item x="1683"/>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1688"/>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1694"/>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1698"/>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1687"/>
        <item x="1681"/>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79"/>
        <item x="1677"/>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1704"/>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1700"/>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1702"/>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showAll="0">
      <items count="6">
        <item x="2"/>
        <item x="1"/>
        <item x="0"/>
        <item x="3"/>
        <item x="4"/>
        <item t="default"/>
      </items>
    </pivotField>
  </pivotFields>
  <rowFields count="1">
    <field x="0"/>
  </rowFields>
  <rowItems count="11">
    <i>
      <x v="1121"/>
    </i>
    <i>
      <x v="1116"/>
    </i>
    <i>
      <x v="911"/>
    </i>
    <i>
      <x v="363"/>
    </i>
    <i>
      <x v="1123"/>
    </i>
    <i>
      <x v="906"/>
    </i>
    <i>
      <x v="1122"/>
    </i>
    <i>
      <x v="1025"/>
    </i>
    <i>
      <x v="1026"/>
    </i>
    <i>
      <x v="546"/>
    </i>
    <i t="grand">
      <x/>
    </i>
  </rowItems>
  <colItems count="1">
    <i/>
  </colItems>
  <dataFields count="1">
    <dataField name="Average of Price per gram" fld="8" subtotal="average" baseField="0" baseItem="0"/>
  </dataFields>
  <formats count="1">
    <format dxfId="0">
      <pivotArea collapsedLevelsAreSubtotals="1" fieldPosition="0">
        <references count="1">
          <reference field="0" count="10">
            <x v="363"/>
            <x v="546"/>
            <x v="906"/>
            <x v="911"/>
            <x v="1025"/>
            <x v="1026"/>
            <x v="1116"/>
            <x v="1121"/>
            <x v="1122"/>
            <x v="1123"/>
          </reference>
        </references>
      </pivotArea>
    </format>
  </formats>
  <chartFormats count="3">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EEFE47-5DC5-4C5D-B7CC-0B993779A1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0:B11" firstHeaderRow="1" firstDataRow="1" firstDataCol="0"/>
  <pivotFields count="14">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showAll="0">
      <items count="6">
        <item x="2"/>
        <item x="1"/>
        <item x="0"/>
        <item x="3"/>
        <item x="4"/>
        <item t="default"/>
      </items>
    </pivotField>
  </pivotFields>
  <rowItems count="1">
    <i/>
  </rowItems>
  <colItems count="1">
    <i/>
  </colItems>
  <dataFields count="1">
    <dataField name="Average of Discount %" fld="3"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A258F0-C74F-474F-9B2A-27DCEA2A9177}"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O4:P7" firstHeaderRow="1" firstDataRow="1" firstDataCol="1"/>
  <pivotFields count="14">
    <pivotField dataField="1" showAll="0"/>
    <pivotField showAll="0"/>
    <pivotField showAll="0"/>
    <pivotField showAll="0"/>
    <pivotField showAll="0"/>
    <pivotField showAll="0"/>
    <pivotField showAll="0"/>
    <pivotField showAll="0"/>
    <pivotField showAll="0"/>
    <pivotField axis="axisRow" showAll="0">
      <items count="3">
        <item n="In Stock" x="0"/>
        <item n="Out of Stock"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showAll="0">
      <items count="6">
        <item x="2"/>
        <item x="1"/>
        <item x="0"/>
        <item x="3"/>
        <item x="4"/>
        <item t="default"/>
      </items>
    </pivotField>
  </pivotFields>
  <rowFields count="1">
    <field x="9"/>
  </rowFields>
  <rowItems count="3">
    <i>
      <x/>
    </i>
    <i>
      <x v="1"/>
    </i>
    <i t="grand">
      <x/>
    </i>
  </rowItems>
  <colItems count="1">
    <i/>
  </colItems>
  <dataFields count="1">
    <dataField name="Count of Product Name" fld="0" subtotal="count" baseField="0" baseItem="0"/>
  </dataFields>
  <chartFormats count="3">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9" count="1" selected="0">
            <x v="0"/>
          </reference>
        </references>
      </pivotArea>
    </chartFormat>
    <chartFormat chart="27"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812CBA-5D2A-4181-B666-809CCA5BC1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U4:V7" firstHeaderRow="1" firstDataRow="1" firstDataCol="1"/>
  <pivotFields count="14">
    <pivotField showAll="0"/>
    <pivotField showAll="0"/>
    <pivotField showAll="0"/>
    <pivotField dataField="1" showAll="0"/>
    <pivotField showAll="0"/>
    <pivotField showAll="0"/>
    <pivotField showAll="0"/>
    <pivotField showAll="0"/>
    <pivotField showAll="0"/>
    <pivotField axis="axisRow" showAll="0">
      <items count="3">
        <item n="In Stock" x="0"/>
        <item n="Out of Stock"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showAll="0">
      <items count="6">
        <item x="2"/>
        <item x="1"/>
        <item x="0"/>
        <item x="3"/>
        <item x="4"/>
        <item t="default"/>
      </items>
    </pivotField>
  </pivotFields>
  <rowFields count="1">
    <field x="9"/>
  </rowFields>
  <rowItems count="3">
    <i>
      <x/>
    </i>
    <i>
      <x v="1"/>
    </i>
    <i t="grand">
      <x/>
    </i>
  </rowItems>
  <colItems count="1">
    <i/>
  </colItems>
  <dataFields count="1">
    <dataField name="Average of Discount %" fld="3" subtotal="average" baseField="9"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08B215-3E9B-42C6-A348-2EEE8B335D29}"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23:C30" firstHeaderRow="1" firstDataRow="2" firstDataCol="1"/>
  <pivotFields count="14">
    <pivotField dataField="1"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axis="axisRow" showAll="0">
      <items count="6">
        <item x="2"/>
        <item x="1"/>
        <item x="0"/>
        <item x="3"/>
        <item x="4"/>
        <item t="default"/>
      </items>
    </pivotField>
  </pivotFields>
  <rowFields count="1">
    <field x="13"/>
  </rowFields>
  <rowItems count="6">
    <i>
      <x/>
    </i>
    <i>
      <x v="1"/>
    </i>
    <i>
      <x v="2"/>
    </i>
    <i>
      <x v="3"/>
    </i>
    <i>
      <x v="4"/>
    </i>
    <i t="grand">
      <x/>
    </i>
  </rowItems>
  <colFields count="1">
    <field x="9"/>
  </colFields>
  <colItems count="2">
    <i>
      <x/>
    </i>
    <i>
      <x v="1"/>
    </i>
  </colItems>
  <dataFields count="1">
    <dataField name="Count of Product Name" fld="0" subtotal="count" showDataAs="percentOfRow" baseField="0" baseItem="0" numFmtId="10"/>
  </dataFields>
  <chartFormats count="6">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3" count="1" selected="0">
            <x v="0"/>
          </reference>
        </references>
      </pivotArea>
    </chartFormat>
    <chartFormat chart="4" format="8">
      <pivotArea type="data" outline="0" fieldPosition="0">
        <references count="3">
          <reference field="4294967294" count="1" selected="0">
            <x v="0"/>
          </reference>
          <reference field="9" count="1" selected="0">
            <x v="0"/>
          </reference>
          <reference field="13" count="1" selected="0">
            <x v="0"/>
          </reference>
        </references>
      </pivotArea>
    </chartFormat>
    <chartFormat chart="4" format="9">
      <pivotArea type="data" outline="0" fieldPosition="0">
        <references count="3">
          <reference field="4294967294" count="1" selected="0">
            <x v="0"/>
          </reference>
          <reference field="9" count="1" selected="0">
            <x v="1"/>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FBAE4E-CDD5-432F-A897-1DAF515FA630}"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4:M8" firstHeaderRow="0" firstDataRow="1" firstDataCol="1"/>
  <pivotFields count="14">
    <pivotField dataField="1"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axis="axisRow" showAll="0">
      <items count="4">
        <item x="0"/>
        <item x="1"/>
        <item x="2"/>
        <item t="default"/>
      </items>
    </pivotField>
    <pivotField showAll="0">
      <items count="6">
        <item x="2"/>
        <item x="1"/>
        <item x="0"/>
        <item x="3"/>
        <item x="4"/>
        <item t="default"/>
      </items>
    </pivotField>
  </pivotFields>
  <rowFields count="1">
    <field x="12"/>
  </rowFields>
  <rowItems count="4">
    <i>
      <x/>
    </i>
    <i>
      <x v="1"/>
    </i>
    <i>
      <x v="2"/>
    </i>
    <i t="grand">
      <x/>
    </i>
  </rowItems>
  <colFields count="1">
    <field x="-2"/>
  </colFields>
  <colItems count="2">
    <i>
      <x/>
    </i>
    <i i="1">
      <x v="1"/>
    </i>
  </colItems>
  <dataFields count="2">
    <dataField name="Count of Product Name" fld="0" subtotal="count" showDataAs="percentOfTotal" baseField="0" baseItem="0" numFmtId="10"/>
    <dataField name="Average of Selling Price" fld="6" subtotal="average" baseField="12" baseItem="1" numFmtId="2"/>
  </dataFields>
  <formats count="2">
    <format dxfId="4">
      <pivotArea collapsedLevelsAreSubtotals="1" fieldPosition="0">
        <references count="2">
          <reference field="4294967294" count="1" selected="0">
            <x v="1"/>
          </reference>
          <reference field="12" count="1">
            <x v="0"/>
          </reference>
        </references>
      </pivotArea>
    </format>
    <format dxfId="3">
      <pivotArea outline="0" collapsedLevelsAreSubtotals="1" fieldPosition="0">
        <references count="1">
          <reference field="4294967294" count="1" selected="0">
            <x v="1"/>
          </reference>
        </references>
      </pivotArea>
    </format>
  </formats>
  <chartFormats count="2">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912429-9FF0-4C2F-9750-F37A8990FF4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4:F10" firstHeaderRow="1" firstDataRow="1" firstDataCol="1"/>
  <pivotFields count="14">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axis="axisRow" showAll="0">
      <items count="6">
        <item x="2"/>
        <item x="4"/>
        <item x="1"/>
        <item x="0"/>
        <item x="3"/>
        <item t="default"/>
      </items>
    </pivotField>
  </pivotFields>
  <rowFields count="1">
    <field x="13"/>
  </rowFields>
  <rowItems count="6">
    <i>
      <x/>
    </i>
    <i>
      <x v="1"/>
    </i>
    <i>
      <x v="2"/>
    </i>
    <i>
      <x v="3"/>
    </i>
    <i>
      <x v="4"/>
    </i>
    <i t="grand">
      <x/>
    </i>
  </rowItems>
  <colItems count="1">
    <i/>
  </colItems>
  <dataFields count="1">
    <dataField name="Count of Product Name" fld="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A4C613-83FA-4EE2-B2D9-E0DD2414C3A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4:I15" firstHeaderRow="1" firstDataRow="1" firstDataCol="1"/>
  <pivotFields count="14">
    <pivotField axis="axisRow" showAll="0" measureFilter="1" sortType="ascending">
      <items count="1707">
        <item x="1482"/>
        <item x="257"/>
        <item x="350"/>
        <item x="1584"/>
        <item x="1703"/>
        <item x="1701"/>
        <item x="1705"/>
        <item x="198"/>
        <item x="1695"/>
        <item x="363"/>
        <item x="330"/>
        <item x="179"/>
        <item x="331"/>
        <item x="269"/>
        <item x="358"/>
        <item x="169"/>
        <item x="481"/>
        <item x="193"/>
        <item x="113"/>
        <item x="264"/>
        <item x="333"/>
        <item x="406"/>
        <item x="480"/>
        <item x="175"/>
        <item x="225"/>
        <item x="227"/>
        <item x="299"/>
        <item x="182"/>
        <item x="432"/>
        <item x="294"/>
        <item x="172"/>
        <item x="276"/>
        <item x="401"/>
        <item x="226"/>
        <item x="555"/>
        <item x="223"/>
        <item x="479"/>
        <item x="335"/>
        <item x="291"/>
        <item x="290"/>
        <item x="1685"/>
        <item x="1691"/>
        <item x="1699"/>
        <item x="1696"/>
        <item x="1693"/>
        <item x="1692"/>
        <item x="1690"/>
        <item x="1697"/>
        <item x="1689"/>
        <item x="1436"/>
        <item x="102"/>
        <item x="517"/>
        <item x="378"/>
        <item x="877"/>
        <item x="391"/>
        <item x="514"/>
        <item x="107"/>
        <item x="122"/>
        <item x="131"/>
        <item x="883"/>
        <item x="94"/>
        <item x="512"/>
        <item x="494"/>
        <item x="1567"/>
        <item x="1558"/>
        <item x="1556"/>
        <item x="1579"/>
        <item x="1540"/>
        <item x="1573"/>
        <item x="42"/>
        <item x="1655"/>
        <item x="569"/>
        <item x="589"/>
        <item x="588"/>
        <item x="596"/>
        <item x="582"/>
        <item x="616"/>
        <item x="601"/>
        <item x="599"/>
        <item x="597"/>
        <item x="666"/>
        <item x="659"/>
        <item x="243"/>
        <item x="593"/>
        <item x="105"/>
        <item x="579"/>
        <item x="104"/>
        <item x="705"/>
        <item x="651"/>
        <item x="603"/>
        <item x="649"/>
        <item x="246"/>
        <item x="136"/>
        <item x="151"/>
        <item x="654"/>
        <item x="602"/>
        <item x="586"/>
        <item x="575"/>
        <item x="95"/>
        <item x="634"/>
        <item x="653"/>
        <item x="693"/>
        <item x="650"/>
        <item x="610"/>
        <item x="395"/>
        <item x="59"/>
        <item x="44"/>
        <item x="30"/>
        <item x="41"/>
        <item x="1596"/>
        <item x="140"/>
        <item x="96"/>
        <item x="92"/>
        <item x="1474"/>
        <item x="1452"/>
        <item x="1602"/>
        <item x="1531"/>
        <item x="1591"/>
        <item x="1559"/>
        <item x="1469"/>
        <item x="1528"/>
        <item x="75"/>
        <item x="1195"/>
        <item x="1191"/>
        <item x="47"/>
        <item x="38"/>
        <item x="762"/>
        <item x="904"/>
        <item x="859"/>
        <item x="933"/>
        <item x="869"/>
        <item x="916"/>
        <item x="841"/>
        <item x="1643"/>
        <item x="1429"/>
        <item x="1430"/>
        <item x="1045"/>
        <item x="756"/>
        <item x="24"/>
        <item x="76"/>
        <item x="71"/>
        <item x="73"/>
        <item x="10"/>
        <item x="61"/>
        <item x="1057"/>
        <item x="1119"/>
        <item x="1111"/>
        <item x="1007"/>
        <item x="1115"/>
        <item x="1078"/>
        <item x="1067"/>
        <item x="50"/>
        <item x="43"/>
        <item x="22"/>
        <item x="81"/>
        <item x="35"/>
        <item x="483"/>
        <item x="191"/>
        <item x="407"/>
        <item x="422"/>
        <item x="595"/>
        <item x="70"/>
        <item x="31"/>
        <item x="1366"/>
        <item x="1405"/>
        <item x="1392"/>
        <item x="462"/>
        <item x="192"/>
        <item x="371"/>
        <item x="484"/>
        <item x="155"/>
        <item x="389"/>
        <item x="23"/>
        <item x="27"/>
        <item x="32"/>
        <item x="572"/>
        <item x="1009"/>
        <item x="993"/>
        <item x="660"/>
        <item x="1013"/>
        <item x="1097"/>
        <item x="590"/>
        <item x="578"/>
        <item x="657"/>
        <item x="1094"/>
        <item x="581"/>
        <item x="1079"/>
        <item x="992"/>
        <item x="1060"/>
        <item x="1033"/>
        <item x="1026"/>
        <item x="1011"/>
        <item x="1069"/>
        <item x="997"/>
        <item x="996"/>
        <item x="573"/>
        <item x="1101"/>
        <item x="1100"/>
        <item x="1091"/>
        <item x="1002"/>
        <item x="1096"/>
        <item x="1099"/>
        <item x="585"/>
        <item x="1095"/>
        <item x="1113"/>
        <item x="995"/>
        <item x="1093"/>
        <item x="1112"/>
        <item x="1015"/>
        <item x="1085"/>
        <item x="1107"/>
        <item x="576"/>
        <item x="1083"/>
        <item x="1050"/>
        <item x="1028"/>
        <item x="1120"/>
        <item x="1110"/>
        <item x="570"/>
        <item x="1076"/>
        <item x="1003"/>
        <item x="1005"/>
        <item x="1051"/>
        <item x="1047"/>
        <item x="1056"/>
        <item x="1036"/>
        <item x="1024"/>
        <item x="1116"/>
        <item x="1043"/>
        <item x="1103"/>
        <item x="1010"/>
        <item x="18"/>
        <item x="16"/>
        <item x="1053"/>
        <item x="998"/>
        <item x="341"/>
        <item x="250"/>
        <item x="1114"/>
        <item x="1118"/>
        <item x="1030"/>
        <item x="1108"/>
        <item x="473"/>
        <item x="924"/>
        <item x="895"/>
        <item x="824"/>
        <item x="82"/>
        <item x="8"/>
        <item x="83"/>
        <item x="423"/>
        <item x="12"/>
        <item x="263"/>
        <item x="372"/>
        <item x="461"/>
        <item x="1503"/>
        <item x="1593"/>
        <item x="1510"/>
        <item x="1613"/>
        <item x="1471"/>
        <item x="1590"/>
        <item x="1489"/>
        <item x="1461"/>
        <item x="1597"/>
        <item x="1475"/>
        <item x="1462"/>
        <item x="1583"/>
        <item x="1610"/>
        <item x="1576"/>
        <item x="188"/>
        <item x="206"/>
        <item x="553"/>
        <item x="1594"/>
        <item x="1447"/>
        <item x="1552"/>
        <item x="1514"/>
        <item x="1563"/>
        <item x="1383"/>
        <item x="45"/>
        <item x="9"/>
        <item x="212"/>
        <item x="251"/>
        <item x="530"/>
        <item x="875"/>
        <item x="692"/>
        <item x="701"/>
        <item x="220"/>
        <item x="281"/>
        <item x="716"/>
        <item x="349"/>
        <item x="245"/>
        <item x="858"/>
        <item x="882"/>
        <item x="781"/>
        <item x="340"/>
        <item x="715"/>
        <item x="817"/>
        <item x="850"/>
        <item x="929"/>
        <item x="853"/>
        <item x="117"/>
        <item x="336"/>
        <item x="119"/>
        <item x="816"/>
        <item x="770"/>
        <item x="901"/>
        <item x="792"/>
        <item x="686"/>
        <item x="708"/>
        <item x="813"/>
        <item x="783"/>
        <item x="909"/>
        <item x="838"/>
        <item x="757"/>
        <item x="876"/>
        <item x="885"/>
        <item x="278"/>
        <item x="874"/>
        <item x="727"/>
        <item x="689"/>
        <item x="927"/>
        <item x="777"/>
        <item x="823"/>
        <item x="713"/>
        <item x="870"/>
        <item x="887"/>
        <item x="533"/>
        <item x="380"/>
        <item x="320"/>
        <item x="262"/>
        <item x="1321"/>
        <item x="1381"/>
        <item x="1344"/>
        <item x="1428"/>
        <item x="1168"/>
        <item x="1197"/>
        <item x="1184"/>
        <item x="1151"/>
        <item x="1125"/>
        <item x="39"/>
        <item x="25"/>
        <item x="1214"/>
        <item x="1132"/>
        <item x="1208"/>
        <item x="1367"/>
        <item x="1340"/>
        <item x="1135"/>
        <item x="1301"/>
        <item x="1204"/>
        <item x="1283"/>
        <item x="1188"/>
        <item x="1394"/>
        <item x="1300"/>
        <item x="1137"/>
        <item x="1306"/>
        <item x="1395"/>
        <item x="1130"/>
        <item x="1207"/>
        <item x="1127"/>
        <item x="1205"/>
        <item x="1186"/>
        <item x="1192"/>
        <item x="1435"/>
        <item x="1463"/>
        <item x="52"/>
        <item x="1615"/>
        <item x="1289"/>
        <item x="1678"/>
        <item x="1686"/>
        <item x="1682"/>
        <item x="1684"/>
        <item x="1680"/>
        <item x="1683"/>
        <item x="3"/>
        <item x="240"/>
        <item x="776"/>
        <item x="274"/>
        <item x="26"/>
        <item x="548"/>
        <item x="537"/>
        <item x="544"/>
        <item x="1667"/>
        <item x="348"/>
        <item x="338"/>
        <item x="1163"/>
        <item x="1673"/>
        <item x="1663"/>
        <item x="1651"/>
        <item x="1659"/>
        <item x="1654"/>
        <item x="1661"/>
        <item x="118"/>
        <item x="1419"/>
        <item x="1173"/>
        <item x="1245"/>
        <item x="1629"/>
        <item x="1650"/>
        <item x="1642"/>
        <item x="347"/>
        <item x="415"/>
        <item x="398"/>
        <item x="947"/>
        <item x="889"/>
        <item x="825"/>
        <item x="256"/>
        <item x="279"/>
        <item x="224"/>
        <item x="204"/>
        <item x="1676"/>
        <item x="252"/>
        <item x="1134"/>
        <item x="1671"/>
        <item x="1564"/>
        <item x="1623"/>
        <item x="1088"/>
        <item x="878"/>
        <item x="951"/>
        <item x="890"/>
        <item x="950"/>
        <item x="949"/>
        <item x="959"/>
        <item x="834"/>
        <item x="906"/>
        <item x="955"/>
        <item x="449"/>
        <item x="504"/>
        <item x="359"/>
        <item x="370"/>
        <item x="447"/>
        <item x="408"/>
        <item x="365"/>
        <item x="435"/>
        <item x="1439"/>
        <item x="1465"/>
        <item x="1630"/>
        <item x="1287"/>
        <item x="1604"/>
        <item x="1162"/>
        <item x="1141"/>
        <item x="1322"/>
        <item x="1290"/>
        <item x="1126"/>
        <item x="1140"/>
        <item x="1164"/>
        <item x="1416"/>
        <item x="1258"/>
        <item x="1128"/>
        <item x="1176"/>
        <item x="213"/>
        <item x="111"/>
        <item x="112"/>
        <item x="115"/>
        <item x="154"/>
        <item x="133"/>
        <item x="642"/>
        <item x="644"/>
        <item x="626"/>
        <item x="617"/>
        <item x="116"/>
        <item x="618"/>
        <item x="606"/>
        <item x="668"/>
        <item x="361"/>
        <item x="1537"/>
        <item x="1239"/>
        <item x="1284"/>
        <item x="1298"/>
        <item x="1249"/>
        <item x="1415"/>
        <item x="1404"/>
        <item x="1264"/>
        <item x="1158"/>
        <item x="1172"/>
        <item x="1414"/>
        <item x="1223"/>
        <item x="958"/>
        <item x="57"/>
        <item x="1087"/>
        <item x="1034"/>
        <item x="1098"/>
        <item x="994"/>
        <item x="1001"/>
        <item x="999"/>
        <item x="1004"/>
        <item x="1622"/>
        <item x="1621"/>
        <item x="1647"/>
        <item x="1648"/>
        <item x="1639"/>
        <item x="1641"/>
        <item x="1635"/>
        <item x="1627"/>
        <item x="1656"/>
        <item x="247"/>
        <item x="356"/>
        <item x="321"/>
        <item x="353"/>
        <item x="438"/>
        <item x="1375"/>
        <item x="1202"/>
        <item x="1198"/>
        <item x="1311"/>
        <item x="1256"/>
        <item x="1262"/>
        <item x="1349"/>
        <item x="1303"/>
        <item x="1320"/>
        <item x="1372"/>
        <item x="1222"/>
        <item x="1675"/>
        <item x="1636"/>
        <item x="1640"/>
        <item x="497"/>
        <item x="469"/>
        <item x="613"/>
        <item x="1619"/>
        <item x="1674"/>
        <item x="1620"/>
        <item x="609"/>
        <item x="587"/>
        <item x="591"/>
        <item x="1455"/>
        <item x="1446"/>
        <item x="1535"/>
        <item x="1467"/>
        <item x="1546"/>
        <item x="543"/>
        <item x="177"/>
        <item x="209"/>
        <item x="531"/>
        <item x="153"/>
        <item x="255"/>
        <item x="523"/>
        <item x="538"/>
        <item x="323"/>
        <item x="414"/>
        <item x="143"/>
        <item x="176"/>
        <item x="535"/>
        <item x="313"/>
        <item x="409"/>
        <item x="168"/>
        <item x="283"/>
        <item x="260"/>
        <item x="149"/>
        <item x="292"/>
        <item x="183"/>
        <item x="241"/>
        <item x="239"/>
        <item x="565"/>
        <item x="539"/>
        <item x="156"/>
        <item x="236"/>
        <item x="315"/>
        <item x="280"/>
        <item x="159"/>
        <item x="520"/>
        <item x="550"/>
        <item x="1374"/>
        <item x="1247"/>
        <item x="1263"/>
        <item x="1327"/>
        <item x="1221"/>
        <item x="696"/>
        <item x="706"/>
        <item x="1527"/>
        <item x="1479"/>
        <item x="1282"/>
        <item x="1275"/>
        <item x="1334"/>
        <item x="1268"/>
        <item x="1156"/>
        <item x="1358"/>
        <item x="1236"/>
        <item x="1180"/>
        <item x="1266"/>
        <item x="1307"/>
        <item x="894"/>
        <item x="845"/>
        <item x="508"/>
        <item x="799"/>
        <item x="1645"/>
        <item x="397"/>
        <item x="488"/>
        <item x="440"/>
        <item x="485"/>
        <item x="238"/>
        <item x="1338"/>
        <item x="1408"/>
        <item x="1413"/>
        <item x="519"/>
        <item x="142"/>
        <item x="127"/>
        <item x="100"/>
        <item x="139"/>
        <item x="141"/>
        <item x="145"/>
        <item x="108"/>
        <item x="99"/>
        <item x="93"/>
        <item x="965"/>
        <item x="985"/>
        <item x="987"/>
        <item x="971"/>
        <item x="981"/>
        <item x="980"/>
        <item x="643"/>
        <item x="633"/>
        <item x="1470"/>
        <item x="1532"/>
        <item x="1553"/>
        <item x="1508"/>
        <item x="1516"/>
        <item x="1601"/>
        <item x="1612"/>
        <item x="1448"/>
        <item x="1523"/>
        <item x="84"/>
        <item x="11"/>
        <item x="1200"/>
        <item x="1190"/>
        <item x="1385"/>
        <item x="1203"/>
        <item x="1483"/>
        <item x="1209"/>
        <item x="1323"/>
        <item x="1232"/>
        <item x="1159"/>
        <item x="1315"/>
        <item x="1391"/>
        <item x="1271"/>
        <item x="1333"/>
        <item x="1153"/>
        <item x="1157"/>
        <item x="1425"/>
        <item x="13"/>
        <item x="459"/>
        <item x="173"/>
        <item x="430"/>
        <item x="412"/>
        <item x="416"/>
        <item x="723"/>
        <item x="386"/>
        <item x="369"/>
        <item x="1145"/>
        <item x="614"/>
        <item x="664"/>
        <item x="608"/>
        <item x="639"/>
        <item x="632"/>
        <item x="604"/>
        <item x="635"/>
        <item x="620"/>
        <item x="621"/>
        <item x="638"/>
        <item x="1498"/>
        <item x="1473"/>
        <item x="1309"/>
        <item x="1570"/>
        <item x="1440"/>
        <item x="1495"/>
        <item x="1432"/>
        <item x="1211"/>
        <item x="1299"/>
        <item x="1244"/>
        <item x="1149"/>
        <item x="1213"/>
        <item x="1154"/>
        <item x="1147"/>
        <item x="1480"/>
        <item x="1605"/>
        <item x="1229"/>
        <item x="1424"/>
        <item x="1144"/>
        <item x="1294"/>
        <item x="1206"/>
        <item x="1161"/>
        <item x="988"/>
        <item x="964"/>
        <item x="962"/>
        <item x="969"/>
        <item x="966"/>
        <item x="976"/>
        <item x="982"/>
        <item x="979"/>
        <item x="978"/>
        <item x="970"/>
        <item x="960"/>
        <item x="973"/>
        <item x="930"/>
        <item x="564"/>
        <item x="750"/>
        <item x="237"/>
        <item x="328"/>
        <item x="312"/>
        <item x="1090"/>
        <item x="1507"/>
        <item x="574"/>
        <item x="132"/>
        <item x="124"/>
        <item x="120"/>
        <item x="146"/>
        <item x="40"/>
        <item x="67"/>
        <item x="1624"/>
        <item x="1212"/>
        <item x="413"/>
        <item x="270"/>
        <item x="163"/>
        <item x="1445"/>
        <item x="1443"/>
        <item x="1454"/>
        <item x="1477"/>
        <item x="1466"/>
        <item x="1450"/>
        <item x="1493"/>
        <item x="1529"/>
        <item x="1592"/>
        <item x="1167"/>
        <item x="1373"/>
        <item x="1390"/>
        <item x="1273"/>
        <item x="1250"/>
        <item x="1293"/>
        <item x="1196"/>
        <item x="1406"/>
        <item x="1487"/>
        <item x="215"/>
        <item x="325"/>
        <item x="221"/>
        <item x="475"/>
        <item x="311"/>
        <item x="392"/>
        <item x="954"/>
        <item x="367"/>
        <item x="836"/>
        <item x="388"/>
        <item x="200"/>
        <item x="1169"/>
        <item x="1265"/>
        <item x="1310"/>
        <item x="1272"/>
        <item x="1407"/>
        <item x="1235"/>
        <item x="1652"/>
        <item x="1412"/>
        <item x="1279"/>
        <item x="1318"/>
        <item x="1218"/>
        <item x="1351"/>
        <item x="1397"/>
        <item x="1353"/>
        <item x="1246"/>
        <item x="1313"/>
        <item x="1441"/>
        <item x="1449"/>
        <item x="1478"/>
        <item x="1670"/>
        <item x="583"/>
        <item x="571"/>
        <item x="90"/>
        <item x="674"/>
        <item x="580"/>
        <item x="675"/>
        <item x="554"/>
        <item x="1136"/>
        <item x="1631"/>
        <item x="425"/>
        <item x="952"/>
        <item x="795"/>
        <item x="833"/>
        <item x="772"/>
        <item x="743"/>
        <item x="396"/>
        <item x="855"/>
        <item x="453"/>
        <item x="811"/>
        <item x="441"/>
        <item x="1688"/>
        <item x="454"/>
        <item x="1317"/>
        <item x="1295"/>
        <item x="1185"/>
        <item x="1348"/>
        <item x="1238"/>
        <item x="1324"/>
        <item x="1175"/>
        <item x="1261"/>
        <item x="1314"/>
        <item x="1644"/>
        <item x="1653"/>
        <item x="1672"/>
        <item x="1049"/>
        <item x="782"/>
        <item x="839"/>
        <item x="785"/>
        <item x="790"/>
        <item x="769"/>
        <item x="794"/>
        <item x="935"/>
        <item x="797"/>
        <item x="856"/>
        <item x="819"/>
        <item x="744"/>
        <item x="789"/>
        <item x="944"/>
        <item x="830"/>
        <item x="714"/>
        <item x="775"/>
        <item x="768"/>
        <item x="888"/>
        <item x="847"/>
        <item x="867"/>
        <item x="759"/>
        <item x="784"/>
        <item x="735"/>
        <item x="854"/>
        <item x="804"/>
        <item x="871"/>
        <item x="1694"/>
        <item x="552"/>
        <item x="433"/>
        <item x="234"/>
        <item x="405"/>
        <item x="404"/>
        <item x="210"/>
        <item x="936"/>
        <item x="764"/>
        <item x="893"/>
        <item x="808"/>
        <item x="864"/>
        <item x="428"/>
        <item x="821"/>
        <item x="815"/>
        <item x="879"/>
        <item x="379"/>
        <item x="493"/>
        <item x="796"/>
        <item x="892"/>
        <item x="860"/>
        <item x="1499"/>
        <item x="763"/>
        <item x="788"/>
        <item x="932"/>
        <item x="886"/>
        <item x="934"/>
        <item x="4"/>
        <item x="1292"/>
        <item x="636"/>
        <item x="6"/>
        <item x="46"/>
        <item x="28"/>
        <item x="68"/>
        <item x="1143"/>
        <item x="697"/>
        <item x="941"/>
        <item x="724"/>
        <item x="937"/>
        <item x="1277"/>
        <item x="1335"/>
        <item x="1361"/>
        <item x="1142"/>
        <item x="1504"/>
        <item x="1476"/>
        <item x="1518"/>
        <item x="1554"/>
        <item x="1548"/>
        <item x="1545"/>
        <item x="1243"/>
        <item x="1369"/>
        <item x="1251"/>
        <item x="1253"/>
        <item x="1280"/>
        <item x="1241"/>
        <item x="1281"/>
        <item x="1400"/>
        <item x="1347"/>
        <item x="1220"/>
        <item x="1227"/>
        <item x="1365"/>
        <item x="1332"/>
        <item x="1278"/>
        <item x="1319"/>
        <item x="1165"/>
        <item x="1179"/>
        <item x="1006"/>
        <item x="1017"/>
        <item x="1066"/>
        <item x="1131"/>
        <item x="510"/>
        <item x="509"/>
        <item x="89"/>
        <item x="515"/>
        <item x="540"/>
        <item x="265"/>
        <item x="837"/>
        <item x="780"/>
        <item x="719"/>
        <item x="699"/>
        <item x="939"/>
        <item x="354"/>
        <item x="513"/>
        <item x="734"/>
        <item x="563"/>
        <item x="1217"/>
        <item x="1354"/>
        <item x="1257"/>
        <item x="1403"/>
        <item x="1252"/>
        <item x="1382"/>
        <item x="1308"/>
        <item x="1312"/>
        <item x="1411"/>
        <item x="1260"/>
        <item x="1433"/>
        <item x="1551"/>
        <item x="1582"/>
        <item x="1468"/>
        <item x="69"/>
        <item x="426"/>
        <item x="1210"/>
        <item x="1296"/>
        <item x="676"/>
        <item x="690"/>
        <item x="681"/>
        <item x="703"/>
        <item x="748"/>
        <item x="685"/>
        <item x="695"/>
        <item x="725"/>
        <item x="688"/>
        <item x="217"/>
        <item x="138"/>
        <item x="687"/>
        <item x="694"/>
        <item x="677"/>
        <item x="767"/>
        <item x="678"/>
        <item x="679"/>
        <item x="1077"/>
        <item x="1023"/>
        <item x="1075"/>
        <item x="17"/>
        <item x="21"/>
        <item x="48"/>
        <item x="872"/>
        <item x="844"/>
        <item x="919"/>
        <item x="805"/>
        <item x="85"/>
        <item x="1657"/>
        <item x="1633"/>
        <item x="1646"/>
        <item x="1658"/>
        <item x="1637"/>
        <item x="1437"/>
        <item x="1544"/>
        <item x="1511"/>
        <item x="567"/>
        <item x="566"/>
        <item x="568"/>
        <item x="818"/>
        <item x="938"/>
        <item x="846"/>
        <item x="820"/>
        <item x="806"/>
        <item x="884"/>
        <item x="751"/>
        <item x="953"/>
        <item x="942"/>
        <item x="244"/>
        <item x="362"/>
        <item x="778"/>
        <item x="896"/>
        <item x="758"/>
        <item x="945"/>
        <item x="852"/>
        <item x="946"/>
        <item x="285"/>
        <item x="746"/>
        <item x="1517"/>
        <item x="219"/>
        <item x="787"/>
        <item x="189"/>
        <item x="907"/>
        <item x="912"/>
        <item x="434"/>
        <item x="456"/>
        <item x="452"/>
        <item x="917"/>
        <item x="905"/>
        <item x="828"/>
        <item x="913"/>
        <item x="851"/>
        <item x="826"/>
        <item x="738"/>
        <item x="411"/>
        <item x="489"/>
        <item x="948"/>
        <item x="903"/>
        <item x="15"/>
        <item x="594"/>
        <item x="577"/>
        <item x="656"/>
        <item x="663"/>
        <item x="786"/>
        <item x="880"/>
        <item x="914"/>
        <item x="897"/>
        <item x="793"/>
        <item x="809"/>
        <item x="181"/>
        <item x="829"/>
        <item x="170"/>
        <item x="848"/>
        <item x="766"/>
        <item x="1364"/>
        <item x="1343"/>
        <item x="1183"/>
        <item x="730"/>
        <item x="1577"/>
        <item x="261"/>
        <item x="1370"/>
        <item x="1291"/>
        <item x="1363"/>
        <item x="1336"/>
        <item x="1215"/>
        <item x="1379"/>
        <item x="1181"/>
        <item x="1330"/>
        <item x="1242"/>
        <item x="1133"/>
        <item x="1288"/>
        <item x="1155"/>
        <item x="1401"/>
        <item x="1341"/>
        <item x="1226"/>
        <item x="1389"/>
        <item x="1148"/>
        <item x="1525"/>
        <item x="1512"/>
        <item x="1444"/>
        <item x="1609"/>
        <item x="1481"/>
        <item x="1561"/>
        <item x="1569"/>
        <item x="1488"/>
        <item x="1519"/>
        <item x="1534"/>
        <item x="1233"/>
        <item x="1393"/>
        <item x="1286"/>
        <item x="1177"/>
        <item x="446"/>
        <item x="322"/>
        <item x="1451"/>
        <item x="1586"/>
        <item x="1587"/>
        <item x="1464"/>
        <item x="1560"/>
        <item x="1562"/>
        <item x="1595"/>
        <item x="1502"/>
        <item x="1490"/>
        <item x="1566"/>
        <item x="1575"/>
        <item x="1598"/>
        <item x="464"/>
        <item x="457"/>
        <item x="490"/>
        <item x="266"/>
        <item x="492"/>
        <item x="507"/>
        <item x="503"/>
        <item x="0"/>
        <item x="1029"/>
        <item x="1121"/>
        <item x="1044"/>
        <item x="1072"/>
        <item x="1073"/>
        <item x="1062"/>
        <item x="1359"/>
        <item x="1216"/>
        <item x="1182"/>
        <item x="1270"/>
        <item x="1255"/>
        <item x="56"/>
        <item x="20"/>
        <item x="857"/>
        <item x="1669"/>
        <item x="1665"/>
        <item x="1666"/>
        <item x="1664"/>
        <item x="1201"/>
        <item x="1557"/>
        <item x="1500"/>
        <item x="1571"/>
        <item x="1521"/>
        <item x="1457"/>
        <item x="1574"/>
        <item x="1580"/>
        <item x="1491"/>
        <item x="1600"/>
        <item x="1515"/>
        <item x="1618"/>
        <item x="1530"/>
        <item x="1524"/>
        <item x="1059"/>
        <item x="1550"/>
        <item x="1578"/>
        <item x="1472"/>
        <item x="1497"/>
        <item x="1458"/>
        <item x="1496"/>
        <item x="1427"/>
        <item x="1160"/>
        <item x="1269"/>
        <item x="1402"/>
        <item x="1254"/>
        <item x="1398"/>
        <item x="1378"/>
        <item x="1387"/>
        <item x="1371"/>
        <item x="1377"/>
        <item x="1345"/>
        <item x="1225"/>
        <item x="1356"/>
        <item x="922"/>
        <item x="318"/>
        <item x="442"/>
        <item x="923"/>
        <item x="908"/>
        <item x="803"/>
        <item x="931"/>
        <item x="822"/>
        <item x="827"/>
        <item x="925"/>
        <item x="832"/>
        <item x="902"/>
        <item x="921"/>
        <item x="835"/>
        <item x="900"/>
        <item x="926"/>
        <item x="862"/>
        <item x="1352"/>
        <item x="1230"/>
        <item x="1304"/>
        <item x="1326"/>
        <item x="1337"/>
        <item x="1410"/>
        <item x="1384"/>
        <item x="1396"/>
        <item x="29"/>
        <item x="64"/>
        <item x="1417"/>
        <item x="1420"/>
        <item x="1174"/>
        <item x="134"/>
        <item x="1325"/>
        <item x="1061"/>
        <item x="1105"/>
        <item x="1081"/>
        <item x="1035"/>
        <item x="1020"/>
        <item x="1048"/>
        <item x="1000"/>
        <item x="1040"/>
        <item x="1122"/>
        <item x="1037"/>
        <item x="62"/>
        <item x="1124"/>
        <item x="542"/>
        <item x="1632"/>
        <item x="1342"/>
        <item x="1285"/>
        <item x="1228"/>
        <item x="1329"/>
        <item x="1240"/>
        <item x="560"/>
        <item x="1166"/>
        <item x="66"/>
        <item x="1138"/>
        <item x="1267"/>
        <item x="1152"/>
        <item x="928"/>
        <item x="779"/>
        <item x="891"/>
        <item x="920"/>
        <item x="898"/>
        <item x="940"/>
        <item x="791"/>
        <item x="1581"/>
        <item x="1555"/>
        <item x="284"/>
        <item x="230"/>
        <item x="152"/>
        <item x="214"/>
        <item x="324"/>
        <item x="216"/>
        <item x="352"/>
        <item x="474"/>
        <item x="670"/>
        <item x="466"/>
        <item x="298"/>
        <item x="60"/>
        <item x="55"/>
        <item x="36"/>
        <item x="65"/>
        <item x="1302"/>
        <item x="158"/>
        <item x="201"/>
        <item x="304"/>
        <item x="162"/>
        <item x="532"/>
        <item x="253"/>
        <item x="174"/>
        <item x="275"/>
        <item x="536"/>
        <item x="382"/>
        <item x="233"/>
        <item x="300"/>
        <item x="546"/>
        <item x="551"/>
        <item x="476"/>
        <item x="157"/>
        <item x="165"/>
        <item x="166"/>
        <item x="521"/>
        <item x="271"/>
        <item x="228"/>
        <item x="444"/>
        <item x="287"/>
        <item x="258"/>
        <item x="319"/>
        <item x="186"/>
        <item x="222"/>
        <item x="448"/>
        <item x="345"/>
        <item x="1698"/>
        <item x="429"/>
        <item x="199"/>
        <item x="231"/>
        <item x="332"/>
        <item x="399"/>
        <item x="402"/>
        <item x="232"/>
        <item x="310"/>
        <item x="254"/>
        <item x="185"/>
        <item x="147"/>
        <item x="381"/>
        <item x="160"/>
        <item x="346"/>
        <item x="360"/>
        <item x="307"/>
        <item x="248"/>
        <item x="123"/>
        <item x="403"/>
        <item x="541"/>
        <item x="202"/>
        <item x="374"/>
        <item x="465"/>
        <item x="383"/>
        <item x="293"/>
        <item x="516"/>
        <item x="235"/>
        <item x="308"/>
        <item x="135"/>
        <item x="387"/>
        <item x="327"/>
        <item x="420"/>
        <item x="144"/>
        <item x="106"/>
        <item x="486"/>
        <item x="351"/>
        <item x="273"/>
        <item x="126"/>
        <item x="418"/>
        <item x="267"/>
        <item x="329"/>
        <item x="559"/>
        <item x="545"/>
        <item x="445"/>
        <item x="482"/>
        <item x="373"/>
        <item x="161"/>
        <item x="525"/>
        <item x="171"/>
        <item x="431"/>
        <item x="339"/>
        <item x="109"/>
        <item x="385"/>
        <item x="103"/>
        <item x="303"/>
        <item x="458"/>
        <item x="357"/>
        <item x="211"/>
        <item x="242"/>
        <item x="5"/>
        <item x="342"/>
        <item x="460"/>
        <item x="455"/>
        <item x="436"/>
        <item x="375"/>
        <item x="376"/>
        <item x="505"/>
        <item x="491"/>
        <item x="450"/>
        <item x="468"/>
        <item x="502"/>
        <item x="496"/>
        <item x="443"/>
        <item x="334"/>
        <item x="344"/>
        <item x="343"/>
        <item x="451"/>
        <item x="368"/>
        <item x="472"/>
        <item x="478"/>
        <item x="394"/>
        <item x="671"/>
        <item x="842"/>
        <item x="737"/>
        <item x="645"/>
        <item x="1501"/>
        <item x="1438"/>
        <item x="1542"/>
        <item x="1687"/>
        <item x="1681"/>
        <item x="562"/>
        <item x="72"/>
        <item x="419"/>
        <item x="130"/>
        <item x="286"/>
        <item x="400"/>
        <item x="74"/>
        <item x="51"/>
        <item x="868"/>
        <item x="915"/>
        <item x="910"/>
        <item x="1409"/>
        <item x="63"/>
        <item x="1608"/>
        <item x="1606"/>
        <item x="1614"/>
        <item x="1585"/>
        <item x="630"/>
        <item x="622"/>
        <item x="625"/>
        <item x="640"/>
        <item x="641"/>
        <item x="673"/>
        <item x="627"/>
        <item x="471"/>
        <item x="259"/>
        <item x="605"/>
        <item x="272"/>
        <item x="79"/>
        <item x="88"/>
        <item x="87"/>
        <item x="86"/>
        <item x="384"/>
        <item x="101"/>
        <item x="337"/>
        <item x="137"/>
        <item x="98"/>
        <item x="180"/>
        <item x="534"/>
        <item x="197"/>
        <item x="128"/>
        <item x="249"/>
        <item x="1362"/>
        <item x="1331"/>
        <item x="19"/>
        <item x="390"/>
        <item x="190"/>
        <item x="314"/>
        <item x="500"/>
        <item x="355"/>
        <item x="326"/>
        <item x="511"/>
        <item x="218"/>
        <item x="129"/>
        <item x="364"/>
        <item x="527"/>
        <item x="524"/>
        <item x="1660"/>
        <item x="1638"/>
        <item x="1129"/>
        <item x="1187"/>
        <item x="1171"/>
        <item x="1634"/>
        <item x="1316"/>
        <item x="1679"/>
        <item x="1677"/>
        <item x="1617"/>
        <item x="1568"/>
        <item x="1588"/>
        <item x="1520"/>
        <item x="1484"/>
        <item x="1539"/>
        <item x="1536"/>
        <item x="1494"/>
        <item x="1543"/>
        <item x="1572"/>
        <item x="1505"/>
        <item x="1611"/>
        <item x="1276"/>
        <item x="1224"/>
        <item x="1421"/>
        <item x="1388"/>
        <item x="1146"/>
        <item x="1386"/>
        <item x="1492"/>
        <item x="1485"/>
        <item x="1513"/>
        <item x="1565"/>
        <item x="1522"/>
        <item x="1541"/>
        <item x="1547"/>
        <item x="1704"/>
        <item x="437"/>
        <item x="499"/>
        <item x="765"/>
        <item x="427"/>
        <item x="295"/>
        <item x="302"/>
        <item x="773"/>
        <item x="866"/>
        <item x="421"/>
        <item x="745"/>
        <item x="615"/>
        <item x="865"/>
        <item x="798"/>
        <item x="861"/>
        <item x="14"/>
        <item x="77"/>
        <item x="34"/>
        <item x="1355"/>
        <item x="1219"/>
        <item x="1297"/>
        <item x="1418"/>
        <item x="1426"/>
        <item x="1170"/>
        <item x="1376"/>
        <item x="277"/>
        <item x="377"/>
        <item x="297"/>
        <item x="498"/>
        <item x="558"/>
        <item x="607"/>
        <item x="624"/>
        <item x="619"/>
        <item x="661"/>
        <item x="672"/>
        <item x="600"/>
        <item x="669"/>
        <item x="463"/>
        <item x="506"/>
        <item x="289"/>
        <item x="477"/>
        <item x="810"/>
        <item x="918"/>
        <item x="229"/>
        <item x="1123"/>
        <item x="1016"/>
        <item x="1092"/>
        <item x="1008"/>
        <item x="1046"/>
        <item x="1086"/>
        <item x="1082"/>
        <item x="1031"/>
        <item x="1012"/>
        <item x="1109"/>
        <item x="1038"/>
        <item x="1018"/>
        <item x="1070"/>
        <item x="1106"/>
        <item x="557"/>
        <item x="732"/>
        <item x="282"/>
        <item x="187"/>
        <item x="720"/>
        <item x="268"/>
        <item x="288"/>
        <item x="1022"/>
        <item x="1274"/>
        <item x="1328"/>
        <item x="487"/>
        <item x="1589"/>
        <item x="1533"/>
        <item x="1459"/>
        <item x="1607"/>
        <item x="1456"/>
        <item x="1526"/>
        <item x="1538"/>
        <item x="1549"/>
        <item x="1453"/>
        <item x="1486"/>
        <item x="1434"/>
        <item x="1700"/>
        <item x="33"/>
        <item x="37"/>
        <item x="54"/>
        <item x="729"/>
        <item x="698"/>
        <item x="711"/>
        <item x="91"/>
        <item x="97"/>
        <item x="205"/>
        <item x="526"/>
        <item x="114"/>
        <item x="529"/>
        <item x="110"/>
        <item x="196"/>
        <item x="178"/>
        <item x="528"/>
        <item x="195"/>
        <item x="518"/>
        <item x="150"/>
        <item x="121"/>
        <item x="167"/>
        <item x="522"/>
        <item x="164"/>
        <item x="184"/>
        <item x="547"/>
        <item x="2"/>
        <item x="983"/>
        <item x="967"/>
        <item x="975"/>
        <item x="974"/>
        <item x="963"/>
        <item x="977"/>
        <item x="972"/>
        <item x="309"/>
        <item x="667"/>
        <item x="598"/>
        <item x="1080"/>
        <item x="1117"/>
        <item x="1027"/>
        <item x="1068"/>
        <item x="1084"/>
        <item x="1104"/>
        <item x="1042"/>
        <item x="1065"/>
        <item x="662"/>
        <item x="592"/>
        <item x="655"/>
        <item x="584"/>
        <item x="1089"/>
        <item x="652"/>
        <item x="1063"/>
        <item x="658"/>
        <item x="1074"/>
        <item x="1054"/>
        <item x="1014"/>
        <item x="1071"/>
        <item x="628"/>
        <item x="612"/>
        <item x="648"/>
        <item x="646"/>
        <item x="881"/>
        <item x="802"/>
        <item x="717"/>
        <item x="739"/>
        <item x="611"/>
        <item x="631"/>
        <item x="731"/>
        <item x="704"/>
        <item x="749"/>
        <item x="710"/>
        <item x="718"/>
        <item x="742"/>
        <item x="637"/>
        <item x="665"/>
        <item x="623"/>
        <item x="722"/>
        <item x="752"/>
        <item x="736"/>
        <item x="771"/>
        <item x="801"/>
        <item x="1509"/>
        <item x="207"/>
        <item x="53"/>
        <item x="1"/>
        <item x="410"/>
        <item x="1702"/>
        <item x="439"/>
        <item x="873"/>
        <item x="125"/>
        <item x="208"/>
        <item x="549"/>
        <item x="807"/>
        <item x="366"/>
        <item x="1199"/>
        <item x="1339"/>
        <item x="1616"/>
        <item x="684"/>
        <item x="1064"/>
        <item x="1039"/>
        <item x="1055"/>
        <item x="1102"/>
        <item x="1052"/>
        <item x="1021"/>
        <item x="712"/>
        <item x="1025"/>
        <item x="1058"/>
        <item x="1041"/>
        <item x="1032"/>
        <item x="1019"/>
        <item x="1460"/>
        <item x="1506"/>
        <item x="1346"/>
        <item x="1399"/>
        <item x="1357"/>
        <item x="1139"/>
        <item x="800"/>
        <item x="814"/>
        <item x="721"/>
        <item x="707"/>
        <item x="682"/>
        <item x="740"/>
        <item x="943"/>
        <item x="831"/>
        <item x="747"/>
        <item x="683"/>
        <item x="899"/>
        <item x="728"/>
        <item x="760"/>
        <item x="843"/>
        <item x="754"/>
        <item x="761"/>
        <item x="849"/>
        <item x="1360"/>
        <item x="1231"/>
        <item x="1368"/>
        <item x="1178"/>
        <item x="1150"/>
        <item x="1668"/>
        <item x="1626"/>
        <item x="1662"/>
        <item x="1628"/>
        <item x="1603"/>
        <item x="1442"/>
        <item x="7"/>
        <item x="203"/>
        <item x="148"/>
        <item x="317"/>
        <item x="424"/>
        <item x="495"/>
        <item x="417"/>
        <item x="316"/>
        <item x="561"/>
        <item x="467"/>
        <item x="296"/>
        <item x="194"/>
        <item x="393"/>
        <item x="501"/>
        <item x="306"/>
        <item x="305"/>
        <item x="691"/>
        <item x="1599"/>
        <item x="863"/>
        <item x="700"/>
        <item x="680"/>
        <item x="702"/>
        <item x="1431"/>
        <item x="1422"/>
        <item x="1194"/>
        <item x="1305"/>
        <item x="1423"/>
        <item x="1248"/>
        <item x="1350"/>
        <item x="1193"/>
        <item x="1237"/>
        <item x="1234"/>
        <item x="1189"/>
        <item x="733"/>
        <item x="774"/>
        <item x="812"/>
        <item x="1259"/>
        <item x="1380"/>
        <item x="741"/>
        <item x="753"/>
        <item x="709"/>
        <item x="726"/>
        <item x="647"/>
        <item x="629"/>
        <item x="755"/>
        <item x="957"/>
        <item x="840"/>
        <item x="470"/>
        <item x="956"/>
        <item x="911"/>
        <item x="78"/>
        <item x="80"/>
        <item x="1625"/>
        <item x="1649"/>
        <item x="961"/>
        <item x="986"/>
        <item x="991"/>
        <item x="556"/>
        <item x="990"/>
        <item x="984"/>
        <item x="989"/>
        <item x="301"/>
        <item x="968"/>
        <item x="49"/>
        <item x="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dataField="1" showAll="0"/>
    <pivotField showAll="0"/>
    <pivotField showAll="0">
      <items count="6">
        <item x="2"/>
        <item x="1"/>
        <item x="0"/>
        <item x="3"/>
        <item x="4"/>
        <item t="default"/>
      </items>
    </pivotField>
  </pivotFields>
  <rowFields count="1">
    <field x="0"/>
  </rowFields>
  <rowItems count="11">
    <i>
      <x v="1120"/>
    </i>
    <i>
      <x v="1347"/>
    </i>
    <i>
      <x v="1122"/>
    </i>
    <i>
      <x v="1123"/>
    </i>
    <i>
      <x v="447"/>
    </i>
    <i>
      <x v="1117"/>
    </i>
    <i>
      <x v="795"/>
    </i>
    <i>
      <x v="1221"/>
    </i>
    <i>
      <x v="1119"/>
    </i>
    <i>
      <x v="169"/>
    </i>
    <i t="grand">
      <x/>
    </i>
  </rowItems>
  <colItems count="1">
    <i/>
  </colItems>
  <dataFields count="1">
    <dataField name="Sum of Discount Amount" fld="11"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5C9567-C0CC-41E5-AC3B-752A3F6E7809}" name="PivotTable4"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9">
  <location ref="B7:B8" firstHeaderRow="1" firstDataRow="1" firstDataCol="0"/>
  <pivotFields count="14">
    <pivotField showAll="0"/>
    <pivotField showAll="0"/>
    <pivotField dataField="1" showAll="0"/>
    <pivotField showAll="0"/>
    <pivotField showAll="0"/>
    <pivotField showAll="0"/>
    <pivotField showAll="0"/>
    <pivotField showAll="0"/>
    <pivotField showAll="0"/>
    <pivotField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showAll="0">
      <items count="6">
        <item x="2"/>
        <item x="1"/>
        <item x="0"/>
        <item x="3"/>
        <item x="4"/>
        <item t="default"/>
      </items>
    </pivotField>
  </pivotFields>
  <rowItems count="1">
    <i/>
  </rowItems>
  <colItems count="1">
    <i/>
  </colItems>
  <dataFields count="1">
    <dataField name="Average of MRP" fld="2" subtotal="average" baseField="0" baseItem="0" numFmtId="4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EA6D61-2567-4AAB-B3F4-106CBF966E7F}" name="PivotTable2" cacheId="0" applyNumberFormats="0" applyBorderFormats="0" applyFontFormats="0" applyPatternFormats="0" applyAlignmentFormats="0" applyWidthHeightFormats="1" dataCaption="Values" errorCaption="0" showError="1" missingCaption="0" updatedVersion="8" minRefreshableVersion="3" useAutoFormatting="1" itemPrintTitles="1" createdVersion="8" indent="0" outline="1" outlineData="1" multipleFieldFilters="0" chartFormat="9">
  <location ref="B18:B19" firstHeaderRow="1" firstDataRow="1" firstDataCol="0"/>
  <pivotFields count="14">
    <pivotField showAll="0"/>
    <pivotField showAll="0"/>
    <pivotField showAll="0"/>
    <pivotField showAll="0"/>
    <pivotField showAll="0"/>
    <pivotField showAll="0"/>
    <pivotField dataField="1" showAll="0"/>
    <pivotField showAll="0"/>
    <pivotField showAll="0"/>
    <pivotField showAll="0">
      <items count="3">
        <item x="0"/>
        <item x="1"/>
        <item t="default"/>
      </items>
    </pivotField>
    <pivotField showAll="0">
      <items count="146">
        <item x="65"/>
        <item x="0"/>
        <item x="9"/>
        <item x="6"/>
        <item x="7"/>
        <item x="13"/>
        <item x="4"/>
        <item x="124"/>
        <item x="137"/>
        <item x="28"/>
        <item x="14"/>
        <item x="12"/>
        <item x="55"/>
        <item x="74"/>
        <item x="121"/>
        <item x="29"/>
        <item x="84"/>
        <item x="27"/>
        <item x="135"/>
        <item x="79"/>
        <item x="61"/>
        <item x="60"/>
        <item x="52"/>
        <item x="17"/>
        <item x="23"/>
        <item x="37"/>
        <item x="85"/>
        <item x="126"/>
        <item x="46"/>
        <item x="31"/>
        <item x="117"/>
        <item x="32"/>
        <item x="8"/>
        <item x="77"/>
        <item x="90"/>
        <item x="36"/>
        <item x="99"/>
        <item x="114"/>
        <item x="111"/>
        <item x="16"/>
        <item x="128"/>
        <item x="33"/>
        <item x="115"/>
        <item x="11"/>
        <item x="62"/>
        <item x="38"/>
        <item x="57"/>
        <item x="132"/>
        <item x="30"/>
        <item x="133"/>
        <item x="67"/>
        <item x="131"/>
        <item x="39"/>
        <item x="144"/>
        <item x="143"/>
        <item x="1"/>
        <item x="51"/>
        <item x="122"/>
        <item x="96"/>
        <item x="69"/>
        <item x="119"/>
        <item x="83"/>
        <item x="138"/>
        <item x="70"/>
        <item x="34"/>
        <item x="109"/>
        <item x="40"/>
        <item x="48"/>
        <item x="71"/>
        <item x="24"/>
        <item x="113"/>
        <item x="80"/>
        <item x="127"/>
        <item x="94"/>
        <item x="49"/>
        <item x="112"/>
        <item x="82"/>
        <item x="130"/>
        <item x="134"/>
        <item x="129"/>
        <item x="3"/>
        <item x="93"/>
        <item x="141"/>
        <item x="21"/>
        <item x="103"/>
        <item x="19"/>
        <item x="104"/>
        <item x="139"/>
        <item x="2"/>
        <item x="20"/>
        <item x="50"/>
        <item x="44"/>
        <item x="56"/>
        <item x="81"/>
        <item x="116"/>
        <item x="22"/>
        <item x="43"/>
        <item x="105"/>
        <item x="10"/>
        <item x="87"/>
        <item x="68"/>
        <item x="95"/>
        <item x="118"/>
        <item x="98"/>
        <item x="66"/>
        <item x="41"/>
        <item x="75"/>
        <item x="91"/>
        <item x="18"/>
        <item x="35"/>
        <item x="58"/>
        <item x="72"/>
        <item x="123"/>
        <item x="73"/>
        <item x="78"/>
        <item x="97"/>
        <item x="106"/>
        <item x="15"/>
        <item x="89"/>
        <item x="59"/>
        <item x="86"/>
        <item x="5"/>
        <item x="47"/>
        <item x="42"/>
        <item x="64"/>
        <item x="110"/>
        <item x="63"/>
        <item x="25"/>
        <item x="120"/>
        <item x="102"/>
        <item x="100"/>
        <item x="26"/>
        <item x="101"/>
        <item x="45"/>
        <item x="107"/>
        <item x="108"/>
        <item x="142"/>
        <item x="88"/>
        <item x="53"/>
        <item x="54"/>
        <item x="136"/>
        <item x="140"/>
        <item x="76"/>
        <item x="92"/>
        <item x="125"/>
        <item t="default"/>
      </items>
    </pivotField>
    <pivotField showAll="0"/>
    <pivotField showAll="0">
      <items count="4">
        <item x="2"/>
        <item x="0"/>
        <item x="1"/>
        <item t="default"/>
      </items>
    </pivotField>
    <pivotField showAll="0">
      <items count="6">
        <item x="2"/>
        <item x="1"/>
        <item x="0"/>
        <item x="3"/>
        <item x="4"/>
        <item t="default"/>
      </items>
    </pivotField>
  </pivotFields>
  <rowItems count="1">
    <i/>
  </rowItems>
  <colItems count="1">
    <i/>
  </colItems>
  <dataFields count="1">
    <dataField name="Average of Selling Price" fld="6" subtotal="average" baseField="0" baseItem="0" numFmtId="4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1" xr10:uid="{C22673E4-C6EB-4B50-8EE5-5FC888438D9E}" sourceName="Discount Band">
  <pivotTables>
    <pivotTable tabId="23" name="PivotTable17"/>
    <pivotTable tabId="23" name="PivotTable1"/>
    <pivotTable tabId="23" name="PivotTable2"/>
    <pivotTable tabId="23" name="PivotTable3"/>
    <pivotTable tabId="23" name="PivotTable4"/>
    <pivotTable tabId="23" name="PivotTable22"/>
    <pivotTable tabId="23" name="PivotTable23"/>
    <pivotTable tabId="23" name="PivotTable24"/>
    <pivotTable tabId="23" name="PivotTable25"/>
    <pivotTable tabId="23" name="PivotTable7"/>
    <pivotTable tabId="23" name="PivotTable5"/>
  </pivotTables>
  <data>
    <tabular pivotCacheId="1063643471" customListSort="0" showMissing="0">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Band1" xr10:uid="{09CDC251-4238-4FF5-B0AD-AB4F9E5B7CEB}" sourceName="Price Band">
  <pivotTables>
    <pivotTable tabId="23" name="PivotTable17"/>
    <pivotTable tabId="23" name="PivotTable1"/>
    <pivotTable tabId="23" name="PivotTable2"/>
    <pivotTable tabId="23" name="PivotTable3"/>
    <pivotTable tabId="23" name="PivotTable4"/>
    <pivotTable tabId="23" name="PivotTable23"/>
    <pivotTable tabId="23" name="PivotTable24"/>
    <pivotTable tabId="23" name="PivotTable25"/>
    <pivotTable tabId="23" name="PivotTable7"/>
    <pivotTable tabId="23" name="PivotTable5"/>
  </pivotTables>
  <data>
    <tabular pivotCacheId="106364347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_Of_Stock" xr10:uid="{3E363386-2F14-49CB-87FD-F578830A2021}" sourceName="Out Of Stock">
  <pivotTables>
    <pivotTable tabId="23" name="PivotTable22"/>
    <pivotTable tabId="23" name="PivotTable1"/>
    <pivotTable tabId="23" name="PivotTable17"/>
    <pivotTable tabId="23" name="PivotTable2"/>
    <pivotTable tabId="23" name="PivotTable23"/>
    <pivotTable tabId="23" name="PivotTable24"/>
    <pivotTable tabId="23" name="PivotTable25"/>
    <pivotTable tabId="23" name="PivotTable3"/>
    <pivotTable tabId="23" name="PivotTable4"/>
    <pivotTable tabId="23" name="PivotTable7"/>
    <pivotTable tabId="23" name="PivotTable5"/>
  </pivotTables>
  <data>
    <tabular pivotCacheId="10636434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1" xr10:uid="{6A5BA2DE-4B0B-417A-A577-6FBF484ECAAA}" cache="Slicer_Discount_Band1" caption="Discount Band" style="SlicerStyleDark4" rowHeight="241300"/>
  <slicer name="Price Band 1" xr10:uid="{38F39FE1-2F63-4DE5-9943-EBE88B9ACE29}" cache="Slicer_Price_Band1" caption="Price Band" style="SlicerStyleDark4" rowHeight="241300"/>
  <slicer name="Out Of Stock 1" xr10:uid="{EFBBFADA-9659-4C79-A11F-AAF3290B16EE}" cache="Slicer_Out_Of_Stock" caption="Out Of Stock"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A4CCA9-A8C2-4F03-A02E-732C893BC6CC}" name="Full_Data" displayName="Full_Data" ref="A1:S1831" totalsRowShown="0" headerRowDxfId="14">
  <autoFilter ref="A1:S1831" xr:uid="{22A4CCA9-A8C2-4F03-A02E-732C893BC6CC}"/>
  <tableColumns count="19">
    <tableColumn id="1" xr3:uid="{04117ADF-26B6-486E-8BE0-7C3B5814655B}" name="Product Name"/>
    <tableColumn id="2" xr3:uid="{38379A23-3F2B-4AFC-844E-06A689AB7C71}" name="original MRP"/>
    <tableColumn id="3" xr3:uid="{A253EF6B-4937-46CE-A82E-0679412A994A}" name="MRP">
      <calculatedColumnFormula>B2/100</calculatedColumnFormula>
    </tableColumn>
    <tableColumn id="4" xr3:uid="{EB8BACEF-1E00-49AF-A8A2-F948DD74A5BD}" name="Discount %"/>
    <tableColumn id="5" xr3:uid="{CFEF8F07-5DCA-408C-B02D-0C0B3D38184A}" name="Available Quantity"/>
    <tableColumn id="6" xr3:uid="{BEACA771-2C50-44B7-AD82-8940E872AB83}" name="discountedSellingPrice"/>
    <tableColumn id="7" xr3:uid="{1C9D14DA-4CEC-45B3-AB4B-0DACB2B74B26}" name="Selling Price">
      <calculatedColumnFormula>F2/100</calculatedColumnFormula>
    </tableColumn>
    <tableColumn id="8" xr3:uid="{0C3A92D9-4D56-4D55-8323-3D4BCDCB2C04}" name="Weight (g)"/>
    <tableColumn id="13" xr3:uid="{27DBC53A-98FB-4A8F-9ED8-534884A9E390}" name="Price per gram" dataDxfId="13">
      <calculatedColumnFormula>Full_Data[[#This Row],[Selling Price]]/Full_Data[[#This Row],[Weight (g)]]</calculatedColumnFormula>
    </tableColumn>
    <tableColumn id="9" xr3:uid="{C3B3ACFB-DA51-409A-A391-B6277187AC1A}" name="Out Of Stock"/>
    <tableColumn id="10" xr3:uid="{B17A3739-44F3-4BAA-8FAF-40212FF07A96}" name="Quantity"/>
    <tableColumn id="11" xr3:uid="{9091FBCF-2D57-470C-B3A2-874775F44FC7}" name="Discount Amount">
      <calculatedColumnFormula>C2-G2</calculatedColumnFormula>
    </tableColumn>
    <tableColumn id="14" xr3:uid="{68A09A3A-D143-480E-8E8C-3A6C505512C5}" name="Price Band" dataDxfId="12">
      <calculatedColumnFormula>IF(G2&lt;50,"Low",IF(G2&lt;200,"Medium","High"))</calculatedColumnFormula>
    </tableColumn>
    <tableColumn id="12" xr3:uid="{6FBA5CFB-47A6-431C-A439-42B806D8EA12}" name="Discount Band">
      <calculatedColumnFormula>IF(D2&lt;=5,"0-5%",
IF(D2&lt;=10,"6-10%",
IF(D2&lt;=15,"11-15%",
IF(D2&lt;=20,"16-20%","21%+"))))</calculatedColumnFormula>
    </tableColumn>
    <tableColumn id="15" xr3:uid="{D80AFD13-C2E5-4946-B09B-05FC4FD286B5}" name="Data Quality Flag" dataDxfId="11">
      <calculatedColumnFormula>IF(AND(C2=0,G2=0),"Review: Zero MRP and selling price",IF(C2&lt;=0,"Review: Invalid MRP",IF(G2&lt;0,"Review: Negative selling price",IF(G2=0,"Review: Zero selling price",IF(H2&lt;=0,"Review: Invalid weight","OK")))))</calculatedColumnFormula>
    </tableColumn>
    <tableColumn id="20" xr3:uid="{4E15709C-AE13-4A2E-A5EC-36687CE4138B}" name="Calculated Price per gram" dataDxfId="10">
      <calculatedColumnFormula>IFERROR(Full_Data!G2/Full_Data!H2,"Check data")</calculatedColumnFormula>
    </tableColumn>
    <tableColumn id="22" xr3:uid="{712C72FD-AB76-46BE-8666-E47420FCD7B7}" name="PPG Validation" dataDxfId="9">
      <calculatedColumnFormula>IF(OR(H2="",H2&lt;=0),"Invalid weight",IF(G2="","Missing selling price",IF(ROUND(G2/H2,2)=ROUND(I2,2),"Match","Mismatch")))</calculatedColumnFormula>
    </tableColumn>
    <tableColumn id="16" xr3:uid="{0312F4BA-DA91-4100-B393-EB30E53CFD33}" name="Discount Validation" dataDxfId="8">
      <calculatedColumnFormula>IF(OR(C2&lt;=0,G2=""),"Check data",IF(ROUND((C2-G2)/C2*100,2)=ROUND(D2,2),"Match","Mismatch"))</calculatedColumnFormula>
    </tableColumn>
    <tableColumn id="17" xr3:uid="{4CD82016-06D8-473D-8D1F-080772483450}" name="Discount Validation — Whole %" dataDxfId="7">
      <calculatedColumnFormula>IF(OR(C2&lt;=0,G2=""),"Check data",IF(ROUND((C2-G2)/C2*100,0)=D2,"Match","Mismatch"))</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01ECD-4D98-48F3-B99A-0EC812624D3C}">
  <sheetPr codeName="Sheet2"/>
  <dimension ref="A1:S1831"/>
  <sheetViews>
    <sheetView topLeftCell="G1" zoomScaleNormal="100" workbookViewId="0">
      <selection activeCell="M8" sqref="M8"/>
    </sheetView>
  </sheetViews>
  <sheetFormatPr defaultRowHeight="15" x14ac:dyDescent="0.25"/>
  <cols>
    <col min="1" max="1" width="88.140625" bestFit="1" customWidth="1"/>
    <col min="2" max="2" width="16.85546875" bestFit="1" customWidth="1"/>
    <col min="3" max="3" width="9.85546875" customWidth="1"/>
    <col min="4" max="4" width="17.5703125" customWidth="1"/>
    <col min="5" max="5" width="22.28515625" bestFit="1" customWidth="1"/>
    <col min="6" max="6" width="26.28515625" bestFit="1" customWidth="1"/>
    <col min="7" max="7" width="21.7109375" customWidth="1"/>
    <col min="8" max="9" width="15" customWidth="1"/>
    <col min="10" max="10" width="13" customWidth="1"/>
    <col min="11" max="11" width="10.5703125" customWidth="1"/>
    <col min="12" max="13" width="18" customWidth="1"/>
    <col min="14" max="14" width="15.7109375" customWidth="1"/>
    <col min="15" max="15" width="17.5703125" bestFit="1" customWidth="1"/>
    <col min="16" max="16" width="28.42578125" bestFit="1" customWidth="1"/>
    <col min="17" max="17" width="19" bestFit="1" customWidth="1"/>
    <col min="18" max="18" width="23.140625" bestFit="1" customWidth="1"/>
    <col min="19" max="19" width="34.42578125" bestFit="1" customWidth="1"/>
  </cols>
  <sheetData>
    <row r="1" spans="1:19" x14ac:dyDescent="0.25">
      <c r="A1" s="2" t="s">
        <v>1725</v>
      </c>
      <c r="B1" s="2" t="s">
        <v>1727</v>
      </c>
      <c r="C1" s="2" t="s">
        <v>1726</v>
      </c>
      <c r="D1" s="2" t="s">
        <v>1724</v>
      </c>
      <c r="E1" s="2" t="s">
        <v>1736</v>
      </c>
      <c r="F1" s="1" t="s">
        <v>4</v>
      </c>
      <c r="G1" s="2" t="s">
        <v>1728</v>
      </c>
      <c r="H1" s="2" t="s">
        <v>1729</v>
      </c>
      <c r="I1" s="2" t="s">
        <v>1721</v>
      </c>
      <c r="J1" s="2" t="s">
        <v>1730</v>
      </c>
      <c r="K1" s="2" t="s">
        <v>1731</v>
      </c>
      <c r="L1" s="3" t="s">
        <v>1737</v>
      </c>
      <c r="M1" s="3" t="s">
        <v>1723</v>
      </c>
      <c r="N1" s="3" t="s">
        <v>1720</v>
      </c>
      <c r="O1" s="10" t="s">
        <v>1762</v>
      </c>
      <c r="P1" s="3" t="s">
        <v>1772</v>
      </c>
      <c r="Q1" s="3" t="s">
        <v>1773</v>
      </c>
      <c r="R1" s="10" t="s">
        <v>1781</v>
      </c>
      <c r="S1" s="10" t="s">
        <v>1785</v>
      </c>
    </row>
    <row r="2" spans="1:19" x14ac:dyDescent="0.25">
      <c r="A2" t="s">
        <v>8</v>
      </c>
      <c r="B2">
        <v>2500</v>
      </c>
      <c r="C2">
        <f>B2/100</f>
        <v>25</v>
      </c>
      <c r="D2">
        <v>16</v>
      </c>
      <c r="E2">
        <v>3</v>
      </c>
      <c r="F2">
        <v>2100</v>
      </c>
      <c r="G2">
        <f t="shared" ref="G2:G65" si="0">F2/100</f>
        <v>21</v>
      </c>
      <c r="H2">
        <v>1000</v>
      </c>
      <c r="I2" s="4">
        <f>Full_Data[[#This Row],[Selling Price]]/Full_Data[[#This Row],[Weight (g)]]</f>
        <v>2.1000000000000001E-2</v>
      </c>
      <c r="J2" t="b">
        <v>0</v>
      </c>
      <c r="K2">
        <v>1</v>
      </c>
      <c r="L2">
        <f t="shared" ref="L2:L65" si="1">C2-G2</f>
        <v>4</v>
      </c>
      <c r="M2" t="str">
        <f t="shared" ref="M2:M65" si="2">IF(G2&lt;50,"Low",IF(G2&lt;200,"Medium","High"))</f>
        <v>Low</v>
      </c>
      <c r="N2" t="str">
        <f t="shared" ref="N2:N65" si="3">IF(D2&lt;=5,"0-5%",
IF(D2&lt;=10,"6-10%",
IF(D2&lt;=15,"11-15%",
IF(D2&lt;=20,"16-20%","21%+"))))</f>
        <v>16-20%</v>
      </c>
      <c r="O2" t="str">
        <f>IF(AND(C2=0,G2=0),"Review: Zero MRP and selling price",IF(C2&lt;=0,"Review: Invalid MRP",IF(G2&lt;0,"Review: Negative selling price",IF(G2=0,"Review: Zero selling price",IF(H2&lt;=0,"Review: Invalid weight","OK")))))</f>
        <v>OK</v>
      </c>
      <c r="P2">
        <f>IFERROR(Full_Data!G2/Full_Data!H2,"Check data")</f>
        <v>2.1000000000000001E-2</v>
      </c>
      <c r="Q2" t="str">
        <f t="shared" ref="Q2:Q65" si="4">IF(OR(H2="",H2&lt;=0),"Invalid weight",IF(G2="","Missing selling price",IF(ROUND(G2/H2,2)=ROUND(I2,2),"Match","Mismatch")))</f>
        <v>Match</v>
      </c>
      <c r="R2" t="str">
        <f t="shared" ref="R2:R65" si="5">IF(OR(C2&lt;=0,G2=""),"Check data",IF(ROUND((C2-G2)/C2*100,2)=ROUND(D2,2),"Match","Mismatch"))</f>
        <v>Match</v>
      </c>
      <c r="S2" t="str">
        <f t="shared" ref="S2:S65" si="6">IF(OR(C2&lt;=0,G2=""),"Check data",IF(ROUND((C2-G2)/C2*100,0)=D2,"Match","Mismatch"))</f>
        <v>Match</v>
      </c>
    </row>
    <row r="3" spans="1:19" x14ac:dyDescent="0.25">
      <c r="A3" t="s">
        <v>9</v>
      </c>
      <c r="B3">
        <v>4200</v>
      </c>
      <c r="C3">
        <f t="shared" ref="C3:C66" si="7">B3/100</f>
        <v>42</v>
      </c>
      <c r="D3">
        <v>16</v>
      </c>
      <c r="E3">
        <v>3</v>
      </c>
      <c r="F3">
        <v>3500</v>
      </c>
      <c r="G3">
        <f t="shared" si="0"/>
        <v>35</v>
      </c>
      <c r="H3">
        <v>1000</v>
      </c>
      <c r="I3" s="4">
        <f>Full_Data[[#This Row],[Selling Price]]/Full_Data[[#This Row],[Weight (g)]]</f>
        <v>3.5000000000000003E-2</v>
      </c>
      <c r="J3" t="b">
        <v>0</v>
      </c>
      <c r="K3">
        <v>1</v>
      </c>
      <c r="L3">
        <f t="shared" si="1"/>
        <v>7</v>
      </c>
      <c r="M3" t="str">
        <f t="shared" si="2"/>
        <v>Low</v>
      </c>
      <c r="N3" t="str">
        <f t="shared" si="3"/>
        <v>16-20%</v>
      </c>
      <c r="O3" t="str">
        <f t="shared" ref="O3:O65" si="8">IF(AND(C3=0,G3=0),"Review: Zero MRP and selling price",IF(C3&lt;=0,"Review: Invalid MRP",IF(G3&lt;0,"Review: Negative selling price",IF(G3=0,"Review: Zero selling price",IF(H3&lt;=0,"Review: Invalid weight","OK")))))</f>
        <v>OK</v>
      </c>
      <c r="P3">
        <f>IFERROR(Full_Data!G3/Full_Data!H3,"Check data")</f>
        <v>3.5000000000000003E-2</v>
      </c>
      <c r="Q3" t="str">
        <f t="shared" si="4"/>
        <v>Match</v>
      </c>
      <c r="R3" t="str">
        <f t="shared" si="5"/>
        <v>Mismatch</v>
      </c>
      <c r="S3" t="str">
        <f t="shared" si="6"/>
        <v>Mismatch</v>
      </c>
    </row>
    <row r="4" spans="1:19" x14ac:dyDescent="0.25">
      <c r="A4" t="s">
        <v>10</v>
      </c>
      <c r="B4">
        <v>5100</v>
      </c>
      <c r="C4">
        <f t="shared" si="7"/>
        <v>51</v>
      </c>
      <c r="D4">
        <v>15</v>
      </c>
      <c r="E4">
        <v>3</v>
      </c>
      <c r="F4">
        <v>4300</v>
      </c>
      <c r="G4">
        <f t="shared" si="0"/>
        <v>43</v>
      </c>
      <c r="H4">
        <v>58</v>
      </c>
      <c r="I4" s="4">
        <f>Full_Data[[#This Row],[Selling Price]]/Full_Data[[#This Row],[Weight (g)]]</f>
        <v>0.74137931034482762</v>
      </c>
      <c r="J4" t="b">
        <v>0</v>
      </c>
      <c r="K4">
        <v>1</v>
      </c>
      <c r="L4">
        <f t="shared" si="1"/>
        <v>8</v>
      </c>
      <c r="M4" t="str">
        <f>IF(G4&lt;50,"Low",IF(G4&lt;200,"Medium","High"))</f>
        <v>Low</v>
      </c>
      <c r="N4" t="str">
        <f t="shared" si="3"/>
        <v>11-15%</v>
      </c>
      <c r="O4" t="str">
        <f t="shared" si="8"/>
        <v>OK</v>
      </c>
      <c r="P4">
        <f>IFERROR(Full_Data!G4/Full_Data!H4,"Check data")</f>
        <v>0.74137931034482762</v>
      </c>
      <c r="Q4" t="str">
        <f t="shared" si="4"/>
        <v>Match</v>
      </c>
      <c r="R4" t="str">
        <f t="shared" si="5"/>
        <v>Mismatch</v>
      </c>
      <c r="S4" t="str">
        <f t="shared" si="6"/>
        <v>Mismatch</v>
      </c>
    </row>
    <row r="5" spans="1:19" x14ac:dyDescent="0.25">
      <c r="A5" t="s">
        <v>11</v>
      </c>
      <c r="B5">
        <v>2000</v>
      </c>
      <c r="C5">
        <f t="shared" si="7"/>
        <v>20</v>
      </c>
      <c r="D5">
        <v>15</v>
      </c>
      <c r="E5">
        <v>3</v>
      </c>
      <c r="F5">
        <v>1700</v>
      </c>
      <c r="G5">
        <f t="shared" si="0"/>
        <v>17</v>
      </c>
      <c r="H5">
        <v>100</v>
      </c>
      <c r="I5" s="4">
        <f>Full_Data[[#This Row],[Selling Price]]/Full_Data[[#This Row],[Weight (g)]]</f>
        <v>0.17</v>
      </c>
      <c r="J5" t="b">
        <v>0</v>
      </c>
      <c r="K5">
        <v>100</v>
      </c>
      <c r="L5">
        <f t="shared" si="1"/>
        <v>3</v>
      </c>
      <c r="M5" t="str">
        <f t="shared" si="2"/>
        <v>Low</v>
      </c>
      <c r="N5" t="str">
        <f t="shared" si="3"/>
        <v>11-15%</v>
      </c>
      <c r="O5" t="str">
        <f t="shared" si="8"/>
        <v>OK</v>
      </c>
      <c r="P5">
        <f>IFERROR(Full_Data!G5/Full_Data!H5,"Check data")</f>
        <v>0.17</v>
      </c>
      <c r="Q5" t="str">
        <f t="shared" si="4"/>
        <v>Match</v>
      </c>
      <c r="R5" t="str">
        <f t="shared" si="5"/>
        <v>Match</v>
      </c>
      <c r="S5" t="str">
        <f t="shared" si="6"/>
        <v>Match</v>
      </c>
    </row>
    <row r="6" spans="1:19" x14ac:dyDescent="0.25">
      <c r="A6" t="s">
        <v>12</v>
      </c>
      <c r="B6">
        <v>1400</v>
      </c>
      <c r="C6">
        <f t="shared" si="7"/>
        <v>14</v>
      </c>
      <c r="D6">
        <v>14</v>
      </c>
      <c r="E6">
        <v>3</v>
      </c>
      <c r="F6">
        <v>1200</v>
      </c>
      <c r="G6">
        <f t="shared" si="0"/>
        <v>12</v>
      </c>
      <c r="H6">
        <v>250</v>
      </c>
      <c r="I6" s="4">
        <f>Full_Data[[#This Row],[Selling Price]]/Full_Data[[#This Row],[Weight (g)]]</f>
        <v>4.8000000000000001E-2</v>
      </c>
      <c r="J6" t="b">
        <v>0</v>
      </c>
      <c r="K6">
        <v>250</v>
      </c>
      <c r="L6">
        <f t="shared" si="1"/>
        <v>2</v>
      </c>
      <c r="M6" t="str">
        <f t="shared" si="2"/>
        <v>Low</v>
      </c>
      <c r="N6" t="str">
        <f t="shared" si="3"/>
        <v>11-15%</v>
      </c>
      <c r="O6" t="str">
        <f t="shared" si="8"/>
        <v>OK</v>
      </c>
      <c r="P6">
        <f>IFERROR(Full_Data!G6/Full_Data!H6,"Check data")</f>
        <v>4.8000000000000001E-2</v>
      </c>
      <c r="Q6" t="str">
        <f t="shared" si="4"/>
        <v>Match</v>
      </c>
      <c r="R6" t="str">
        <f t="shared" si="5"/>
        <v>Mismatch</v>
      </c>
      <c r="S6" t="str">
        <f t="shared" si="6"/>
        <v>Match</v>
      </c>
    </row>
    <row r="7" spans="1:19" x14ac:dyDescent="0.25">
      <c r="A7" t="s">
        <v>13</v>
      </c>
      <c r="B7">
        <v>3500</v>
      </c>
      <c r="C7">
        <f t="shared" si="7"/>
        <v>35</v>
      </c>
      <c r="D7">
        <v>17</v>
      </c>
      <c r="E7">
        <v>3</v>
      </c>
      <c r="F7">
        <v>2900</v>
      </c>
      <c r="G7">
        <f t="shared" si="0"/>
        <v>29</v>
      </c>
      <c r="H7">
        <v>1000</v>
      </c>
      <c r="I7" s="4">
        <f>Full_Data[[#This Row],[Selling Price]]/Full_Data[[#This Row],[Weight (g)]]</f>
        <v>2.9000000000000001E-2</v>
      </c>
      <c r="J7" t="b">
        <v>0</v>
      </c>
      <c r="K7">
        <v>1</v>
      </c>
      <c r="L7">
        <f t="shared" si="1"/>
        <v>6</v>
      </c>
      <c r="M7" t="str">
        <f t="shared" si="2"/>
        <v>Low</v>
      </c>
      <c r="N7" t="str">
        <f t="shared" si="3"/>
        <v>16-20%</v>
      </c>
      <c r="O7" t="str">
        <f t="shared" si="8"/>
        <v>OK</v>
      </c>
      <c r="P7">
        <f>IFERROR(Full_Data!G7/Full_Data!H7,"Check data")</f>
        <v>2.9000000000000001E-2</v>
      </c>
      <c r="Q7" t="str">
        <f t="shared" si="4"/>
        <v>Match</v>
      </c>
      <c r="R7" t="str">
        <f t="shared" si="5"/>
        <v>Mismatch</v>
      </c>
      <c r="S7" t="str">
        <f t="shared" si="6"/>
        <v>Match</v>
      </c>
    </row>
    <row r="8" spans="1:19" x14ac:dyDescent="0.25">
      <c r="A8" t="s">
        <v>14</v>
      </c>
      <c r="B8">
        <v>7500</v>
      </c>
      <c r="C8">
        <f t="shared" si="7"/>
        <v>75</v>
      </c>
      <c r="D8">
        <v>16</v>
      </c>
      <c r="E8">
        <v>3</v>
      </c>
      <c r="F8">
        <v>6300</v>
      </c>
      <c r="G8">
        <f t="shared" si="0"/>
        <v>63</v>
      </c>
      <c r="H8">
        <v>200</v>
      </c>
      <c r="I8" s="4">
        <f>Full_Data[[#This Row],[Selling Price]]/Full_Data[[#This Row],[Weight (g)]]</f>
        <v>0.315</v>
      </c>
      <c r="J8" t="b">
        <v>0</v>
      </c>
      <c r="K8">
        <v>200</v>
      </c>
      <c r="L8">
        <f t="shared" si="1"/>
        <v>12</v>
      </c>
      <c r="M8" t="str">
        <f t="shared" si="2"/>
        <v>Medium</v>
      </c>
      <c r="N8" t="str">
        <f t="shared" si="3"/>
        <v>16-20%</v>
      </c>
      <c r="O8" t="str">
        <f t="shared" si="8"/>
        <v>OK</v>
      </c>
      <c r="P8">
        <f>IFERROR(Full_Data!G8/Full_Data!H8,"Check data")</f>
        <v>0.315</v>
      </c>
      <c r="Q8" t="str">
        <f t="shared" si="4"/>
        <v>Match</v>
      </c>
      <c r="R8" t="str">
        <f t="shared" si="5"/>
        <v>Match</v>
      </c>
      <c r="S8" t="str">
        <f t="shared" si="6"/>
        <v>Match</v>
      </c>
    </row>
    <row r="9" spans="1:19" x14ac:dyDescent="0.25">
      <c r="A9" t="s">
        <v>15</v>
      </c>
      <c r="B9">
        <v>5800</v>
      </c>
      <c r="C9">
        <f t="shared" si="7"/>
        <v>58</v>
      </c>
      <c r="D9">
        <v>15</v>
      </c>
      <c r="E9">
        <v>3</v>
      </c>
      <c r="F9">
        <v>4900</v>
      </c>
      <c r="G9">
        <f t="shared" si="0"/>
        <v>49</v>
      </c>
      <c r="H9">
        <v>58</v>
      </c>
      <c r="I9" s="4">
        <f>Full_Data[[#This Row],[Selling Price]]/Full_Data[[#This Row],[Weight (g)]]</f>
        <v>0.84482758620689657</v>
      </c>
      <c r="J9" t="b">
        <v>0</v>
      </c>
      <c r="K9">
        <v>1</v>
      </c>
      <c r="L9">
        <f t="shared" si="1"/>
        <v>9</v>
      </c>
      <c r="M9" t="str">
        <f t="shared" si="2"/>
        <v>Low</v>
      </c>
      <c r="N9" t="str">
        <f t="shared" si="3"/>
        <v>11-15%</v>
      </c>
      <c r="O9" t="str">
        <f t="shared" si="8"/>
        <v>OK</v>
      </c>
      <c r="P9">
        <f>IFERROR(Full_Data!G9/Full_Data!H9,"Check data")</f>
        <v>0.84482758620689657</v>
      </c>
      <c r="Q9" t="str">
        <f t="shared" si="4"/>
        <v>Match</v>
      </c>
      <c r="R9" t="str">
        <f t="shared" si="5"/>
        <v>Mismatch</v>
      </c>
      <c r="S9" t="str">
        <f t="shared" si="6"/>
        <v>Mismatch</v>
      </c>
    </row>
    <row r="10" spans="1:19" x14ac:dyDescent="0.25">
      <c r="A10" t="s">
        <v>16</v>
      </c>
      <c r="B10">
        <v>2300</v>
      </c>
      <c r="C10">
        <f t="shared" si="7"/>
        <v>23</v>
      </c>
      <c r="D10">
        <v>17</v>
      </c>
      <c r="E10">
        <v>3</v>
      </c>
      <c r="F10">
        <v>1900</v>
      </c>
      <c r="G10">
        <f t="shared" si="0"/>
        <v>19</v>
      </c>
      <c r="H10">
        <v>250</v>
      </c>
      <c r="I10" s="4">
        <f>Full_Data[[#This Row],[Selling Price]]/Full_Data[[#This Row],[Weight (g)]]</f>
        <v>7.5999999999999998E-2</v>
      </c>
      <c r="J10" t="b">
        <v>0</v>
      </c>
      <c r="K10">
        <v>250</v>
      </c>
      <c r="L10">
        <f t="shared" si="1"/>
        <v>4</v>
      </c>
      <c r="M10" t="str">
        <f t="shared" si="2"/>
        <v>Low</v>
      </c>
      <c r="N10" t="str">
        <f t="shared" si="3"/>
        <v>16-20%</v>
      </c>
      <c r="O10" t="str">
        <f t="shared" si="8"/>
        <v>OK</v>
      </c>
      <c r="P10">
        <f>IFERROR(Full_Data!G10/Full_Data!H10,"Check data")</f>
        <v>7.5999999999999998E-2</v>
      </c>
      <c r="Q10" t="str">
        <f t="shared" si="4"/>
        <v>Match</v>
      </c>
      <c r="R10" t="str">
        <f t="shared" si="5"/>
        <v>Mismatch</v>
      </c>
      <c r="S10" t="str">
        <f t="shared" si="6"/>
        <v>Match</v>
      </c>
    </row>
    <row r="11" spans="1:19" x14ac:dyDescent="0.25">
      <c r="A11" t="s">
        <v>17</v>
      </c>
      <c r="B11">
        <v>1900</v>
      </c>
      <c r="C11">
        <f t="shared" si="7"/>
        <v>19</v>
      </c>
      <c r="D11">
        <v>15</v>
      </c>
      <c r="E11">
        <v>3</v>
      </c>
      <c r="F11">
        <v>1600</v>
      </c>
      <c r="G11">
        <f t="shared" si="0"/>
        <v>16</v>
      </c>
      <c r="H11">
        <v>100</v>
      </c>
      <c r="I11" s="4">
        <f>Full_Data[[#This Row],[Selling Price]]/Full_Data[[#This Row],[Weight (g)]]</f>
        <v>0.16</v>
      </c>
      <c r="J11" t="b">
        <v>0</v>
      </c>
      <c r="K11">
        <v>100</v>
      </c>
      <c r="L11">
        <f t="shared" si="1"/>
        <v>3</v>
      </c>
      <c r="M11" t="str">
        <f t="shared" si="2"/>
        <v>Low</v>
      </c>
      <c r="N11" t="str">
        <f t="shared" si="3"/>
        <v>11-15%</v>
      </c>
      <c r="O11" t="str">
        <f t="shared" si="8"/>
        <v>OK</v>
      </c>
      <c r="P11">
        <f>IFERROR(Full_Data!G11/Full_Data!H11,"Check data")</f>
        <v>0.16</v>
      </c>
      <c r="Q11" t="str">
        <f t="shared" si="4"/>
        <v>Match</v>
      </c>
      <c r="R11" t="str">
        <f t="shared" si="5"/>
        <v>Mismatch</v>
      </c>
      <c r="S11" t="str">
        <f t="shared" si="6"/>
        <v>Mismatch</v>
      </c>
    </row>
    <row r="12" spans="1:19" x14ac:dyDescent="0.25">
      <c r="A12" t="s">
        <v>18</v>
      </c>
      <c r="B12">
        <v>2900</v>
      </c>
      <c r="C12">
        <f t="shared" si="7"/>
        <v>29</v>
      </c>
      <c r="D12">
        <v>17</v>
      </c>
      <c r="E12">
        <v>3</v>
      </c>
      <c r="F12">
        <v>2400</v>
      </c>
      <c r="G12">
        <f t="shared" si="0"/>
        <v>24</v>
      </c>
      <c r="H12">
        <v>348</v>
      </c>
      <c r="I12" s="4">
        <f>Full_Data[[#This Row],[Selling Price]]/Full_Data[[#This Row],[Weight (g)]]</f>
        <v>6.8965517241379309E-2</v>
      </c>
      <c r="J12" t="b">
        <v>0</v>
      </c>
      <c r="K12">
        <v>6</v>
      </c>
      <c r="L12">
        <f t="shared" si="1"/>
        <v>5</v>
      </c>
      <c r="M12" t="str">
        <f t="shared" si="2"/>
        <v>Low</v>
      </c>
      <c r="N12" t="str">
        <f t="shared" si="3"/>
        <v>16-20%</v>
      </c>
      <c r="O12" t="str">
        <f t="shared" si="8"/>
        <v>OK</v>
      </c>
      <c r="P12">
        <f>IFERROR(Full_Data!G12/Full_Data!H12,"Check data")</f>
        <v>6.8965517241379309E-2</v>
      </c>
      <c r="Q12" t="str">
        <f t="shared" si="4"/>
        <v>Match</v>
      </c>
      <c r="R12" t="str">
        <f t="shared" si="5"/>
        <v>Mismatch</v>
      </c>
      <c r="S12" t="str">
        <f t="shared" si="6"/>
        <v>Match</v>
      </c>
    </row>
    <row r="13" spans="1:19" x14ac:dyDescent="0.25">
      <c r="A13" t="s">
        <v>19</v>
      </c>
      <c r="B13">
        <v>1100</v>
      </c>
      <c r="C13">
        <f t="shared" si="7"/>
        <v>11</v>
      </c>
      <c r="D13">
        <v>18</v>
      </c>
      <c r="E13">
        <v>3</v>
      </c>
      <c r="F13">
        <v>900</v>
      </c>
      <c r="G13">
        <f t="shared" si="0"/>
        <v>9</v>
      </c>
      <c r="H13">
        <v>100</v>
      </c>
      <c r="I13" s="4">
        <f>Full_Data[[#This Row],[Selling Price]]/Full_Data[[#This Row],[Weight (g)]]</f>
        <v>0.09</v>
      </c>
      <c r="J13" t="b">
        <v>0</v>
      </c>
      <c r="K13">
        <v>100</v>
      </c>
      <c r="L13">
        <f t="shared" si="1"/>
        <v>2</v>
      </c>
      <c r="M13" t="str">
        <f t="shared" si="2"/>
        <v>Low</v>
      </c>
      <c r="N13" t="str">
        <f t="shared" si="3"/>
        <v>16-20%</v>
      </c>
      <c r="O13" t="str">
        <f t="shared" si="8"/>
        <v>OK</v>
      </c>
      <c r="P13">
        <f>IFERROR(Full_Data!G13/Full_Data!H13,"Check data")</f>
        <v>0.09</v>
      </c>
      <c r="Q13" t="str">
        <f t="shared" si="4"/>
        <v>Match</v>
      </c>
      <c r="R13" t="str">
        <f t="shared" si="5"/>
        <v>Mismatch</v>
      </c>
      <c r="S13" t="str">
        <f t="shared" si="6"/>
        <v>Match</v>
      </c>
    </row>
    <row r="14" spans="1:19" x14ac:dyDescent="0.25">
      <c r="A14" t="s">
        <v>20</v>
      </c>
      <c r="B14">
        <v>2600</v>
      </c>
      <c r="C14">
        <f t="shared" si="7"/>
        <v>26</v>
      </c>
      <c r="D14">
        <v>15</v>
      </c>
      <c r="E14">
        <v>3</v>
      </c>
      <c r="F14">
        <v>2200</v>
      </c>
      <c r="G14">
        <f t="shared" si="0"/>
        <v>22</v>
      </c>
      <c r="H14">
        <v>58</v>
      </c>
      <c r="I14" s="4">
        <f>Full_Data[[#This Row],[Selling Price]]/Full_Data[[#This Row],[Weight (g)]]</f>
        <v>0.37931034482758619</v>
      </c>
      <c r="J14" t="b">
        <v>0</v>
      </c>
      <c r="K14">
        <v>1</v>
      </c>
      <c r="L14">
        <f t="shared" si="1"/>
        <v>4</v>
      </c>
      <c r="M14" t="str">
        <f t="shared" si="2"/>
        <v>Low</v>
      </c>
      <c r="N14" t="str">
        <f t="shared" si="3"/>
        <v>11-15%</v>
      </c>
      <c r="O14" t="str">
        <f t="shared" si="8"/>
        <v>OK</v>
      </c>
      <c r="P14">
        <f>IFERROR(Full_Data!G14/Full_Data!H14,"Check data")</f>
        <v>0.37931034482758619</v>
      </c>
      <c r="Q14" t="str">
        <f t="shared" si="4"/>
        <v>Match</v>
      </c>
      <c r="R14" t="str">
        <f t="shared" si="5"/>
        <v>Mismatch</v>
      </c>
      <c r="S14" t="str">
        <f t="shared" si="6"/>
        <v>Match</v>
      </c>
    </row>
    <row r="15" spans="1:19" x14ac:dyDescent="0.25">
      <c r="A15" t="s">
        <v>21</v>
      </c>
      <c r="B15">
        <v>1400</v>
      </c>
      <c r="C15">
        <f t="shared" si="7"/>
        <v>14</v>
      </c>
      <c r="D15">
        <v>14</v>
      </c>
      <c r="E15">
        <v>3</v>
      </c>
      <c r="F15">
        <v>1200</v>
      </c>
      <c r="G15">
        <f t="shared" si="0"/>
        <v>12</v>
      </c>
      <c r="H15">
        <v>200</v>
      </c>
      <c r="I15" s="4">
        <f>Full_Data[[#This Row],[Selling Price]]/Full_Data[[#This Row],[Weight (g)]]</f>
        <v>0.06</v>
      </c>
      <c r="J15" t="b">
        <v>0</v>
      </c>
      <c r="K15">
        <v>200</v>
      </c>
      <c r="L15">
        <f t="shared" si="1"/>
        <v>2</v>
      </c>
      <c r="M15" t="str">
        <f t="shared" si="2"/>
        <v>Low</v>
      </c>
      <c r="N15" t="str">
        <f t="shared" si="3"/>
        <v>11-15%</v>
      </c>
      <c r="O15" t="str">
        <f t="shared" si="8"/>
        <v>OK</v>
      </c>
      <c r="P15">
        <f>IFERROR(Full_Data!G15/Full_Data!H15,"Check data")</f>
        <v>0.06</v>
      </c>
      <c r="Q15" t="str">
        <f t="shared" si="4"/>
        <v>Match</v>
      </c>
      <c r="R15" t="str">
        <f t="shared" si="5"/>
        <v>Mismatch</v>
      </c>
      <c r="S15" t="str">
        <f t="shared" si="6"/>
        <v>Match</v>
      </c>
    </row>
    <row r="16" spans="1:19" x14ac:dyDescent="0.25">
      <c r="A16" t="s">
        <v>22</v>
      </c>
      <c r="B16">
        <v>1900</v>
      </c>
      <c r="C16">
        <f t="shared" si="7"/>
        <v>19</v>
      </c>
      <c r="D16">
        <v>15</v>
      </c>
      <c r="E16">
        <v>3</v>
      </c>
      <c r="F16">
        <v>1600</v>
      </c>
      <c r="G16">
        <f t="shared" si="0"/>
        <v>16</v>
      </c>
      <c r="H16">
        <v>250</v>
      </c>
      <c r="I16" s="4">
        <f>Full_Data[[#This Row],[Selling Price]]/Full_Data[[#This Row],[Weight (g)]]</f>
        <v>6.4000000000000001E-2</v>
      </c>
      <c r="J16" t="b">
        <v>0</v>
      </c>
      <c r="K16">
        <v>250</v>
      </c>
      <c r="L16">
        <f t="shared" si="1"/>
        <v>3</v>
      </c>
      <c r="M16" t="str">
        <f t="shared" si="2"/>
        <v>Low</v>
      </c>
      <c r="N16" t="str">
        <f t="shared" si="3"/>
        <v>11-15%</v>
      </c>
      <c r="O16" t="str">
        <f t="shared" si="8"/>
        <v>OK</v>
      </c>
      <c r="P16">
        <f>IFERROR(Full_Data!G16/Full_Data!H16,"Check data")</f>
        <v>6.4000000000000001E-2</v>
      </c>
      <c r="Q16" t="str">
        <f t="shared" si="4"/>
        <v>Match</v>
      </c>
      <c r="R16" t="str">
        <f t="shared" si="5"/>
        <v>Mismatch</v>
      </c>
      <c r="S16" t="str">
        <f t="shared" si="6"/>
        <v>Mismatch</v>
      </c>
    </row>
    <row r="17" spans="1:19" x14ac:dyDescent="0.25">
      <c r="A17" t="s">
        <v>23</v>
      </c>
      <c r="B17">
        <v>4200</v>
      </c>
      <c r="C17">
        <f t="shared" si="7"/>
        <v>42</v>
      </c>
      <c r="D17">
        <v>16</v>
      </c>
      <c r="E17">
        <v>3</v>
      </c>
      <c r="F17">
        <v>3500</v>
      </c>
      <c r="G17">
        <f t="shared" si="0"/>
        <v>35</v>
      </c>
      <c r="H17">
        <v>58</v>
      </c>
      <c r="I17" s="4">
        <f>Full_Data[[#This Row],[Selling Price]]/Full_Data[[#This Row],[Weight (g)]]</f>
        <v>0.60344827586206895</v>
      </c>
      <c r="J17" t="b">
        <v>0</v>
      </c>
      <c r="K17">
        <v>1</v>
      </c>
      <c r="L17">
        <f t="shared" si="1"/>
        <v>7</v>
      </c>
      <c r="M17" t="str">
        <f t="shared" si="2"/>
        <v>Low</v>
      </c>
      <c r="N17" t="str">
        <f t="shared" si="3"/>
        <v>16-20%</v>
      </c>
      <c r="O17" t="str">
        <f t="shared" si="8"/>
        <v>OK</v>
      </c>
      <c r="P17">
        <f>IFERROR(Full_Data!G17/Full_Data!H17,"Check data")</f>
        <v>0.60344827586206895</v>
      </c>
      <c r="Q17" t="str">
        <f t="shared" si="4"/>
        <v>Match</v>
      </c>
      <c r="R17" t="str">
        <f t="shared" si="5"/>
        <v>Mismatch</v>
      </c>
      <c r="S17" t="str">
        <f t="shared" si="6"/>
        <v>Mismatch</v>
      </c>
    </row>
    <row r="18" spans="1:19" x14ac:dyDescent="0.25">
      <c r="A18" t="s">
        <v>24</v>
      </c>
      <c r="B18">
        <v>1500</v>
      </c>
      <c r="C18">
        <f t="shared" si="7"/>
        <v>15</v>
      </c>
      <c r="D18">
        <v>13</v>
      </c>
      <c r="E18">
        <v>3</v>
      </c>
      <c r="F18">
        <v>1300</v>
      </c>
      <c r="G18">
        <f t="shared" si="0"/>
        <v>13</v>
      </c>
      <c r="H18">
        <v>58</v>
      </c>
      <c r="I18" s="4">
        <f>Full_Data[[#This Row],[Selling Price]]/Full_Data[[#This Row],[Weight (g)]]</f>
        <v>0.22413793103448276</v>
      </c>
      <c r="J18" t="b">
        <v>0</v>
      </c>
      <c r="K18">
        <v>1</v>
      </c>
      <c r="L18">
        <f t="shared" si="1"/>
        <v>2</v>
      </c>
      <c r="M18" t="str">
        <f t="shared" si="2"/>
        <v>Low</v>
      </c>
      <c r="N18" t="str">
        <f t="shared" si="3"/>
        <v>11-15%</v>
      </c>
      <c r="O18" t="str">
        <f t="shared" si="8"/>
        <v>OK</v>
      </c>
      <c r="P18">
        <f>IFERROR(Full_Data!G18/Full_Data!H18,"Check data")</f>
        <v>0.22413793103448276</v>
      </c>
      <c r="Q18" t="str">
        <f t="shared" si="4"/>
        <v>Match</v>
      </c>
      <c r="R18" t="str">
        <f t="shared" si="5"/>
        <v>Mismatch</v>
      </c>
      <c r="S18" t="str">
        <f t="shared" si="6"/>
        <v>Match</v>
      </c>
    </row>
    <row r="19" spans="1:19" x14ac:dyDescent="0.25">
      <c r="A19" t="s">
        <v>25</v>
      </c>
      <c r="B19">
        <v>3000</v>
      </c>
      <c r="C19">
        <f t="shared" si="7"/>
        <v>30</v>
      </c>
      <c r="D19">
        <v>16</v>
      </c>
      <c r="E19">
        <v>3</v>
      </c>
      <c r="F19">
        <v>2500</v>
      </c>
      <c r="G19">
        <f t="shared" si="0"/>
        <v>25</v>
      </c>
      <c r="H19">
        <v>250</v>
      </c>
      <c r="I19" s="4">
        <f>Full_Data[[#This Row],[Selling Price]]/Full_Data[[#This Row],[Weight (g)]]</f>
        <v>0.1</v>
      </c>
      <c r="J19" t="b">
        <v>0</v>
      </c>
      <c r="K19">
        <v>250</v>
      </c>
      <c r="L19">
        <f t="shared" si="1"/>
        <v>5</v>
      </c>
      <c r="M19" t="str">
        <f t="shared" si="2"/>
        <v>Low</v>
      </c>
      <c r="N19" t="str">
        <f t="shared" si="3"/>
        <v>16-20%</v>
      </c>
      <c r="O19" t="str">
        <f t="shared" si="8"/>
        <v>OK</v>
      </c>
      <c r="P19">
        <f>IFERROR(Full_Data!G19/Full_Data!H19,"Check data")</f>
        <v>0.1</v>
      </c>
      <c r="Q19" t="str">
        <f t="shared" si="4"/>
        <v>Match</v>
      </c>
      <c r="R19" t="str">
        <f t="shared" si="5"/>
        <v>Mismatch</v>
      </c>
      <c r="S19" t="str">
        <f t="shared" si="6"/>
        <v>Mismatch</v>
      </c>
    </row>
    <row r="20" spans="1:19" x14ac:dyDescent="0.25">
      <c r="A20" t="s">
        <v>26</v>
      </c>
      <c r="B20">
        <v>3600</v>
      </c>
      <c r="C20">
        <f t="shared" si="7"/>
        <v>36</v>
      </c>
      <c r="D20">
        <v>16</v>
      </c>
      <c r="E20">
        <v>3</v>
      </c>
      <c r="F20">
        <v>3000</v>
      </c>
      <c r="G20">
        <f t="shared" si="0"/>
        <v>30</v>
      </c>
      <c r="H20">
        <v>500</v>
      </c>
      <c r="I20" s="4">
        <f>Full_Data[[#This Row],[Selling Price]]/Full_Data[[#This Row],[Weight (g)]]</f>
        <v>0.06</v>
      </c>
      <c r="J20" t="b">
        <v>0</v>
      </c>
      <c r="K20">
        <v>500</v>
      </c>
      <c r="L20">
        <f t="shared" si="1"/>
        <v>6</v>
      </c>
      <c r="M20" t="str">
        <f t="shared" si="2"/>
        <v>Low</v>
      </c>
      <c r="N20" t="str">
        <f t="shared" si="3"/>
        <v>16-20%</v>
      </c>
      <c r="O20" t="str">
        <f t="shared" si="8"/>
        <v>OK</v>
      </c>
      <c r="P20">
        <f>IFERROR(Full_Data!G20/Full_Data!H20,"Check data")</f>
        <v>0.06</v>
      </c>
      <c r="Q20" t="str">
        <f t="shared" si="4"/>
        <v>Match</v>
      </c>
      <c r="R20" t="str">
        <f t="shared" si="5"/>
        <v>Mismatch</v>
      </c>
      <c r="S20" t="str">
        <f t="shared" si="6"/>
        <v>Mismatch</v>
      </c>
    </row>
    <row r="21" spans="1:19" x14ac:dyDescent="0.25">
      <c r="A21" t="s">
        <v>27</v>
      </c>
      <c r="B21">
        <v>3000</v>
      </c>
      <c r="C21">
        <f t="shared" si="7"/>
        <v>30</v>
      </c>
      <c r="D21">
        <v>16</v>
      </c>
      <c r="E21">
        <v>3</v>
      </c>
      <c r="F21">
        <v>2500</v>
      </c>
      <c r="G21">
        <f t="shared" si="0"/>
        <v>25</v>
      </c>
      <c r="H21">
        <v>348</v>
      </c>
      <c r="I21" s="4">
        <f>Full_Data[[#This Row],[Selling Price]]/Full_Data[[#This Row],[Weight (g)]]</f>
        <v>7.183908045977011E-2</v>
      </c>
      <c r="J21" t="b">
        <v>0</v>
      </c>
      <c r="K21">
        <v>6</v>
      </c>
      <c r="L21">
        <f t="shared" si="1"/>
        <v>5</v>
      </c>
      <c r="M21" t="str">
        <f t="shared" si="2"/>
        <v>Low</v>
      </c>
      <c r="N21" t="str">
        <f t="shared" si="3"/>
        <v>16-20%</v>
      </c>
      <c r="O21" t="str">
        <f t="shared" si="8"/>
        <v>OK</v>
      </c>
      <c r="P21">
        <f>IFERROR(Full_Data!G21/Full_Data!H21,"Check data")</f>
        <v>7.183908045977011E-2</v>
      </c>
      <c r="Q21" t="str">
        <f t="shared" si="4"/>
        <v>Match</v>
      </c>
      <c r="R21" t="str">
        <f t="shared" si="5"/>
        <v>Mismatch</v>
      </c>
      <c r="S21" t="str">
        <f t="shared" si="6"/>
        <v>Mismatch</v>
      </c>
    </row>
    <row r="22" spans="1:19" x14ac:dyDescent="0.25">
      <c r="A22" t="s">
        <v>8</v>
      </c>
      <c r="B22">
        <v>6800</v>
      </c>
      <c r="C22">
        <f t="shared" si="7"/>
        <v>68</v>
      </c>
      <c r="D22">
        <v>16</v>
      </c>
      <c r="E22">
        <v>3</v>
      </c>
      <c r="F22">
        <v>5700</v>
      </c>
      <c r="G22">
        <f t="shared" si="0"/>
        <v>57</v>
      </c>
      <c r="H22">
        <v>3000</v>
      </c>
      <c r="I22" s="4">
        <f>Full_Data[[#This Row],[Selling Price]]/Full_Data[[#This Row],[Weight (g)]]</f>
        <v>1.9E-2</v>
      </c>
      <c r="J22" t="b">
        <v>0</v>
      </c>
      <c r="K22">
        <v>3</v>
      </c>
      <c r="L22">
        <f t="shared" si="1"/>
        <v>11</v>
      </c>
      <c r="M22" t="str">
        <f t="shared" si="2"/>
        <v>Medium</v>
      </c>
      <c r="N22" t="str">
        <f t="shared" si="3"/>
        <v>16-20%</v>
      </c>
      <c r="O22" t="str">
        <f t="shared" si="8"/>
        <v>OK</v>
      </c>
      <c r="P22">
        <f>IFERROR(Full_Data!G22/Full_Data!H22,"Check data")</f>
        <v>1.9E-2</v>
      </c>
      <c r="Q22" t="str">
        <f t="shared" si="4"/>
        <v>Match</v>
      </c>
      <c r="R22" t="str">
        <f t="shared" si="5"/>
        <v>Mismatch</v>
      </c>
      <c r="S22" t="str">
        <f t="shared" si="6"/>
        <v>Match</v>
      </c>
    </row>
    <row r="23" spans="1:19" x14ac:dyDescent="0.25">
      <c r="A23" t="s">
        <v>13</v>
      </c>
      <c r="B23">
        <v>10000</v>
      </c>
      <c r="C23">
        <f t="shared" si="7"/>
        <v>100</v>
      </c>
      <c r="D23">
        <v>16</v>
      </c>
      <c r="E23">
        <v>3</v>
      </c>
      <c r="F23">
        <v>8400</v>
      </c>
      <c r="G23">
        <f t="shared" si="0"/>
        <v>84</v>
      </c>
      <c r="H23">
        <v>3000</v>
      </c>
      <c r="I23" s="4">
        <f>Full_Data[[#This Row],[Selling Price]]/Full_Data[[#This Row],[Weight (g)]]</f>
        <v>2.8000000000000001E-2</v>
      </c>
      <c r="J23" t="b">
        <v>0</v>
      </c>
      <c r="K23">
        <v>3</v>
      </c>
      <c r="L23">
        <f t="shared" si="1"/>
        <v>16</v>
      </c>
      <c r="M23" t="str">
        <f t="shared" si="2"/>
        <v>Medium</v>
      </c>
      <c r="N23" t="str">
        <f t="shared" si="3"/>
        <v>16-20%</v>
      </c>
      <c r="O23" t="str">
        <f t="shared" si="8"/>
        <v>OK</v>
      </c>
      <c r="P23">
        <f>IFERROR(Full_Data!G23/Full_Data!H23,"Check data")</f>
        <v>2.8000000000000001E-2</v>
      </c>
      <c r="Q23" t="str">
        <f t="shared" si="4"/>
        <v>Match</v>
      </c>
      <c r="R23" t="str">
        <f t="shared" si="5"/>
        <v>Match</v>
      </c>
      <c r="S23" t="str">
        <f t="shared" si="6"/>
        <v>Match</v>
      </c>
    </row>
    <row r="24" spans="1:19" x14ac:dyDescent="0.25">
      <c r="A24" t="s">
        <v>28</v>
      </c>
      <c r="B24">
        <v>8200</v>
      </c>
      <c r="C24">
        <f t="shared" si="7"/>
        <v>82</v>
      </c>
      <c r="D24">
        <v>15</v>
      </c>
      <c r="E24">
        <v>3</v>
      </c>
      <c r="F24">
        <v>6900</v>
      </c>
      <c r="G24">
        <f t="shared" si="0"/>
        <v>69</v>
      </c>
      <c r="H24">
        <v>232</v>
      </c>
      <c r="I24" s="4">
        <f>Full_Data[[#This Row],[Selling Price]]/Full_Data[[#This Row],[Weight (g)]]</f>
        <v>0.29741379310344829</v>
      </c>
      <c r="J24" t="b">
        <v>0</v>
      </c>
      <c r="K24">
        <v>4</v>
      </c>
      <c r="L24">
        <f t="shared" si="1"/>
        <v>13</v>
      </c>
      <c r="M24" t="str">
        <f t="shared" si="2"/>
        <v>Medium</v>
      </c>
      <c r="N24" t="str">
        <f t="shared" si="3"/>
        <v>11-15%</v>
      </c>
      <c r="O24" t="str">
        <f t="shared" si="8"/>
        <v>OK</v>
      </c>
      <c r="P24">
        <f>IFERROR(Full_Data!G24/Full_Data!H24,"Check data")</f>
        <v>0.29741379310344829</v>
      </c>
      <c r="Q24" t="str">
        <f t="shared" si="4"/>
        <v>Match</v>
      </c>
      <c r="R24" t="str">
        <f t="shared" si="5"/>
        <v>Mismatch</v>
      </c>
      <c r="S24" t="str">
        <f t="shared" si="6"/>
        <v>Mismatch</v>
      </c>
    </row>
    <row r="25" spans="1:19" x14ac:dyDescent="0.25">
      <c r="A25" t="s">
        <v>29</v>
      </c>
      <c r="B25">
        <v>1100</v>
      </c>
      <c r="C25">
        <f t="shared" si="7"/>
        <v>11</v>
      </c>
      <c r="D25">
        <v>18</v>
      </c>
      <c r="E25">
        <v>3</v>
      </c>
      <c r="F25">
        <v>900</v>
      </c>
      <c r="G25">
        <f t="shared" si="0"/>
        <v>9</v>
      </c>
      <c r="H25">
        <v>100</v>
      </c>
      <c r="I25" s="4">
        <f>Full_Data[[#This Row],[Selling Price]]/Full_Data[[#This Row],[Weight (g)]]</f>
        <v>0.09</v>
      </c>
      <c r="J25" t="b">
        <v>0</v>
      </c>
      <c r="K25">
        <v>100</v>
      </c>
      <c r="L25">
        <f t="shared" si="1"/>
        <v>2</v>
      </c>
      <c r="M25" t="str">
        <f t="shared" si="2"/>
        <v>Low</v>
      </c>
      <c r="N25" t="str">
        <f t="shared" si="3"/>
        <v>16-20%</v>
      </c>
      <c r="O25" t="str">
        <f t="shared" si="8"/>
        <v>OK</v>
      </c>
      <c r="P25">
        <f>IFERROR(Full_Data!G25/Full_Data!H25,"Check data")</f>
        <v>0.09</v>
      </c>
      <c r="Q25" t="str">
        <f t="shared" si="4"/>
        <v>Match</v>
      </c>
      <c r="R25" t="str">
        <f t="shared" si="5"/>
        <v>Mismatch</v>
      </c>
      <c r="S25" t="str">
        <f t="shared" si="6"/>
        <v>Match</v>
      </c>
    </row>
    <row r="26" spans="1:19" x14ac:dyDescent="0.25">
      <c r="A26" t="s">
        <v>30</v>
      </c>
      <c r="B26">
        <v>3300</v>
      </c>
      <c r="C26">
        <f t="shared" si="7"/>
        <v>33</v>
      </c>
      <c r="D26">
        <v>15</v>
      </c>
      <c r="E26">
        <v>3</v>
      </c>
      <c r="F26">
        <v>2800</v>
      </c>
      <c r="G26">
        <f t="shared" si="0"/>
        <v>28</v>
      </c>
      <c r="H26">
        <v>250</v>
      </c>
      <c r="I26" s="4">
        <f>Full_Data[[#This Row],[Selling Price]]/Full_Data[[#This Row],[Weight (g)]]</f>
        <v>0.112</v>
      </c>
      <c r="J26" t="b">
        <v>0</v>
      </c>
      <c r="K26">
        <v>250</v>
      </c>
      <c r="L26">
        <f t="shared" si="1"/>
        <v>5</v>
      </c>
      <c r="M26" t="str">
        <f t="shared" si="2"/>
        <v>Low</v>
      </c>
      <c r="N26" t="str">
        <f t="shared" si="3"/>
        <v>11-15%</v>
      </c>
      <c r="O26" t="str">
        <f t="shared" si="8"/>
        <v>OK</v>
      </c>
      <c r="P26">
        <f>IFERROR(Full_Data!G26/Full_Data!H26,"Check data")</f>
        <v>0.112</v>
      </c>
      <c r="Q26" t="str">
        <f t="shared" si="4"/>
        <v>Match</v>
      </c>
      <c r="R26" t="str">
        <f t="shared" si="5"/>
        <v>Mismatch</v>
      </c>
      <c r="S26" t="str">
        <f t="shared" si="6"/>
        <v>Match</v>
      </c>
    </row>
    <row r="27" spans="1:19" x14ac:dyDescent="0.25">
      <c r="A27" t="s">
        <v>31</v>
      </c>
      <c r="B27">
        <v>2600</v>
      </c>
      <c r="C27">
        <f t="shared" si="7"/>
        <v>26</v>
      </c>
      <c r="D27">
        <v>15</v>
      </c>
      <c r="E27">
        <v>3</v>
      </c>
      <c r="F27">
        <v>2200</v>
      </c>
      <c r="G27">
        <f t="shared" si="0"/>
        <v>22</v>
      </c>
      <c r="H27">
        <v>58</v>
      </c>
      <c r="I27" s="4">
        <f>Full_Data[[#This Row],[Selling Price]]/Full_Data[[#This Row],[Weight (g)]]</f>
        <v>0.37931034482758619</v>
      </c>
      <c r="J27" t="b">
        <v>0</v>
      </c>
      <c r="K27">
        <v>1</v>
      </c>
      <c r="L27">
        <f t="shared" si="1"/>
        <v>4</v>
      </c>
      <c r="M27" t="str">
        <f t="shared" si="2"/>
        <v>Low</v>
      </c>
      <c r="N27" t="str">
        <f t="shared" si="3"/>
        <v>11-15%</v>
      </c>
      <c r="O27" t="str">
        <f t="shared" si="8"/>
        <v>OK</v>
      </c>
      <c r="P27">
        <f>IFERROR(Full_Data!G27/Full_Data!H27,"Check data")</f>
        <v>0.37931034482758619</v>
      </c>
      <c r="Q27" t="str">
        <f t="shared" si="4"/>
        <v>Match</v>
      </c>
      <c r="R27" t="str">
        <f t="shared" si="5"/>
        <v>Mismatch</v>
      </c>
      <c r="S27" t="str">
        <f t="shared" si="6"/>
        <v>Match</v>
      </c>
    </row>
    <row r="28" spans="1:19" x14ac:dyDescent="0.25">
      <c r="A28" t="s">
        <v>32</v>
      </c>
      <c r="B28">
        <v>5800</v>
      </c>
      <c r="C28">
        <f t="shared" si="7"/>
        <v>58</v>
      </c>
      <c r="D28">
        <v>15</v>
      </c>
      <c r="E28">
        <v>3</v>
      </c>
      <c r="F28">
        <v>4900</v>
      </c>
      <c r="G28">
        <f t="shared" si="0"/>
        <v>49</v>
      </c>
      <c r="H28">
        <v>348</v>
      </c>
      <c r="I28" s="4">
        <f>Full_Data[[#This Row],[Selling Price]]/Full_Data[[#This Row],[Weight (g)]]</f>
        <v>0.14080459770114942</v>
      </c>
      <c r="J28" t="b">
        <v>0</v>
      </c>
      <c r="K28">
        <v>6</v>
      </c>
      <c r="L28">
        <f t="shared" si="1"/>
        <v>9</v>
      </c>
      <c r="M28" t="str">
        <f t="shared" si="2"/>
        <v>Low</v>
      </c>
      <c r="N28" t="str">
        <f t="shared" si="3"/>
        <v>11-15%</v>
      </c>
      <c r="O28" t="str">
        <f t="shared" si="8"/>
        <v>OK</v>
      </c>
      <c r="P28">
        <f>IFERROR(Full_Data!G28/Full_Data!H28,"Check data")</f>
        <v>0.14080459770114942</v>
      </c>
      <c r="Q28" t="str">
        <f t="shared" si="4"/>
        <v>Match</v>
      </c>
      <c r="R28" t="str">
        <f t="shared" si="5"/>
        <v>Mismatch</v>
      </c>
      <c r="S28" t="str">
        <f t="shared" si="6"/>
        <v>Mismatch</v>
      </c>
    </row>
    <row r="29" spans="1:19" x14ac:dyDescent="0.25">
      <c r="A29" t="s">
        <v>33</v>
      </c>
      <c r="B29">
        <v>3600</v>
      </c>
      <c r="C29">
        <f t="shared" si="7"/>
        <v>36</v>
      </c>
      <c r="D29">
        <v>16</v>
      </c>
      <c r="E29">
        <v>3</v>
      </c>
      <c r="F29">
        <v>3000</v>
      </c>
      <c r="G29">
        <f t="shared" si="0"/>
        <v>30</v>
      </c>
      <c r="H29">
        <v>58</v>
      </c>
      <c r="I29" s="4">
        <f>Full_Data[[#This Row],[Selling Price]]/Full_Data[[#This Row],[Weight (g)]]</f>
        <v>0.51724137931034486</v>
      </c>
      <c r="J29" t="b">
        <v>0</v>
      </c>
      <c r="K29">
        <v>1</v>
      </c>
      <c r="L29">
        <f t="shared" si="1"/>
        <v>6</v>
      </c>
      <c r="M29" t="str">
        <f t="shared" si="2"/>
        <v>Low</v>
      </c>
      <c r="N29" t="str">
        <f t="shared" si="3"/>
        <v>16-20%</v>
      </c>
      <c r="O29" t="str">
        <f t="shared" si="8"/>
        <v>OK</v>
      </c>
      <c r="P29">
        <f>IFERROR(Full_Data!G29/Full_Data!H29,"Check data")</f>
        <v>0.51724137931034486</v>
      </c>
      <c r="Q29" t="str">
        <f t="shared" si="4"/>
        <v>Match</v>
      </c>
      <c r="R29" t="str">
        <f t="shared" si="5"/>
        <v>Mismatch</v>
      </c>
      <c r="S29" t="str">
        <f t="shared" si="6"/>
        <v>Mismatch</v>
      </c>
    </row>
    <row r="30" spans="1:19" x14ac:dyDescent="0.25">
      <c r="A30" t="s">
        <v>34</v>
      </c>
      <c r="B30">
        <v>1300</v>
      </c>
      <c r="C30">
        <f t="shared" si="7"/>
        <v>13</v>
      </c>
      <c r="D30">
        <v>15</v>
      </c>
      <c r="E30">
        <v>3</v>
      </c>
      <c r="F30">
        <v>1100</v>
      </c>
      <c r="G30">
        <f t="shared" si="0"/>
        <v>11</v>
      </c>
      <c r="H30">
        <v>50</v>
      </c>
      <c r="I30" s="4">
        <f>Full_Data[[#This Row],[Selling Price]]/Full_Data[[#This Row],[Weight (g)]]</f>
        <v>0.22</v>
      </c>
      <c r="J30" t="b">
        <v>0</v>
      </c>
      <c r="K30">
        <v>50</v>
      </c>
      <c r="L30">
        <f t="shared" si="1"/>
        <v>2</v>
      </c>
      <c r="M30" t="str">
        <f t="shared" si="2"/>
        <v>Low</v>
      </c>
      <c r="N30" t="str">
        <f t="shared" si="3"/>
        <v>11-15%</v>
      </c>
      <c r="O30" t="str">
        <f t="shared" si="8"/>
        <v>OK</v>
      </c>
      <c r="P30">
        <f>IFERROR(Full_Data!G30/Full_Data!H30,"Check data")</f>
        <v>0.22</v>
      </c>
      <c r="Q30" t="str">
        <f t="shared" si="4"/>
        <v>Match</v>
      </c>
      <c r="R30" t="str">
        <f t="shared" si="5"/>
        <v>Mismatch</v>
      </c>
      <c r="S30" t="str">
        <f t="shared" si="6"/>
        <v>Match</v>
      </c>
    </row>
    <row r="31" spans="1:19" x14ac:dyDescent="0.25">
      <c r="A31" t="s">
        <v>35</v>
      </c>
      <c r="B31">
        <v>1900</v>
      </c>
      <c r="C31">
        <f t="shared" si="7"/>
        <v>19</v>
      </c>
      <c r="D31">
        <v>15</v>
      </c>
      <c r="E31">
        <v>3</v>
      </c>
      <c r="F31">
        <v>1600</v>
      </c>
      <c r="G31">
        <f t="shared" si="0"/>
        <v>16</v>
      </c>
      <c r="H31">
        <v>58</v>
      </c>
      <c r="I31" s="4">
        <f>Full_Data[[#This Row],[Selling Price]]/Full_Data[[#This Row],[Weight (g)]]</f>
        <v>0.27586206896551724</v>
      </c>
      <c r="J31" t="b">
        <v>0</v>
      </c>
      <c r="K31">
        <v>1</v>
      </c>
      <c r="L31">
        <f t="shared" si="1"/>
        <v>3</v>
      </c>
      <c r="M31" t="str">
        <f t="shared" si="2"/>
        <v>Low</v>
      </c>
      <c r="N31" t="str">
        <f t="shared" si="3"/>
        <v>11-15%</v>
      </c>
      <c r="O31" t="str">
        <f t="shared" si="8"/>
        <v>OK</v>
      </c>
      <c r="P31">
        <f>IFERROR(Full_Data!G31/Full_Data!H31,"Check data")</f>
        <v>0.27586206896551724</v>
      </c>
      <c r="Q31" t="str">
        <f t="shared" si="4"/>
        <v>Match</v>
      </c>
      <c r="R31" t="str">
        <f t="shared" si="5"/>
        <v>Mismatch</v>
      </c>
      <c r="S31" t="str">
        <f t="shared" si="6"/>
        <v>Mismatch</v>
      </c>
    </row>
    <row r="32" spans="1:19" x14ac:dyDescent="0.25">
      <c r="A32" t="s">
        <v>36</v>
      </c>
      <c r="B32">
        <v>2500</v>
      </c>
      <c r="C32">
        <f t="shared" si="7"/>
        <v>25</v>
      </c>
      <c r="D32">
        <v>16</v>
      </c>
      <c r="E32">
        <v>3</v>
      </c>
      <c r="F32">
        <v>2100</v>
      </c>
      <c r="G32">
        <f t="shared" si="0"/>
        <v>21</v>
      </c>
      <c r="H32">
        <v>250</v>
      </c>
      <c r="I32" s="4">
        <f>Full_Data[[#This Row],[Selling Price]]/Full_Data[[#This Row],[Weight (g)]]</f>
        <v>8.4000000000000005E-2</v>
      </c>
      <c r="J32" t="b">
        <v>0</v>
      </c>
      <c r="K32">
        <v>250</v>
      </c>
      <c r="L32">
        <f t="shared" si="1"/>
        <v>4</v>
      </c>
      <c r="M32" t="str">
        <f t="shared" si="2"/>
        <v>Low</v>
      </c>
      <c r="N32" t="str">
        <f t="shared" si="3"/>
        <v>16-20%</v>
      </c>
      <c r="O32" t="str">
        <f t="shared" si="8"/>
        <v>OK</v>
      </c>
      <c r="P32">
        <f>IFERROR(Full_Data!G32/Full_Data!H32,"Check data")</f>
        <v>8.4000000000000005E-2</v>
      </c>
      <c r="Q32" t="str">
        <f t="shared" si="4"/>
        <v>Match</v>
      </c>
      <c r="R32" t="str">
        <f t="shared" si="5"/>
        <v>Match</v>
      </c>
      <c r="S32" t="str">
        <f t="shared" si="6"/>
        <v>Match</v>
      </c>
    </row>
    <row r="33" spans="1:19" x14ac:dyDescent="0.25">
      <c r="A33" t="s">
        <v>37</v>
      </c>
      <c r="B33">
        <v>5400</v>
      </c>
      <c r="C33">
        <f t="shared" si="7"/>
        <v>54</v>
      </c>
      <c r="D33">
        <v>16</v>
      </c>
      <c r="E33">
        <v>3</v>
      </c>
      <c r="F33">
        <v>4500</v>
      </c>
      <c r="G33">
        <f t="shared" si="0"/>
        <v>45</v>
      </c>
      <c r="H33">
        <v>58</v>
      </c>
      <c r="I33" s="4">
        <f>Full_Data[[#This Row],[Selling Price]]/Full_Data[[#This Row],[Weight (g)]]</f>
        <v>0.77586206896551724</v>
      </c>
      <c r="J33" t="b">
        <v>0</v>
      </c>
      <c r="K33">
        <v>1</v>
      </c>
      <c r="L33">
        <f t="shared" si="1"/>
        <v>9</v>
      </c>
      <c r="M33" t="str">
        <f t="shared" si="2"/>
        <v>Low</v>
      </c>
      <c r="N33" t="str">
        <f t="shared" si="3"/>
        <v>16-20%</v>
      </c>
      <c r="O33" t="str">
        <f t="shared" si="8"/>
        <v>OK</v>
      </c>
      <c r="P33">
        <f>IFERROR(Full_Data!G33/Full_Data!H33,"Check data")</f>
        <v>0.77586206896551724</v>
      </c>
      <c r="Q33" t="str">
        <f t="shared" si="4"/>
        <v>Match</v>
      </c>
      <c r="R33" t="str">
        <f t="shared" si="5"/>
        <v>Mismatch</v>
      </c>
      <c r="S33" t="str">
        <f t="shared" si="6"/>
        <v>Mismatch</v>
      </c>
    </row>
    <row r="34" spans="1:19" x14ac:dyDescent="0.25">
      <c r="A34" t="s">
        <v>38</v>
      </c>
      <c r="B34">
        <v>14200</v>
      </c>
      <c r="C34">
        <f t="shared" si="7"/>
        <v>142</v>
      </c>
      <c r="D34">
        <v>16</v>
      </c>
      <c r="E34">
        <v>3</v>
      </c>
      <c r="F34">
        <v>11900</v>
      </c>
      <c r="G34">
        <f t="shared" si="0"/>
        <v>119</v>
      </c>
      <c r="H34">
        <v>232</v>
      </c>
      <c r="I34" s="4">
        <f>Full_Data[[#This Row],[Selling Price]]/Full_Data[[#This Row],[Weight (g)]]</f>
        <v>0.51293103448275867</v>
      </c>
      <c r="J34" t="b">
        <v>0</v>
      </c>
      <c r="K34">
        <v>4</v>
      </c>
      <c r="L34">
        <f t="shared" si="1"/>
        <v>23</v>
      </c>
      <c r="M34" t="str">
        <f t="shared" si="2"/>
        <v>Medium</v>
      </c>
      <c r="N34" t="str">
        <f t="shared" si="3"/>
        <v>16-20%</v>
      </c>
      <c r="O34" t="str">
        <f t="shared" si="8"/>
        <v>OK</v>
      </c>
      <c r="P34">
        <f>IFERROR(Full_Data!G34/Full_Data!H34,"Check data")</f>
        <v>0.51293103448275867</v>
      </c>
      <c r="Q34" t="str">
        <f t="shared" si="4"/>
        <v>Match</v>
      </c>
      <c r="R34" t="str">
        <f t="shared" si="5"/>
        <v>Mismatch</v>
      </c>
      <c r="S34" t="str">
        <f t="shared" si="6"/>
        <v>Match</v>
      </c>
    </row>
    <row r="35" spans="1:19" x14ac:dyDescent="0.25">
      <c r="A35" t="s">
        <v>39</v>
      </c>
      <c r="B35">
        <v>1800</v>
      </c>
      <c r="C35">
        <f t="shared" si="7"/>
        <v>18</v>
      </c>
      <c r="D35">
        <v>16</v>
      </c>
      <c r="E35">
        <v>3</v>
      </c>
      <c r="F35">
        <v>1500</v>
      </c>
      <c r="G35">
        <f t="shared" si="0"/>
        <v>15</v>
      </c>
      <c r="H35">
        <v>250</v>
      </c>
      <c r="I35" s="4">
        <f>Full_Data[[#This Row],[Selling Price]]/Full_Data[[#This Row],[Weight (g)]]</f>
        <v>0.06</v>
      </c>
      <c r="J35" t="b">
        <v>0</v>
      </c>
      <c r="K35">
        <v>250</v>
      </c>
      <c r="L35">
        <f t="shared" si="1"/>
        <v>3</v>
      </c>
      <c r="M35" t="str">
        <f t="shared" si="2"/>
        <v>Low</v>
      </c>
      <c r="N35" t="str">
        <f t="shared" si="3"/>
        <v>16-20%</v>
      </c>
      <c r="O35" t="str">
        <f t="shared" si="8"/>
        <v>OK</v>
      </c>
      <c r="P35">
        <f>IFERROR(Full_Data!G35/Full_Data!H35,"Check data")</f>
        <v>0.06</v>
      </c>
      <c r="Q35" t="str">
        <f t="shared" si="4"/>
        <v>Match</v>
      </c>
      <c r="R35" t="str">
        <f t="shared" si="5"/>
        <v>Mismatch</v>
      </c>
      <c r="S35" t="str">
        <f t="shared" si="6"/>
        <v>Mismatch</v>
      </c>
    </row>
    <row r="36" spans="1:19" x14ac:dyDescent="0.25">
      <c r="A36" t="s">
        <v>40</v>
      </c>
      <c r="B36">
        <v>1800</v>
      </c>
      <c r="C36">
        <f t="shared" si="7"/>
        <v>18</v>
      </c>
      <c r="D36">
        <v>16</v>
      </c>
      <c r="E36">
        <v>3</v>
      </c>
      <c r="F36">
        <v>1500</v>
      </c>
      <c r="G36">
        <f t="shared" si="0"/>
        <v>15</v>
      </c>
      <c r="H36">
        <v>250</v>
      </c>
      <c r="I36" s="4">
        <f>Full_Data[[#This Row],[Selling Price]]/Full_Data[[#This Row],[Weight (g)]]</f>
        <v>0.06</v>
      </c>
      <c r="J36" t="b">
        <v>0</v>
      </c>
      <c r="K36">
        <v>250</v>
      </c>
      <c r="L36">
        <f t="shared" si="1"/>
        <v>3</v>
      </c>
      <c r="M36" t="str">
        <f t="shared" si="2"/>
        <v>Low</v>
      </c>
      <c r="N36" t="str">
        <f t="shared" si="3"/>
        <v>16-20%</v>
      </c>
      <c r="O36" t="str">
        <f t="shared" si="8"/>
        <v>OK</v>
      </c>
      <c r="P36">
        <f>IFERROR(Full_Data!G36/Full_Data!H36,"Check data")</f>
        <v>0.06</v>
      </c>
      <c r="Q36" t="str">
        <f t="shared" si="4"/>
        <v>Match</v>
      </c>
      <c r="R36" t="str">
        <f t="shared" si="5"/>
        <v>Mismatch</v>
      </c>
      <c r="S36" t="str">
        <f t="shared" si="6"/>
        <v>Mismatch</v>
      </c>
    </row>
    <row r="37" spans="1:19" x14ac:dyDescent="0.25">
      <c r="A37" t="s">
        <v>41</v>
      </c>
      <c r="B37">
        <v>3600</v>
      </c>
      <c r="C37">
        <f t="shared" si="7"/>
        <v>36</v>
      </c>
      <c r="D37">
        <v>16</v>
      </c>
      <c r="E37">
        <v>3</v>
      </c>
      <c r="F37">
        <v>3000</v>
      </c>
      <c r="G37">
        <f t="shared" si="0"/>
        <v>30</v>
      </c>
      <c r="H37">
        <v>116</v>
      </c>
      <c r="I37" s="4">
        <f>Full_Data[[#This Row],[Selling Price]]/Full_Data[[#This Row],[Weight (g)]]</f>
        <v>0.25862068965517243</v>
      </c>
      <c r="J37" t="b">
        <v>0</v>
      </c>
      <c r="K37">
        <v>2</v>
      </c>
      <c r="L37">
        <f t="shared" si="1"/>
        <v>6</v>
      </c>
      <c r="M37" t="str">
        <f t="shared" si="2"/>
        <v>Low</v>
      </c>
      <c r="N37" t="str">
        <f t="shared" si="3"/>
        <v>16-20%</v>
      </c>
      <c r="O37" t="str">
        <f t="shared" si="8"/>
        <v>OK</v>
      </c>
      <c r="P37">
        <f>IFERROR(Full_Data!G37/Full_Data!H37,"Check data")</f>
        <v>0.25862068965517243</v>
      </c>
      <c r="Q37" t="str">
        <f t="shared" si="4"/>
        <v>Match</v>
      </c>
      <c r="R37" t="str">
        <f t="shared" si="5"/>
        <v>Mismatch</v>
      </c>
      <c r="S37" t="str">
        <f t="shared" si="6"/>
        <v>Mismatch</v>
      </c>
    </row>
    <row r="38" spans="1:19" x14ac:dyDescent="0.25">
      <c r="A38" t="s">
        <v>42</v>
      </c>
      <c r="B38">
        <v>1800</v>
      </c>
      <c r="C38">
        <f t="shared" si="7"/>
        <v>18</v>
      </c>
      <c r="D38">
        <v>16</v>
      </c>
      <c r="E38">
        <v>3</v>
      </c>
      <c r="F38">
        <v>1500</v>
      </c>
      <c r="G38">
        <f t="shared" si="0"/>
        <v>15</v>
      </c>
      <c r="H38">
        <v>250</v>
      </c>
      <c r="I38" s="4">
        <f>Full_Data[[#This Row],[Selling Price]]/Full_Data[[#This Row],[Weight (g)]]</f>
        <v>0.06</v>
      </c>
      <c r="J38" t="b">
        <v>0</v>
      </c>
      <c r="K38">
        <v>250</v>
      </c>
      <c r="L38">
        <f t="shared" si="1"/>
        <v>3</v>
      </c>
      <c r="M38" t="str">
        <f t="shared" si="2"/>
        <v>Low</v>
      </c>
      <c r="N38" t="str">
        <f t="shared" si="3"/>
        <v>16-20%</v>
      </c>
      <c r="O38" t="str">
        <f t="shared" si="8"/>
        <v>OK</v>
      </c>
      <c r="P38">
        <f>IFERROR(Full_Data!G38/Full_Data!H38,"Check data")</f>
        <v>0.06</v>
      </c>
      <c r="Q38" t="str">
        <f t="shared" si="4"/>
        <v>Match</v>
      </c>
      <c r="R38" t="str">
        <f t="shared" si="5"/>
        <v>Mismatch</v>
      </c>
      <c r="S38" t="str">
        <f t="shared" si="6"/>
        <v>Mismatch</v>
      </c>
    </row>
    <row r="39" spans="1:19" x14ac:dyDescent="0.25">
      <c r="A39" t="s">
        <v>43</v>
      </c>
      <c r="B39">
        <v>11800</v>
      </c>
      <c r="C39">
        <f t="shared" si="7"/>
        <v>118</v>
      </c>
      <c r="D39">
        <v>16</v>
      </c>
      <c r="E39">
        <v>3</v>
      </c>
      <c r="F39">
        <v>9900</v>
      </c>
      <c r="G39">
        <f t="shared" si="0"/>
        <v>99</v>
      </c>
      <c r="H39">
        <v>116</v>
      </c>
      <c r="I39" s="4">
        <f>Full_Data[[#This Row],[Selling Price]]/Full_Data[[#This Row],[Weight (g)]]</f>
        <v>0.85344827586206895</v>
      </c>
      <c r="J39" t="b">
        <v>0</v>
      </c>
      <c r="K39">
        <v>2</v>
      </c>
      <c r="L39">
        <f t="shared" si="1"/>
        <v>19</v>
      </c>
      <c r="M39" t="str">
        <f t="shared" si="2"/>
        <v>Medium</v>
      </c>
      <c r="N39" t="str">
        <f t="shared" si="3"/>
        <v>16-20%</v>
      </c>
      <c r="O39" t="str">
        <f t="shared" si="8"/>
        <v>OK</v>
      </c>
      <c r="P39">
        <f>IFERROR(Full_Data!G39/Full_Data!H39,"Check data")</f>
        <v>0.85344827586206895</v>
      </c>
      <c r="Q39" t="str">
        <f t="shared" si="4"/>
        <v>Match</v>
      </c>
      <c r="R39" t="str">
        <f t="shared" si="5"/>
        <v>Mismatch</v>
      </c>
      <c r="S39" t="str">
        <f t="shared" si="6"/>
        <v>Match</v>
      </c>
    </row>
    <row r="40" spans="1:19" x14ac:dyDescent="0.25">
      <c r="A40" t="s">
        <v>44</v>
      </c>
      <c r="B40">
        <v>10600</v>
      </c>
      <c r="C40">
        <f t="shared" si="7"/>
        <v>106</v>
      </c>
      <c r="D40">
        <v>16</v>
      </c>
      <c r="E40">
        <v>3</v>
      </c>
      <c r="F40">
        <v>8900</v>
      </c>
      <c r="G40">
        <f t="shared" si="0"/>
        <v>89</v>
      </c>
      <c r="H40">
        <v>116</v>
      </c>
      <c r="I40" s="4">
        <f>Full_Data[[#This Row],[Selling Price]]/Full_Data[[#This Row],[Weight (g)]]</f>
        <v>0.76724137931034486</v>
      </c>
      <c r="J40" t="b">
        <v>0</v>
      </c>
      <c r="K40">
        <v>2</v>
      </c>
      <c r="L40">
        <f t="shared" si="1"/>
        <v>17</v>
      </c>
      <c r="M40" t="str">
        <f t="shared" si="2"/>
        <v>Medium</v>
      </c>
      <c r="N40" t="str">
        <f t="shared" si="3"/>
        <v>16-20%</v>
      </c>
      <c r="O40" t="str">
        <f t="shared" si="8"/>
        <v>OK</v>
      </c>
      <c r="P40">
        <f>IFERROR(Full_Data!G40/Full_Data!H40,"Check data")</f>
        <v>0.76724137931034486</v>
      </c>
      <c r="Q40" t="str">
        <f t="shared" si="4"/>
        <v>Match</v>
      </c>
      <c r="R40" t="str">
        <f t="shared" si="5"/>
        <v>Mismatch</v>
      </c>
      <c r="S40" t="str">
        <f t="shared" si="6"/>
        <v>Match</v>
      </c>
    </row>
    <row r="41" spans="1:19" x14ac:dyDescent="0.25">
      <c r="A41" t="s">
        <v>45</v>
      </c>
      <c r="B41">
        <v>3000</v>
      </c>
      <c r="C41">
        <f t="shared" si="7"/>
        <v>30</v>
      </c>
      <c r="D41">
        <v>16</v>
      </c>
      <c r="E41">
        <v>3</v>
      </c>
      <c r="F41">
        <v>2500</v>
      </c>
      <c r="G41">
        <f t="shared" si="0"/>
        <v>25</v>
      </c>
      <c r="H41">
        <v>116</v>
      </c>
      <c r="I41" s="4">
        <f>Full_Data[[#This Row],[Selling Price]]/Full_Data[[#This Row],[Weight (g)]]</f>
        <v>0.21551724137931033</v>
      </c>
      <c r="J41" t="b">
        <v>0</v>
      </c>
      <c r="K41">
        <v>2</v>
      </c>
      <c r="L41">
        <f t="shared" si="1"/>
        <v>5</v>
      </c>
      <c r="M41" t="str">
        <f t="shared" si="2"/>
        <v>Low</v>
      </c>
      <c r="N41" t="str">
        <f t="shared" si="3"/>
        <v>16-20%</v>
      </c>
      <c r="O41" t="str">
        <f t="shared" si="8"/>
        <v>OK</v>
      </c>
      <c r="P41">
        <f>IFERROR(Full_Data!G41/Full_Data!H41,"Check data")</f>
        <v>0.21551724137931033</v>
      </c>
      <c r="Q41" t="str">
        <f t="shared" si="4"/>
        <v>Match</v>
      </c>
      <c r="R41" t="str">
        <f t="shared" si="5"/>
        <v>Mismatch</v>
      </c>
      <c r="S41" t="str">
        <f t="shared" si="6"/>
        <v>Mismatch</v>
      </c>
    </row>
    <row r="42" spans="1:19" x14ac:dyDescent="0.25">
      <c r="A42" t="s">
        <v>46</v>
      </c>
      <c r="B42">
        <v>1900</v>
      </c>
      <c r="C42">
        <f t="shared" si="7"/>
        <v>19</v>
      </c>
      <c r="D42">
        <v>15</v>
      </c>
      <c r="E42">
        <v>3</v>
      </c>
      <c r="F42">
        <v>1600</v>
      </c>
      <c r="G42">
        <f t="shared" si="0"/>
        <v>16</v>
      </c>
      <c r="H42">
        <v>500</v>
      </c>
      <c r="I42" s="4">
        <f>Full_Data[[#This Row],[Selling Price]]/Full_Data[[#This Row],[Weight (g)]]</f>
        <v>3.2000000000000001E-2</v>
      </c>
      <c r="J42" t="b">
        <v>0</v>
      </c>
      <c r="K42">
        <v>500</v>
      </c>
      <c r="L42">
        <f t="shared" si="1"/>
        <v>3</v>
      </c>
      <c r="M42" t="str">
        <f t="shared" si="2"/>
        <v>Low</v>
      </c>
      <c r="N42" t="str">
        <f t="shared" si="3"/>
        <v>11-15%</v>
      </c>
      <c r="O42" t="str">
        <f t="shared" si="8"/>
        <v>OK</v>
      </c>
      <c r="P42">
        <f>IFERROR(Full_Data!G42/Full_Data!H42,"Check data")</f>
        <v>3.2000000000000001E-2</v>
      </c>
      <c r="Q42" t="str">
        <f t="shared" si="4"/>
        <v>Match</v>
      </c>
      <c r="R42" t="str">
        <f t="shared" si="5"/>
        <v>Mismatch</v>
      </c>
      <c r="S42" t="str">
        <f t="shared" si="6"/>
        <v>Mismatch</v>
      </c>
    </row>
    <row r="43" spans="1:19" x14ac:dyDescent="0.25">
      <c r="A43" t="s">
        <v>47</v>
      </c>
      <c r="B43">
        <v>3200</v>
      </c>
      <c r="C43">
        <f t="shared" si="7"/>
        <v>32</v>
      </c>
      <c r="D43">
        <v>15</v>
      </c>
      <c r="E43">
        <v>3</v>
      </c>
      <c r="F43">
        <v>2700</v>
      </c>
      <c r="G43">
        <f t="shared" si="0"/>
        <v>27</v>
      </c>
      <c r="H43">
        <v>250</v>
      </c>
      <c r="I43" s="4">
        <f>Full_Data[[#This Row],[Selling Price]]/Full_Data[[#This Row],[Weight (g)]]</f>
        <v>0.108</v>
      </c>
      <c r="J43" t="b">
        <v>0</v>
      </c>
      <c r="K43">
        <v>250</v>
      </c>
      <c r="L43">
        <f t="shared" si="1"/>
        <v>5</v>
      </c>
      <c r="M43" t="str">
        <f t="shared" si="2"/>
        <v>Low</v>
      </c>
      <c r="N43" t="str">
        <f t="shared" si="3"/>
        <v>11-15%</v>
      </c>
      <c r="O43" t="str">
        <f t="shared" si="8"/>
        <v>OK</v>
      </c>
      <c r="P43">
        <f>IFERROR(Full_Data!G43/Full_Data!H43,"Check data")</f>
        <v>0.108</v>
      </c>
      <c r="Q43" t="str">
        <f t="shared" si="4"/>
        <v>Match</v>
      </c>
      <c r="R43" t="str">
        <f t="shared" si="5"/>
        <v>Mismatch</v>
      </c>
      <c r="S43" t="str">
        <f t="shared" si="6"/>
        <v>Mismatch</v>
      </c>
    </row>
    <row r="44" spans="1:19" x14ac:dyDescent="0.25">
      <c r="A44" t="s">
        <v>48</v>
      </c>
      <c r="B44">
        <v>5400</v>
      </c>
      <c r="C44">
        <f t="shared" si="7"/>
        <v>54</v>
      </c>
      <c r="D44">
        <v>16</v>
      </c>
      <c r="E44">
        <v>3</v>
      </c>
      <c r="F44">
        <v>4500</v>
      </c>
      <c r="G44">
        <f t="shared" si="0"/>
        <v>45</v>
      </c>
      <c r="H44">
        <v>232</v>
      </c>
      <c r="I44" s="4">
        <f>Full_Data[[#This Row],[Selling Price]]/Full_Data[[#This Row],[Weight (g)]]</f>
        <v>0.19396551724137931</v>
      </c>
      <c r="J44" t="b">
        <v>0</v>
      </c>
      <c r="K44">
        <v>4</v>
      </c>
      <c r="L44">
        <f t="shared" si="1"/>
        <v>9</v>
      </c>
      <c r="M44" t="str">
        <f t="shared" si="2"/>
        <v>Low</v>
      </c>
      <c r="N44" t="str">
        <f t="shared" si="3"/>
        <v>16-20%</v>
      </c>
      <c r="O44" t="str">
        <f t="shared" si="8"/>
        <v>OK</v>
      </c>
      <c r="P44">
        <f>IFERROR(Full_Data!G44/Full_Data!H44,"Check data")</f>
        <v>0.19396551724137931</v>
      </c>
      <c r="Q44" t="str">
        <f t="shared" si="4"/>
        <v>Match</v>
      </c>
      <c r="R44" t="str">
        <f t="shared" si="5"/>
        <v>Mismatch</v>
      </c>
      <c r="S44" t="str">
        <f t="shared" si="6"/>
        <v>Mismatch</v>
      </c>
    </row>
    <row r="45" spans="1:19" x14ac:dyDescent="0.25">
      <c r="A45" t="s">
        <v>49</v>
      </c>
      <c r="B45">
        <v>17700</v>
      </c>
      <c r="C45">
        <f t="shared" si="7"/>
        <v>177</v>
      </c>
      <c r="D45">
        <v>15</v>
      </c>
      <c r="E45">
        <v>3</v>
      </c>
      <c r="F45">
        <v>14900</v>
      </c>
      <c r="G45">
        <f t="shared" si="0"/>
        <v>149</v>
      </c>
      <c r="H45">
        <v>232</v>
      </c>
      <c r="I45" s="4">
        <f>Full_Data[[#This Row],[Selling Price]]/Full_Data[[#This Row],[Weight (g)]]</f>
        <v>0.64224137931034486</v>
      </c>
      <c r="J45" t="b">
        <v>0</v>
      </c>
      <c r="K45">
        <v>4</v>
      </c>
      <c r="L45">
        <f t="shared" si="1"/>
        <v>28</v>
      </c>
      <c r="M45" t="str">
        <f t="shared" si="2"/>
        <v>Medium</v>
      </c>
      <c r="N45" t="str">
        <f t="shared" si="3"/>
        <v>11-15%</v>
      </c>
      <c r="O45" t="str">
        <f t="shared" si="8"/>
        <v>OK</v>
      </c>
      <c r="P45">
        <f>IFERROR(Full_Data!G45/Full_Data!H45,"Check data")</f>
        <v>0.64224137931034486</v>
      </c>
      <c r="Q45" t="str">
        <f t="shared" si="4"/>
        <v>Match</v>
      </c>
      <c r="R45" t="str">
        <f t="shared" si="5"/>
        <v>Mismatch</v>
      </c>
      <c r="S45" t="str">
        <f t="shared" si="6"/>
        <v>Mismatch</v>
      </c>
    </row>
    <row r="46" spans="1:19" x14ac:dyDescent="0.25">
      <c r="A46" t="s">
        <v>50</v>
      </c>
      <c r="B46">
        <v>3200</v>
      </c>
      <c r="C46">
        <f t="shared" si="7"/>
        <v>32</v>
      </c>
      <c r="D46">
        <v>15</v>
      </c>
      <c r="E46">
        <v>3</v>
      </c>
      <c r="F46">
        <v>2700</v>
      </c>
      <c r="G46">
        <f t="shared" si="0"/>
        <v>27</v>
      </c>
      <c r="H46">
        <v>250</v>
      </c>
      <c r="I46" s="4">
        <f>Full_Data[[#This Row],[Selling Price]]/Full_Data[[#This Row],[Weight (g)]]</f>
        <v>0.108</v>
      </c>
      <c r="J46" t="b">
        <v>0</v>
      </c>
      <c r="K46">
        <v>250</v>
      </c>
      <c r="L46">
        <f t="shared" si="1"/>
        <v>5</v>
      </c>
      <c r="M46" t="str">
        <f t="shared" si="2"/>
        <v>Low</v>
      </c>
      <c r="N46" t="str">
        <f t="shared" si="3"/>
        <v>11-15%</v>
      </c>
      <c r="O46" t="str">
        <f t="shared" si="8"/>
        <v>OK</v>
      </c>
      <c r="P46">
        <f>IFERROR(Full_Data!G46/Full_Data!H46,"Check data")</f>
        <v>0.108</v>
      </c>
      <c r="Q46" t="str">
        <f t="shared" si="4"/>
        <v>Match</v>
      </c>
      <c r="R46" t="str">
        <f t="shared" si="5"/>
        <v>Mismatch</v>
      </c>
      <c r="S46" t="str">
        <f t="shared" si="6"/>
        <v>Mismatch</v>
      </c>
    </row>
    <row r="47" spans="1:19" x14ac:dyDescent="0.25">
      <c r="A47" t="s">
        <v>51</v>
      </c>
      <c r="B47">
        <v>3000</v>
      </c>
      <c r="C47">
        <f t="shared" si="7"/>
        <v>30</v>
      </c>
      <c r="D47">
        <v>16</v>
      </c>
      <c r="E47">
        <v>3</v>
      </c>
      <c r="F47">
        <v>2500</v>
      </c>
      <c r="G47">
        <f t="shared" si="0"/>
        <v>25</v>
      </c>
      <c r="H47">
        <v>250</v>
      </c>
      <c r="I47" s="4">
        <f>Full_Data[[#This Row],[Selling Price]]/Full_Data[[#This Row],[Weight (g)]]</f>
        <v>0.1</v>
      </c>
      <c r="J47" t="b">
        <v>0</v>
      </c>
      <c r="K47">
        <v>250</v>
      </c>
      <c r="L47">
        <f t="shared" si="1"/>
        <v>5</v>
      </c>
      <c r="M47" t="str">
        <f t="shared" si="2"/>
        <v>Low</v>
      </c>
      <c r="N47" t="str">
        <f t="shared" si="3"/>
        <v>16-20%</v>
      </c>
      <c r="O47" t="str">
        <f t="shared" si="8"/>
        <v>OK</v>
      </c>
      <c r="P47">
        <f>IFERROR(Full_Data!G47/Full_Data!H47,"Check data")</f>
        <v>0.1</v>
      </c>
      <c r="Q47" t="str">
        <f t="shared" si="4"/>
        <v>Match</v>
      </c>
      <c r="R47" t="str">
        <f t="shared" si="5"/>
        <v>Mismatch</v>
      </c>
      <c r="S47" t="str">
        <f t="shared" si="6"/>
        <v>Mismatch</v>
      </c>
    </row>
    <row r="48" spans="1:19" x14ac:dyDescent="0.25">
      <c r="A48" t="s">
        <v>52</v>
      </c>
      <c r="B48">
        <v>18900</v>
      </c>
      <c r="C48">
        <f t="shared" si="7"/>
        <v>189</v>
      </c>
      <c r="D48">
        <v>15</v>
      </c>
      <c r="E48">
        <v>3</v>
      </c>
      <c r="F48">
        <v>15900</v>
      </c>
      <c r="G48">
        <f t="shared" si="0"/>
        <v>159</v>
      </c>
      <c r="H48">
        <v>232</v>
      </c>
      <c r="I48" s="4">
        <f>Full_Data[[#This Row],[Selling Price]]/Full_Data[[#This Row],[Weight (g)]]</f>
        <v>0.68534482758620685</v>
      </c>
      <c r="J48" t="b">
        <v>0</v>
      </c>
      <c r="K48">
        <v>4</v>
      </c>
      <c r="L48">
        <f t="shared" si="1"/>
        <v>30</v>
      </c>
      <c r="M48" t="str">
        <f t="shared" si="2"/>
        <v>Medium</v>
      </c>
      <c r="N48" t="str">
        <f t="shared" si="3"/>
        <v>11-15%</v>
      </c>
      <c r="O48" t="str">
        <f t="shared" si="8"/>
        <v>OK</v>
      </c>
      <c r="P48">
        <f>IFERROR(Full_Data!G48/Full_Data!H48,"Check data")</f>
        <v>0.68534482758620685</v>
      </c>
      <c r="Q48" t="str">
        <f t="shared" si="4"/>
        <v>Match</v>
      </c>
      <c r="R48" t="str">
        <f t="shared" si="5"/>
        <v>Mismatch</v>
      </c>
      <c r="S48" t="str">
        <f t="shared" si="6"/>
        <v>Mismatch</v>
      </c>
    </row>
    <row r="49" spans="1:19" x14ac:dyDescent="0.25">
      <c r="A49" t="s">
        <v>53</v>
      </c>
      <c r="B49">
        <v>3000</v>
      </c>
      <c r="C49">
        <f t="shared" si="7"/>
        <v>30</v>
      </c>
      <c r="D49">
        <v>16</v>
      </c>
      <c r="E49">
        <v>3</v>
      </c>
      <c r="F49">
        <v>2500</v>
      </c>
      <c r="G49">
        <f t="shared" si="0"/>
        <v>25</v>
      </c>
      <c r="H49">
        <v>250</v>
      </c>
      <c r="I49" s="4">
        <f>Full_Data[[#This Row],[Selling Price]]/Full_Data[[#This Row],[Weight (g)]]</f>
        <v>0.1</v>
      </c>
      <c r="J49" t="b">
        <v>0</v>
      </c>
      <c r="K49">
        <v>250</v>
      </c>
      <c r="L49">
        <f t="shared" si="1"/>
        <v>5</v>
      </c>
      <c r="M49" t="str">
        <f t="shared" si="2"/>
        <v>Low</v>
      </c>
      <c r="N49" t="str">
        <f t="shared" si="3"/>
        <v>16-20%</v>
      </c>
      <c r="O49" t="str">
        <f t="shared" si="8"/>
        <v>OK</v>
      </c>
      <c r="P49">
        <f>IFERROR(Full_Data!G49/Full_Data!H49,"Check data")</f>
        <v>0.1</v>
      </c>
      <c r="Q49" t="str">
        <f t="shared" si="4"/>
        <v>Match</v>
      </c>
      <c r="R49" t="str">
        <f t="shared" si="5"/>
        <v>Mismatch</v>
      </c>
      <c r="S49" t="str">
        <f t="shared" si="6"/>
        <v>Mismatch</v>
      </c>
    </row>
    <row r="50" spans="1:19" x14ac:dyDescent="0.25">
      <c r="A50" t="s">
        <v>54</v>
      </c>
      <c r="B50">
        <v>2300</v>
      </c>
      <c r="C50">
        <f t="shared" si="7"/>
        <v>23</v>
      </c>
      <c r="D50">
        <v>17</v>
      </c>
      <c r="E50">
        <v>3</v>
      </c>
      <c r="F50">
        <v>1900</v>
      </c>
      <c r="G50">
        <f t="shared" si="0"/>
        <v>19</v>
      </c>
      <c r="H50">
        <v>100</v>
      </c>
      <c r="I50" s="4">
        <f>Full_Data[[#This Row],[Selling Price]]/Full_Data[[#This Row],[Weight (g)]]</f>
        <v>0.19</v>
      </c>
      <c r="J50" t="b">
        <v>0</v>
      </c>
      <c r="K50">
        <v>100</v>
      </c>
      <c r="L50">
        <f t="shared" si="1"/>
        <v>4</v>
      </c>
      <c r="M50" t="str">
        <f t="shared" si="2"/>
        <v>Low</v>
      </c>
      <c r="N50" t="str">
        <f t="shared" si="3"/>
        <v>16-20%</v>
      </c>
      <c r="O50" t="str">
        <f t="shared" si="8"/>
        <v>OK</v>
      </c>
      <c r="P50">
        <f>IFERROR(Full_Data!G50/Full_Data!H50,"Check data")</f>
        <v>0.19</v>
      </c>
      <c r="Q50" t="str">
        <f t="shared" si="4"/>
        <v>Match</v>
      </c>
      <c r="R50" t="str">
        <f t="shared" si="5"/>
        <v>Mismatch</v>
      </c>
      <c r="S50" t="str">
        <f t="shared" si="6"/>
        <v>Match</v>
      </c>
    </row>
    <row r="51" spans="1:19" x14ac:dyDescent="0.25">
      <c r="A51" t="s">
        <v>55</v>
      </c>
      <c r="B51">
        <v>3500</v>
      </c>
      <c r="C51">
        <f t="shared" si="7"/>
        <v>35</v>
      </c>
      <c r="D51">
        <v>17</v>
      </c>
      <c r="E51">
        <v>3</v>
      </c>
      <c r="F51">
        <v>2900</v>
      </c>
      <c r="G51">
        <f t="shared" si="0"/>
        <v>29</v>
      </c>
      <c r="H51">
        <v>250</v>
      </c>
      <c r="I51" s="4">
        <f>Full_Data[[#This Row],[Selling Price]]/Full_Data[[#This Row],[Weight (g)]]</f>
        <v>0.11600000000000001</v>
      </c>
      <c r="J51" t="b">
        <v>0</v>
      </c>
      <c r="K51">
        <v>250</v>
      </c>
      <c r="L51">
        <f t="shared" si="1"/>
        <v>6</v>
      </c>
      <c r="M51" t="str">
        <f t="shared" si="2"/>
        <v>Low</v>
      </c>
      <c r="N51" t="str">
        <f t="shared" si="3"/>
        <v>16-20%</v>
      </c>
      <c r="O51" t="str">
        <f t="shared" si="8"/>
        <v>OK</v>
      </c>
      <c r="P51">
        <f>IFERROR(Full_Data!G51/Full_Data!H51,"Check data")</f>
        <v>0.11600000000000001</v>
      </c>
      <c r="Q51" t="str">
        <f t="shared" si="4"/>
        <v>Match</v>
      </c>
      <c r="R51" t="str">
        <f t="shared" si="5"/>
        <v>Mismatch</v>
      </c>
      <c r="S51" t="str">
        <f t="shared" si="6"/>
        <v>Match</v>
      </c>
    </row>
    <row r="52" spans="1:19" x14ac:dyDescent="0.25">
      <c r="A52" t="s">
        <v>56</v>
      </c>
      <c r="B52">
        <v>3500</v>
      </c>
      <c r="C52">
        <f t="shared" si="7"/>
        <v>35</v>
      </c>
      <c r="D52">
        <v>17</v>
      </c>
      <c r="E52">
        <v>3</v>
      </c>
      <c r="F52">
        <v>2900</v>
      </c>
      <c r="G52">
        <f t="shared" si="0"/>
        <v>29</v>
      </c>
      <c r="H52">
        <v>200</v>
      </c>
      <c r="I52" s="4">
        <f>Full_Data[[#This Row],[Selling Price]]/Full_Data[[#This Row],[Weight (g)]]</f>
        <v>0.14499999999999999</v>
      </c>
      <c r="J52" t="b">
        <v>0</v>
      </c>
      <c r="K52">
        <v>200</v>
      </c>
      <c r="L52">
        <f t="shared" si="1"/>
        <v>6</v>
      </c>
      <c r="M52" t="str">
        <f t="shared" si="2"/>
        <v>Low</v>
      </c>
      <c r="N52" t="str">
        <f t="shared" si="3"/>
        <v>16-20%</v>
      </c>
      <c r="O52" t="str">
        <f t="shared" si="8"/>
        <v>OK</v>
      </c>
      <c r="P52">
        <f>IFERROR(Full_Data!G52/Full_Data!H52,"Check data")</f>
        <v>0.14499999999999999</v>
      </c>
      <c r="Q52" t="str">
        <f t="shared" si="4"/>
        <v>Match</v>
      </c>
      <c r="R52" t="str">
        <f t="shared" si="5"/>
        <v>Mismatch</v>
      </c>
      <c r="S52" t="str">
        <f t="shared" si="6"/>
        <v>Match</v>
      </c>
    </row>
    <row r="53" spans="1:19" x14ac:dyDescent="0.25">
      <c r="A53" t="s">
        <v>57</v>
      </c>
      <c r="B53">
        <v>3500</v>
      </c>
      <c r="C53">
        <f t="shared" si="7"/>
        <v>35</v>
      </c>
      <c r="D53">
        <v>17</v>
      </c>
      <c r="E53">
        <v>3</v>
      </c>
      <c r="F53">
        <v>2900</v>
      </c>
      <c r="G53">
        <f t="shared" si="0"/>
        <v>29</v>
      </c>
      <c r="H53">
        <v>250</v>
      </c>
      <c r="I53" s="4">
        <f>Full_Data[[#This Row],[Selling Price]]/Full_Data[[#This Row],[Weight (g)]]</f>
        <v>0.11600000000000001</v>
      </c>
      <c r="J53" t="b">
        <v>0</v>
      </c>
      <c r="K53">
        <v>250</v>
      </c>
      <c r="L53">
        <f t="shared" si="1"/>
        <v>6</v>
      </c>
      <c r="M53" t="str">
        <f t="shared" si="2"/>
        <v>Low</v>
      </c>
      <c r="N53" t="str">
        <f t="shared" si="3"/>
        <v>16-20%</v>
      </c>
      <c r="O53" t="str">
        <f t="shared" si="8"/>
        <v>OK</v>
      </c>
      <c r="P53">
        <f>IFERROR(Full_Data!G53/Full_Data!H53,"Check data")</f>
        <v>0.11600000000000001</v>
      </c>
      <c r="Q53" t="str">
        <f t="shared" si="4"/>
        <v>Match</v>
      </c>
      <c r="R53" t="str">
        <f t="shared" si="5"/>
        <v>Mismatch</v>
      </c>
      <c r="S53" t="str">
        <f t="shared" si="6"/>
        <v>Match</v>
      </c>
    </row>
    <row r="54" spans="1:19" x14ac:dyDescent="0.25">
      <c r="A54" t="s">
        <v>58</v>
      </c>
      <c r="B54">
        <v>4200</v>
      </c>
      <c r="C54">
        <f t="shared" si="7"/>
        <v>42</v>
      </c>
      <c r="D54">
        <v>16</v>
      </c>
      <c r="E54">
        <v>3</v>
      </c>
      <c r="F54">
        <v>3500</v>
      </c>
      <c r="G54">
        <f t="shared" si="0"/>
        <v>35</v>
      </c>
      <c r="H54">
        <v>250</v>
      </c>
      <c r="I54" s="4">
        <f>Full_Data[[#This Row],[Selling Price]]/Full_Data[[#This Row],[Weight (g)]]</f>
        <v>0.14000000000000001</v>
      </c>
      <c r="J54" t="b">
        <v>0</v>
      </c>
      <c r="K54">
        <v>250</v>
      </c>
      <c r="L54">
        <f t="shared" si="1"/>
        <v>7</v>
      </c>
      <c r="M54" t="str">
        <f t="shared" si="2"/>
        <v>Low</v>
      </c>
      <c r="N54" t="str">
        <f t="shared" si="3"/>
        <v>16-20%</v>
      </c>
      <c r="O54" t="str">
        <f t="shared" si="8"/>
        <v>OK</v>
      </c>
      <c r="P54">
        <f>IFERROR(Full_Data!G54/Full_Data!H54,"Check data")</f>
        <v>0.14000000000000001</v>
      </c>
      <c r="Q54" t="str">
        <f t="shared" si="4"/>
        <v>Match</v>
      </c>
      <c r="R54" t="str">
        <f t="shared" si="5"/>
        <v>Mismatch</v>
      </c>
      <c r="S54" t="str">
        <f t="shared" si="6"/>
        <v>Mismatch</v>
      </c>
    </row>
    <row r="55" spans="1:19" x14ac:dyDescent="0.25">
      <c r="A55" t="s">
        <v>59</v>
      </c>
      <c r="B55">
        <v>2000</v>
      </c>
      <c r="C55">
        <f t="shared" si="7"/>
        <v>20</v>
      </c>
      <c r="D55">
        <v>15</v>
      </c>
      <c r="E55">
        <v>6</v>
      </c>
      <c r="F55">
        <v>1700</v>
      </c>
      <c r="G55">
        <f t="shared" si="0"/>
        <v>17</v>
      </c>
      <c r="H55">
        <v>500</v>
      </c>
      <c r="I55" s="4">
        <f>Full_Data[[#This Row],[Selling Price]]/Full_Data[[#This Row],[Weight (g)]]</f>
        <v>3.4000000000000002E-2</v>
      </c>
      <c r="J55" t="b">
        <v>0</v>
      </c>
      <c r="K55">
        <v>500</v>
      </c>
      <c r="L55">
        <f t="shared" si="1"/>
        <v>3</v>
      </c>
      <c r="M55" t="str">
        <f t="shared" si="2"/>
        <v>Low</v>
      </c>
      <c r="N55" t="str">
        <f t="shared" si="3"/>
        <v>11-15%</v>
      </c>
      <c r="O55" t="str">
        <f t="shared" si="8"/>
        <v>OK</v>
      </c>
      <c r="P55">
        <f>IFERROR(Full_Data!G55/Full_Data!H55,"Check data")</f>
        <v>3.4000000000000002E-2</v>
      </c>
      <c r="Q55" t="str">
        <f t="shared" si="4"/>
        <v>Match</v>
      </c>
      <c r="R55" t="str">
        <f t="shared" si="5"/>
        <v>Match</v>
      </c>
      <c r="S55" t="str">
        <f t="shared" si="6"/>
        <v>Match</v>
      </c>
    </row>
    <row r="56" spans="1:19" x14ac:dyDescent="0.25">
      <c r="A56" t="s">
        <v>60</v>
      </c>
      <c r="B56">
        <v>2900</v>
      </c>
      <c r="C56">
        <f t="shared" si="7"/>
        <v>29</v>
      </c>
      <c r="D56">
        <v>17</v>
      </c>
      <c r="E56">
        <v>6</v>
      </c>
      <c r="F56">
        <v>2400</v>
      </c>
      <c r="G56">
        <f t="shared" si="0"/>
        <v>24</v>
      </c>
      <c r="H56">
        <v>500</v>
      </c>
      <c r="I56" s="4">
        <f>Full_Data[[#This Row],[Selling Price]]/Full_Data[[#This Row],[Weight (g)]]</f>
        <v>4.8000000000000001E-2</v>
      </c>
      <c r="J56" t="b">
        <v>0</v>
      </c>
      <c r="K56">
        <v>500</v>
      </c>
      <c r="L56">
        <f t="shared" si="1"/>
        <v>5</v>
      </c>
      <c r="M56" t="str">
        <f t="shared" si="2"/>
        <v>Low</v>
      </c>
      <c r="N56" t="str">
        <f t="shared" si="3"/>
        <v>16-20%</v>
      </c>
      <c r="O56" t="str">
        <f t="shared" si="8"/>
        <v>OK</v>
      </c>
      <c r="P56">
        <f>IFERROR(Full_Data!G56/Full_Data!H56,"Check data")</f>
        <v>4.8000000000000001E-2</v>
      </c>
      <c r="Q56" t="str">
        <f t="shared" si="4"/>
        <v>Match</v>
      </c>
      <c r="R56" t="str">
        <f t="shared" si="5"/>
        <v>Mismatch</v>
      </c>
      <c r="S56" t="str">
        <f t="shared" si="6"/>
        <v>Match</v>
      </c>
    </row>
    <row r="57" spans="1:19" x14ac:dyDescent="0.25">
      <c r="A57" t="s">
        <v>61</v>
      </c>
      <c r="B57">
        <v>3500</v>
      </c>
      <c r="C57">
        <f t="shared" si="7"/>
        <v>35</v>
      </c>
      <c r="D57">
        <v>17</v>
      </c>
      <c r="E57">
        <v>3</v>
      </c>
      <c r="F57">
        <v>2900</v>
      </c>
      <c r="G57">
        <f t="shared" si="0"/>
        <v>29</v>
      </c>
      <c r="H57">
        <v>200</v>
      </c>
      <c r="I57" s="4">
        <f>Full_Data[[#This Row],[Selling Price]]/Full_Data[[#This Row],[Weight (g)]]</f>
        <v>0.14499999999999999</v>
      </c>
      <c r="J57" t="b">
        <v>0</v>
      </c>
      <c r="K57">
        <v>200</v>
      </c>
      <c r="L57">
        <f t="shared" si="1"/>
        <v>6</v>
      </c>
      <c r="M57" t="str">
        <f t="shared" si="2"/>
        <v>Low</v>
      </c>
      <c r="N57" t="str">
        <f t="shared" si="3"/>
        <v>16-20%</v>
      </c>
      <c r="O57" t="str">
        <f t="shared" si="8"/>
        <v>OK</v>
      </c>
      <c r="P57">
        <f>IFERROR(Full_Data!G57/Full_Data!H57,"Check data")</f>
        <v>0.14499999999999999</v>
      </c>
      <c r="Q57" t="str">
        <f t="shared" si="4"/>
        <v>Match</v>
      </c>
      <c r="R57" t="str">
        <f t="shared" si="5"/>
        <v>Mismatch</v>
      </c>
      <c r="S57" t="str">
        <f t="shared" si="6"/>
        <v>Match</v>
      </c>
    </row>
    <row r="58" spans="1:19" x14ac:dyDescent="0.25">
      <c r="A58" t="s">
        <v>62</v>
      </c>
      <c r="B58">
        <v>3800</v>
      </c>
      <c r="C58">
        <f t="shared" si="7"/>
        <v>38</v>
      </c>
      <c r="D58">
        <v>15</v>
      </c>
      <c r="E58">
        <v>3</v>
      </c>
      <c r="F58">
        <v>3200</v>
      </c>
      <c r="G58">
        <f t="shared" si="0"/>
        <v>32</v>
      </c>
      <c r="H58">
        <v>500</v>
      </c>
      <c r="I58" s="4">
        <f>Full_Data[[#This Row],[Selling Price]]/Full_Data[[#This Row],[Weight (g)]]</f>
        <v>6.4000000000000001E-2</v>
      </c>
      <c r="J58" t="b">
        <v>0</v>
      </c>
      <c r="K58">
        <v>500</v>
      </c>
      <c r="L58">
        <f t="shared" si="1"/>
        <v>6</v>
      </c>
      <c r="M58" t="str">
        <f t="shared" si="2"/>
        <v>Low</v>
      </c>
      <c r="N58" t="str">
        <f t="shared" si="3"/>
        <v>11-15%</v>
      </c>
      <c r="O58" t="str">
        <f t="shared" si="8"/>
        <v>OK</v>
      </c>
      <c r="P58">
        <f>IFERROR(Full_Data!G58/Full_Data!H58,"Check data")</f>
        <v>6.4000000000000001E-2</v>
      </c>
      <c r="Q58" t="str">
        <f t="shared" si="4"/>
        <v>Match</v>
      </c>
      <c r="R58" t="str">
        <f t="shared" si="5"/>
        <v>Mismatch</v>
      </c>
      <c r="S58" t="str">
        <f t="shared" si="6"/>
        <v>Mismatch</v>
      </c>
    </row>
    <row r="59" spans="1:19" x14ac:dyDescent="0.25">
      <c r="A59" t="s">
        <v>63</v>
      </c>
      <c r="B59">
        <v>8900</v>
      </c>
      <c r="C59">
        <f t="shared" si="7"/>
        <v>89</v>
      </c>
      <c r="D59">
        <v>15</v>
      </c>
      <c r="E59">
        <v>3</v>
      </c>
      <c r="F59">
        <v>7500</v>
      </c>
      <c r="G59">
        <f t="shared" si="0"/>
        <v>75</v>
      </c>
      <c r="H59">
        <v>200</v>
      </c>
      <c r="I59" s="4">
        <f>Full_Data[[#This Row],[Selling Price]]/Full_Data[[#This Row],[Weight (g)]]</f>
        <v>0.375</v>
      </c>
      <c r="J59" t="b">
        <v>0</v>
      </c>
      <c r="K59">
        <v>200</v>
      </c>
      <c r="L59">
        <f t="shared" si="1"/>
        <v>14</v>
      </c>
      <c r="M59" t="str">
        <f t="shared" si="2"/>
        <v>Medium</v>
      </c>
      <c r="N59" t="str">
        <f t="shared" si="3"/>
        <v>11-15%</v>
      </c>
      <c r="O59" t="str">
        <f t="shared" si="8"/>
        <v>OK</v>
      </c>
      <c r="P59">
        <f>IFERROR(Full_Data!G59/Full_Data!H59,"Check data")</f>
        <v>0.375</v>
      </c>
      <c r="Q59" t="str">
        <f t="shared" si="4"/>
        <v>Match</v>
      </c>
      <c r="R59" t="str">
        <f t="shared" si="5"/>
        <v>Mismatch</v>
      </c>
      <c r="S59" t="str">
        <f t="shared" si="6"/>
        <v>Mismatch</v>
      </c>
    </row>
    <row r="60" spans="1:19" x14ac:dyDescent="0.25">
      <c r="A60" t="s">
        <v>64</v>
      </c>
      <c r="B60">
        <v>5400</v>
      </c>
      <c r="C60">
        <f t="shared" si="7"/>
        <v>54</v>
      </c>
      <c r="D60">
        <v>16</v>
      </c>
      <c r="E60">
        <v>3</v>
      </c>
      <c r="F60">
        <v>4500</v>
      </c>
      <c r="G60">
        <f t="shared" si="0"/>
        <v>45</v>
      </c>
      <c r="H60">
        <v>116</v>
      </c>
      <c r="I60" s="4">
        <f>Full_Data[[#This Row],[Selling Price]]/Full_Data[[#This Row],[Weight (g)]]</f>
        <v>0.38793103448275862</v>
      </c>
      <c r="J60" t="b">
        <v>0</v>
      </c>
      <c r="K60">
        <v>2</v>
      </c>
      <c r="L60">
        <f t="shared" si="1"/>
        <v>9</v>
      </c>
      <c r="M60" t="str">
        <f t="shared" si="2"/>
        <v>Low</v>
      </c>
      <c r="N60" t="str">
        <f t="shared" si="3"/>
        <v>16-20%</v>
      </c>
      <c r="O60" t="str">
        <f t="shared" si="8"/>
        <v>OK</v>
      </c>
      <c r="P60">
        <f>IFERROR(Full_Data!G60/Full_Data!H60,"Check data")</f>
        <v>0.38793103448275862</v>
      </c>
      <c r="Q60" t="str">
        <f t="shared" si="4"/>
        <v>Match</v>
      </c>
      <c r="R60" t="str">
        <f t="shared" si="5"/>
        <v>Mismatch</v>
      </c>
      <c r="S60" t="str">
        <f t="shared" si="6"/>
        <v>Mismatch</v>
      </c>
    </row>
    <row r="61" spans="1:19" x14ac:dyDescent="0.25">
      <c r="A61" t="s">
        <v>65</v>
      </c>
      <c r="B61">
        <v>7000</v>
      </c>
      <c r="C61">
        <f t="shared" si="7"/>
        <v>70</v>
      </c>
      <c r="D61">
        <v>15</v>
      </c>
      <c r="E61">
        <v>3</v>
      </c>
      <c r="F61">
        <v>5900</v>
      </c>
      <c r="G61">
        <f t="shared" si="0"/>
        <v>59</v>
      </c>
      <c r="H61">
        <v>58</v>
      </c>
      <c r="I61" s="4">
        <f>Full_Data[[#This Row],[Selling Price]]/Full_Data[[#This Row],[Weight (g)]]</f>
        <v>1.0172413793103448</v>
      </c>
      <c r="J61" t="b">
        <v>0</v>
      </c>
      <c r="K61">
        <v>1</v>
      </c>
      <c r="L61">
        <f t="shared" si="1"/>
        <v>11</v>
      </c>
      <c r="M61" t="str">
        <f t="shared" si="2"/>
        <v>Medium</v>
      </c>
      <c r="N61" t="str">
        <f t="shared" si="3"/>
        <v>11-15%</v>
      </c>
      <c r="O61" t="str">
        <f t="shared" si="8"/>
        <v>OK</v>
      </c>
      <c r="P61">
        <f>IFERROR(Full_Data!G61/Full_Data!H61,"Check data")</f>
        <v>1.0172413793103448</v>
      </c>
      <c r="Q61" t="str">
        <f t="shared" si="4"/>
        <v>Match</v>
      </c>
      <c r="R61" t="str">
        <f t="shared" si="5"/>
        <v>Mismatch</v>
      </c>
      <c r="S61" t="str">
        <f t="shared" si="6"/>
        <v>Mismatch</v>
      </c>
    </row>
    <row r="62" spans="1:19" x14ac:dyDescent="0.25">
      <c r="A62" t="s">
        <v>66</v>
      </c>
      <c r="B62">
        <v>4200</v>
      </c>
      <c r="C62">
        <f t="shared" si="7"/>
        <v>42</v>
      </c>
      <c r="D62">
        <v>16</v>
      </c>
      <c r="E62">
        <v>3</v>
      </c>
      <c r="F62">
        <v>3500</v>
      </c>
      <c r="G62">
        <f t="shared" si="0"/>
        <v>35</v>
      </c>
      <c r="H62">
        <v>250</v>
      </c>
      <c r="I62" s="4">
        <f>Full_Data[[#This Row],[Selling Price]]/Full_Data[[#This Row],[Weight (g)]]</f>
        <v>0.14000000000000001</v>
      </c>
      <c r="J62" t="b">
        <v>0</v>
      </c>
      <c r="K62">
        <v>500</v>
      </c>
      <c r="L62">
        <f t="shared" si="1"/>
        <v>7</v>
      </c>
      <c r="M62" t="str">
        <f t="shared" si="2"/>
        <v>Low</v>
      </c>
      <c r="N62" t="str">
        <f t="shared" si="3"/>
        <v>16-20%</v>
      </c>
      <c r="O62" t="str">
        <f t="shared" si="8"/>
        <v>OK</v>
      </c>
      <c r="P62">
        <f>IFERROR(Full_Data!G62/Full_Data!H62,"Check data")</f>
        <v>0.14000000000000001</v>
      </c>
      <c r="Q62" t="str">
        <f t="shared" si="4"/>
        <v>Match</v>
      </c>
      <c r="R62" t="str">
        <f t="shared" si="5"/>
        <v>Mismatch</v>
      </c>
      <c r="S62" t="str">
        <f t="shared" si="6"/>
        <v>Mismatch</v>
      </c>
    </row>
    <row r="63" spans="1:19" x14ac:dyDescent="0.25">
      <c r="A63" t="s">
        <v>67</v>
      </c>
      <c r="B63">
        <v>14200</v>
      </c>
      <c r="C63">
        <f t="shared" si="7"/>
        <v>142</v>
      </c>
      <c r="D63">
        <v>16</v>
      </c>
      <c r="E63">
        <v>6</v>
      </c>
      <c r="F63">
        <v>11900</v>
      </c>
      <c r="G63">
        <f t="shared" si="0"/>
        <v>119</v>
      </c>
      <c r="H63">
        <v>232</v>
      </c>
      <c r="I63" s="4">
        <f>Full_Data[[#This Row],[Selling Price]]/Full_Data[[#This Row],[Weight (g)]]</f>
        <v>0.51293103448275867</v>
      </c>
      <c r="J63" t="b">
        <v>0</v>
      </c>
      <c r="K63">
        <v>4</v>
      </c>
      <c r="L63">
        <f t="shared" si="1"/>
        <v>23</v>
      </c>
      <c r="M63" t="str">
        <f t="shared" si="2"/>
        <v>Medium</v>
      </c>
      <c r="N63" t="str">
        <f t="shared" si="3"/>
        <v>16-20%</v>
      </c>
      <c r="O63" t="str">
        <f t="shared" si="8"/>
        <v>OK</v>
      </c>
      <c r="P63">
        <f>IFERROR(Full_Data!G63/Full_Data!H63,"Check data")</f>
        <v>0.51293103448275867</v>
      </c>
      <c r="Q63" t="str">
        <f t="shared" si="4"/>
        <v>Match</v>
      </c>
      <c r="R63" t="str">
        <f t="shared" si="5"/>
        <v>Mismatch</v>
      </c>
      <c r="S63" t="str">
        <f t="shared" si="6"/>
        <v>Match</v>
      </c>
    </row>
    <row r="64" spans="1:19" x14ac:dyDescent="0.25">
      <c r="A64" t="s">
        <v>68</v>
      </c>
      <c r="B64">
        <v>9400</v>
      </c>
      <c r="C64">
        <f t="shared" si="7"/>
        <v>94</v>
      </c>
      <c r="D64">
        <v>15</v>
      </c>
      <c r="E64">
        <v>3</v>
      </c>
      <c r="F64">
        <v>7900</v>
      </c>
      <c r="G64">
        <f t="shared" si="0"/>
        <v>79</v>
      </c>
      <c r="H64">
        <v>58</v>
      </c>
      <c r="I64" s="4">
        <f>Full_Data[[#This Row],[Selling Price]]/Full_Data[[#This Row],[Weight (g)]]</f>
        <v>1.3620689655172413</v>
      </c>
      <c r="J64" t="b">
        <v>0</v>
      </c>
      <c r="K64">
        <v>1</v>
      </c>
      <c r="L64">
        <f t="shared" si="1"/>
        <v>15</v>
      </c>
      <c r="M64" t="str">
        <f t="shared" si="2"/>
        <v>Medium</v>
      </c>
      <c r="N64" t="str">
        <f t="shared" si="3"/>
        <v>11-15%</v>
      </c>
      <c r="O64" t="str">
        <f t="shared" si="8"/>
        <v>OK</v>
      </c>
      <c r="P64">
        <f>IFERROR(Full_Data!G64/Full_Data!H64,"Check data")</f>
        <v>1.3620689655172413</v>
      </c>
      <c r="Q64" t="str">
        <f t="shared" si="4"/>
        <v>Match</v>
      </c>
      <c r="R64" t="str">
        <f t="shared" si="5"/>
        <v>Mismatch</v>
      </c>
      <c r="S64" t="str">
        <f t="shared" si="6"/>
        <v>Mismatch</v>
      </c>
    </row>
    <row r="65" spans="1:19" x14ac:dyDescent="0.25">
      <c r="A65" t="s">
        <v>69</v>
      </c>
      <c r="B65">
        <v>2000</v>
      </c>
      <c r="C65">
        <f t="shared" si="7"/>
        <v>20</v>
      </c>
      <c r="D65">
        <v>15</v>
      </c>
      <c r="E65">
        <v>3</v>
      </c>
      <c r="F65">
        <v>1700</v>
      </c>
      <c r="G65">
        <f t="shared" si="0"/>
        <v>17</v>
      </c>
      <c r="H65">
        <v>100</v>
      </c>
      <c r="I65" s="4">
        <f>Full_Data[[#This Row],[Selling Price]]/Full_Data[[#This Row],[Weight (g)]]</f>
        <v>0.17</v>
      </c>
      <c r="J65" t="b">
        <v>0</v>
      </c>
      <c r="K65">
        <v>100</v>
      </c>
      <c r="L65">
        <f t="shared" si="1"/>
        <v>3</v>
      </c>
      <c r="M65" t="str">
        <f t="shared" si="2"/>
        <v>Low</v>
      </c>
      <c r="N65" t="str">
        <f t="shared" si="3"/>
        <v>11-15%</v>
      </c>
      <c r="O65" t="str">
        <f t="shared" si="8"/>
        <v>OK</v>
      </c>
      <c r="P65">
        <f>IFERROR(Full_Data!G65/Full_Data!H65,"Check data")</f>
        <v>0.17</v>
      </c>
      <c r="Q65" t="str">
        <f t="shared" si="4"/>
        <v>Match</v>
      </c>
      <c r="R65" t="str">
        <f t="shared" si="5"/>
        <v>Match</v>
      </c>
      <c r="S65" t="str">
        <f t="shared" si="6"/>
        <v>Match</v>
      </c>
    </row>
    <row r="66" spans="1:19" x14ac:dyDescent="0.25">
      <c r="A66" t="s">
        <v>70</v>
      </c>
      <c r="B66">
        <v>1700</v>
      </c>
      <c r="C66">
        <f t="shared" si="7"/>
        <v>17</v>
      </c>
      <c r="D66">
        <v>17</v>
      </c>
      <c r="E66">
        <v>3</v>
      </c>
      <c r="F66">
        <v>1400</v>
      </c>
      <c r="G66">
        <f t="shared" ref="G66:G129" si="9">F66/100</f>
        <v>14</v>
      </c>
      <c r="H66">
        <v>100</v>
      </c>
      <c r="I66" s="4">
        <f>Full_Data[[#This Row],[Selling Price]]/Full_Data[[#This Row],[Weight (g)]]</f>
        <v>0.14000000000000001</v>
      </c>
      <c r="J66" t="b">
        <v>0</v>
      </c>
      <c r="K66">
        <v>100</v>
      </c>
      <c r="L66">
        <f t="shared" ref="L66:L129" si="10">C66-G66</f>
        <v>3</v>
      </c>
      <c r="M66" t="str">
        <f t="shared" ref="M66:M129" si="11">IF(G66&lt;50,"Low",IF(G66&lt;200,"Medium","High"))</f>
        <v>Low</v>
      </c>
      <c r="N66" t="str">
        <f t="shared" ref="N66:N129" si="12">IF(D66&lt;=5,"0-5%",
IF(D66&lt;=10,"6-10%",
IF(D66&lt;=15,"11-15%",
IF(D66&lt;=20,"16-20%","21%+"))))</f>
        <v>16-20%</v>
      </c>
      <c r="O66" t="str">
        <f t="shared" ref="O66:O129" si="13">IF(AND(C66=0,G66=0),"Review: Zero MRP and selling price",IF(C66&lt;=0,"Review: Invalid MRP",IF(G66&lt;0,"Review: Negative selling price",IF(G66=0,"Review: Zero selling price",IF(H66&lt;=0,"Review: Invalid weight","OK")))))</f>
        <v>OK</v>
      </c>
      <c r="P66">
        <f>IFERROR(Full_Data!G66/Full_Data!H66,"Check data")</f>
        <v>0.14000000000000001</v>
      </c>
      <c r="Q66" t="str">
        <f t="shared" ref="Q66:Q129" si="14">IF(OR(H66="",H66&lt;=0),"Invalid weight",IF(G66="","Missing selling price",IF(ROUND(G66/H66,2)=ROUND(I66,2),"Match","Mismatch")))</f>
        <v>Match</v>
      </c>
      <c r="R66" t="str">
        <f t="shared" ref="R66:R129" si="15">IF(OR(C66&lt;=0,G66=""),"Check data",IF(ROUND((C66-G66)/C66*100,2)=ROUND(D66,2),"Match","Mismatch"))</f>
        <v>Mismatch</v>
      </c>
      <c r="S66" t="str">
        <f t="shared" ref="S66:S129" si="16">IF(OR(C66&lt;=0,G66=""),"Check data",IF(ROUND((C66-G66)/C66*100,0)=D66,"Match","Mismatch"))</f>
        <v>Mismatch</v>
      </c>
    </row>
    <row r="67" spans="1:19" x14ac:dyDescent="0.25">
      <c r="A67" t="s">
        <v>71</v>
      </c>
      <c r="B67">
        <v>3000</v>
      </c>
      <c r="C67">
        <f t="shared" ref="C67:C130" si="17">B67/100</f>
        <v>30</v>
      </c>
      <c r="D67">
        <v>16</v>
      </c>
      <c r="E67">
        <v>3</v>
      </c>
      <c r="F67">
        <v>2500</v>
      </c>
      <c r="G67">
        <f t="shared" si="9"/>
        <v>25</v>
      </c>
      <c r="H67">
        <v>500</v>
      </c>
      <c r="I67" s="4">
        <f>Full_Data[[#This Row],[Selling Price]]/Full_Data[[#This Row],[Weight (g)]]</f>
        <v>0.05</v>
      </c>
      <c r="J67" t="b">
        <v>0</v>
      </c>
      <c r="K67">
        <v>500</v>
      </c>
      <c r="L67">
        <f t="shared" si="10"/>
        <v>5</v>
      </c>
      <c r="M67" t="str">
        <f t="shared" si="11"/>
        <v>Low</v>
      </c>
      <c r="N67" t="str">
        <f t="shared" si="12"/>
        <v>16-20%</v>
      </c>
      <c r="O67" t="str">
        <f t="shared" si="13"/>
        <v>OK</v>
      </c>
      <c r="P67">
        <f>IFERROR(Full_Data!G67/Full_Data!H67,"Check data")</f>
        <v>0.05</v>
      </c>
      <c r="Q67" t="str">
        <f t="shared" si="14"/>
        <v>Match</v>
      </c>
      <c r="R67" t="str">
        <f t="shared" si="15"/>
        <v>Mismatch</v>
      </c>
      <c r="S67" t="str">
        <f t="shared" si="16"/>
        <v>Mismatch</v>
      </c>
    </row>
    <row r="68" spans="1:19" x14ac:dyDescent="0.25">
      <c r="A68" t="s">
        <v>72</v>
      </c>
      <c r="B68">
        <v>4600</v>
      </c>
      <c r="C68">
        <f t="shared" si="17"/>
        <v>46</v>
      </c>
      <c r="D68">
        <v>15</v>
      </c>
      <c r="E68">
        <v>3</v>
      </c>
      <c r="F68">
        <v>3900</v>
      </c>
      <c r="G68">
        <f t="shared" si="9"/>
        <v>39</v>
      </c>
      <c r="H68">
        <v>200</v>
      </c>
      <c r="I68" s="4">
        <f>Full_Data[[#This Row],[Selling Price]]/Full_Data[[#This Row],[Weight (g)]]</f>
        <v>0.19500000000000001</v>
      </c>
      <c r="J68" t="b">
        <v>0</v>
      </c>
      <c r="K68">
        <v>200</v>
      </c>
      <c r="L68">
        <f t="shared" si="10"/>
        <v>7</v>
      </c>
      <c r="M68" t="str">
        <f t="shared" si="11"/>
        <v>Low</v>
      </c>
      <c r="N68" t="str">
        <f t="shared" si="12"/>
        <v>11-15%</v>
      </c>
      <c r="O68" t="str">
        <f t="shared" si="13"/>
        <v>OK</v>
      </c>
      <c r="P68">
        <f>IFERROR(Full_Data!G68/Full_Data!H68,"Check data")</f>
        <v>0.19500000000000001</v>
      </c>
      <c r="Q68" t="str">
        <f t="shared" si="14"/>
        <v>Match</v>
      </c>
      <c r="R68" t="str">
        <f t="shared" si="15"/>
        <v>Mismatch</v>
      </c>
      <c r="S68" t="str">
        <f t="shared" si="16"/>
        <v>Match</v>
      </c>
    </row>
    <row r="69" spans="1:19" x14ac:dyDescent="0.25">
      <c r="A69" t="s">
        <v>73</v>
      </c>
      <c r="B69">
        <v>5800</v>
      </c>
      <c r="C69">
        <f t="shared" si="17"/>
        <v>58</v>
      </c>
      <c r="D69">
        <v>15</v>
      </c>
      <c r="E69">
        <v>2</v>
      </c>
      <c r="F69">
        <v>4900</v>
      </c>
      <c r="G69">
        <f t="shared" si="9"/>
        <v>49</v>
      </c>
      <c r="H69">
        <v>100</v>
      </c>
      <c r="I69" s="4">
        <f>Full_Data[[#This Row],[Selling Price]]/Full_Data[[#This Row],[Weight (g)]]</f>
        <v>0.49</v>
      </c>
      <c r="J69" t="b">
        <v>0</v>
      </c>
      <c r="K69">
        <v>100</v>
      </c>
      <c r="L69">
        <f t="shared" si="10"/>
        <v>9</v>
      </c>
      <c r="M69" t="str">
        <f t="shared" si="11"/>
        <v>Low</v>
      </c>
      <c r="N69" t="str">
        <f t="shared" si="12"/>
        <v>11-15%</v>
      </c>
      <c r="O69" t="str">
        <f t="shared" si="13"/>
        <v>OK</v>
      </c>
      <c r="P69">
        <f>IFERROR(Full_Data!G69/Full_Data!H69,"Check data")</f>
        <v>0.49</v>
      </c>
      <c r="Q69" t="str">
        <f t="shared" si="14"/>
        <v>Match</v>
      </c>
      <c r="R69" t="str">
        <f t="shared" si="15"/>
        <v>Mismatch</v>
      </c>
      <c r="S69" t="str">
        <f t="shared" si="16"/>
        <v>Mismatch</v>
      </c>
    </row>
    <row r="70" spans="1:19" x14ac:dyDescent="0.25">
      <c r="A70" t="s">
        <v>74</v>
      </c>
      <c r="B70">
        <v>8200</v>
      </c>
      <c r="C70">
        <f t="shared" si="17"/>
        <v>82</v>
      </c>
      <c r="D70">
        <v>15</v>
      </c>
      <c r="E70">
        <v>3</v>
      </c>
      <c r="F70">
        <v>6900</v>
      </c>
      <c r="G70">
        <f t="shared" si="9"/>
        <v>69</v>
      </c>
      <c r="H70">
        <v>116</v>
      </c>
      <c r="I70" s="4">
        <f>Full_Data[[#This Row],[Selling Price]]/Full_Data[[#This Row],[Weight (g)]]</f>
        <v>0.59482758620689657</v>
      </c>
      <c r="J70" t="b">
        <v>0</v>
      </c>
      <c r="K70">
        <v>2</v>
      </c>
      <c r="L70">
        <f t="shared" si="10"/>
        <v>13</v>
      </c>
      <c r="M70" t="str">
        <f t="shared" si="11"/>
        <v>Medium</v>
      </c>
      <c r="N70" t="str">
        <f t="shared" si="12"/>
        <v>11-15%</v>
      </c>
      <c r="O70" t="str">
        <f t="shared" si="13"/>
        <v>OK</v>
      </c>
      <c r="P70">
        <f>IFERROR(Full_Data!G70/Full_Data!H70,"Check data")</f>
        <v>0.59482758620689657</v>
      </c>
      <c r="Q70" t="str">
        <f t="shared" si="14"/>
        <v>Match</v>
      </c>
      <c r="R70" t="str">
        <f t="shared" si="15"/>
        <v>Mismatch</v>
      </c>
      <c r="S70" t="str">
        <f t="shared" si="16"/>
        <v>Mismatch</v>
      </c>
    </row>
    <row r="71" spans="1:19" x14ac:dyDescent="0.25">
      <c r="A71" t="s">
        <v>75</v>
      </c>
      <c r="B71">
        <v>7000</v>
      </c>
      <c r="C71">
        <f t="shared" si="17"/>
        <v>70</v>
      </c>
      <c r="D71">
        <v>15</v>
      </c>
      <c r="E71">
        <v>3</v>
      </c>
      <c r="F71">
        <v>5900</v>
      </c>
      <c r="G71">
        <f t="shared" si="9"/>
        <v>59</v>
      </c>
      <c r="H71">
        <v>116</v>
      </c>
      <c r="I71" s="4">
        <f>Full_Data[[#This Row],[Selling Price]]/Full_Data[[#This Row],[Weight (g)]]</f>
        <v>0.50862068965517238</v>
      </c>
      <c r="J71" t="b">
        <v>0</v>
      </c>
      <c r="K71">
        <v>2</v>
      </c>
      <c r="L71">
        <f t="shared" si="10"/>
        <v>11</v>
      </c>
      <c r="M71" t="str">
        <f t="shared" si="11"/>
        <v>Medium</v>
      </c>
      <c r="N71" t="str">
        <f t="shared" si="12"/>
        <v>11-15%</v>
      </c>
      <c r="O71" t="str">
        <f t="shared" si="13"/>
        <v>OK</v>
      </c>
      <c r="P71">
        <f>IFERROR(Full_Data!G71/Full_Data!H71,"Check data")</f>
        <v>0.50862068965517238</v>
      </c>
      <c r="Q71" t="str">
        <f t="shared" si="14"/>
        <v>Match</v>
      </c>
      <c r="R71" t="str">
        <f t="shared" si="15"/>
        <v>Mismatch</v>
      </c>
      <c r="S71" t="str">
        <f t="shared" si="16"/>
        <v>Mismatch</v>
      </c>
    </row>
    <row r="72" spans="1:19" x14ac:dyDescent="0.25">
      <c r="A72" t="s">
        <v>76</v>
      </c>
      <c r="B72">
        <v>2000</v>
      </c>
      <c r="C72">
        <f t="shared" si="17"/>
        <v>20</v>
      </c>
      <c r="D72">
        <v>15</v>
      </c>
      <c r="E72">
        <v>3</v>
      </c>
      <c r="F72">
        <v>1700</v>
      </c>
      <c r="G72">
        <f t="shared" si="9"/>
        <v>17</v>
      </c>
      <c r="H72">
        <v>100</v>
      </c>
      <c r="I72" s="4">
        <f>Full_Data[[#This Row],[Selling Price]]/Full_Data[[#This Row],[Weight (g)]]</f>
        <v>0.17</v>
      </c>
      <c r="J72" t="b">
        <v>0</v>
      </c>
      <c r="K72">
        <v>100</v>
      </c>
      <c r="L72">
        <f t="shared" si="10"/>
        <v>3</v>
      </c>
      <c r="M72" t="str">
        <f t="shared" si="11"/>
        <v>Low</v>
      </c>
      <c r="N72" t="str">
        <f t="shared" si="12"/>
        <v>11-15%</v>
      </c>
      <c r="O72" t="str">
        <f t="shared" si="13"/>
        <v>OK</v>
      </c>
      <c r="P72">
        <f>IFERROR(Full_Data!G72/Full_Data!H72,"Check data")</f>
        <v>0.17</v>
      </c>
      <c r="Q72" t="str">
        <f t="shared" si="14"/>
        <v>Match</v>
      </c>
      <c r="R72" t="str">
        <f t="shared" si="15"/>
        <v>Match</v>
      </c>
      <c r="S72" t="str">
        <f t="shared" si="16"/>
        <v>Match</v>
      </c>
    </row>
    <row r="73" spans="1:19" x14ac:dyDescent="0.25">
      <c r="A73" t="s">
        <v>77</v>
      </c>
      <c r="B73">
        <v>6000</v>
      </c>
      <c r="C73">
        <f t="shared" si="17"/>
        <v>60</v>
      </c>
      <c r="D73">
        <v>16</v>
      </c>
      <c r="E73">
        <v>3</v>
      </c>
      <c r="F73">
        <v>5000</v>
      </c>
      <c r="G73">
        <f t="shared" si="9"/>
        <v>50</v>
      </c>
      <c r="H73">
        <v>500</v>
      </c>
      <c r="I73" s="4">
        <f>Full_Data[[#This Row],[Selling Price]]/Full_Data[[#This Row],[Weight (g)]]</f>
        <v>0.1</v>
      </c>
      <c r="J73" t="b">
        <v>0</v>
      </c>
      <c r="K73">
        <v>500</v>
      </c>
      <c r="L73">
        <f t="shared" si="10"/>
        <v>10</v>
      </c>
      <c r="M73" t="str">
        <f t="shared" si="11"/>
        <v>Medium</v>
      </c>
      <c r="N73" t="str">
        <f t="shared" si="12"/>
        <v>16-20%</v>
      </c>
      <c r="O73" t="str">
        <f t="shared" si="13"/>
        <v>OK</v>
      </c>
      <c r="P73">
        <f>IFERROR(Full_Data!G73/Full_Data!H73,"Check data")</f>
        <v>0.1</v>
      </c>
      <c r="Q73" t="str">
        <f t="shared" si="14"/>
        <v>Match</v>
      </c>
      <c r="R73" t="str">
        <f t="shared" si="15"/>
        <v>Mismatch</v>
      </c>
      <c r="S73" t="str">
        <f t="shared" si="16"/>
        <v>Mismatch</v>
      </c>
    </row>
    <row r="74" spans="1:19" x14ac:dyDescent="0.25">
      <c r="A74" t="s">
        <v>78</v>
      </c>
      <c r="B74">
        <v>5800</v>
      </c>
      <c r="C74">
        <f t="shared" si="17"/>
        <v>58</v>
      </c>
      <c r="D74">
        <v>15</v>
      </c>
      <c r="E74">
        <v>3</v>
      </c>
      <c r="F74">
        <v>4900</v>
      </c>
      <c r="G74">
        <f t="shared" si="9"/>
        <v>49</v>
      </c>
      <c r="H74">
        <v>250</v>
      </c>
      <c r="I74" s="4">
        <f>Full_Data[[#This Row],[Selling Price]]/Full_Data[[#This Row],[Weight (g)]]</f>
        <v>0.19600000000000001</v>
      </c>
      <c r="J74" t="b">
        <v>0</v>
      </c>
      <c r="K74">
        <v>250</v>
      </c>
      <c r="L74">
        <f t="shared" si="10"/>
        <v>9</v>
      </c>
      <c r="M74" t="str">
        <f t="shared" si="11"/>
        <v>Low</v>
      </c>
      <c r="N74" t="str">
        <f t="shared" si="12"/>
        <v>11-15%</v>
      </c>
      <c r="O74" t="str">
        <f t="shared" si="13"/>
        <v>OK</v>
      </c>
      <c r="P74">
        <f>IFERROR(Full_Data!G74/Full_Data!H74,"Check data")</f>
        <v>0.19600000000000001</v>
      </c>
      <c r="Q74" t="str">
        <f t="shared" si="14"/>
        <v>Match</v>
      </c>
      <c r="R74" t="str">
        <f t="shared" si="15"/>
        <v>Mismatch</v>
      </c>
      <c r="S74" t="str">
        <f t="shared" si="16"/>
        <v>Mismatch</v>
      </c>
    </row>
    <row r="75" spans="1:19" x14ac:dyDescent="0.25">
      <c r="A75" t="s">
        <v>79</v>
      </c>
      <c r="B75">
        <v>5400</v>
      </c>
      <c r="C75">
        <f t="shared" si="17"/>
        <v>54</v>
      </c>
      <c r="D75">
        <v>16</v>
      </c>
      <c r="E75">
        <v>6</v>
      </c>
      <c r="F75">
        <v>4500</v>
      </c>
      <c r="G75">
        <f t="shared" si="9"/>
        <v>45</v>
      </c>
      <c r="H75">
        <v>500</v>
      </c>
      <c r="I75" s="4">
        <f>Full_Data[[#This Row],[Selling Price]]/Full_Data[[#This Row],[Weight (g)]]</f>
        <v>0.09</v>
      </c>
      <c r="J75" t="b">
        <v>0</v>
      </c>
      <c r="K75">
        <v>500</v>
      </c>
      <c r="L75">
        <f t="shared" si="10"/>
        <v>9</v>
      </c>
      <c r="M75" t="str">
        <f t="shared" si="11"/>
        <v>Low</v>
      </c>
      <c r="N75" t="str">
        <f t="shared" si="12"/>
        <v>16-20%</v>
      </c>
      <c r="O75" t="str">
        <f t="shared" si="13"/>
        <v>OK</v>
      </c>
      <c r="P75">
        <f>IFERROR(Full_Data!G75/Full_Data!H75,"Check data")</f>
        <v>0.09</v>
      </c>
      <c r="Q75" t="str">
        <f t="shared" si="14"/>
        <v>Match</v>
      </c>
      <c r="R75" t="str">
        <f t="shared" si="15"/>
        <v>Mismatch</v>
      </c>
      <c r="S75" t="str">
        <f t="shared" si="16"/>
        <v>Mismatch</v>
      </c>
    </row>
    <row r="76" spans="1:19" x14ac:dyDescent="0.25">
      <c r="A76" t="s">
        <v>80</v>
      </c>
      <c r="B76">
        <v>3000</v>
      </c>
      <c r="C76">
        <f t="shared" si="17"/>
        <v>30</v>
      </c>
      <c r="D76">
        <v>16</v>
      </c>
      <c r="E76">
        <v>3</v>
      </c>
      <c r="F76">
        <v>2500</v>
      </c>
      <c r="G76">
        <f t="shared" si="9"/>
        <v>25</v>
      </c>
      <c r="H76">
        <v>200</v>
      </c>
      <c r="I76" s="4">
        <f>Full_Data[[#This Row],[Selling Price]]/Full_Data[[#This Row],[Weight (g)]]</f>
        <v>0.125</v>
      </c>
      <c r="J76" t="b">
        <v>0</v>
      </c>
      <c r="K76">
        <v>200</v>
      </c>
      <c r="L76">
        <f t="shared" si="10"/>
        <v>5</v>
      </c>
      <c r="M76" t="str">
        <f t="shared" si="11"/>
        <v>Low</v>
      </c>
      <c r="N76" t="str">
        <f t="shared" si="12"/>
        <v>16-20%</v>
      </c>
      <c r="O76" t="str">
        <f t="shared" si="13"/>
        <v>OK</v>
      </c>
      <c r="P76">
        <f>IFERROR(Full_Data!G76/Full_Data!H76,"Check data")</f>
        <v>0.125</v>
      </c>
      <c r="Q76" t="str">
        <f t="shared" si="14"/>
        <v>Match</v>
      </c>
      <c r="R76" t="str">
        <f t="shared" si="15"/>
        <v>Mismatch</v>
      </c>
      <c r="S76" t="str">
        <f t="shared" si="16"/>
        <v>Mismatch</v>
      </c>
    </row>
    <row r="77" spans="1:19" x14ac:dyDescent="0.25">
      <c r="A77" t="s">
        <v>81</v>
      </c>
      <c r="B77">
        <v>5400</v>
      </c>
      <c r="C77">
        <f t="shared" si="17"/>
        <v>54</v>
      </c>
      <c r="D77">
        <v>16</v>
      </c>
      <c r="E77">
        <v>6</v>
      </c>
      <c r="F77">
        <v>4500</v>
      </c>
      <c r="G77">
        <f t="shared" si="9"/>
        <v>45</v>
      </c>
      <c r="H77">
        <v>500</v>
      </c>
      <c r="I77" s="4">
        <f>Full_Data[[#This Row],[Selling Price]]/Full_Data[[#This Row],[Weight (g)]]</f>
        <v>0.09</v>
      </c>
      <c r="J77" t="b">
        <v>0</v>
      </c>
      <c r="K77">
        <v>500</v>
      </c>
      <c r="L77">
        <f t="shared" si="10"/>
        <v>9</v>
      </c>
      <c r="M77" t="str">
        <f t="shared" si="11"/>
        <v>Low</v>
      </c>
      <c r="N77" t="str">
        <f t="shared" si="12"/>
        <v>16-20%</v>
      </c>
      <c r="O77" t="str">
        <f t="shared" si="13"/>
        <v>OK</v>
      </c>
      <c r="P77">
        <f>IFERROR(Full_Data!G77/Full_Data!H77,"Check data")</f>
        <v>0.09</v>
      </c>
      <c r="Q77" t="str">
        <f t="shared" si="14"/>
        <v>Match</v>
      </c>
      <c r="R77" t="str">
        <f t="shared" si="15"/>
        <v>Mismatch</v>
      </c>
      <c r="S77" t="str">
        <f t="shared" si="16"/>
        <v>Mismatch</v>
      </c>
    </row>
    <row r="78" spans="1:19" x14ac:dyDescent="0.25">
      <c r="A78" t="s">
        <v>82</v>
      </c>
      <c r="B78">
        <v>2300</v>
      </c>
      <c r="C78">
        <f t="shared" si="17"/>
        <v>23</v>
      </c>
      <c r="D78">
        <v>17</v>
      </c>
      <c r="E78">
        <v>6</v>
      </c>
      <c r="F78">
        <v>1900</v>
      </c>
      <c r="G78">
        <f t="shared" si="9"/>
        <v>19</v>
      </c>
      <c r="H78">
        <v>500</v>
      </c>
      <c r="I78" s="4">
        <f>Full_Data[[#This Row],[Selling Price]]/Full_Data[[#This Row],[Weight (g)]]</f>
        <v>3.7999999999999999E-2</v>
      </c>
      <c r="J78" t="b">
        <v>0</v>
      </c>
      <c r="K78">
        <v>500</v>
      </c>
      <c r="L78">
        <f t="shared" si="10"/>
        <v>4</v>
      </c>
      <c r="M78" t="str">
        <f t="shared" si="11"/>
        <v>Low</v>
      </c>
      <c r="N78" t="str">
        <f t="shared" si="12"/>
        <v>16-20%</v>
      </c>
      <c r="O78" t="str">
        <f t="shared" si="13"/>
        <v>OK</v>
      </c>
      <c r="P78">
        <f>IFERROR(Full_Data!G78/Full_Data!H78,"Check data")</f>
        <v>3.7999999999999999E-2</v>
      </c>
      <c r="Q78" t="str">
        <f t="shared" si="14"/>
        <v>Match</v>
      </c>
      <c r="R78" t="str">
        <f t="shared" si="15"/>
        <v>Mismatch</v>
      </c>
      <c r="S78" t="str">
        <f t="shared" si="16"/>
        <v>Match</v>
      </c>
    </row>
    <row r="79" spans="1:19" x14ac:dyDescent="0.25">
      <c r="A79" t="s">
        <v>83</v>
      </c>
      <c r="B79">
        <v>17700</v>
      </c>
      <c r="C79">
        <f t="shared" si="17"/>
        <v>177</v>
      </c>
      <c r="D79">
        <v>15</v>
      </c>
      <c r="E79">
        <v>3</v>
      </c>
      <c r="F79">
        <v>14900</v>
      </c>
      <c r="G79">
        <f t="shared" si="9"/>
        <v>149</v>
      </c>
      <c r="H79">
        <v>58</v>
      </c>
      <c r="I79" s="4">
        <f>Full_Data[[#This Row],[Selling Price]]/Full_Data[[#This Row],[Weight (g)]]</f>
        <v>2.5689655172413794</v>
      </c>
      <c r="J79" t="b">
        <v>0</v>
      </c>
      <c r="K79">
        <v>1</v>
      </c>
      <c r="L79">
        <f t="shared" si="10"/>
        <v>28</v>
      </c>
      <c r="M79" t="str">
        <f t="shared" si="11"/>
        <v>Medium</v>
      </c>
      <c r="N79" t="str">
        <f t="shared" si="12"/>
        <v>11-15%</v>
      </c>
      <c r="O79" t="str">
        <f t="shared" si="13"/>
        <v>OK</v>
      </c>
      <c r="P79">
        <f>IFERROR(Full_Data!G79/Full_Data!H79,"Check data")</f>
        <v>2.5689655172413794</v>
      </c>
      <c r="Q79" t="str">
        <f t="shared" si="14"/>
        <v>Match</v>
      </c>
      <c r="R79" t="str">
        <f t="shared" si="15"/>
        <v>Mismatch</v>
      </c>
      <c r="S79" t="str">
        <f t="shared" si="16"/>
        <v>Mismatch</v>
      </c>
    </row>
    <row r="80" spans="1:19" x14ac:dyDescent="0.25">
      <c r="A80" t="s">
        <v>84</v>
      </c>
      <c r="B80">
        <v>1200</v>
      </c>
      <c r="C80">
        <f t="shared" si="17"/>
        <v>12</v>
      </c>
      <c r="D80">
        <v>16</v>
      </c>
      <c r="E80">
        <v>2</v>
      </c>
      <c r="F80">
        <v>1000</v>
      </c>
      <c r="G80">
        <f t="shared" si="9"/>
        <v>10</v>
      </c>
      <c r="H80">
        <v>58</v>
      </c>
      <c r="I80" s="4">
        <f>Full_Data[[#This Row],[Selling Price]]/Full_Data[[#This Row],[Weight (g)]]</f>
        <v>0.17241379310344829</v>
      </c>
      <c r="J80" t="b">
        <v>0</v>
      </c>
      <c r="K80">
        <v>1</v>
      </c>
      <c r="L80">
        <f t="shared" si="10"/>
        <v>2</v>
      </c>
      <c r="M80" t="str">
        <f t="shared" si="11"/>
        <v>Low</v>
      </c>
      <c r="N80" t="str">
        <f t="shared" si="12"/>
        <v>16-20%</v>
      </c>
      <c r="O80" t="str">
        <f t="shared" si="13"/>
        <v>OK</v>
      </c>
      <c r="P80">
        <f>IFERROR(Full_Data!G80/Full_Data!H80,"Check data")</f>
        <v>0.17241379310344829</v>
      </c>
      <c r="Q80" t="str">
        <f t="shared" si="14"/>
        <v>Match</v>
      </c>
      <c r="R80" t="str">
        <f t="shared" si="15"/>
        <v>Mismatch</v>
      </c>
      <c r="S80" t="str">
        <f t="shared" si="16"/>
        <v>Mismatch</v>
      </c>
    </row>
    <row r="81" spans="1:19" x14ac:dyDescent="0.25">
      <c r="A81" t="s">
        <v>85</v>
      </c>
      <c r="B81">
        <v>2500</v>
      </c>
      <c r="C81">
        <f t="shared" si="17"/>
        <v>25</v>
      </c>
      <c r="D81">
        <v>16</v>
      </c>
      <c r="E81">
        <v>2</v>
      </c>
      <c r="F81">
        <v>2100</v>
      </c>
      <c r="G81">
        <f t="shared" si="9"/>
        <v>21</v>
      </c>
      <c r="H81">
        <v>300</v>
      </c>
      <c r="I81" s="4">
        <f>Full_Data[[#This Row],[Selling Price]]/Full_Data[[#This Row],[Weight (g)]]</f>
        <v>7.0000000000000007E-2</v>
      </c>
      <c r="J81" t="b">
        <v>0</v>
      </c>
      <c r="K81">
        <v>300</v>
      </c>
      <c r="L81">
        <f t="shared" si="10"/>
        <v>4</v>
      </c>
      <c r="M81" t="str">
        <f t="shared" si="11"/>
        <v>Low</v>
      </c>
      <c r="N81" t="str">
        <f t="shared" si="12"/>
        <v>16-20%</v>
      </c>
      <c r="O81" t="str">
        <f t="shared" si="13"/>
        <v>OK</v>
      </c>
      <c r="P81">
        <f>IFERROR(Full_Data!G81/Full_Data!H81,"Check data")</f>
        <v>7.0000000000000007E-2</v>
      </c>
      <c r="Q81" t="str">
        <f t="shared" si="14"/>
        <v>Match</v>
      </c>
      <c r="R81" t="str">
        <f t="shared" si="15"/>
        <v>Match</v>
      </c>
      <c r="S81" t="str">
        <f t="shared" si="16"/>
        <v>Match</v>
      </c>
    </row>
    <row r="82" spans="1:19" x14ac:dyDescent="0.25">
      <c r="A82" t="s">
        <v>86</v>
      </c>
      <c r="B82">
        <v>2000</v>
      </c>
      <c r="C82">
        <f t="shared" si="17"/>
        <v>20</v>
      </c>
      <c r="D82">
        <v>15</v>
      </c>
      <c r="E82">
        <v>3</v>
      </c>
      <c r="F82">
        <v>1700</v>
      </c>
      <c r="G82">
        <f t="shared" si="9"/>
        <v>17</v>
      </c>
      <c r="H82">
        <v>250</v>
      </c>
      <c r="I82" s="4">
        <f>Full_Data[[#This Row],[Selling Price]]/Full_Data[[#This Row],[Weight (g)]]</f>
        <v>6.8000000000000005E-2</v>
      </c>
      <c r="J82" t="b">
        <v>0</v>
      </c>
      <c r="K82">
        <v>250</v>
      </c>
      <c r="L82">
        <f t="shared" si="10"/>
        <v>3</v>
      </c>
      <c r="M82" t="str">
        <f t="shared" si="11"/>
        <v>Low</v>
      </c>
      <c r="N82" t="str">
        <f t="shared" si="12"/>
        <v>11-15%</v>
      </c>
      <c r="O82" t="str">
        <f t="shared" si="13"/>
        <v>OK</v>
      </c>
      <c r="P82">
        <f>IFERROR(Full_Data!G82/Full_Data!H82,"Check data")</f>
        <v>6.8000000000000005E-2</v>
      </c>
      <c r="Q82" t="str">
        <f t="shared" si="14"/>
        <v>Match</v>
      </c>
      <c r="R82" t="str">
        <f t="shared" si="15"/>
        <v>Match</v>
      </c>
      <c r="S82" t="str">
        <f t="shared" si="16"/>
        <v>Match</v>
      </c>
    </row>
    <row r="83" spans="1:19" x14ac:dyDescent="0.25">
      <c r="A83" t="s">
        <v>87</v>
      </c>
      <c r="B83">
        <v>11000</v>
      </c>
      <c r="C83">
        <f t="shared" si="17"/>
        <v>110</v>
      </c>
      <c r="D83">
        <v>4</v>
      </c>
      <c r="E83">
        <v>2</v>
      </c>
      <c r="F83">
        <v>10500</v>
      </c>
      <c r="G83">
        <f t="shared" si="9"/>
        <v>105</v>
      </c>
      <c r="H83">
        <v>1000</v>
      </c>
      <c r="I83" s="4">
        <f>Full_Data[[#This Row],[Selling Price]]/Full_Data[[#This Row],[Weight (g)]]</f>
        <v>0.105</v>
      </c>
      <c r="J83" t="b">
        <v>0</v>
      </c>
      <c r="K83">
        <v>1</v>
      </c>
      <c r="L83">
        <f t="shared" si="10"/>
        <v>5</v>
      </c>
      <c r="M83" t="str">
        <f t="shared" si="11"/>
        <v>Medium</v>
      </c>
      <c r="N83" t="str">
        <f t="shared" si="12"/>
        <v>0-5%</v>
      </c>
      <c r="O83" t="str">
        <f t="shared" si="13"/>
        <v>OK</v>
      </c>
      <c r="P83">
        <f>IFERROR(Full_Data!G83/Full_Data!H83,"Check data")</f>
        <v>0.105</v>
      </c>
      <c r="Q83" t="str">
        <f t="shared" si="14"/>
        <v>Match</v>
      </c>
      <c r="R83" t="str">
        <f t="shared" si="15"/>
        <v>Mismatch</v>
      </c>
      <c r="S83" t="str">
        <f t="shared" si="16"/>
        <v>Mismatch</v>
      </c>
    </row>
    <row r="84" spans="1:19" x14ac:dyDescent="0.25">
      <c r="A84" t="s">
        <v>88</v>
      </c>
      <c r="B84">
        <v>3700</v>
      </c>
      <c r="C84">
        <f t="shared" si="17"/>
        <v>37</v>
      </c>
      <c r="D84">
        <v>16</v>
      </c>
      <c r="E84">
        <v>3</v>
      </c>
      <c r="F84">
        <v>3100</v>
      </c>
      <c r="G84">
        <f t="shared" si="9"/>
        <v>31</v>
      </c>
      <c r="H84">
        <v>250</v>
      </c>
      <c r="I84" s="4">
        <f>Full_Data[[#This Row],[Selling Price]]/Full_Data[[#This Row],[Weight (g)]]</f>
        <v>0.124</v>
      </c>
      <c r="J84" t="b">
        <v>0</v>
      </c>
      <c r="K84">
        <v>250</v>
      </c>
      <c r="L84">
        <f t="shared" si="10"/>
        <v>6</v>
      </c>
      <c r="M84" t="str">
        <f t="shared" si="11"/>
        <v>Low</v>
      </c>
      <c r="N84" t="str">
        <f t="shared" si="12"/>
        <v>16-20%</v>
      </c>
      <c r="O84" t="str">
        <f t="shared" si="13"/>
        <v>OK</v>
      </c>
      <c r="P84">
        <f>IFERROR(Full_Data!G84/Full_Data!H84,"Check data")</f>
        <v>0.124</v>
      </c>
      <c r="Q84" t="str">
        <f t="shared" si="14"/>
        <v>Match</v>
      </c>
      <c r="R84" t="str">
        <f t="shared" si="15"/>
        <v>Mismatch</v>
      </c>
      <c r="S84" t="str">
        <f t="shared" si="16"/>
        <v>Match</v>
      </c>
    </row>
    <row r="85" spans="1:19" x14ac:dyDescent="0.25">
      <c r="A85" t="s">
        <v>89</v>
      </c>
      <c r="B85">
        <v>1600</v>
      </c>
      <c r="C85">
        <f t="shared" si="17"/>
        <v>16</v>
      </c>
      <c r="D85">
        <v>18</v>
      </c>
      <c r="E85">
        <v>3</v>
      </c>
      <c r="F85">
        <v>1300</v>
      </c>
      <c r="G85">
        <f t="shared" si="9"/>
        <v>13</v>
      </c>
      <c r="H85">
        <v>500</v>
      </c>
      <c r="I85" s="4">
        <f>Full_Data[[#This Row],[Selling Price]]/Full_Data[[#This Row],[Weight (g)]]</f>
        <v>2.5999999999999999E-2</v>
      </c>
      <c r="J85" t="b">
        <v>0</v>
      </c>
      <c r="K85">
        <v>500</v>
      </c>
      <c r="L85">
        <f t="shared" si="10"/>
        <v>3</v>
      </c>
      <c r="M85" t="str">
        <f t="shared" si="11"/>
        <v>Low</v>
      </c>
      <c r="N85" t="str">
        <f t="shared" si="12"/>
        <v>16-20%</v>
      </c>
      <c r="O85" t="str">
        <f t="shared" si="13"/>
        <v>OK</v>
      </c>
      <c r="P85">
        <f>IFERROR(Full_Data!G85/Full_Data!H85,"Check data")</f>
        <v>2.5999999999999999E-2</v>
      </c>
      <c r="Q85" t="str">
        <f t="shared" si="14"/>
        <v>Match</v>
      </c>
      <c r="R85" t="str">
        <f t="shared" si="15"/>
        <v>Mismatch</v>
      </c>
      <c r="S85" t="str">
        <f t="shared" si="16"/>
        <v>Mismatch</v>
      </c>
    </row>
    <row r="86" spans="1:19" x14ac:dyDescent="0.25">
      <c r="A86" t="s">
        <v>90</v>
      </c>
      <c r="B86">
        <v>2600</v>
      </c>
      <c r="C86">
        <f t="shared" si="17"/>
        <v>26</v>
      </c>
      <c r="D86">
        <v>19</v>
      </c>
      <c r="E86">
        <v>3</v>
      </c>
      <c r="F86">
        <v>2100</v>
      </c>
      <c r="G86">
        <f t="shared" si="9"/>
        <v>21</v>
      </c>
      <c r="H86">
        <v>500</v>
      </c>
      <c r="I86" s="4">
        <f>Full_Data[[#This Row],[Selling Price]]/Full_Data[[#This Row],[Weight (g)]]</f>
        <v>4.2000000000000003E-2</v>
      </c>
      <c r="J86" t="b">
        <v>0</v>
      </c>
      <c r="K86">
        <v>500</v>
      </c>
      <c r="L86">
        <f t="shared" si="10"/>
        <v>5</v>
      </c>
      <c r="M86" t="str">
        <f t="shared" si="11"/>
        <v>Low</v>
      </c>
      <c r="N86" t="str">
        <f t="shared" si="12"/>
        <v>16-20%</v>
      </c>
      <c r="O86" t="str">
        <f t="shared" si="13"/>
        <v>OK</v>
      </c>
      <c r="P86">
        <f>IFERROR(Full_Data!G86/Full_Data!H86,"Check data")</f>
        <v>4.2000000000000003E-2</v>
      </c>
      <c r="Q86" t="str">
        <f t="shared" si="14"/>
        <v>Match</v>
      </c>
      <c r="R86" t="str">
        <f t="shared" si="15"/>
        <v>Mismatch</v>
      </c>
      <c r="S86" t="str">
        <f t="shared" si="16"/>
        <v>Match</v>
      </c>
    </row>
    <row r="87" spans="1:19" x14ac:dyDescent="0.25">
      <c r="A87" t="s">
        <v>91</v>
      </c>
      <c r="B87">
        <v>1900</v>
      </c>
      <c r="C87">
        <f t="shared" si="17"/>
        <v>19</v>
      </c>
      <c r="D87">
        <v>21</v>
      </c>
      <c r="E87">
        <v>3</v>
      </c>
      <c r="F87">
        <v>1500</v>
      </c>
      <c r="G87">
        <f t="shared" si="9"/>
        <v>15</v>
      </c>
      <c r="H87">
        <v>500</v>
      </c>
      <c r="I87" s="4">
        <f>Full_Data[[#This Row],[Selling Price]]/Full_Data[[#This Row],[Weight (g)]]</f>
        <v>0.03</v>
      </c>
      <c r="J87" t="b">
        <v>0</v>
      </c>
      <c r="K87">
        <v>500</v>
      </c>
      <c r="L87">
        <f t="shared" si="10"/>
        <v>4</v>
      </c>
      <c r="M87" t="str">
        <f t="shared" si="11"/>
        <v>Low</v>
      </c>
      <c r="N87" t="str">
        <f t="shared" si="12"/>
        <v>21%+</v>
      </c>
      <c r="O87" t="str">
        <f t="shared" si="13"/>
        <v>OK</v>
      </c>
      <c r="P87">
        <f>IFERROR(Full_Data!G87/Full_Data!H87,"Check data")</f>
        <v>0.03</v>
      </c>
      <c r="Q87" t="str">
        <f t="shared" si="14"/>
        <v>Match</v>
      </c>
      <c r="R87" t="str">
        <f t="shared" si="15"/>
        <v>Mismatch</v>
      </c>
      <c r="S87" t="str">
        <f t="shared" si="16"/>
        <v>Match</v>
      </c>
    </row>
    <row r="88" spans="1:19" x14ac:dyDescent="0.25">
      <c r="A88" t="s">
        <v>92</v>
      </c>
      <c r="B88">
        <v>1700</v>
      </c>
      <c r="C88">
        <f t="shared" si="17"/>
        <v>17</v>
      </c>
      <c r="D88">
        <v>23</v>
      </c>
      <c r="E88">
        <v>3</v>
      </c>
      <c r="F88">
        <v>1300</v>
      </c>
      <c r="G88">
        <f t="shared" si="9"/>
        <v>13</v>
      </c>
      <c r="H88">
        <v>200</v>
      </c>
      <c r="I88" s="4">
        <f>Full_Data[[#This Row],[Selling Price]]/Full_Data[[#This Row],[Weight (g)]]</f>
        <v>6.5000000000000002E-2</v>
      </c>
      <c r="J88" t="b">
        <v>0</v>
      </c>
      <c r="K88">
        <v>200</v>
      </c>
      <c r="L88">
        <f t="shared" si="10"/>
        <v>4</v>
      </c>
      <c r="M88" t="str">
        <f t="shared" si="11"/>
        <v>Low</v>
      </c>
      <c r="N88" t="str">
        <f t="shared" si="12"/>
        <v>21%+</v>
      </c>
      <c r="O88" t="str">
        <f t="shared" si="13"/>
        <v>OK</v>
      </c>
      <c r="P88">
        <f>IFERROR(Full_Data!G88/Full_Data!H88,"Check data")</f>
        <v>6.5000000000000002E-2</v>
      </c>
      <c r="Q88" t="str">
        <f t="shared" si="14"/>
        <v>Match</v>
      </c>
      <c r="R88" t="str">
        <f t="shared" si="15"/>
        <v>Mismatch</v>
      </c>
      <c r="S88" t="str">
        <f t="shared" si="16"/>
        <v>Mismatch</v>
      </c>
    </row>
    <row r="89" spans="1:19" x14ac:dyDescent="0.25">
      <c r="A89" t="s">
        <v>91</v>
      </c>
      <c r="B89">
        <v>1300</v>
      </c>
      <c r="C89">
        <f t="shared" si="17"/>
        <v>13</v>
      </c>
      <c r="D89">
        <v>15</v>
      </c>
      <c r="E89">
        <v>0</v>
      </c>
      <c r="F89">
        <v>1100</v>
      </c>
      <c r="G89">
        <f t="shared" si="9"/>
        <v>11</v>
      </c>
      <c r="H89">
        <v>250</v>
      </c>
      <c r="I89" s="4">
        <f>Full_Data[[#This Row],[Selling Price]]/Full_Data[[#This Row],[Weight (g)]]</f>
        <v>4.3999999999999997E-2</v>
      </c>
      <c r="J89" t="b">
        <v>1</v>
      </c>
      <c r="K89">
        <v>200</v>
      </c>
      <c r="L89">
        <f t="shared" si="10"/>
        <v>2</v>
      </c>
      <c r="M89" t="str">
        <f t="shared" si="11"/>
        <v>Low</v>
      </c>
      <c r="N89" t="str">
        <f t="shared" si="12"/>
        <v>11-15%</v>
      </c>
      <c r="O89" t="str">
        <f t="shared" si="13"/>
        <v>OK</v>
      </c>
      <c r="P89">
        <f>IFERROR(Full_Data!G89/Full_Data!H89,"Check data")</f>
        <v>4.3999999999999997E-2</v>
      </c>
      <c r="Q89" t="str">
        <f t="shared" si="14"/>
        <v>Match</v>
      </c>
      <c r="R89" t="str">
        <f t="shared" si="15"/>
        <v>Mismatch</v>
      </c>
      <c r="S89" t="str">
        <f t="shared" si="16"/>
        <v>Match</v>
      </c>
    </row>
    <row r="90" spans="1:19" x14ac:dyDescent="0.25">
      <c r="A90" t="s">
        <v>89</v>
      </c>
      <c r="B90">
        <v>1100</v>
      </c>
      <c r="C90">
        <f t="shared" si="17"/>
        <v>11</v>
      </c>
      <c r="D90">
        <v>18</v>
      </c>
      <c r="E90">
        <v>0</v>
      </c>
      <c r="F90">
        <v>900</v>
      </c>
      <c r="G90">
        <f t="shared" si="9"/>
        <v>9</v>
      </c>
      <c r="H90">
        <v>250</v>
      </c>
      <c r="I90" s="4">
        <f>Full_Data[[#This Row],[Selling Price]]/Full_Data[[#This Row],[Weight (g)]]</f>
        <v>3.5999999999999997E-2</v>
      </c>
      <c r="J90" t="b">
        <v>1</v>
      </c>
      <c r="K90">
        <v>250</v>
      </c>
      <c r="L90">
        <f t="shared" si="10"/>
        <v>2</v>
      </c>
      <c r="M90" t="str">
        <f t="shared" si="11"/>
        <v>Low</v>
      </c>
      <c r="N90" t="str">
        <f t="shared" si="12"/>
        <v>16-20%</v>
      </c>
      <c r="O90" t="str">
        <f t="shared" si="13"/>
        <v>OK</v>
      </c>
      <c r="P90">
        <f>IFERROR(Full_Data!G90/Full_Data!H90,"Check data")</f>
        <v>3.5999999999999997E-2</v>
      </c>
      <c r="Q90" t="str">
        <f t="shared" si="14"/>
        <v>Match</v>
      </c>
      <c r="R90" t="str">
        <f t="shared" si="15"/>
        <v>Mismatch</v>
      </c>
      <c r="S90" t="str">
        <f t="shared" si="16"/>
        <v>Match</v>
      </c>
    </row>
    <row r="91" spans="1:19" x14ac:dyDescent="0.25">
      <c r="A91" t="s">
        <v>93</v>
      </c>
      <c r="B91">
        <v>3500</v>
      </c>
      <c r="C91">
        <f t="shared" si="17"/>
        <v>35</v>
      </c>
      <c r="D91">
        <v>17</v>
      </c>
      <c r="E91">
        <v>0</v>
      </c>
      <c r="F91">
        <v>2900</v>
      </c>
      <c r="G91">
        <f t="shared" si="9"/>
        <v>29</v>
      </c>
      <c r="H91">
        <v>200</v>
      </c>
      <c r="I91" s="4">
        <f>Full_Data[[#This Row],[Selling Price]]/Full_Data[[#This Row],[Weight (g)]]</f>
        <v>0.14499999999999999</v>
      </c>
      <c r="J91" t="b">
        <v>1</v>
      </c>
      <c r="K91">
        <v>200</v>
      </c>
      <c r="L91">
        <f t="shared" si="10"/>
        <v>6</v>
      </c>
      <c r="M91" t="str">
        <f t="shared" si="11"/>
        <v>Low</v>
      </c>
      <c r="N91" t="str">
        <f t="shared" si="12"/>
        <v>16-20%</v>
      </c>
      <c r="O91" t="str">
        <f t="shared" si="13"/>
        <v>OK</v>
      </c>
      <c r="P91">
        <f>IFERROR(Full_Data!G91/Full_Data!H91,"Check data")</f>
        <v>0.14499999999999999</v>
      </c>
      <c r="Q91" t="str">
        <f t="shared" si="14"/>
        <v>Match</v>
      </c>
      <c r="R91" t="str">
        <f t="shared" si="15"/>
        <v>Mismatch</v>
      </c>
      <c r="S91" t="str">
        <f t="shared" si="16"/>
        <v>Match</v>
      </c>
    </row>
    <row r="92" spans="1:19" x14ac:dyDescent="0.25">
      <c r="A92" t="s">
        <v>94</v>
      </c>
      <c r="B92">
        <v>6000</v>
      </c>
      <c r="C92">
        <f t="shared" si="17"/>
        <v>60</v>
      </c>
      <c r="D92">
        <v>5</v>
      </c>
      <c r="E92">
        <v>0</v>
      </c>
      <c r="F92">
        <v>5700</v>
      </c>
      <c r="G92">
        <f t="shared" si="9"/>
        <v>57</v>
      </c>
      <c r="H92">
        <v>500</v>
      </c>
      <c r="I92" s="4">
        <f>Full_Data[[#This Row],[Selling Price]]/Full_Data[[#This Row],[Weight (g)]]</f>
        <v>0.114</v>
      </c>
      <c r="J92" t="b">
        <v>1</v>
      </c>
      <c r="K92">
        <v>500</v>
      </c>
      <c r="L92">
        <f t="shared" si="10"/>
        <v>3</v>
      </c>
      <c r="M92" t="str">
        <f t="shared" si="11"/>
        <v>Medium</v>
      </c>
      <c r="N92" t="str">
        <f t="shared" si="12"/>
        <v>0-5%</v>
      </c>
      <c r="O92" t="str">
        <f t="shared" si="13"/>
        <v>OK</v>
      </c>
      <c r="P92">
        <f>IFERROR(Full_Data!G92/Full_Data!H92,"Check data")</f>
        <v>0.114</v>
      </c>
      <c r="Q92" t="str">
        <f t="shared" si="14"/>
        <v>Match</v>
      </c>
      <c r="R92" t="str">
        <f t="shared" si="15"/>
        <v>Match</v>
      </c>
      <c r="S92" t="str">
        <f t="shared" si="16"/>
        <v>Match</v>
      </c>
    </row>
    <row r="93" spans="1:19" x14ac:dyDescent="0.25">
      <c r="A93" t="s">
        <v>95</v>
      </c>
      <c r="B93">
        <v>4100</v>
      </c>
      <c r="C93">
        <f t="shared" si="17"/>
        <v>41</v>
      </c>
      <c r="D93">
        <v>4</v>
      </c>
      <c r="E93">
        <v>0</v>
      </c>
      <c r="F93">
        <v>3900</v>
      </c>
      <c r="G93">
        <f t="shared" si="9"/>
        <v>39</v>
      </c>
      <c r="H93">
        <v>200</v>
      </c>
      <c r="I93" s="4">
        <f>Full_Data[[#This Row],[Selling Price]]/Full_Data[[#This Row],[Weight (g)]]</f>
        <v>0.19500000000000001</v>
      </c>
      <c r="J93" t="b">
        <v>1</v>
      </c>
      <c r="K93">
        <v>200</v>
      </c>
      <c r="L93">
        <f t="shared" si="10"/>
        <v>2</v>
      </c>
      <c r="M93" t="str">
        <f t="shared" si="11"/>
        <v>Low</v>
      </c>
      <c r="N93" t="str">
        <f t="shared" si="12"/>
        <v>0-5%</v>
      </c>
      <c r="O93" t="str">
        <f t="shared" si="13"/>
        <v>OK</v>
      </c>
      <c r="P93">
        <f>IFERROR(Full_Data!G93/Full_Data!H93,"Check data")</f>
        <v>0.19500000000000001</v>
      </c>
      <c r="Q93" t="str">
        <f t="shared" si="14"/>
        <v>Match</v>
      </c>
      <c r="R93" t="str">
        <f t="shared" si="15"/>
        <v>Mismatch</v>
      </c>
      <c r="S93" t="str">
        <f t="shared" si="16"/>
        <v>Mismatch</v>
      </c>
    </row>
    <row r="94" spans="1:19" x14ac:dyDescent="0.25">
      <c r="A94" t="s">
        <v>96</v>
      </c>
      <c r="B94">
        <v>16000</v>
      </c>
      <c r="C94">
        <f t="shared" si="17"/>
        <v>160</v>
      </c>
      <c r="D94">
        <v>5</v>
      </c>
      <c r="E94">
        <v>0</v>
      </c>
      <c r="F94">
        <v>15200</v>
      </c>
      <c r="G94">
        <f t="shared" si="9"/>
        <v>152</v>
      </c>
      <c r="H94">
        <v>1000</v>
      </c>
      <c r="I94" s="4">
        <f>Full_Data[[#This Row],[Selling Price]]/Full_Data[[#This Row],[Weight (g)]]</f>
        <v>0.152</v>
      </c>
      <c r="J94" t="b">
        <v>1</v>
      </c>
      <c r="K94">
        <v>1</v>
      </c>
      <c r="L94">
        <f t="shared" si="10"/>
        <v>8</v>
      </c>
      <c r="M94" t="str">
        <f t="shared" si="11"/>
        <v>Medium</v>
      </c>
      <c r="N94" t="str">
        <f t="shared" si="12"/>
        <v>0-5%</v>
      </c>
      <c r="O94" t="str">
        <f t="shared" si="13"/>
        <v>OK</v>
      </c>
      <c r="P94">
        <f>IFERROR(Full_Data!G94/Full_Data!H94,"Check data")</f>
        <v>0.152</v>
      </c>
      <c r="Q94" t="str">
        <f t="shared" si="14"/>
        <v>Match</v>
      </c>
      <c r="R94" t="str">
        <f t="shared" si="15"/>
        <v>Match</v>
      </c>
      <c r="S94" t="str">
        <f t="shared" si="16"/>
        <v>Match</v>
      </c>
    </row>
    <row r="95" spans="1:19" x14ac:dyDescent="0.25">
      <c r="A95" t="s">
        <v>97</v>
      </c>
      <c r="B95">
        <v>1200</v>
      </c>
      <c r="C95">
        <f t="shared" si="17"/>
        <v>12</v>
      </c>
      <c r="D95">
        <v>0</v>
      </c>
      <c r="E95">
        <v>6</v>
      </c>
      <c r="F95">
        <v>1200</v>
      </c>
      <c r="G95">
        <f t="shared" si="9"/>
        <v>12</v>
      </c>
      <c r="H95">
        <v>70</v>
      </c>
      <c r="I95" s="4">
        <f>Full_Data[[#This Row],[Selling Price]]/Full_Data[[#This Row],[Weight (g)]]</f>
        <v>0.17142857142857143</v>
      </c>
      <c r="J95" t="b">
        <v>0</v>
      </c>
      <c r="K95">
        <v>70</v>
      </c>
      <c r="L95">
        <f t="shared" si="10"/>
        <v>0</v>
      </c>
      <c r="M95" t="str">
        <f t="shared" si="11"/>
        <v>Low</v>
      </c>
      <c r="N95" t="str">
        <f t="shared" si="12"/>
        <v>0-5%</v>
      </c>
      <c r="O95" t="str">
        <f t="shared" si="13"/>
        <v>OK</v>
      </c>
      <c r="P95">
        <f>IFERROR(Full_Data!G95/Full_Data!H95,"Check data")</f>
        <v>0.17142857142857143</v>
      </c>
      <c r="Q95" t="str">
        <f t="shared" si="14"/>
        <v>Match</v>
      </c>
      <c r="R95" t="str">
        <f t="shared" si="15"/>
        <v>Match</v>
      </c>
      <c r="S95" t="str">
        <f t="shared" si="16"/>
        <v>Match</v>
      </c>
    </row>
    <row r="96" spans="1:19" x14ac:dyDescent="0.25">
      <c r="A96" t="s">
        <v>98</v>
      </c>
      <c r="B96">
        <v>8000</v>
      </c>
      <c r="C96">
        <f t="shared" si="17"/>
        <v>80</v>
      </c>
      <c r="D96">
        <v>15</v>
      </c>
      <c r="E96">
        <v>6</v>
      </c>
      <c r="F96">
        <v>6800</v>
      </c>
      <c r="G96">
        <f t="shared" si="9"/>
        <v>68</v>
      </c>
      <c r="H96">
        <v>1000</v>
      </c>
      <c r="I96" s="4">
        <f>Full_Data[[#This Row],[Selling Price]]/Full_Data[[#This Row],[Weight (g)]]</f>
        <v>6.8000000000000005E-2</v>
      </c>
      <c r="J96" t="b">
        <v>0</v>
      </c>
      <c r="K96">
        <v>1</v>
      </c>
      <c r="L96">
        <f t="shared" si="10"/>
        <v>12</v>
      </c>
      <c r="M96" t="str">
        <f t="shared" si="11"/>
        <v>Medium</v>
      </c>
      <c r="N96" t="str">
        <f t="shared" si="12"/>
        <v>11-15%</v>
      </c>
      <c r="O96" t="str">
        <f t="shared" si="13"/>
        <v>OK</v>
      </c>
      <c r="P96">
        <f>IFERROR(Full_Data!G96/Full_Data!H96,"Check data")</f>
        <v>6.8000000000000005E-2</v>
      </c>
      <c r="Q96" t="str">
        <f t="shared" si="14"/>
        <v>Match</v>
      </c>
      <c r="R96" t="str">
        <f t="shared" si="15"/>
        <v>Match</v>
      </c>
      <c r="S96" t="str">
        <f t="shared" si="16"/>
        <v>Match</v>
      </c>
    </row>
    <row r="97" spans="1:19" x14ac:dyDescent="0.25">
      <c r="A97" t="s">
        <v>99</v>
      </c>
      <c r="B97">
        <v>2400</v>
      </c>
      <c r="C97">
        <f t="shared" si="17"/>
        <v>24</v>
      </c>
      <c r="D97">
        <v>0</v>
      </c>
      <c r="E97">
        <v>6</v>
      </c>
      <c r="F97">
        <v>2400</v>
      </c>
      <c r="G97">
        <f t="shared" si="9"/>
        <v>24</v>
      </c>
      <c r="H97">
        <v>1000</v>
      </c>
      <c r="I97" s="4">
        <f>Full_Data[[#This Row],[Selling Price]]/Full_Data[[#This Row],[Weight (g)]]</f>
        <v>2.4E-2</v>
      </c>
      <c r="J97" t="b">
        <v>0</v>
      </c>
      <c r="K97">
        <v>1</v>
      </c>
      <c r="L97">
        <f t="shared" si="10"/>
        <v>0</v>
      </c>
      <c r="M97" t="str">
        <f t="shared" si="11"/>
        <v>Low</v>
      </c>
      <c r="N97" t="str">
        <f t="shared" si="12"/>
        <v>0-5%</v>
      </c>
      <c r="O97" t="str">
        <f t="shared" si="13"/>
        <v>OK</v>
      </c>
      <c r="P97">
        <f>IFERROR(Full_Data!G97/Full_Data!H97,"Check data")</f>
        <v>2.4E-2</v>
      </c>
      <c r="Q97" t="str">
        <f t="shared" si="14"/>
        <v>Match</v>
      </c>
      <c r="R97" t="str">
        <f t="shared" si="15"/>
        <v>Match</v>
      </c>
      <c r="S97" t="str">
        <f t="shared" si="16"/>
        <v>Match</v>
      </c>
    </row>
    <row r="98" spans="1:19" x14ac:dyDescent="0.25">
      <c r="A98" t="s">
        <v>100</v>
      </c>
      <c r="B98">
        <v>9700</v>
      </c>
      <c r="C98">
        <f t="shared" si="17"/>
        <v>97</v>
      </c>
      <c r="D98">
        <v>0</v>
      </c>
      <c r="E98">
        <v>4</v>
      </c>
      <c r="F98">
        <v>9700</v>
      </c>
      <c r="G98">
        <f t="shared" si="9"/>
        <v>97</v>
      </c>
      <c r="H98">
        <v>696</v>
      </c>
      <c r="I98" s="4">
        <f>Full_Data[[#This Row],[Selling Price]]/Full_Data[[#This Row],[Weight (g)]]</f>
        <v>0.13936781609195403</v>
      </c>
      <c r="J98" t="b">
        <v>0</v>
      </c>
      <c r="K98">
        <v>12</v>
      </c>
      <c r="L98">
        <f t="shared" si="10"/>
        <v>0</v>
      </c>
      <c r="M98" t="str">
        <f t="shared" si="11"/>
        <v>Medium</v>
      </c>
      <c r="N98" t="str">
        <f t="shared" si="12"/>
        <v>0-5%</v>
      </c>
      <c r="O98" t="str">
        <f t="shared" si="13"/>
        <v>OK</v>
      </c>
      <c r="P98">
        <f>IFERROR(Full_Data!G98/Full_Data!H98,"Check data")</f>
        <v>0.13936781609195403</v>
      </c>
      <c r="Q98" t="str">
        <f t="shared" si="14"/>
        <v>Match</v>
      </c>
      <c r="R98" t="str">
        <f t="shared" si="15"/>
        <v>Match</v>
      </c>
      <c r="S98" t="str">
        <f t="shared" si="16"/>
        <v>Match</v>
      </c>
    </row>
    <row r="99" spans="1:19" x14ac:dyDescent="0.25">
      <c r="A99" t="s">
        <v>100</v>
      </c>
      <c r="B99">
        <v>6500</v>
      </c>
      <c r="C99">
        <f t="shared" si="17"/>
        <v>65</v>
      </c>
      <c r="D99">
        <v>15</v>
      </c>
      <c r="E99">
        <v>4</v>
      </c>
      <c r="F99">
        <v>5500</v>
      </c>
      <c r="G99">
        <f t="shared" si="9"/>
        <v>55</v>
      </c>
      <c r="H99">
        <v>348</v>
      </c>
      <c r="I99" s="4">
        <f>Full_Data[[#This Row],[Selling Price]]/Full_Data[[#This Row],[Weight (g)]]</f>
        <v>0.15804597701149425</v>
      </c>
      <c r="J99" t="b">
        <v>0</v>
      </c>
      <c r="K99">
        <v>6</v>
      </c>
      <c r="L99">
        <f t="shared" si="10"/>
        <v>10</v>
      </c>
      <c r="M99" t="str">
        <f t="shared" si="11"/>
        <v>Medium</v>
      </c>
      <c r="N99" t="str">
        <f t="shared" si="12"/>
        <v>11-15%</v>
      </c>
      <c r="O99" t="str">
        <f t="shared" si="13"/>
        <v>OK</v>
      </c>
      <c r="P99">
        <f>IFERROR(Full_Data!G99/Full_Data!H99,"Check data")</f>
        <v>0.15804597701149425</v>
      </c>
      <c r="Q99" t="str">
        <f t="shared" si="14"/>
        <v>Match</v>
      </c>
      <c r="R99" t="str">
        <f t="shared" si="15"/>
        <v>Mismatch</v>
      </c>
      <c r="S99" t="str">
        <f t="shared" si="16"/>
        <v>Match</v>
      </c>
    </row>
    <row r="100" spans="1:19" x14ac:dyDescent="0.25">
      <c r="A100" t="s">
        <v>101</v>
      </c>
      <c r="B100">
        <v>23000</v>
      </c>
      <c r="C100">
        <f t="shared" si="17"/>
        <v>230</v>
      </c>
      <c r="D100">
        <v>4</v>
      </c>
      <c r="E100">
        <v>6</v>
      </c>
      <c r="F100">
        <v>21900</v>
      </c>
      <c r="G100">
        <f t="shared" si="9"/>
        <v>219</v>
      </c>
      <c r="H100">
        <v>1000</v>
      </c>
      <c r="I100" s="4">
        <f>Full_Data[[#This Row],[Selling Price]]/Full_Data[[#This Row],[Weight (g)]]</f>
        <v>0.219</v>
      </c>
      <c r="J100" t="b">
        <v>0</v>
      </c>
      <c r="K100">
        <v>1</v>
      </c>
      <c r="L100">
        <f t="shared" si="10"/>
        <v>11</v>
      </c>
      <c r="M100" t="str">
        <f t="shared" si="11"/>
        <v>High</v>
      </c>
      <c r="N100" t="str">
        <f t="shared" si="12"/>
        <v>0-5%</v>
      </c>
      <c r="O100" t="str">
        <f t="shared" si="13"/>
        <v>OK</v>
      </c>
      <c r="P100">
        <f>IFERROR(Full_Data!G100/Full_Data!H100,"Check data")</f>
        <v>0.219</v>
      </c>
      <c r="Q100" t="str">
        <f t="shared" si="14"/>
        <v>Match</v>
      </c>
      <c r="R100" t="str">
        <f t="shared" si="15"/>
        <v>Mismatch</v>
      </c>
      <c r="S100" t="str">
        <f t="shared" si="16"/>
        <v>Mismatch</v>
      </c>
    </row>
    <row r="101" spans="1:19" x14ac:dyDescent="0.25">
      <c r="A101" t="s">
        <v>102</v>
      </c>
      <c r="B101">
        <v>25000</v>
      </c>
      <c r="C101">
        <f t="shared" si="17"/>
        <v>250</v>
      </c>
      <c r="D101">
        <v>2</v>
      </c>
      <c r="E101">
        <v>6</v>
      </c>
      <c r="F101">
        <v>24500</v>
      </c>
      <c r="G101">
        <f t="shared" si="9"/>
        <v>245</v>
      </c>
      <c r="H101">
        <v>5000</v>
      </c>
      <c r="I101" s="4">
        <f>Full_Data[[#This Row],[Selling Price]]/Full_Data[[#This Row],[Weight (g)]]</f>
        <v>4.9000000000000002E-2</v>
      </c>
      <c r="J101" t="b">
        <v>0</v>
      </c>
      <c r="K101">
        <v>5</v>
      </c>
      <c r="L101">
        <f t="shared" si="10"/>
        <v>5</v>
      </c>
      <c r="M101" t="str">
        <f t="shared" si="11"/>
        <v>High</v>
      </c>
      <c r="N101" t="str">
        <f t="shared" si="12"/>
        <v>0-5%</v>
      </c>
      <c r="O101" t="str">
        <f t="shared" si="13"/>
        <v>OK</v>
      </c>
      <c r="P101">
        <f>IFERROR(Full_Data!G101/Full_Data!H101,"Check data")</f>
        <v>4.9000000000000002E-2</v>
      </c>
      <c r="Q101" t="str">
        <f t="shared" si="14"/>
        <v>Match</v>
      </c>
      <c r="R101" t="str">
        <f t="shared" si="15"/>
        <v>Match</v>
      </c>
      <c r="S101" t="str">
        <f t="shared" si="16"/>
        <v>Match</v>
      </c>
    </row>
    <row r="102" spans="1:19" x14ac:dyDescent="0.25">
      <c r="A102" t="s">
        <v>103</v>
      </c>
      <c r="B102">
        <v>25500</v>
      </c>
      <c r="C102">
        <f t="shared" si="17"/>
        <v>255</v>
      </c>
      <c r="D102">
        <v>2</v>
      </c>
      <c r="E102">
        <v>6</v>
      </c>
      <c r="F102">
        <v>24900</v>
      </c>
      <c r="G102">
        <f t="shared" si="9"/>
        <v>249</v>
      </c>
      <c r="H102">
        <v>500</v>
      </c>
      <c r="I102" s="4">
        <f>Full_Data[[#This Row],[Selling Price]]/Full_Data[[#This Row],[Weight (g)]]</f>
        <v>0.498</v>
      </c>
      <c r="J102" t="b">
        <v>0</v>
      </c>
      <c r="K102">
        <v>500</v>
      </c>
      <c r="L102">
        <f t="shared" si="10"/>
        <v>6</v>
      </c>
      <c r="M102" t="str">
        <f t="shared" si="11"/>
        <v>High</v>
      </c>
      <c r="N102" t="str">
        <f t="shared" si="12"/>
        <v>0-5%</v>
      </c>
      <c r="O102" t="str">
        <f t="shared" si="13"/>
        <v>OK</v>
      </c>
      <c r="P102">
        <f>IFERROR(Full_Data!G102/Full_Data!H102,"Check data")</f>
        <v>0.498</v>
      </c>
      <c r="Q102" t="str">
        <f t="shared" si="14"/>
        <v>Match</v>
      </c>
      <c r="R102" t="str">
        <f t="shared" si="15"/>
        <v>Mismatch</v>
      </c>
      <c r="S102" t="str">
        <f t="shared" si="16"/>
        <v>Match</v>
      </c>
    </row>
    <row r="103" spans="1:19" x14ac:dyDescent="0.25">
      <c r="A103" t="s">
        <v>104</v>
      </c>
      <c r="B103">
        <v>8500</v>
      </c>
      <c r="C103">
        <f t="shared" si="17"/>
        <v>85</v>
      </c>
      <c r="D103">
        <v>7</v>
      </c>
      <c r="E103">
        <v>4</v>
      </c>
      <c r="F103">
        <v>7900</v>
      </c>
      <c r="G103">
        <f t="shared" si="9"/>
        <v>79</v>
      </c>
      <c r="H103">
        <v>348</v>
      </c>
      <c r="I103" s="4">
        <f>Full_Data[[#This Row],[Selling Price]]/Full_Data[[#This Row],[Weight (g)]]</f>
        <v>0.22701149425287356</v>
      </c>
      <c r="J103" t="b">
        <v>0</v>
      </c>
      <c r="K103">
        <v>6</v>
      </c>
      <c r="L103">
        <f t="shared" si="10"/>
        <v>6</v>
      </c>
      <c r="M103" t="str">
        <f t="shared" si="11"/>
        <v>Medium</v>
      </c>
      <c r="N103" t="str">
        <f t="shared" si="12"/>
        <v>6-10%</v>
      </c>
      <c r="O103" t="str">
        <f t="shared" si="13"/>
        <v>OK</v>
      </c>
      <c r="P103">
        <f>IFERROR(Full_Data!G103/Full_Data!H103,"Check data")</f>
        <v>0.22701149425287356</v>
      </c>
      <c r="Q103" t="str">
        <f t="shared" si="14"/>
        <v>Match</v>
      </c>
      <c r="R103" t="str">
        <f t="shared" si="15"/>
        <v>Mismatch</v>
      </c>
      <c r="S103" t="str">
        <f t="shared" si="16"/>
        <v>Match</v>
      </c>
    </row>
    <row r="104" spans="1:19" x14ac:dyDescent="0.25">
      <c r="A104" t="s">
        <v>105</v>
      </c>
      <c r="B104">
        <v>4000</v>
      </c>
      <c r="C104">
        <f t="shared" si="17"/>
        <v>40</v>
      </c>
      <c r="D104">
        <v>10</v>
      </c>
      <c r="E104">
        <v>6</v>
      </c>
      <c r="F104">
        <v>3600</v>
      </c>
      <c r="G104">
        <f t="shared" si="9"/>
        <v>36</v>
      </c>
      <c r="H104">
        <v>1000</v>
      </c>
      <c r="I104" s="4">
        <f>Full_Data[[#This Row],[Selling Price]]/Full_Data[[#This Row],[Weight (g)]]</f>
        <v>3.5999999999999997E-2</v>
      </c>
      <c r="J104" t="b">
        <v>0</v>
      </c>
      <c r="K104">
        <v>1</v>
      </c>
      <c r="L104">
        <f t="shared" si="10"/>
        <v>4</v>
      </c>
      <c r="M104" t="str">
        <f t="shared" si="11"/>
        <v>Low</v>
      </c>
      <c r="N104" t="str">
        <f>IF(D104&lt;=5,"0-5%",
IF(D104&lt;=10,"6-10%",
IF(D104&lt;=15,"11-15%",
IF(D104&lt;=20,"16-20%","21%+"))))</f>
        <v>6-10%</v>
      </c>
      <c r="O104" t="str">
        <f t="shared" si="13"/>
        <v>OK</v>
      </c>
      <c r="P104">
        <f>IFERROR(Full_Data!G104/Full_Data!H104,"Check data")</f>
        <v>3.5999999999999997E-2</v>
      </c>
      <c r="Q104" t="str">
        <f t="shared" si="14"/>
        <v>Match</v>
      </c>
      <c r="R104" t="str">
        <f t="shared" si="15"/>
        <v>Match</v>
      </c>
      <c r="S104" t="str">
        <f t="shared" si="16"/>
        <v>Match</v>
      </c>
    </row>
    <row r="105" spans="1:19" x14ac:dyDescent="0.25">
      <c r="A105" t="s">
        <v>106</v>
      </c>
      <c r="B105">
        <v>21500</v>
      </c>
      <c r="C105">
        <f t="shared" si="17"/>
        <v>215</v>
      </c>
      <c r="D105">
        <v>0</v>
      </c>
      <c r="E105">
        <v>6</v>
      </c>
      <c r="F105">
        <v>21500</v>
      </c>
      <c r="G105">
        <f t="shared" si="9"/>
        <v>215</v>
      </c>
      <c r="H105">
        <v>1000</v>
      </c>
      <c r="I105" s="4">
        <f>Full_Data[[#This Row],[Selling Price]]/Full_Data[[#This Row],[Weight (g)]]</f>
        <v>0.215</v>
      </c>
      <c r="J105" t="b">
        <v>0</v>
      </c>
      <c r="K105">
        <v>1</v>
      </c>
      <c r="L105">
        <f t="shared" si="10"/>
        <v>0</v>
      </c>
      <c r="M105" t="str">
        <f t="shared" si="11"/>
        <v>High</v>
      </c>
      <c r="N105" t="str">
        <f t="shared" si="12"/>
        <v>0-5%</v>
      </c>
      <c r="O105" t="str">
        <f t="shared" si="13"/>
        <v>OK</v>
      </c>
      <c r="P105">
        <f>IFERROR(Full_Data!G105/Full_Data!H105,"Check data")</f>
        <v>0.215</v>
      </c>
      <c r="Q105" t="str">
        <f t="shared" si="14"/>
        <v>Match</v>
      </c>
      <c r="R105" t="str">
        <f t="shared" si="15"/>
        <v>Match</v>
      </c>
      <c r="S105" t="str">
        <f t="shared" si="16"/>
        <v>Match</v>
      </c>
    </row>
    <row r="106" spans="1:19" x14ac:dyDescent="0.25">
      <c r="A106" t="s">
        <v>107</v>
      </c>
      <c r="B106">
        <v>92500</v>
      </c>
      <c r="C106">
        <f t="shared" si="17"/>
        <v>925</v>
      </c>
      <c r="D106">
        <v>0</v>
      </c>
      <c r="E106">
        <v>6</v>
      </c>
      <c r="F106">
        <v>92500</v>
      </c>
      <c r="G106">
        <f t="shared" si="9"/>
        <v>925</v>
      </c>
      <c r="H106">
        <v>5000</v>
      </c>
      <c r="I106" s="4">
        <f>Full_Data[[#This Row],[Selling Price]]/Full_Data[[#This Row],[Weight (g)]]</f>
        <v>0.185</v>
      </c>
      <c r="J106" t="b">
        <v>0</v>
      </c>
      <c r="K106">
        <v>5</v>
      </c>
      <c r="L106">
        <f t="shared" si="10"/>
        <v>0</v>
      </c>
      <c r="M106" t="str">
        <f t="shared" si="11"/>
        <v>High</v>
      </c>
      <c r="N106" t="str">
        <f t="shared" si="12"/>
        <v>0-5%</v>
      </c>
      <c r="O106" t="str">
        <f t="shared" si="13"/>
        <v>OK</v>
      </c>
      <c r="P106">
        <f>IFERROR(Full_Data!G106/Full_Data!H106,"Check data")</f>
        <v>0.185</v>
      </c>
      <c r="Q106" t="str">
        <f t="shared" si="14"/>
        <v>Match</v>
      </c>
      <c r="R106" t="str">
        <f t="shared" si="15"/>
        <v>Match</v>
      </c>
      <c r="S106" t="str">
        <f t="shared" si="16"/>
        <v>Match</v>
      </c>
    </row>
    <row r="107" spans="1:19" x14ac:dyDescent="0.25">
      <c r="A107" t="s">
        <v>108</v>
      </c>
      <c r="B107">
        <v>22500</v>
      </c>
      <c r="C107">
        <f t="shared" si="17"/>
        <v>225</v>
      </c>
      <c r="D107">
        <v>11</v>
      </c>
      <c r="E107">
        <v>6</v>
      </c>
      <c r="F107">
        <v>19900</v>
      </c>
      <c r="G107">
        <f t="shared" si="9"/>
        <v>199</v>
      </c>
      <c r="H107">
        <v>1000</v>
      </c>
      <c r="I107" s="4">
        <f>Full_Data[[#This Row],[Selling Price]]/Full_Data[[#This Row],[Weight (g)]]</f>
        <v>0.19900000000000001</v>
      </c>
      <c r="J107" t="b">
        <v>0</v>
      </c>
      <c r="K107">
        <v>1</v>
      </c>
      <c r="L107">
        <f t="shared" si="10"/>
        <v>26</v>
      </c>
      <c r="M107" t="str">
        <f t="shared" si="11"/>
        <v>Medium</v>
      </c>
      <c r="N107" t="str">
        <f t="shared" si="12"/>
        <v>11-15%</v>
      </c>
      <c r="O107" t="str">
        <f t="shared" si="13"/>
        <v>OK</v>
      </c>
      <c r="P107">
        <f>IFERROR(Full_Data!G107/Full_Data!H107,"Check data")</f>
        <v>0.19900000000000001</v>
      </c>
      <c r="Q107" t="str">
        <f t="shared" si="14"/>
        <v>Match</v>
      </c>
      <c r="R107" t="str">
        <f t="shared" si="15"/>
        <v>Mismatch</v>
      </c>
      <c r="S107" t="str">
        <f t="shared" si="16"/>
        <v>Mismatch</v>
      </c>
    </row>
    <row r="108" spans="1:19" x14ac:dyDescent="0.25">
      <c r="A108" t="s">
        <v>109</v>
      </c>
      <c r="B108">
        <v>21000</v>
      </c>
      <c r="C108">
        <f t="shared" si="17"/>
        <v>210</v>
      </c>
      <c r="D108">
        <v>0</v>
      </c>
      <c r="E108">
        <v>6</v>
      </c>
      <c r="F108">
        <v>21000</v>
      </c>
      <c r="G108">
        <f t="shared" si="9"/>
        <v>210</v>
      </c>
      <c r="H108">
        <v>1000</v>
      </c>
      <c r="I108" s="4">
        <f>Full_Data[[#This Row],[Selling Price]]/Full_Data[[#This Row],[Weight (g)]]</f>
        <v>0.21</v>
      </c>
      <c r="J108" t="b">
        <v>0</v>
      </c>
      <c r="K108">
        <v>1</v>
      </c>
      <c r="L108">
        <f t="shared" si="10"/>
        <v>0</v>
      </c>
      <c r="M108" t="str">
        <f t="shared" si="11"/>
        <v>High</v>
      </c>
      <c r="N108" t="str">
        <f t="shared" si="12"/>
        <v>0-5%</v>
      </c>
      <c r="O108" t="str">
        <f t="shared" si="13"/>
        <v>OK</v>
      </c>
      <c r="P108">
        <f>IFERROR(Full_Data!G108/Full_Data!H108,"Check data")</f>
        <v>0.21</v>
      </c>
      <c r="Q108" t="str">
        <f t="shared" si="14"/>
        <v>Match</v>
      </c>
      <c r="R108" t="str">
        <f t="shared" si="15"/>
        <v>Match</v>
      </c>
      <c r="S108" t="str">
        <f t="shared" si="16"/>
        <v>Match</v>
      </c>
    </row>
    <row r="109" spans="1:19" x14ac:dyDescent="0.25">
      <c r="A109" t="s">
        <v>103</v>
      </c>
      <c r="B109">
        <v>50500</v>
      </c>
      <c r="C109">
        <f t="shared" si="17"/>
        <v>505</v>
      </c>
      <c r="D109">
        <v>1</v>
      </c>
      <c r="E109">
        <v>2</v>
      </c>
      <c r="F109">
        <v>49900</v>
      </c>
      <c r="G109">
        <f t="shared" si="9"/>
        <v>499</v>
      </c>
      <c r="H109">
        <v>1000</v>
      </c>
      <c r="I109" s="4">
        <f>Full_Data[[#This Row],[Selling Price]]/Full_Data[[#This Row],[Weight (g)]]</f>
        <v>0.499</v>
      </c>
      <c r="J109" t="b">
        <v>0</v>
      </c>
      <c r="K109">
        <v>1</v>
      </c>
      <c r="L109">
        <f t="shared" si="10"/>
        <v>6</v>
      </c>
      <c r="M109" t="str">
        <f t="shared" si="11"/>
        <v>High</v>
      </c>
      <c r="N109" t="str">
        <f t="shared" si="12"/>
        <v>0-5%</v>
      </c>
      <c r="O109" t="str">
        <f t="shared" si="13"/>
        <v>OK</v>
      </c>
      <c r="P109">
        <f>IFERROR(Full_Data!G109/Full_Data!H109,"Check data")</f>
        <v>0.499</v>
      </c>
      <c r="Q109" t="str">
        <f t="shared" si="14"/>
        <v>Match</v>
      </c>
      <c r="R109" t="str">
        <f t="shared" si="15"/>
        <v>Mismatch</v>
      </c>
      <c r="S109" t="str">
        <f t="shared" si="16"/>
        <v>Match</v>
      </c>
    </row>
    <row r="110" spans="1:19" x14ac:dyDescent="0.25">
      <c r="A110" t="s">
        <v>110</v>
      </c>
      <c r="B110">
        <v>46000</v>
      </c>
      <c r="C110">
        <f t="shared" si="17"/>
        <v>460</v>
      </c>
      <c r="D110">
        <v>13</v>
      </c>
      <c r="E110">
        <v>6</v>
      </c>
      <c r="F110">
        <v>39900</v>
      </c>
      <c r="G110">
        <f t="shared" si="9"/>
        <v>399</v>
      </c>
      <c r="H110">
        <v>10000</v>
      </c>
      <c r="I110" s="4">
        <f>Full_Data[[#This Row],[Selling Price]]/Full_Data[[#This Row],[Weight (g)]]</f>
        <v>3.9899999999999998E-2</v>
      </c>
      <c r="J110" t="b">
        <v>0</v>
      </c>
      <c r="K110">
        <v>10</v>
      </c>
      <c r="L110">
        <f t="shared" si="10"/>
        <v>61</v>
      </c>
      <c r="M110" t="str">
        <f t="shared" si="11"/>
        <v>High</v>
      </c>
      <c r="N110" t="str">
        <f t="shared" si="12"/>
        <v>11-15%</v>
      </c>
      <c r="O110" t="str">
        <f t="shared" si="13"/>
        <v>OK</v>
      </c>
      <c r="P110">
        <f>IFERROR(Full_Data!G110/Full_Data!H110,"Check data")</f>
        <v>3.9899999999999998E-2</v>
      </c>
      <c r="Q110" t="str">
        <f t="shared" si="14"/>
        <v>Match</v>
      </c>
      <c r="R110" t="str">
        <f t="shared" si="15"/>
        <v>Mismatch</v>
      </c>
      <c r="S110" t="str">
        <f t="shared" si="16"/>
        <v>Match</v>
      </c>
    </row>
    <row r="111" spans="1:19" x14ac:dyDescent="0.25">
      <c r="A111" t="s">
        <v>111</v>
      </c>
      <c r="B111">
        <v>16000</v>
      </c>
      <c r="C111">
        <f t="shared" si="17"/>
        <v>160</v>
      </c>
      <c r="D111">
        <v>6</v>
      </c>
      <c r="E111">
        <v>4</v>
      </c>
      <c r="F111">
        <v>14900</v>
      </c>
      <c r="G111">
        <f t="shared" si="9"/>
        <v>149</v>
      </c>
      <c r="H111">
        <v>1000</v>
      </c>
      <c r="I111" s="4">
        <f>Full_Data[[#This Row],[Selling Price]]/Full_Data[[#This Row],[Weight (g)]]</f>
        <v>0.14899999999999999</v>
      </c>
      <c r="J111" t="b">
        <v>0</v>
      </c>
      <c r="K111">
        <v>1</v>
      </c>
      <c r="L111">
        <f t="shared" si="10"/>
        <v>11</v>
      </c>
      <c r="M111" t="str">
        <f t="shared" si="11"/>
        <v>Medium</v>
      </c>
      <c r="N111" t="str">
        <f t="shared" si="12"/>
        <v>6-10%</v>
      </c>
      <c r="O111" t="str">
        <f t="shared" si="13"/>
        <v>OK</v>
      </c>
      <c r="P111">
        <f>IFERROR(Full_Data!G111/Full_Data!H111,"Check data")</f>
        <v>0.14899999999999999</v>
      </c>
      <c r="Q111" t="str">
        <f t="shared" si="14"/>
        <v>Match</v>
      </c>
      <c r="R111" t="str">
        <f t="shared" si="15"/>
        <v>Mismatch</v>
      </c>
      <c r="S111" t="str">
        <f t="shared" si="16"/>
        <v>Mismatch</v>
      </c>
    </row>
    <row r="112" spans="1:19" x14ac:dyDescent="0.25">
      <c r="A112" t="s">
        <v>112</v>
      </c>
      <c r="B112">
        <v>52000</v>
      </c>
      <c r="C112">
        <f t="shared" si="17"/>
        <v>520</v>
      </c>
      <c r="D112">
        <v>2</v>
      </c>
      <c r="E112">
        <v>6</v>
      </c>
      <c r="F112">
        <v>50900</v>
      </c>
      <c r="G112">
        <f t="shared" si="9"/>
        <v>509</v>
      </c>
      <c r="H112">
        <v>1000</v>
      </c>
      <c r="I112" s="4">
        <f>Full_Data[[#This Row],[Selling Price]]/Full_Data[[#This Row],[Weight (g)]]</f>
        <v>0.50900000000000001</v>
      </c>
      <c r="J112" t="b">
        <v>0</v>
      </c>
      <c r="K112">
        <v>1</v>
      </c>
      <c r="L112">
        <f t="shared" si="10"/>
        <v>11</v>
      </c>
      <c r="M112" t="str">
        <f t="shared" si="11"/>
        <v>High</v>
      </c>
      <c r="N112" t="str">
        <f t="shared" si="12"/>
        <v>0-5%</v>
      </c>
      <c r="O112" t="str">
        <f t="shared" si="13"/>
        <v>OK</v>
      </c>
      <c r="P112">
        <f>IFERROR(Full_Data!G112/Full_Data!H112,"Check data")</f>
        <v>0.50900000000000001</v>
      </c>
      <c r="Q112" t="str">
        <f t="shared" si="14"/>
        <v>Match</v>
      </c>
      <c r="R112" t="str">
        <f t="shared" si="15"/>
        <v>Mismatch</v>
      </c>
      <c r="S112" t="str">
        <f t="shared" si="16"/>
        <v>Match</v>
      </c>
    </row>
    <row r="113" spans="1:19" x14ac:dyDescent="0.25">
      <c r="A113" t="s">
        <v>113</v>
      </c>
      <c r="B113">
        <v>19700</v>
      </c>
      <c r="C113">
        <f t="shared" si="17"/>
        <v>197</v>
      </c>
      <c r="D113">
        <v>3</v>
      </c>
      <c r="E113">
        <v>3</v>
      </c>
      <c r="F113">
        <v>19100</v>
      </c>
      <c r="G113">
        <f t="shared" si="9"/>
        <v>191</v>
      </c>
      <c r="H113">
        <v>1000</v>
      </c>
      <c r="I113" s="4">
        <f>Full_Data[[#This Row],[Selling Price]]/Full_Data[[#This Row],[Weight (g)]]</f>
        <v>0.191</v>
      </c>
      <c r="J113" t="b">
        <v>0</v>
      </c>
      <c r="K113">
        <v>1</v>
      </c>
      <c r="L113">
        <f t="shared" si="10"/>
        <v>6</v>
      </c>
      <c r="M113" t="str">
        <f t="shared" si="11"/>
        <v>Medium</v>
      </c>
      <c r="N113" t="str">
        <f t="shared" si="12"/>
        <v>0-5%</v>
      </c>
      <c r="O113" t="str">
        <f t="shared" si="13"/>
        <v>OK</v>
      </c>
      <c r="P113">
        <f>IFERROR(Full_Data!G113/Full_Data!H113,"Check data")</f>
        <v>0.191</v>
      </c>
      <c r="Q113" t="str">
        <f t="shared" si="14"/>
        <v>Match</v>
      </c>
      <c r="R113" t="str">
        <f t="shared" si="15"/>
        <v>Mismatch</v>
      </c>
      <c r="S113" t="str">
        <f t="shared" si="16"/>
        <v>Match</v>
      </c>
    </row>
    <row r="114" spans="1:19" x14ac:dyDescent="0.25">
      <c r="A114" t="s">
        <v>114</v>
      </c>
      <c r="B114">
        <v>5000</v>
      </c>
      <c r="C114">
        <f t="shared" si="17"/>
        <v>50</v>
      </c>
      <c r="D114">
        <v>2</v>
      </c>
      <c r="E114">
        <v>6</v>
      </c>
      <c r="F114">
        <v>4900</v>
      </c>
      <c r="G114">
        <f t="shared" si="9"/>
        <v>49</v>
      </c>
      <c r="H114">
        <v>450</v>
      </c>
      <c r="I114" s="4">
        <f>Full_Data[[#This Row],[Selling Price]]/Full_Data[[#This Row],[Weight (g)]]</f>
        <v>0.10888888888888888</v>
      </c>
      <c r="J114" t="b">
        <v>0</v>
      </c>
      <c r="K114">
        <v>450</v>
      </c>
      <c r="L114">
        <f t="shared" si="10"/>
        <v>1</v>
      </c>
      <c r="M114" t="str">
        <f t="shared" si="11"/>
        <v>Low</v>
      </c>
      <c r="N114" t="str">
        <f t="shared" si="12"/>
        <v>0-5%</v>
      </c>
      <c r="O114" t="str">
        <f t="shared" si="13"/>
        <v>OK</v>
      </c>
      <c r="P114">
        <f>IFERROR(Full_Data!G114/Full_Data!H114,"Check data")</f>
        <v>0.10888888888888888</v>
      </c>
      <c r="Q114" t="str">
        <f t="shared" si="14"/>
        <v>Match</v>
      </c>
      <c r="R114" t="str">
        <f t="shared" si="15"/>
        <v>Match</v>
      </c>
      <c r="S114" t="str">
        <f t="shared" si="16"/>
        <v>Match</v>
      </c>
    </row>
    <row r="115" spans="1:19" x14ac:dyDescent="0.25">
      <c r="A115" t="s">
        <v>115</v>
      </c>
      <c r="B115">
        <v>6400</v>
      </c>
      <c r="C115">
        <f t="shared" si="17"/>
        <v>64</v>
      </c>
      <c r="D115">
        <v>3</v>
      </c>
      <c r="E115">
        <v>2</v>
      </c>
      <c r="F115">
        <v>6200</v>
      </c>
      <c r="G115">
        <f t="shared" si="9"/>
        <v>62</v>
      </c>
      <c r="H115">
        <v>1000</v>
      </c>
      <c r="I115" s="4">
        <f>Full_Data[[#This Row],[Selling Price]]/Full_Data[[#This Row],[Weight (g)]]</f>
        <v>6.2E-2</v>
      </c>
      <c r="J115" t="b">
        <v>0</v>
      </c>
      <c r="K115">
        <v>1</v>
      </c>
      <c r="L115">
        <f t="shared" si="10"/>
        <v>2</v>
      </c>
      <c r="M115" t="str">
        <f t="shared" si="11"/>
        <v>Medium</v>
      </c>
      <c r="N115" t="str">
        <f t="shared" si="12"/>
        <v>0-5%</v>
      </c>
      <c r="O115" t="str">
        <f t="shared" si="13"/>
        <v>OK</v>
      </c>
      <c r="P115">
        <f>IFERROR(Full_Data!G115/Full_Data!H115,"Check data")</f>
        <v>6.2E-2</v>
      </c>
      <c r="Q115" t="str">
        <f t="shared" si="14"/>
        <v>Match</v>
      </c>
      <c r="R115" t="str">
        <f t="shared" si="15"/>
        <v>Mismatch</v>
      </c>
      <c r="S115" t="str">
        <f t="shared" si="16"/>
        <v>Match</v>
      </c>
    </row>
    <row r="116" spans="1:19" x14ac:dyDescent="0.25">
      <c r="A116" t="s">
        <v>116</v>
      </c>
      <c r="B116">
        <v>100500</v>
      </c>
      <c r="C116">
        <f t="shared" si="17"/>
        <v>1005</v>
      </c>
      <c r="D116">
        <v>0</v>
      </c>
      <c r="E116">
        <v>6</v>
      </c>
      <c r="F116">
        <v>99900</v>
      </c>
      <c r="G116">
        <f t="shared" si="9"/>
        <v>999</v>
      </c>
      <c r="H116">
        <v>5000</v>
      </c>
      <c r="I116" s="4">
        <f>Full_Data[[#This Row],[Selling Price]]/Full_Data[[#This Row],[Weight (g)]]</f>
        <v>0.19980000000000001</v>
      </c>
      <c r="J116" t="b">
        <v>0</v>
      </c>
      <c r="K116">
        <v>5</v>
      </c>
      <c r="L116">
        <f t="shared" si="10"/>
        <v>6</v>
      </c>
      <c r="M116" t="str">
        <f t="shared" si="11"/>
        <v>High</v>
      </c>
      <c r="N116" t="str">
        <f t="shared" si="12"/>
        <v>0-5%</v>
      </c>
      <c r="O116" t="str">
        <f t="shared" si="13"/>
        <v>OK</v>
      </c>
      <c r="P116">
        <f>IFERROR(Full_Data!G116/Full_Data!H116,"Check data")</f>
        <v>0.19980000000000001</v>
      </c>
      <c r="Q116" t="str">
        <f t="shared" si="14"/>
        <v>Match</v>
      </c>
      <c r="R116" t="str">
        <f t="shared" si="15"/>
        <v>Mismatch</v>
      </c>
      <c r="S116" t="str">
        <f t="shared" si="16"/>
        <v>Mismatch</v>
      </c>
    </row>
    <row r="117" spans="1:19" x14ac:dyDescent="0.25">
      <c r="A117" t="s">
        <v>117</v>
      </c>
      <c r="B117">
        <v>2500</v>
      </c>
      <c r="C117">
        <f t="shared" si="17"/>
        <v>25</v>
      </c>
      <c r="D117">
        <v>0</v>
      </c>
      <c r="E117">
        <v>6</v>
      </c>
      <c r="F117">
        <v>2500</v>
      </c>
      <c r="G117">
        <f t="shared" si="9"/>
        <v>25</v>
      </c>
      <c r="H117">
        <v>50</v>
      </c>
      <c r="I117" s="4">
        <f>Full_Data[[#This Row],[Selling Price]]/Full_Data[[#This Row],[Weight (g)]]</f>
        <v>0.5</v>
      </c>
      <c r="J117" t="b">
        <v>0</v>
      </c>
      <c r="K117">
        <v>50</v>
      </c>
      <c r="L117">
        <f t="shared" si="10"/>
        <v>0</v>
      </c>
      <c r="M117" t="str">
        <f t="shared" si="11"/>
        <v>Low</v>
      </c>
      <c r="N117" t="str">
        <f t="shared" si="12"/>
        <v>0-5%</v>
      </c>
      <c r="O117" t="str">
        <f t="shared" si="13"/>
        <v>OK</v>
      </c>
      <c r="P117">
        <f>IFERROR(Full_Data!G117/Full_Data!H117,"Check data")</f>
        <v>0.5</v>
      </c>
      <c r="Q117" t="str">
        <f t="shared" si="14"/>
        <v>Match</v>
      </c>
      <c r="R117" t="str">
        <f t="shared" si="15"/>
        <v>Match</v>
      </c>
      <c r="S117" t="str">
        <f t="shared" si="16"/>
        <v>Match</v>
      </c>
    </row>
    <row r="118" spans="1:19" x14ac:dyDescent="0.25">
      <c r="A118" t="s">
        <v>118</v>
      </c>
      <c r="B118">
        <v>18500</v>
      </c>
      <c r="C118">
        <f t="shared" si="17"/>
        <v>185</v>
      </c>
      <c r="D118">
        <v>1</v>
      </c>
      <c r="E118">
        <v>4</v>
      </c>
      <c r="F118">
        <v>18300</v>
      </c>
      <c r="G118">
        <f t="shared" si="9"/>
        <v>183</v>
      </c>
      <c r="H118">
        <v>1000</v>
      </c>
      <c r="I118" s="4">
        <f>Full_Data[[#This Row],[Selling Price]]/Full_Data[[#This Row],[Weight (g)]]</f>
        <v>0.183</v>
      </c>
      <c r="J118" t="b">
        <v>0</v>
      </c>
      <c r="K118">
        <v>500</v>
      </c>
      <c r="L118">
        <f t="shared" si="10"/>
        <v>2</v>
      </c>
      <c r="M118" t="str">
        <f t="shared" si="11"/>
        <v>Medium</v>
      </c>
      <c r="N118" t="str">
        <f t="shared" si="12"/>
        <v>0-5%</v>
      </c>
      <c r="O118" t="str">
        <f t="shared" si="13"/>
        <v>OK</v>
      </c>
      <c r="P118">
        <f>IFERROR(Full_Data!G118/Full_Data!H118,"Check data")</f>
        <v>0.183</v>
      </c>
      <c r="Q118" t="str">
        <f t="shared" si="14"/>
        <v>Match</v>
      </c>
      <c r="R118" t="str">
        <f t="shared" si="15"/>
        <v>Mismatch</v>
      </c>
      <c r="S118" t="str">
        <f t="shared" si="16"/>
        <v>Match</v>
      </c>
    </row>
    <row r="119" spans="1:19" x14ac:dyDescent="0.25">
      <c r="A119" t="s">
        <v>119</v>
      </c>
      <c r="B119">
        <v>23000</v>
      </c>
      <c r="C119">
        <f t="shared" si="17"/>
        <v>230</v>
      </c>
      <c r="D119">
        <v>11</v>
      </c>
      <c r="E119">
        <v>6</v>
      </c>
      <c r="F119">
        <v>20300</v>
      </c>
      <c r="G119">
        <f t="shared" si="9"/>
        <v>203</v>
      </c>
      <c r="H119">
        <v>1000</v>
      </c>
      <c r="I119" s="4">
        <f>Full_Data[[#This Row],[Selling Price]]/Full_Data[[#This Row],[Weight (g)]]</f>
        <v>0.20300000000000001</v>
      </c>
      <c r="J119" t="b">
        <v>0</v>
      </c>
      <c r="K119">
        <v>1</v>
      </c>
      <c r="L119">
        <f t="shared" si="10"/>
        <v>27</v>
      </c>
      <c r="M119" t="str">
        <f t="shared" si="11"/>
        <v>High</v>
      </c>
      <c r="N119" t="str">
        <f t="shared" si="12"/>
        <v>11-15%</v>
      </c>
      <c r="O119" t="str">
        <f t="shared" si="13"/>
        <v>OK</v>
      </c>
      <c r="P119">
        <f>IFERROR(Full_Data!G119/Full_Data!H119,"Check data")</f>
        <v>0.20300000000000001</v>
      </c>
      <c r="Q119" t="str">
        <f t="shared" si="14"/>
        <v>Match</v>
      </c>
      <c r="R119" t="str">
        <f t="shared" si="15"/>
        <v>Mismatch</v>
      </c>
      <c r="S119" t="str">
        <f t="shared" si="16"/>
        <v>Mismatch</v>
      </c>
    </row>
    <row r="120" spans="1:19" x14ac:dyDescent="0.25">
      <c r="A120" t="s">
        <v>120</v>
      </c>
      <c r="B120">
        <v>120000</v>
      </c>
      <c r="C120">
        <f t="shared" si="17"/>
        <v>1200</v>
      </c>
      <c r="D120">
        <v>18</v>
      </c>
      <c r="E120">
        <v>6</v>
      </c>
      <c r="F120">
        <v>98400</v>
      </c>
      <c r="G120">
        <f t="shared" si="9"/>
        <v>984</v>
      </c>
      <c r="H120">
        <v>5000</v>
      </c>
      <c r="I120" s="4">
        <f>Full_Data[[#This Row],[Selling Price]]/Full_Data[[#This Row],[Weight (g)]]</f>
        <v>0.1968</v>
      </c>
      <c r="J120" t="b">
        <v>0</v>
      </c>
      <c r="K120">
        <v>5</v>
      </c>
      <c r="L120">
        <f t="shared" si="10"/>
        <v>216</v>
      </c>
      <c r="M120" t="str">
        <f t="shared" si="11"/>
        <v>High</v>
      </c>
      <c r="N120" t="str">
        <f t="shared" si="12"/>
        <v>16-20%</v>
      </c>
      <c r="O120" t="str">
        <f t="shared" si="13"/>
        <v>OK</v>
      </c>
      <c r="P120">
        <f>IFERROR(Full_Data!G120/Full_Data!H120,"Check data")</f>
        <v>0.1968</v>
      </c>
      <c r="Q120" t="str">
        <f t="shared" si="14"/>
        <v>Match</v>
      </c>
      <c r="R120" t="str">
        <f t="shared" si="15"/>
        <v>Match</v>
      </c>
      <c r="S120" t="str">
        <f t="shared" si="16"/>
        <v>Match</v>
      </c>
    </row>
    <row r="121" spans="1:19" x14ac:dyDescent="0.25">
      <c r="A121" t="s">
        <v>121</v>
      </c>
      <c r="B121">
        <v>8000</v>
      </c>
      <c r="C121">
        <f t="shared" si="17"/>
        <v>80</v>
      </c>
      <c r="D121">
        <v>15</v>
      </c>
      <c r="E121">
        <v>6</v>
      </c>
      <c r="F121">
        <v>6800</v>
      </c>
      <c r="G121">
        <f t="shared" si="9"/>
        <v>68</v>
      </c>
      <c r="H121">
        <v>500</v>
      </c>
      <c r="I121" s="4">
        <f>Full_Data[[#This Row],[Selling Price]]/Full_Data[[#This Row],[Weight (g)]]</f>
        <v>0.13600000000000001</v>
      </c>
      <c r="J121" t="b">
        <v>0</v>
      </c>
      <c r="K121">
        <v>500</v>
      </c>
      <c r="L121">
        <f t="shared" si="10"/>
        <v>12</v>
      </c>
      <c r="M121" t="str">
        <f t="shared" si="11"/>
        <v>Medium</v>
      </c>
      <c r="N121" t="str">
        <f t="shared" si="12"/>
        <v>11-15%</v>
      </c>
      <c r="O121" t="str">
        <f t="shared" si="13"/>
        <v>OK</v>
      </c>
      <c r="P121">
        <f>IFERROR(Full_Data!G121/Full_Data!H121,"Check data")</f>
        <v>0.13600000000000001</v>
      </c>
      <c r="Q121" t="str">
        <f t="shared" si="14"/>
        <v>Match</v>
      </c>
      <c r="R121" t="str">
        <f t="shared" si="15"/>
        <v>Match</v>
      </c>
      <c r="S121" t="str">
        <f t="shared" si="16"/>
        <v>Match</v>
      </c>
    </row>
    <row r="122" spans="1:19" x14ac:dyDescent="0.25">
      <c r="A122" t="s">
        <v>122</v>
      </c>
      <c r="B122">
        <v>9400</v>
      </c>
      <c r="C122">
        <f t="shared" si="17"/>
        <v>94</v>
      </c>
      <c r="D122">
        <v>0</v>
      </c>
      <c r="E122">
        <v>1</v>
      </c>
      <c r="F122">
        <v>9400</v>
      </c>
      <c r="G122">
        <f t="shared" si="9"/>
        <v>94</v>
      </c>
      <c r="H122">
        <v>500</v>
      </c>
      <c r="I122" s="4">
        <f>Full_Data[[#This Row],[Selling Price]]/Full_Data[[#This Row],[Weight (g)]]</f>
        <v>0.188</v>
      </c>
      <c r="J122" t="b">
        <v>0</v>
      </c>
      <c r="K122">
        <v>500</v>
      </c>
      <c r="L122">
        <f t="shared" si="10"/>
        <v>0</v>
      </c>
      <c r="M122" t="str">
        <f t="shared" si="11"/>
        <v>Medium</v>
      </c>
      <c r="N122" t="str">
        <f t="shared" si="12"/>
        <v>0-5%</v>
      </c>
      <c r="O122" t="str">
        <f t="shared" si="13"/>
        <v>OK</v>
      </c>
      <c r="P122">
        <f>IFERROR(Full_Data!G122/Full_Data!H122,"Check data")</f>
        <v>0.188</v>
      </c>
      <c r="Q122" t="str">
        <f t="shared" si="14"/>
        <v>Match</v>
      </c>
      <c r="R122" t="str">
        <f t="shared" si="15"/>
        <v>Match</v>
      </c>
      <c r="S122" t="str">
        <f t="shared" si="16"/>
        <v>Match</v>
      </c>
    </row>
    <row r="123" spans="1:19" x14ac:dyDescent="0.25">
      <c r="A123" t="s">
        <v>123</v>
      </c>
      <c r="B123">
        <v>125000</v>
      </c>
      <c r="C123">
        <f t="shared" si="17"/>
        <v>1250</v>
      </c>
      <c r="D123">
        <v>8</v>
      </c>
      <c r="E123">
        <v>6</v>
      </c>
      <c r="F123">
        <v>114300</v>
      </c>
      <c r="G123">
        <f t="shared" si="9"/>
        <v>1143</v>
      </c>
      <c r="H123">
        <v>5000</v>
      </c>
      <c r="I123" s="4">
        <f>Full_Data[[#This Row],[Selling Price]]/Full_Data[[#This Row],[Weight (g)]]</f>
        <v>0.2286</v>
      </c>
      <c r="J123" t="b">
        <v>0</v>
      </c>
      <c r="K123">
        <v>5</v>
      </c>
      <c r="L123">
        <f t="shared" si="10"/>
        <v>107</v>
      </c>
      <c r="M123" t="str">
        <f t="shared" si="11"/>
        <v>High</v>
      </c>
      <c r="N123" t="str">
        <f t="shared" si="12"/>
        <v>6-10%</v>
      </c>
      <c r="O123" t="str">
        <f t="shared" si="13"/>
        <v>OK</v>
      </c>
      <c r="P123">
        <f>IFERROR(Full_Data!G123/Full_Data!H123,"Check data")</f>
        <v>0.2286</v>
      </c>
      <c r="Q123" t="str">
        <f t="shared" si="14"/>
        <v>Match</v>
      </c>
      <c r="R123" t="str">
        <f t="shared" si="15"/>
        <v>Mismatch</v>
      </c>
      <c r="S123" t="str">
        <f t="shared" si="16"/>
        <v>Mismatch</v>
      </c>
    </row>
    <row r="124" spans="1:19" x14ac:dyDescent="0.25">
      <c r="A124" t="s">
        <v>124</v>
      </c>
      <c r="B124">
        <v>5400</v>
      </c>
      <c r="C124">
        <f t="shared" si="17"/>
        <v>54</v>
      </c>
      <c r="D124">
        <v>5</v>
      </c>
      <c r="E124">
        <v>6</v>
      </c>
      <c r="F124">
        <v>5100</v>
      </c>
      <c r="G124">
        <f t="shared" si="9"/>
        <v>51</v>
      </c>
      <c r="H124">
        <v>200</v>
      </c>
      <c r="I124" s="4">
        <f>Full_Data[[#This Row],[Selling Price]]/Full_Data[[#This Row],[Weight (g)]]</f>
        <v>0.255</v>
      </c>
      <c r="J124" t="b">
        <v>0</v>
      </c>
      <c r="K124">
        <v>200</v>
      </c>
      <c r="L124">
        <f t="shared" si="10"/>
        <v>3</v>
      </c>
      <c r="M124" t="str">
        <f t="shared" si="11"/>
        <v>Medium</v>
      </c>
      <c r="N124" t="str">
        <f t="shared" si="12"/>
        <v>0-5%</v>
      </c>
      <c r="O124" t="str">
        <f t="shared" si="13"/>
        <v>OK</v>
      </c>
      <c r="P124">
        <f>IFERROR(Full_Data!G124/Full_Data!H124,"Check data")</f>
        <v>0.255</v>
      </c>
      <c r="Q124" t="str">
        <f t="shared" si="14"/>
        <v>Match</v>
      </c>
      <c r="R124" t="str">
        <f t="shared" si="15"/>
        <v>Mismatch</v>
      </c>
      <c r="S124" t="str">
        <f t="shared" si="16"/>
        <v>Mismatch</v>
      </c>
    </row>
    <row r="125" spans="1:19" x14ac:dyDescent="0.25">
      <c r="A125" t="s">
        <v>125</v>
      </c>
      <c r="B125">
        <v>1500</v>
      </c>
      <c r="C125">
        <f t="shared" si="17"/>
        <v>15</v>
      </c>
      <c r="D125">
        <v>0</v>
      </c>
      <c r="E125">
        <v>3</v>
      </c>
      <c r="F125">
        <v>1500</v>
      </c>
      <c r="G125">
        <f t="shared" si="9"/>
        <v>15</v>
      </c>
      <c r="H125">
        <v>60</v>
      </c>
      <c r="I125" s="4">
        <f>Full_Data[[#This Row],[Selling Price]]/Full_Data[[#This Row],[Weight (g)]]</f>
        <v>0.25</v>
      </c>
      <c r="J125" t="b">
        <v>0</v>
      </c>
      <c r="K125">
        <v>60</v>
      </c>
      <c r="L125">
        <f t="shared" si="10"/>
        <v>0</v>
      </c>
      <c r="M125" t="str">
        <f t="shared" si="11"/>
        <v>Low</v>
      </c>
      <c r="N125" t="str">
        <f t="shared" si="12"/>
        <v>0-5%</v>
      </c>
      <c r="O125" t="str">
        <f t="shared" si="13"/>
        <v>OK</v>
      </c>
      <c r="P125">
        <f>IFERROR(Full_Data!G125/Full_Data!H125,"Check data")</f>
        <v>0.25</v>
      </c>
      <c r="Q125" t="str">
        <f t="shared" si="14"/>
        <v>Match</v>
      </c>
      <c r="R125" t="str">
        <f t="shared" si="15"/>
        <v>Match</v>
      </c>
      <c r="S125" t="str">
        <f t="shared" si="16"/>
        <v>Match</v>
      </c>
    </row>
    <row r="126" spans="1:19" x14ac:dyDescent="0.25">
      <c r="A126" t="s">
        <v>126</v>
      </c>
      <c r="B126">
        <v>2500</v>
      </c>
      <c r="C126">
        <f t="shared" si="17"/>
        <v>25</v>
      </c>
      <c r="D126">
        <v>8</v>
      </c>
      <c r="E126">
        <v>3</v>
      </c>
      <c r="F126">
        <v>2300</v>
      </c>
      <c r="G126">
        <f t="shared" si="9"/>
        <v>23</v>
      </c>
      <c r="H126">
        <v>100</v>
      </c>
      <c r="I126" s="4">
        <f>Full_Data[[#This Row],[Selling Price]]/Full_Data[[#This Row],[Weight (g)]]</f>
        <v>0.23</v>
      </c>
      <c r="J126" t="b">
        <v>0</v>
      </c>
      <c r="K126">
        <v>100</v>
      </c>
      <c r="L126">
        <f t="shared" si="10"/>
        <v>2</v>
      </c>
      <c r="M126" t="str">
        <f t="shared" si="11"/>
        <v>Low</v>
      </c>
      <c r="N126" t="str">
        <f t="shared" si="12"/>
        <v>6-10%</v>
      </c>
      <c r="O126" t="str">
        <f t="shared" si="13"/>
        <v>OK</v>
      </c>
      <c r="P126">
        <f>IFERROR(Full_Data!G126/Full_Data!H126,"Check data")</f>
        <v>0.23</v>
      </c>
      <c r="Q126" t="str">
        <f t="shared" si="14"/>
        <v>Match</v>
      </c>
      <c r="R126" t="str">
        <f t="shared" si="15"/>
        <v>Match</v>
      </c>
      <c r="S126" t="str">
        <f t="shared" si="16"/>
        <v>Match</v>
      </c>
    </row>
    <row r="127" spans="1:19" x14ac:dyDescent="0.25">
      <c r="A127" t="s">
        <v>127</v>
      </c>
      <c r="B127">
        <v>1500</v>
      </c>
      <c r="C127">
        <f t="shared" si="17"/>
        <v>15</v>
      </c>
      <c r="D127">
        <v>0</v>
      </c>
      <c r="E127">
        <v>6</v>
      </c>
      <c r="F127">
        <v>1500</v>
      </c>
      <c r="G127">
        <f t="shared" si="9"/>
        <v>15</v>
      </c>
      <c r="H127">
        <v>60</v>
      </c>
      <c r="I127" s="4">
        <f>Full_Data[[#This Row],[Selling Price]]/Full_Data[[#This Row],[Weight (g)]]</f>
        <v>0.25</v>
      </c>
      <c r="J127" t="b">
        <v>0</v>
      </c>
      <c r="K127">
        <v>60</v>
      </c>
      <c r="L127">
        <f t="shared" si="10"/>
        <v>0</v>
      </c>
      <c r="M127" t="str">
        <f t="shared" si="11"/>
        <v>Low</v>
      </c>
      <c r="N127" t="str">
        <f t="shared" si="12"/>
        <v>0-5%</v>
      </c>
      <c r="O127" t="str">
        <f t="shared" si="13"/>
        <v>OK</v>
      </c>
      <c r="P127">
        <f>IFERROR(Full_Data!G127/Full_Data!H127,"Check data")</f>
        <v>0.25</v>
      </c>
      <c r="Q127" t="str">
        <f t="shared" si="14"/>
        <v>Match</v>
      </c>
      <c r="R127" t="str">
        <f t="shared" si="15"/>
        <v>Match</v>
      </c>
      <c r="S127" t="str">
        <f t="shared" si="16"/>
        <v>Match</v>
      </c>
    </row>
    <row r="128" spans="1:19" x14ac:dyDescent="0.25">
      <c r="A128" t="s">
        <v>128</v>
      </c>
      <c r="B128">
        <v>31500</v>
      </c>
      <c r="C128">
        <f t="shared" si="17"/>
        <v>315</v>
      </c>
      <c r="D128">
        <v>1</v>
      </c>
      <c r="E128">
        <v>6</v>
      </c>
      <c r="F128">
        <v>30900</v>
      </c>
      <c r="G128">
        <f t="shared" si="9"/>
        <v>309</v>
      </c>
      <c r="H128">
        <v>500</v>
      </c>
      <c r="I128" s="4">
        <f>Full_Data[[#This Row],[Selling Price]]/Full_Data[[#This Row],[Weight (g)]]</f>
        <v>0.61799999999999999</v>
      </c>
      <c r="J128" t="b">
        <v>0</v>
      </c>
      <c r="K128">
        <v>500</v>
      </c>
      <c r="L128">
        <f t="shared" si="10"/>
        <v>6</v>
      </c>
      <c r="M128" t="str">
        <f t="shared" si="11"/>
        <v>High</v>
      </c>
      <c r="N128" t="str">
        <f t="shared" si="12"/>
        <v>0-5%</v>
      </c>
      <c r="O128" t="str">
        <f t="shared" si="13"/>
        <v>OK</v>
      </c>
      <c r="P128">
        <f>IFERROR(Full_Data!G128/Full_Data!H128,"Check data")</f>
        <v>0.61799999999999999</v>
      </c>
      <c r="Q128" t="str">
        <f t="shared" si="14"/>
        <v>Match</v>
      </c>
      <c r="R128" t="str">
        <f t="shared" si="15"/>
        <v>Mismatch</v>
      </c>
      <c r="S128" t="str">
        <f t="shared" si="16"/>
        <v>Mismatch</v>
      </c>
    </row>
    <row r="129" spans="1:19" x14ac:dyDescent="0.25">
      <c r="A129" t="s">
        <v>129</v>
      </c>
      <c r="B129">
        <v>9200</v>
      </c>
      <c r="C129">
        <f t="shared" si="17"/>
        <v>92</v>
      </c>
      <c r="D129">
        <v>4</v>
      </c>
      <c r="E129">
        <v>4</v>
      </c>
      <c r="F129">
        <v>8800</v>
      </c>
      <c r="G129">
        <f t="shared" si="9"/>
        <v>88</v>
      </c>
      <c r="H129">
        <v>500</v>
      </c>
      <c r="I129" s="4">
        <f>Full_Data[[#This Row],[Selling Price]]/Full_Data[[#This Row],[Weight (g)]]</f>
        <v>0.17599999999999999</v>
      </c>
      <c r="J129" t="b">
        <v>0</v>
      </c>
      <c r="K129">
        <v>500</v>
      </c>
      <c r="L129">
        <f t="shared" si="10"/>
        <v>4</v>
      </c>
      <c r="M129" t="str">
        <f t="shared" si="11"/>
        <v>Medium</v>
      </c>
      <c r="N129" t="str">
        <f t="shared" si="12"/>
        <v>0-5%</v>
      </c>
      <c r="O129" t="str">
        <f t="shared" si="13"/>
        <v>OK</v>
      </c>
      <c r="P129">
        <f>IFERROR(Full_Data!G129/Full_Data!H129,"Check data")</f>
        <v>0.17599999999999999</v>
      </c>
      <c r="Q129" t="str">
        <f t="shared" si="14"/>
        <v>Match</v>
      </c>
      <c r="R129" t="str">
        <f t="shared" si="15"/>
        <v>Mismatch</v>
      </c>
      <c r="S129" t="str">
        <f t="shared" si="16"/>
        <v>Match</v>
      </c>
    </row>
    <row r="130" spans="1:19" x14ac:dyDescent="0.25">
      <c r="A130" t="s">
        <v>130</v>
      </c>
      <c r="B130">
        <v>6400</v>
      </c>
      <c r="C130">
        <f t="shared" si="17"/>
        <v>64</v>
      </c>
      <c r="D130">
        <v>0</v>
      </c>
      <c r="E130">
        <v>6</v>
      </c>
      <c r="F130">
        <v>6400</v>
      </c>
      <c r="G130">
        <f t="shared" ref="G130:G193" si="18">F130/100</f>
        <v>64</v>
      </c>
      <c r="H130">
        <v>1000</v>
      </c>
      <c r="I130" s="4">
        <f>Full_Data[[#This Row],[Selling Price]]/Full_Data[[#This Row],[Weight (g)]]</f>
        <v>6.4000000000000001E-2</v>
      </c>
      <c r="J130" t="b">
        <v>0</v>
      </c>
      <c r="K130">
        <v>1</v>
      </c>
      <c r="L130">
        <f t="shared" ref="L130:L193" si="19">C130-G130</f>
        <v>0</v>
      </c>
      <c r="M130" t="str">
        <f t="shared" ref="M130:M193" si="20">IF(G130&lt;50,"Low",IF(G130&lt;200,"Medium","High"))</f>
        <v>Medium</v>
      </c>
      <c r="N130" t="str">
        <f t="shared" ref="N130:N193" si="21">IF(D130&lt;=5,"0-5%",
IF(D130&lt;=10,"6-10%",
IF(D130&lt;=15,"11-15%",
IF(D130&lt;=20,"16-20%","21%+"))))</f>
        <v>0-5%</v>
      </c>
      <c r="O130" t="str">
        <f t="shared" ref="O130:O193" si="22">IF(AND(C130=0,G130=0),"Review: Zero MRP and selling price",IF(C130&lt;=0,"Review: Invalid MRP",IF(G130&lt;0,"Review: Negative selling price",IF(G130=0,"Review: Zero selling price",IF(H130&lt;=0,"Review: Invalid weight","OK")))))</f>
        <v>OK</v>
      </c>
      <c r="P130">
        <f>IFERROR(Full_Data!G130/Full_Data!H130,"Check data")</f>
        <v>6.4000000000000001E-2</v>
      </c>
      <c r="Q130" t="str">
        <f t="shared" ref="Q130:Q193" si="23">IF(OR(H130="",H130&lt;=0),"Invalid weight",IF(G130="","Missing selling price",IF(ROUND(G130/H130,2)=ROUND(I130,2),"Match","Mismatch")))</f>
        <v>Match</v>
      </c>
      <c r="R130" t="str">
        <f t="shared" ref="R130:R193" si="24">IF(OR(C130&lt;=0,G130=""),"Check data",IF(ROUND((C130-G130)/C130*100,2)=ROUND(D130,2),"Match","Mismatch"))</f>
        <v>Match</v>
      </c>
      <c r="S130" t="str">
        <f t="shared" ref="S130:S193" si="25">IF(OR(C130&lt;=0,G130=""),"Check data",IF(ROUND((C130-G130)/C130*100,0)=D130,"Match","Mismatch"))</f>
        <v>Match</v>
      </c>
    </row>
    <row r="131" spans="1:19" x14ac:dyDescent="0.25">
      <c r="A131" t="s">
        <v>131</v>
      </c>
      <c r="B131">
        <v>1500</v>
      </c>
      <c r="C131">
        <f t="shared" ref="C131:C194" si="26">B131/100</f>
        <v>15</v>
      </c>
      <c r="D131">
        <v>0</v>
      </c>
      <c r="E131">
        <v>4</v>
      </c>
      <c r="F131">
        <v>1500</v>
      </c>
      <c r="G131">
        <f t="shared" si="18"/>
        <v>15</v>
      </c>
      <c r="H131">
        <v>100</v>
      </c>
      <c r="I131" s="4">
        <f>Full_Data[[#This Row],[Selling Price]]/Full_Data[[#This Row],[Weight (g)]]</f>
        <v>0.15</v>
      </c>
      <c r="J131" t="b">
        <v>0</v>
      </c>
      <c r="K131">
        <v>100</v>
      </c>
      <c r="L131">
        <f t="shared" si="19"/>
        <v>0</v>
      </c>
      <c r="M131" t="str">
        <f t="shared" si="20"/>
        <v>Low</v>
      </c>
      <c r="N131" t="str">
        <f t="shared" si="21"/>
        <v>0-5%</v>
      </c>
      <c r="O131" t="str">
        <f t="shared" si="22"/>
        <v>OK</v>
      </c>
      <c r="P131">
        <f>IFERROR(Full_Data!G131/Full_Data!H131,"Check data")</f>
        <v>0.15</v>
      </c>
      <c r="Q131" t="str">
        <f t="shared" si="23"/>
        <v>Match</v>
      </c>
      <c r="R131" t="str">
        <f t="shared" si="24"/>
        <v>Match</v>
      </c>
      <c r="S131" t="str">
        <f t="shared" si="25"/>
        <v>Match</v>
      </c>
    </row>
    <row r="132" spans="1:19" x14ac:dyDescent="0.25">
      <c r="A132" t="s">
        <v>132</v>
      </c>
      <c r="B132">
        <v>59800</v>
      </c>
      <c r="C132">
        <f t="shared" si="26"/>
        <v>598</v>
      </c>
      <c r="D132">
        <v>3</v>
      </c>
      <c r="E132">
        <v>6</v>
      </c>
      <c r="F132">
        <v>57900</v>
      </c>
      <c r="G132">
        <f t="shared" si="18"/>
        <v>579</v>
      </c>
      <c r="H132">
        <v>1000</v>
      </c>
      <c r="I132" s="4">
        <f>Full_Data[[#This Row],[Selling Price]]/Full_Data[[#This Row],[Weight (g)]]</f>
        <v>0.57899999999999996</v>
      </c>
      <c r="J132" t="b">
        <v>0</v>
      </c>
      <c r="K132">
        <v>1</v>
      </c>
      <c r="L132">
        <f t="shared" si="19"/>
        <v>19</v>
      </c>
      <c r="M132" t="str">
        <f t="shared" si="20"/>
        <v>High</v>
      </c>
      <c r="N132" t="str">
        <f t="shared" si="21"/>
        <v>0-5%</v>
      </c>
      <c r="O132" t="str">
        <f t="shared" si="22"/>
        <v>OK</v>
      </c>
      <c r="P132">
        <f>IFERROR(Full_Data!G132/Full_Data!H132,"Check data")</f>
        <v>0.57899999999999996</v>
      </c>
      <c r="Q132" t="str">
        <f t="shared" si="23"/>
        <v>Match</v>
      </c>
      <c r="R132" t="str">
        <f t="shared" si="24"/>
        <v>Mismatch</v>
      </c>
      <c r="S132" t="str">
        <f t="shared" si="25"/>
        <v>Match</v>
      </c>
    </row>
    <row r="133" spans="1:19" x14ac:dyDescent="0.25">
      <c r="A133" t="s">
        <v>133</v>
      </c>
      <c r="B133">
        <v>2000</v>
      </c>
      <c r="C133">
        <f t="shared" si="26"/>
        <v>20</v>
      </c>
      <c r="D133">
        <v>0</v>
      </c>
      <c r="E133">
        <v>1</v>
      </c>
      <c r="F133">
        <v>2000</v>
      </c>
      <c r="G133">
        <f t="shared" si="18"/>
        <v>20</v>
      </c>
      <c r="H133">
        <v>70</v>
      </c>
      <c r="I133" s="4">
        <f>Full_Data[[#This Row],[Selling Price]]/Full_Data[[#This Row],[Weight (g)]]</f>
        <v>0.2857142857142857</v>
      </c>
      <c r="J133" t="b">
        <v>0</v>
      </c>
      <c r="K133">
        <v>70</v>
      </c>
      <c r="L133">
        <f t="shared" si="19"/>
        <v>0</v>
      </c>
      <c r="M133" t="str">
        <f t="shared" si="20"/>
        <v>Low</v>
      </c>
      <c r="N133" t="str">
        <f t="shared" si="21"/>
        <v>0-5%</v>
      </c>
      <c r="O133" t="str">
        <f t="shared" si="22"/>
        <v>OK</v>
      </c>
      <c r="P133">
        <f>IFERROR(Full_Data!G133/Full_Data!H133,"Check data")</f>
        <v>0.2857142857142857</v>
      </c>
      <c r="Q133" t="str">
        <f t="shared" si="23"/>
        <v>Match</v>
      </c>
      <c r="R133" t="str">
        <f t="shared" si="24"/>
        <v>Match</v>
      </c>
      <c r="S133" t="str">
        <f t="shared" si="25"/>
        <v>Match</v>
      </c>
    </row>
    <row r="134" spans="1:19" x14ac:dyDescent="0.25">
      <c r="A134" t="s">
        <v>134</v>
      </c>
      <c r="B134">
        <v>6000</v>
      </c>
      <c r="C134">
        <f t="shared" si="26"/>
        <v>60</v>
      </c>
      <c r="D134">
        <v>0</v>
      </c>
      <c r="E134">
        <v>6</v>
      </c>
      <c r="F134">
        <v>6000</v>
      </c>
      <c r="G134">
        <f t="shared" si="18"/>
        <v>60</v>
      </c>
      <c r="H134">
        <v>1000</v>
      </c>
      <c r="I134" s="4">
        <f>Full_Data[[#This Row],[Selling Price]]/Full_Data[[#This Row],[Weight (g)]]</f>
        <v>0.06</v>
      </c>
      <c r="J134" t="b">
        <v>0</v>
      </c>
      <c r="K134">
        <v>1</v>
      </c>
      <c r="L134">
        <f t="shared" si="19"/>
        <v>0</v>
      </c>
      <c r="M134" t="str">
        <f t="shared" si="20"/>
        <v>Medium</v>
      </c>
      <c r="N134" t="str">
        <f t="shared" si="21"/>
        <v>0-5%</v>
      </c>
      <c r="O134" t="str">
        <f t="shared" si="22"/>
        <v>OK</v>
      </c>
      <c r="P134">
        <f>IFERROR(Full_Data!G134/Full_Data!H134,"Check data")</f>
        <v>0.06</v>
      </c>
      <c r="Q134" t="str">
        <f t="shared" si="23"/>
        <v>Match</v>
      </c>
      <c r="R134" t="str">
        <f t="shared" si="24"/>
        <v>Match</v>
      </c>
      <c r="S134" t="str">
        <f t="shared" si="25"/>
        <v>Match</v>
      </c>
    </row>
    <row r="135" spans="1:19" x14ac:dyDescent="0.25">
      <c r="A135" t="s">
        <v>135</v>
      </c>
      <c r="B135">
        <v>21600</v>
      </c>
      <c r="C135">
        <f t="shared" si="26"/>
        <v>216</v>
      </c>
      <c r="D135">
        <v>7</v>
      </c>
      <c r="E135">
        <v>6</v>
      </c>
      <c r="F135">
        <v>19900</v>
      </c>
      <c r="G135">
        <f t="shared" si="18"/>
        <v>199</v>
      </c>
      <c r="H135">
        <v>1000</v>
      </c>
      <c r="I135" s="4">
        <f>Full_Data[[#This Row],[Selling Price]]/Full_Data[[#This Row],[Weight (g)]]</f>
        <v>0.19900000000000001</v>
      </c>
      <c r="J135" t="b">
        <v>0</v>
      </c>
      <c r="K135">
        <v>1</v>
      </c>
      <c r="L135">
        <f t="shared" si="19"/>
        <v>17</v>
      </c>
      <c r="M135" t="str">
        <f t="shared" si="20"/>
        <v>Medium</v>
      </c>
      <c r="N135" t="str">
        <f t="shared" si="21"/>
        <v>6-10%</v>
      </c>
      <c r="O135" t="str">
        <f t="shared" si="22"/>
        <v>OK</v>
      </c>
      <c r="P135">
        <f>IFERROR(Full_Data!G135/Full_Data!H135,"Check data")</f>
        <v>0.19900000000000001</v>
      </c>
      <c r="Q135" t="str">
        <f t="shared" si="23"/>
        <v>Match</v>
      </c>
      <c r="R135" t="str">
        <f t="shared" si="24"/>
        <v>Mismatch</v>
      </c>
      <c r="S135" t="str">
        <f t="shared" si="25"/>
        <v>Mismatch</v>
      </c>
    </row>
    <row r="136" spans="1:19" x14ac:dyDescent="0.25">
      <c r="A136" t="s">
        <v>136</v>
      </c>
      <c r="B136">
        <v>1500</v>
      </c>
      <c r="C136">
        <f t="shared" si="26"/>
        <v>15</v>
      </c>
      <c r="D136">
        <v>0</v>
      </c>
      <c r="E136">
        <v>6</v>
      </c>
      <c r="F136">
        <v>1500</v>
      </c>
      <c r="G136">
        <f t="shared" si="18"/>
        <v>15</v>
      </c>
      <c r="H136">
        <v>38</v>
      </c>
      <c r="I136" s="4">
        <f>Full_Data[[#This Row],[Selling Price]]/Full_Data[[#This Row],[Weight (g)]]</f>
        <v>0.39473684210526316</v>
      </c>
      <c r="J136" t="b">
        <v>0</v>
      </c>
      <c r="K136">
        <v>38</v>
      </c>
      <c r="L136">
        <f t="shared" si="19"/>
        <v>0</v>
      </c>
      <c r="M136" t="str">
        <f t="shared" si="20"/>
        <v>Low</v>
      </c>
      <c r="N136" t="str">
        <f t="shared" si="21"/>
        <v>0-5%</v>
      </c>
      <c r="O136" t="str">
        <f t="shared" si="22"/>
        <v>OK</v>
      </c>
      <c r="P136">
        <f>IFERROR(Full_Data!G136/Full_Data!H136,"Check data")</f>
        <v>0.39473684210526316</v>
      </c>
      <c r="Q136" t="str">
        <f t="shared" si="23"/>
        <v>Match</v>
      </c>
      <c r="R136" t="str">
        <f t="shared" si="24"/>
        <v>Match</v>
      </c>
      <c r="S136" t="str">
        <f t="shared" si="25"/>
        <v>Match</v>
      </c>
    </row>
    <row r="137" spans="1:19" x14ac:dyDescent="0.25">
      <c r="A137" t="s">
        <v>137</v>
      </c>
      <c r="B137">
        <v>2300</v>
      </c>
      <c r="C137">
        <f t="shared" si="26"/>
        <v>23</v>
      </c>
      <c r="D137">
        <v>0</v>
      </c>
      <c r="E137">
        <v>6</v>
      </c>
      <c r="F137">
        <v>2300</v>
      </c>
      <c r="G137">
        <f t="shared" si="18"/>
        <v>23</v>
      </c>
      <c r="H137">
        <v>200</v>
      </c>
      <c r="I137" s="4">
        <f>Full_Data[[#This Row],[Selling Price]]/Full_Data[[#This Row],[Weight (g)]]</f>
        <v>0.115</v>
      </c>
      <c r="J137" t="b">
        <v>0</v>
      </c>
      <c r="K137">
        <v>200</v>
      </c>
      <c r="L137">
        <f t="shared" si="19"/>
        <v>0</v>
      </c>
      <c r="M137" t="str">
        <f t="shared" si="20"/>
        <v>Low</v>
      </c>
      <c r="N137" t="str">
        <f t="shared" si="21"/>
        <v>0-5%</v>
      </c>
      <c r="O137" t="str">
        <f t="shared" si="22"/>
        <v>OK</v>
      </c>
      <c r="P137">
        <f>IFERROR(Full_Data!G137/Full_Data!H137,"Check data")</f>
        <v>0.115</v>
      </c>
      <c r="Q137" t="str">
        <f t="shared" si="23"/>
        <v>Match</v>
      </c>
      <c r="R137" t="str">
        <f t="shared" si="24"/>
        <v>Match</v>
      </c>
      <c r="S137" t="str">
        <f t="shared" si="25"/>
        <v>Match</v>
      </c>
    </row>
    <row r="138" spans="1:19" x14ac:dyDescent="0.25">
      <c r="A138" t="s">
        <v>138</v>
      </c>
      <c r="B138">
        <v>7900</v>
      </c>
      <c r="C138">
        <f t="shared" si="26"/>
        <v>79</v>
      </c>
      <c r="D138">
        <v>0</v>
      </c>
      <c r="E138">
        <v>2</v>
      </c>
      <c r="F138">
        <v>7900</v>
      </c>
      <c r="G138">
        <f t="shared" si="18"/>
        <v>79</v>
      </c>
      <c r="H138">
        <v>400</v>
      </c>
      <c r="I138" s="4">
        <f>Full_Data[[#This Row],[Selling Price]]/Full_Data[[#This Row],[Weight (g)]]</f>
        <v>0.19750000000000001</v>
      </c>
      <c r="J138" t="b">
        <v>0</v>
      </c>
      <c r="K138">
        <v>400</v>
      </c>
      <c r="L138">
        <f t="shared" si="19"/>
        <v>0</v>
      </c>
      <c r="M138" t="str">
        <f t="shared" si="20"/>
        <v>Medium</v>
      </c>
      <c r="N138" t="str">
        <f t="shared" si="21"/>
        <v>0-5%</v>
      </c>
      <c r="O138" t="str">
        <f t="shared" si="22"/>
        <v>OK</v>
      </c>
      <c r="P138">
        <f>IFERROR(Full_Data!G138/Full_Data!H138,"Check data")</f>
        <v>0.19750000000000001</v>
      </c>
      <c r="Q138" t="str">
        <f t="shared" si="23"/>
        <v>Match</v>
      </c>
      <c r="R138" t="str">
        <f t="shared" si="24"/>
        <v>Match</v>
      </c>
      <c r="S138" t="str">
        <f t="shared" si="25"/>
        <v>Match</v>
      </c>
    </row>
    <row r="139" spans="1:19" x14ac:dyDescent="0.25">
      <c r="A139" t="s">
        <v>139</v>
      </c>
      <c r="B139">
        <v>31500</v>
      </c>
      <c r="C139">
        <f t="shared" si="26"/>
        <v>315</v>
      </c>
      <c r="D139">
        <v>10</v>
      </c>
      <c r="E139">
        <v>6</v>
      </c>
      <c r="F139">
        <v>28300</v>
      </c>
      <c r="G139">
        <f t="shared" si="18"/>
        <v>283</v>
      </c>
      <c r="H139">
        <v>5000</v>
      </c>
      <c r="I139" s="4">
        <f>Full_Data[[#This Row],[Selling Price]]/Full_Data[[#This Row],[Weight (g)]]</f>
        <v>5.6599999999999998E-2</v>
      </c>
      <c r="J139" t="b">
        <v>0</v>
      </c>
      <c r="K139">
        <v>5</v>
      </c>
      <c r="L139">
        <f t="shared" si="19"/>
        <v>32</v>
      </c>
      <c r="M139" t="str">
        <f t="shared" si="20"/>
        <v>High</v>
      </c>
      <c r="N139" t="str">
        <f t="shared" si="21"/>
        <v>6-10%</v>
      </c>
      <c r="O139" t="str">
        <f t="shared" si="22"/>
        <v>OK</v>
      </c>
      <c r="P139">
        <f>IFERROR(Full_Data!G139/Full_Data!H139,"Check data")</f>
        <v>5.6599999999999998E-2</v>
      </c>
      <c r="Q139" t="str">
        <f t="shared" si="23"/>
        <v>Match</v>
      </c>
      <c r="R139" t="str">
        <f t="shared" si="24"/>
        <v>Mismatch</v>
      </c>
      <c r="S139" t="str">
        <f t="shared" si="25"/>
        <v>Match</v>
      </c>
    </row>
    <row r="140" spans="1:19" x14ac:dyDescent="0.25">
      <c r="A140" t="s">
        <v>134</v>
      </c>
      <c r="B140">
        <v>29500</v>
      </c>
      <c r="C140">
        <f t="shared" si="26"/>
        <v>295</v>
      </c>
      <c r="D140">
        <v>10</v>
      </c>
      <c r="E140">
        <v>6</v>
      </c>
      <c r="F140">
        <v>26500</v>
      </c>
      <c r="G140">
        <f t="shared" si="18"/>
        <v>265</v>
      </c>
      <c r="H140">
        <v>5000</v>
      </c>
      <c r="I140" s="4">
        <f>Full_Data[[#This Row],[Selling Price]]/Full_Data[[#This Row],[Weight (g)]]</f>
        <v>5.2999999999999999E-2</v>
      </c>
      <c r="J140" t="b">
        <v>0</v>
      </c>
      <c r="K140">
        <v>5</v>
      </c>
      <c r="L140">
        <f t="shared" si="19"/>
        <v>30</v>
      </c>
      <c r="M140" t="str">
        <f t="shared" si="20"/>
        <v>High</v>
      </c>
      <c r="N140" t="str">
        <f t="shared" si="21"/>
        <v>6-10%</v>
      </c>
      <c r="O140" t="str">
        <f t="shared" si="22"/>
        <v>OK</v>
      </c>
      <c r="P140">
        <f>IFERROR(Full_Data!G140/Full_Data!H140,"Check data")</f>
        <v>5.2999999999999999E-2</v>
      </c>
      <c r="Q140" t="str">
        <f t="shared" si="23"/>
        <v>Match</v>
      </c>
      <c r="R140" t="str">
        <f t="shared" si="24"/>
        <v>Mismatch</v>
      </c>
      <c r="S140" t="str">
        <f t="shared" si="25"/>
        <v>Match</v>
      </c>
    </row>
    <row r="141" spans="1:19" x14ac:dyDescent="0.25">
      <c r="A141" t="s">
        <v>140</v>
      </c>
      <c r="B141">
        <v>57900</v>
      </c>
      <c r="C141">
        <f t="shared" si="26"/>
        <v>579</v>
      </c>
      <c r="D141">
        <v>10</v>
      </c>
      <c r="E141">
        <v>6</v>
      </c>
      <c r="F141">
        <v>52100</v>
      </c>
      <c r="G141">
        <f t="shared" si="18"/>
        <v>521</v>
      </c>
      <c r="H141">
        <v>1000</v>
      </c>
      <c r="I141" s="4">
        <f>Full_Data[[#This Row],[Selling Price]]/Full_Data[[#This Row],[Weight (g)]]</f>
        <v>0.52100000000000002</v>
      </c>
      <c r="J141" t="b">
        <v>0</v>
      </c>
      <c r="K141">
        <v>1</v>
      </c>
      <c r="L141">
        <f t="shared" si="19"/>
        <v>58</v>
      </c>
      <c r="M141" t="str">
        <f t="shared" si="20"/>
        <v>High</v>
      </c>
      <c r="N141" t="str">
        <f t="shared" si="21"/>
        <v>6-10%</v>
      </c>
      <c r="O141" t="str">
        <f t="shared" si="22"/>
        <v>OK</v>
      </c>
      <c r="P141">
        <f>IFERROR(Full_Data!G141/Full_Data!H141,"Check data")</f>
        <v>0.52100000000000002</v>
      </c>
      <c r="Q141" t="str">
        <f t="shared" si="23"/>
        <v>Match</v>
      </c>
      <c r="R141" t="str">
        <f t="shared" si="24"/>
        <v>Mismatch</v>
      </c>
      <c r="S141" t="str">
        <f t="shared" si="25"/>
        <v>Match</v>
      </c>
    </row>
    <row r="142" spans="1:19" x14ac:dyDescent="0.25">
      <c r="A142" t="s">
        <v>141</v>
      </c>
      <c r="B142">
        <v>21000</v>
      </c>
      <c r="C142">
        <f t="shared" si="26"/>
        <v>210</v>
      </c>
      <c r="D142">
        <v>5</v>
      </c>
      <c r="E142">
        <v>6</v>
      </c>
      <c r="F142">
        <v>19900</v>
      </c>
      <c r="G142">
        <f t="shared" si="18"/>
        <v>199</v>
      </c>
      <c r="H142">
        <v>1000</v>
      </c>
      <c r="I142" s="4">
        <f>Full_Data[[#This Row],[Selling Price]]/Full_Data[[#This Row],[Weight (g)]]</f>
        <v>0.19900000000000001</v>
      </c>
      <c r="J142" t="b">
        <v>0</v>
      </c>
      <c r="K142">
        <v>1</v>
      </c>
      <c r="L142">
        <f t="shared" si="19"/>
        <v>11</v>
      </c>
      <c r="M142" t="str">
        <f t="shared" si="20"/>
        <v>Medium</v>
      </c>
      <c r="N142" t="str">
        <f t="shared" si="21"/>
        <v>0-5%</v>
      </c>
      <c r="O142" t="str">
        <f t="shared" si="22"/>
        <v>OK</v>
      </c>
      <c r="P142">
        <f>IFERROR(Full_Data!G142/Full_Data!H142,"Check data")</f>
        <v>0.19900000000000001</v>
      </c>
      <c r="Q142" t="str">
        <f t="shared" si="23"/>
        <v>Match</v>
      </c>
      <c r="R142" t="str">
        <f t="shared" si="24"/>
        <v>Mismatch</v>
      </c>
      <c r="S142" t="str">
        <f t="shared" si="25"/>
        <v>Match</v>
      </c>
    </row>
    <row r="143" spans="1:19" x14ac:dyDescent="0.25">
      <c r="A143" t="s">
        <v>142</v>
      </c>
      <c r="B143">
        <v>4000</v>
      </c>
      <c r="C143">
        <f t="shared" si="26"/>
        <v>40</v>
      </c>
      <c r="D143">
        <v>7</v>
      </c>
      <c r="E143">
        <v>3</v>
      </c>
      <c r="F143">
        <v>3700</v>
      </c>
      <c r="G143">
        <f t="shared" si="18"/>
        <v>37</v>
      </c>
      <c r="H143">
        <v>100</v>
      </c>
      <c r="I143" s="4">
        <f>Full_Data[[#This Row],[Selling Price]]/Full_Data[[#This Row],[Weight (g)]]</f>
        <v>0.37</v>
      </c>
      <c r="J143" t="b">
        <v>0</v>
      </c>
      <c r="K143">
        <v>100</v>
      </c>
      <c r="L143">
        <f t="shared" si="19"/>
        <v>3</v>
      </c>
      <c r="M143" t="str">
        <f t="shared" si="20"/>
        <v>Low</v>
      </c>
      <c r="N143" t="str">
        <f t="shared" si="21"/>
        <v>6-10%</v>
      </c>
      <c r="O143" t="str">
        <f t="shared" si="22"/>
        <v>OK</v>
      </c>
      <c r="P143">
        <f>IFERROR(Full_Data!G143/Full_Data!H143,"Check data")</f>
        <v>0.37</v>
      </c>
      <c r="Q143" t="str">
        <f t="shared" si="23"/>
        <v>Match</v>
      </c>
      <c r="R143" t="str">
        <f t="shared" si="24"/>
        <v>Mismatch</v>
      </c>
      <c r="S143" t="str">
        <f t="shared" si="25"/>
        <v>Mismatch</v>
      </c>
    </row>
    <row r="144" spans="1:19" x14ac:dyDescent="0.25">
      <c r="A144" t="s">
        <v>143</v>
      </c>
      <c r="B144">
        <v>1800</v>
      </c>
      <c r="C144">
        <f t="shared" si="26"/>
        <v>18</v>
      </c>
      <c r="D144">
        <v>0</v>
      </c>
      <c r="E144">
        <v>6</v>
      </c>
      <c r="F144">
        <v>1800</v>
      </c>
      <c r="G144">
        <f t="shared" si="18"/>
        <v>18</v>
      </c>
      <c r="H144">
        <v>100</v>
      </c>
      <c r="I144" s="4">
        <f>Full_Data[[#This Row],[Selling Price]]/Full_Data[[#This Row],[Weight (g)]]</f>
        <v>0.18</v>
      </c>
      <c r="J144" t="b">
        <v>0</v>
      </c>
      <c r="K144">
        <v>100</v>
      </c>
      <c r="L144">
        <f t="shared" si="19"/>
        <v>0</v>
      </c>
      <c r="M144" t="str">
        <f t="shared" si="20"/>
        <v>Low</v>
      </c>
      <c r="N144" t="str">
        <f t="shared" si="21"/>
        <v>0-5%</v>
      </c>
      <c r="O144" t="str">
        <f t="shared" si="22"/>
        <v>OK</v>
      </c>
      <c r="P144">
        <f>IFERROR(Full_Data!G144/Full_Data!H144,"Check data")</f>
        <v>0.18</v>
      </c>
      <c r="Q144" t="str">
        <f t="shared" si="23"/>
        <v>Match</v>
      </c>
      <c r="R144" t="str">
        <f t="shared" si="24"/>
        <v>Match</v>
      </c>
      <c r="S144" t="str">
        <f t="shared" si="25"/>
        <v>Match</v>
      </c>
    </row>
    <row r="145" spans="1:19" x14ac:dyDescent="0.25">
      <c r="A145" t="s">
        <v>144</v>
      </c>
      <c r="B145">
        <v>5600</v>
      </c>
      <c r="C145">
        <f t="shared" si="26"/>
        <v>56</v>
      </c>
      <c r="D145">
        <v>3</v>
      </c>
      <c r="E145">
        <v>4</v>
      </c>
      <c r="F145">
        <v>5400</v>
      </c>
      <c r="G145">
        <f t="shared" si="18"/>
        <v>54</v>
      </c>
      <c r="H145">
        <v>200</v>
      </c>
      <c r="I145" s="4">
        <f>Full_Data[[#This Row],[Selling Price]]/Full_Data[[#This Row],[Weight (g)]]</f>
        <v>0.27</v>
      </c>
      <c r="J145" t="b">
        <v>0</v>
      </c>
      <c r="K145">
        <v>200</v>
      </c>
      <c r="L145">
        <f t="shared" si="19"/>
        <v>2</v>
      </c>
      <c r="M145" t="str">
        <f t="shared" si="20"/>
        <v>Medium</v>
      </c>
      <c r="N145" t="str">
        <f t="shared" si="21"/>
        <v>0-5%</v>
      </c>
      <c r="O145" t="str">
        <f t="shared" si="22"/>
        <v>OK</v>
      </c>
      <c r="P145">
        <f>IFERROR(Full_Data!G145/Full_Data!H145,"Check data")</f>
        <v>0.27</v>
      </c>
      <c r="Q145" t="str">
        <f t="shared" si="23"/>
        <v>Match</v>
      </c>
      <c r="R145" t="str">
        <f t="shared" si="24"/>
        <v>Mismatch</v>
      </c>
      <c r="S145" t="str">
        <f t="shared" si="25"/>
        <v>Mismatch</v>
      </c>
    </row>
    <row r="146" spans="1:19" x14ac:dyDescent="0.25">
      <c r="A146" t="s">
        <v>145</v>
      </c>
      <c r="B146">
        <v>124000</v>
      </c>
      <c r="C146">
        <f t="shared" si="26"/>
        <v>1240</v>
      </c>
      <c r="D146">
        <v>0</v>
      </c>
      <c r="E146">
        <v>6</v>
      </c>
      <c r="F146">
        <v>124000</v>
      </c>
      <c r="G146">
        <f t="shared" si="18"/>
        <v>1240</v>
      </c>
      <c r="H146">
        <v>5000</v>
      </c>
      <c r="I146" s="4">
        <f>Full_Data[[#This Row],[Selling Price]]/Full_Data[[#This Row],[Weight (g)]]</f>
        <v>0.248</v>
      </c>
      <c r="J146" t="b">
        <v>0</v>
      </c>
      <c r="K146">
        <v>5</v>
      </c>
      <c r="L146">
        <f t="shared" si="19"/>
        <v>0</v>
      </c>
      <c r="M146" t="str">
        <f t="shared" si="20"/>
        <v>High</v>
      </c>
      <c r="N146" t="str">
        <f t="shared" si="21"/>
        <v>0-5%</v>
      </c>
      <c r="O146" t="str">
        <f t="shared" si="22"/>
        <v>OK</v>
      </c>
      <c r="P146">
        <f>IFERROR(Full_Data!G146/Full_Data!H146,"Check data")</f>
        <v>0.248</v>
      </c>
      <c r="Q146" t="str">
        <f t="shared" si="23"/>
        <v>Match</v>
      </c>
      <c r="R146" t="str">
        <f t="shared" si="24"/>
        <v>Match</v>
      </c>
      <c r="S146" t="str">
        <f t="shared" si="25"/>
        <v>Match</v>
      </c>
    </row>
    <row r="147" spans="1:19" x14ac:dyDescent="0.25">
      <c r="A147" t="s">
        <v>146</v>
      </c>
      <c r="B147">
        <v>12000</v>
      </c>
      <c r="C147">
        <f t="shared" si="26"/>
        <v>120</v>
      </c>
      <c r="D147">
        <v>1</v>
      </c>
      <c r="E147">
        <v>3</v>
      </c>
      <c r="F147">
        <v>11800</v>
      </c>
      <c r="G147">
        <f t="shared" si="18"/>
        <v>118</v>
      </c>
      <c r="H147">
        <v>240</v>
      </c>
      <c r="I147" s="4">
        <f>Full_Data[[#This Row],[Selling Price]]/Full_Data[[#This Row],[Weight (g)]]</f>
        <v>0.49166666666666664</v>
      </c>
      <c r="J147" t="b">
        <v>0</v>
      </c>
      <c r="K147">
        <v>240</v>
      </c>
      <c r="L147">
        <f t="shared" si="19"/>
        <v>2</v>
      </c>
      <c r="M147" t="str">
        <f t="shared" si="20"/>
        <v>Medium</v>
      </c>
      <c r="N147" t="str">
        <f t="shared" si="21"/>
        <v>0-5%</v>
      </c>
      <c r="O147" t="str">
        <f t="shared" si="22"/>
        <v>OK</v>
      </c>
      <c r="P147">
        <f>IFERROR(Full_Data!G147/Full_Data!H147,"Check data")</f>
        <v>0.49166666666666664</v>
      </c>
      <c r="Q147" t="str">
        <f t="shared" si="23"/>
        <v>Match</v>
      </c>
      <c r="R147" t="str">
        <f t="shared" si="24"/>
        <v>Mismatch</v>
      </c>
      <c r="S147" t="str">
        <f t="shared" si="25"/>
        <v>Mismatch</v>
      </c>
    </row>
    <row r="148" spans="1:19" x14ac:dyDescent="0.25">
      <c r="A148" t="s">
        <v>147</v>
      </c>
      <c r="B148">
        <v>105000</v>
      </c>
      <c r="C148">
        <f t="shared" si="26"/>
        <v>1050</v>
      </c>
      <c r="D148">
        <v>1</v>
      </c>
      <c r="E148">
        <v>6</v>
      </c>
      <c r="F148">
        <v>103900</v>
      </c>
      <c r="G148">
        <f t="shared" si="18"/>
        <v>1039</v>
      </c>
      <c r="H148">
        <v>5000</v>
      </c>
      <c r="I148" s="4">
        <f>Full_Data[[#This Row],[Selling Price]]/Full_Data[[#This Row],[Weight (g)]]</f>
        <v>0.20780000000000001</v>
      </c>
      <c r="J148" t="b">
        <v>0</v>
      </c>
      <c r="K148">
        <v>5</v>
      </c>
      <c r="L148">
        <f t="shared" si="19"/>
        <v>11</v>
      </c>
      <c r="M148" t="str">
        <f t="shared" si="20"/>
        <v>High</v>
      </c>
      <c r="N148" t="str">
        <f t="shared" si="21"/>
        <v>0-5%</v>
      </c>
      <c r="O148" t="str">
        <f t="shared" si="22"/>
        <v>OK</v>
      </c>
      <c r="P148">
        <f>IFERROR(Full_Data!G148/Full_Data!H148,"Check data")</f>
        <v>0.20780000000000001</v>
      </c>
      <c r="Q148" t="str">
        <f t="shared" si="23"/>
        <v>Match</v>
      </c>
      <c r="R148" t="str">
        <f t="shared" si="24"/>
        <v>Mismatch</v>
      </c>
      <c r="S148" t="str">
        <f t="shared" si="25"/>
        <v>Match</v>
      </c>
    </row>
    <row r="149" spans="1:19" x14ac:dyDescent="0.25">
      <c r="A149" t="s">
        <v>148</v>
      </c>
      <c r="B149">
        <v>11000</v>
      </c>
      <c r="C149">
        <f t="shared" si="26"/>
        <v>110</v>
      </c>
      <c r="D149">
        <v>13</v>
      </c>
      <c r="E149">
        <v>4</v>
      </c>
      <c r="F149">
        <v>9500</v>
      </c>
      <c r="G149">
        <f t="shared" si="18"/>
        <v>95</v>
      </c>
      <c r="H149">
        <v>348</v>
      </c>
      <c r="I149" s="4">
        <f>Full_Data[[#This Row],[Selling Price]]/Full_Data[[#This Row],[Weight (g)]]</f>
        <v>0.27298850574712646</v>
      </c>
      <c r="J149" t="b">
        <v>0</v>
      </c>
      <c r="K149">
        <v>6</v>
      </c>
      <c r="L149">
        <f t="shared" si="19"/>
        <v>15</v>
      </c>
      <c r="M149" t="str">
        <f t="shared" si="20"/>
        <v>Medium</v>
      </c>
      <c r="N149" t="str">
        <f t="shared" si="21"/>
        <v>11-15%</v>
      </c>
      <c r="O149" t="str">
        <f t="shared" si="22"/>
        <v>OK</v>
      </c>
      <c r="P149">
        <f>IFERROR(Full_Data!G149/Full_Data!H149,"Check data")</f>
        <v>0.27298850574712646</v>
      </c>
      <c r="Q149" t="str">
        <f t="shared" si="23"/>
        <v>Match</v>
      </c>
      <c r="R149" t="str">
        <f t="shared" si="24"/>
        <v>Mismatch</v>
      </c>
      <c r="S149" t="str">
        <f t="shared" si="25"/>
        <v>Mismatch</v>
      </c>
    </row>
    <row r="150" spans="1:19" x14ac:dyDescent="0.25">
      <c r="A150" t="s">
        <v>149</v>
      </c>
      <c r="B150">
        <v>58500</v>
      </c>
      <c r="C150">
        <f t="shared" si="26"/>
        <v>585</v>
      </c>
      <c r="D150">
        <v>21</v>
      </c>
      <c r="E150">
        <v>6</v>
      </c>
      <c r="F150">
        <v>46200</v>
      </c>
      <c r="G150">
        <f t="shared" si="18"/>
        <v>462</v>
      </c>
      <c r="H150">
        <v>5000</v>
      </c>
      <c r="I150" s="4">
        <f>Full_Data[[#This Row],[Selling Price]]/Full_Data[[#This Row],[Weight (g)]]</f>
        <v>9.2399999999999996E-2</v>
      </c>
      <c r="J150" t="b">
        <v>0</v>
      </c>
      <c r="K150">
        <v>5</v>
      </c>
      <c r="L150">
        <f t="shared" si="19"/>
        <v>123</v>
      </c>
      <c r="M150" t="str">
        <f t="shared" si="20"/>
        <v>High</v>
      </c>
      <c r="N150" t="str">
        <f t="shared" si="21"/>
        <v>21%+</v>
      </c>
      <c r="O150" t="str">
        <f t="shared" si="22"/>
        <v>OK</v>
      </c>
      <c r="P150">
        <f>IFERROR(Full_Data!G150/Full_Data!H150,"Check data")</f>
        <v>9.2399999999999996E-2</v>
      </c>
      <c r="Q150" t="str">
        <f t="shared" si="23"/>
        <v>Match</v>
      </c>
      <c r="R150" t="str">
        <f t="shared" si="24"/>
        <v>Mismatch</v>
      </c>
      <c r="S150" t="str">
        <f t="shared" si="25"/>
        <v>Match</v>
      </c>
    </row>
    <row r="151" spans="1:19" x14ac:dyDescent="0.25">
      <c r="A151" t="s">
        <v>150</v>
      </c>
      <c r="B151">
        <v>17500</v>
      </c>
      <c r="C151">
        <f t="shared" si="26"/>
        <v>175</v>
      </c>
      <c r="D151">
        <v>0</v>
      </c>
      <c r="E151">
        <v>5</v>
      </c>
      <c r="F151">
        <v>17500</v>
      </c>
      <c r="G151">
        <f t="shared" si="18"/>
        <v>175</v>
      </c>
      <c r="H151">
        <v>1000</v>
      </c>
      <c r="I151" s="4">
        <f>Full_Data[[#This Row],[Selling Price]]/Full_Data[[#This Row],[Weight (g)]]</f>
        <v>0.17499999999999999</v>
      </c>
      <c r="J151" t="b">
        <v>0</v>
      </c>
      <c r="K151">
        <v>1</v>
      </c>
      <c r="L151">
        <f t="shared" si="19"/>
        <v>0</v>
      </c>
      <c r="M151" t="str">
        <f t="shared" si="20"/>
        <v>Medium</v>
      </c>
      <c r="N151" t="str">
        <f t="shared" si="21"/>
        <v>0-5%</v>
      </c>
      <c r="O151" t="str">
        <f t="shared" si="22"/>
        <v>OK</v>
      </c>
      <c r="P151">
        <f>IFERROR(Full_Data!G151/Full_Data!H151,"Check data")</f>
        <v>0.17499999999999999</v>
      </c>
      <c r="Q151" t="str">
        <f t="shared" si="23"/>
        <v>Match</v>
      </c>
      <c r="R151" t="str">
        <f t="shared" si="24"/>
        <v>Match</v>
      </c>
      <c r="S151" t="str">
        <f t="shared" si="25"/>
        <v>Match</v>
      </c>
    </row>
    <row r="152" spans="1:19" x14ac:dyDescent="0.25">
      <c r="A152" t="s">
        <v>151</v>
      </c>
      <c r="B152">
        <v>7800</v>
      </c>
      <c r="C152">
        <f t="shared" si="26"/>
        <v>78</v>
      </c>
      <c r="D152">
        <v>7</v>
      </c>
      <c r="E152">
        <v>5</v>
      </c>
      <c r="F152">
        <v>7200</v>
      </c>
      <c r="G152">
        <f t="shared" si="18"/>
        <v>72</v>
      </c>
      <c r="H152">
        <v>100</v>
      </c>
      <c r="I152" s="4">
        <f>Full_Data[[#This Row],[Selling Price]]/Full_Data[[#This Row],[Weight (g)]]</f>
        <v>0.72</v>
      </c>
      <c r="J152" t="b">
        <v>0</v>
      </c>
      <c r="K152">
        <v>100</v>
      </c>
      <c r="L152">
        <f t="shared" si="19"/>
        <v>6</v>
      </c>
      <c r="M152" t="str">
        <f t="shared" si="20"/>
        <v>Medium</v>
      </c>
      <c r="N152" t="str">
        <f t="shared" si="21"/>
        <v>6-10%</v>
      </c>
      <c r="O152" t="str">
        <f t="shared" si="22"/>
        <v>OK</v>
      </c>
      <c r="P152">
        <f>IFERROR(Full_Data!G152/Full_Data!H152,"Check data")</f>
        <v>0.72</v>
      </c>
      <c r="Q152" t="str">
        <f t="shared" si="23"/>
        <v>Match</v>
      </c>
      <c r="R152" t="str">
        <f t="shared" si="24"/>
        <v>Mismatch</v>
      </c>
      <c r="S152" t="str">
        <f t="shared" si="25"/>
        <v>Mismatch</v>
      </c>
    </row>
    <row r="153" spans="1:19" x14ac:dyDescent="0.25">
      <c r="A153" t="s">
        <v>152</v>
      </c>
      <c r="B153">
        <v>9000</v>
      </c>
      <c r="C153">
        <f t="shared" si="26"/>
        <v>90</v>
      </c>
      <c r="D153">
        <v>16</v>
      </c>
      <c r="E153">
        <v>6</v>
      </c>
      <c r="F153">
        <v>7500</v>
      </c>
      <c r="G153">
        <f t="shared" si="18"/>
        <v>75</v>
      </c>
      <c r="H153">
        <v>100</v>
      </c>
      <c r="I153" s="4">
        <f>Full_Data[[#This Row],[Selling Price]]/Full_Data[[#This Row],[Weight (g)]]</f>
        <v>0.75</v>
      </c>
      <c r="J153" t="b">
        <v>0</v>
      </c>
      <c r="K153">
        <v>100</v>
      </c>
      <c r="L153">
        <f t="shared" si="19"/>
        <v>15</v>
      </c>
      <c r="M153" t="str">
        <f t="shared" si="20"/>
        <v>Medium</v>
      </c>
      <c r="N153" t="str">
        <f t="shared" si="21"/>
        <v>16-20%</v>
      </c>
      <c r="O153" t="str">
        <f t="shared" si="22"/>
        <v>OK</v>
      </c>
      <c r="P153">
        <f>IFERROR(Full_Data!G153/Full_Data!H153,"Check data")</f>
        <v>0.75</v>
      </c>
      <c r="Q153" t="str">
        <f t="shared" si="23"/>
        <v>Match</v>
      </c>
      <c r="R153" t="str">
        <f t="shared" si="24"/>
        <v>Mismatch</v>
      </c>
      <c r="S153" t="str">
        <f t="shared" si="25"/>
        <v>Mismatch</v>
      </c>
    </row>
    <row r="154" spans="1:19" x14ac:dyDescent="0.25">
      <c r="A154" t="s">
        <v>153</v>
      </c>
      <c r="B154">
        <v>21000</v>
      </c>
      <c r="C154">
        <f t="shared" si="26"/>
        <v>210</v>
      </c>
      <c r="D154">
        <v>1</v>
      </c>
      <c r="E154">
        <v>2</v>
      </c>
      <c r="F154">
        <v>20600</v>
      </c>
      <c r="G154">
        <f t="shared" si="18"/>
        <v>206</v>
      </c>
      <c r="H154">
        <v>1000</v>
      </c>
      <c r="I154" s="4">
        <f>Full_Data[[#This Row],[Selling Price]]/Full_Data[[#This Row],[Weight (g)]]</f>
        <v>0.20599999999999999</v>
      </c>
      <c r="J154" t="b">
        <v>0</v>
      </c>
      <c r="K154">
        <v>1</v>
      </c>
      <c r="L154">
        <f t="shared" si="19"/>
        <v>4</v>
      </c>
      <c r="M154" t="str">
        <f t="shared" si="20"/>
        <v>High</v>
      </c>
      <c r="N154" t="str">
        <f t="shared" si="21"/>
        <v>0-5%</v>
      </c>
      <c r="O154" t="str">
        <f t="shared" si="22"/>
        <v>OK</v>
      </c>
      <c r="P154">
        <f>IFERROR(Full_Data!G154/Full_Data!H154,"Check data")</f>
        <v>0.20599999999999999</v>
      </c>
      <c r="Q154" t="str">
        <f t="shared" si="23"/>
        <v>Match</v>
      </c>
      <c r="R154" t="str">
        <f t="shared" si="24"/>
        <v>Mismatch</v>
      </c>
      <c r="S154" t="str">
        <f t="shared" si="25"/>
        <v>Mismatch</v>
      </c>
    </row>
    <row r="155" spans="1:19" x14ac:dyDescent="0.25">
      <c r="A155" t="s">
        <v>154</v>
      </c>
      <c r="B155">
        <v>29500</v>
      </c>
      <c r="C155">
        <f t="shared" si="26"/>
        <v>295</v>
      </c>
      <c r="D155">
        <v>4</v>
      </c>
      <c r="E155">
        <v>6</v>
      </c>
      <c r="F155">
        <v>28100</v>
      </c>
      <c r="G155">
        <f t="shared" si="18"/>
        <v>281</v>
      </c>
      <c r="H155">
        <v>500</v>
      </c>
      <c r="I155" s="4">
        <f>Full_Data[[#This Row],[Selling Price]]/Full_Data[[#This Row],[Weight (g)]]</f>
        <v>0.56200000000000006</v>
      </c>
      <c r="J155" t="b">
        <v>0</v>
      </c>
      <c r="K155">
        <v>500</v>
      </c>
      <c r="L155">
        <f t="shared" si="19"/>
        <v>14</v>
      </c>
      <c r="M155" t="str">
        <f t="shared" si="20"/>
        <v>High</v>
      </c>
      <c r="N155" t="str">
        <f t="shared" si="21"/>
        <v>0-5%</v>
      </c>
      <c r="O155" t="str">
        <f t="shared" si="22"/>
        <v>OK</v>
      </c>
      <c r="P155">
        <f>IFERROR(Full_Data!G155/Full_Data!H155,"Check data")</f>
        <v>0.56200000000000006</v>
      </c>
      <c r="Q155" t="str">
        <f t="shared" si="23"/>
        <v>Match</v>
      </c>
      <c r="R155" t="str">
        <f t="shared" si="24"/>
        <v>Mismatch</v>
      </c>
      <c r="S155" t="str">
        <f t="shared" si="25"/>
        <v>Mismatch</v>
      </c>
    </row>
    <row r="156" spans="1:19" x14ac:dyDescent="0.25">
      <c r="A156" t="s">
        <v>155</v>
      </c>
      <c r="B156">
        <v>4000</v>
      </c>
      <c r="C156">
        <f t="shared" si="26"/>
        <v>40</v>
      </c>
      <c r="D156">
        <v>5</v>
      </c>
      <c r="E156">
        <v>3</v>
      </c>
      <c r="F156">
        <v>3800</v>
      </c>
      <c r="G156">
        <f t="shared" si="18"/>
        <v>38</v>
      </c>
      <c r="H156">
        <v>100</v>
      </c>
      <c r="I156" s="4">
        <f>Full_Data[[#This Row],[Selling Price]]/Full_Data[[#This Row],[Weight (g)]]</f>
        <v>0.38</v>
      </c>
      <c r="J156" t="b">
        <v>0</v>
      </c>
      <c r="K156">
        <v>100</v>
      </c>
      <c r="L156">
        <f t="shared" si="19"/>
        <v>2</v>
      </c>
      <c r="M156" t="str">
        <f t="shared" si="20"/>
        <v>Low</v>
      </c>
      <c r="N156" t="str">
        <f t="shared" si="21"/>
        <v>0-5%</v>
      </c>
      <c r="O156" t="str">
        <f t="shared" si="22"/>
        <v>OK</v>
      </c>
      <c r="P156">
        <f>IFERROR(Full_Data!G156/Full_Data!H156,"Check data")</f>
        <v>0.38</v>
      </c>
      <c r="Q156" t="str">
        <f t="shared" si="23"/>
        <v>Match</v>
      </c>
      <c r="R156" t="str">
        <f t="shared" si="24"/>
        <v>Match</v>
      </c>
      <c r="S156" t="str">
        <f t="shared" si="25"/>
        <v>Match</v>
      </c>
    </row>
    <row r="157" spans="1:19" x14ac:dyDescent="0.25">
      <c r="A157" t="s">
        <v>156</v>
      </c>
      <c r="B157">
        <v>3000</v>
      </c>
      <c r="C157">
        <f t="shared" si="26"/>
        <v>30</v>
      </c>
      <c r="D157">
        <v>3</v>
      </c>
      <c r="E157">
        <v>6</v>
      </c>
      <c r="F157">
        <v>2900</v>
      </c>
      <c r="G157">
        <f t="shared" si="18"/>
        <v>29</v>
      </c>
      <c r="H157">
        <v>100</v>
      </c>
      <c r="I157" s="4">
        <f>Full_Data[[#This Row],[Selling Price]]/Full_Data[[#This Row],[Weight (g)]]</f>
        <v>0.28999999999999998</v>
      </c>
      <c r="J157" t="b">
        <v>0</v>
      </c>
      <c r="K157">
        <v>100</v>
      </c>
      <c r="L157">
        <f t="shared" si="19"/>
        <v>1</v>
      </c>
      <c r="M157" t="str">
        <f t="shared" si="20"/>
        <v>Low</v>
      </c>
      <c r="N157" t="str">
        <f t="shared" si="21"/>
        <v>0-5%</v>
      </c>
      <c r="O157" t="str">
        <f t="shared" si="22"/>
        <v>OK</v>
      </c>
      <c r="P157">
        <f>IFERROR(Full_Data!G157/Full_Data!H157,"Check data")</f>
        <v>0.28999999999999998</v>
      </c>
      <c r="Q157" t="str">
        <f t="shared" si="23"/>
        <v>Match</v>
      </c>
      <c r="R157" t="str">
        <f t="shared" si="24"/>
        <v>Mismatch</v>
      </c>
      <c r="S157" t="str">
        <f t="shared" si="25"/>
        <v>Match</v>
      </c>
    </row>
    <row r="158" spans="1:19" x14ac:dyDescent="0.25">
      <c r="A158" t="s">
        <v>157</v>
      </c>
      <c r="B158">
        <v>3700</v>
      </c>
      <c r="C158">
        <f t="shared" si="26"/>
        <v>37</v>
      </c>
      <c r="D158">
        <v>10</v>
      </c>
      <c r="E158">
        <v>4</v>
      </c>
      <c r="F158">
        <v>3300</v>
      </c>
      <c r="G158">
        <f t="shared" si="18"/>
        <v>33</v>
      </c>
      <c r="H158">
        <v>50</v>
      </c>
      <c r="I158" s="4">
        <f>Full_Data[[#This Row],[Selling Price]]/Full_Data[[#This Row],[Weight (g)]]</f>
        <v>0.66</v>
      </c>
      <c r="J158" t="b">
        <v>0</v>
      </c>
      <c r="K158">
        <v>50</v>
      </c>
      <c r="L158">
        <f t="shared" si="19"/>
        <v>4</v>
      </c>
      <c r="M158" t="str">
        <f t="shared" si="20"/>
        <v>Low</v>
      </c>
      <c r="N158" t="str">
        <f t="shared" si="21"/>
        <v>6-10%</v>
      </c>
      <c r="O158" t="str">
        <f t="shared" si="22"/>
        <v>OK</v>
      </c>
      <c r="P158">
        <f>IFERROR(Full_Data!G158/Full_Data!H158,"Check data")</f>
        <v>0.66</v>
      </c>
      <c r="Q158" t="str">
        <f t="shared" si="23"/>
        <v>Match</v>
      </c>
      <c r="R158" t="str">
        <f t="shared" si="24"/>
        <v>Mismatch</v>
      </c>
      <c r="S158" t="str">
        <f t="shared" si="25"/>
        <v>Mismatch</v>
      </c>
    </row>
    <row r="159" spans="1:19" x14ac:dyDescent="0.25">
      <c r="A159" t="s">
        <v>158</v>
      </c>
      <c r="B159">
        <v>9500</v>
      </c>
      <c r="C159">
        <f t="shared" si="26"/>
        <v>95</v>
      </c>
      <c r="D159">
        <v>6</v>
      </c>
      <c r="E159">
        <v>2</v>
      </c>
      <c r="F159">
        <v>8900</v>
      </c>
      <c r="G159">
        <f t="shared" si="18"/>
        <v>89</v>
      </c>
      <c r="H159">
        <v>1000</v>
      </c>
      <c r="I159" s="4">
        <f>Full_Data[[#This Row],[Selling Price]]/Full_Data[[#This Row],[Weight (g)]]</f>
        <v>8.8999999999999996E-2</v>
      </c>
      <c r="J159" t="b">
        <v>0</v>
      </c>
      <c r="K159">
        <v>500</v>
      </c>
      <c r="L159">
        <f t="shared" si="19"/>
        <v>6</v>
      </c>
      <c r="M159" t="str">
        <f t="shared" si="20"/>
        <v>Medium</v>
      </c>
      <c r="N159" t="str">
        <f t="shared" si="21"/>
        <v>6-10%</v>
      </c>
      <c r="O159" t="str">
        <f t="shared" si="22"/>
        <v>OK</v>
      </c>
      <c r="P159">
        <f>IFERROR(Full_Data!G159/Full_Data!H159,"Check data")</f>
        <v>8.8999999999999996E-2</v>
      </c>
      <c r="Q159" t="str">
        <f t="shared" si="23"/>
        <v>Match</v>
      </c>
      <c r="R159" t="str">
        <f t="shared" si="24"/>
        <v>Mismatch</v>
      </c>
      <c r="S159" t="str">
        <f t="shared" si="25"/>
        <v>Match</v>
      </c>
    </row>
    <row r="160" spans="1:19" x14ac:dyDescent="0.25">
      <c r="A160" t="s">
        <v>159</v>
      </c>
      <c r="B160">
        <v>11200</v>
      </c>
      <c r="C160">
        <f t="shared" si="26"/>
        <v>112</v>
      </c>
      <c r="D160">
        <v>2</v>
      </c>
      <c r="E160">
        <v>6</v>
      </c>
      <c r="F160">
        <v>10900</v>
      </c>
      <c r="G160">
        <f t="shared" si="18"/>
        <v>109</v>
      </c>
      <c r="H160">
        <v>400</v>
      </c>
      <c r="I160" s="4">
        <f>Full_Data[[#This Row],[Selling Price]]/Full_Data[[#This Row],[Weight (g)]]</f>
        <v>0.27250000000000002</v>
      </c>
      <c r="J160" t="b">
        <v>0</v>
      </c>
      <c r="K160">
        <v>400</v>
      </c>
      <c r="L160">
        <f t="shared" si="19"/>
        <v>3</v>
      </c>
      <c r="M160" t="str">
        <f t="shared" si="20"/>
        <v>Medium</v>
      </c>
      <c r="N160" t="str">
        <f t="shared" si="21"/>
        <v>0-5%</v>
      </c>
      <c r="O160" t="str">
        <f t="shared" si="22"/>
        <v>OK</v>
      </c>
      <c r="P160">
        <f>IFERROR(Full_Data!G160/Full_Data!H160,"Check data")</f>
        <v>0.27250000000000002</v>
      </c>
      <c r="Q160" t="str">
        <f t="shared" si="23"/>
        <v>Match</v>
      </c>
      <c r="R160" t="str">
        <f t="shared" si="24"/>
        <v>Mismatch</v>
      </c>
      <c r="S160" t="str">
        <f t="shared" si="25"/>
        <v>Mismatch</v>
      </c>
    </row>
    <row r="161" spans="1:19" x14ac:dyDescent="0.25">
      <c r="A161" t="s">
        <v>160</v>
      </c>
      <c r="B161">
        <v>45000</v>
      </c>
      <c r="C161">
        <f t="shared" si="26"/>
        <v>450</v>
      </c>
      <c r="D161">
        <v>16</v>
      </c>
      <c r="E161">
        <v>6</v>
      </c>
      <c r="F161">
        <v>37500</v>
      </c>
      <c r="G161">
        <f t="shared" si="18"/>
        <v>375</v>
      </c>
      <c r="H161">
        <v>10000</v>
      </c>
      <c r="I161" s="4">
        <f>Full_Data[[#This Row],[Selling Price]]/Full_Data[[#This Row],[Weight (g)]]</f>
        <v>3.7499999999999999E-2</v>
      </c>
      <c r="J161" t="b">
        <v>0</v>
      </c>
      <c r="K161">
        <v>10</v>
      </c>
      <c r="L161">
        <f t="shared" si="19"/>
        <v>75</v>
      </c>
      <c r="M161" t="str">
        <f t="shared" si="20"/>
        <v>High</v>
      </c>
      <c r="N161" t="str">
        <f t="shared" si="21"/>
        <v>16-20%</v>
      </c>
      <c r="O161" t="str">
        <f t="shared" si="22"/>
        <v>OK</v>
      </c>
      <c r="P161">
        <f>IFERROR(Full_Data!G161/Full_Data!H161,"Check data")</f>
        <v>3.7499999999999999E-2</v>
      </c>
      <c r="Q161" t="str">
        <f t="shared" si="23"/>
        <v>Match</v>
      </c>
      <c r="R161" t="str">
        <f t="shared" si="24"/>
        <v>Mismatch</v>
      </c>
      <c r="S161" t="str">
        <f t="shared" si="25"/>
        <v>Mismatch</v>
      </c>
    </row>
    <row r="162" spans="1:19" x14ac:dyDescent="0.25">
      <c r="A162" t="s">
        <v>161</v>
      </c>
      <c r="B162">
        <v>3900</v>
      </c>
      <c r="C162">
        <f t="shared" si="26"/>
        <v>39</v>
      </c>
      <c r="D162">
        <v>2</v>
      </c>
      <c r="E162">
        <v>1</v>
      </c>
      <c r="F162">
        <v>3800</v>
      </c>
      <c r="G162">
        <f t="shared" si="18"/>
        <v>38</v>
      </c>
      <c r="H162">
        <v>50</v>
      </c>
      <c r="I162" s="4">
        <f>Full_Data[[#This Row],[Selling Price]]/Full_Data[[#This Row],[Weight (g)]]</f>
        <v>0.76</v>
      </c>
      <c r="J162" t="b">
        <v>0</v>
      </c>
      <c r="K162">
        <v>50</v>
      </c>
      <c r="L162">
        <f t="shared" si="19"/>
        <v>1</v>
      </c>
      <c r="M162" t="str">
        <f t="shared" si="20"/>
        <v>Low</v>
      </c>
      <c r="N162" t="str">
        <f t="shared" si="21"/>
        <v>0-5%</v>
      </c>
      <c r="O162" t="str">
        <f t="shared" si="22"/>
        <v>OK</v>
      </c>
      <c r="P162">
        <f>IFERROR(Full_Data!G162/Full_Data!H162,"Check data")</f>
        <v>0.76</v>
      </c>
      <c r="Q162" t="str">
        <f t="shared" si="23"/>
        <v>Match</v>
      </c>
      <c r="R162" t="str">
        <f t="shared" si="24"/>
        <v>Mismatch</v>
      </c>
      <c r="S162" t="str">
        <f t="shared" si="25"/>
        <v>Mismatch</v>
      </c>
    </row>
    <row r="163" spans="1:19" x14ac:dyDescent="0.25">
      <c r="A163" t="s">
        <v>162</v>
      </c>
      <c r="B163">
        <v>20500</v>
      </c>
      <c r="C163">
        <f t="shared" si="26"/>
        <v>205</v>
      </c>
      <c r="D163">
        <v>7</v>
      </c>
      <c r="E163">
        <v>6</v>
      </c>
      <c r="F163">
        <v>19000</v>
      </c>
      <c r="G163">
        <f t="shared" si="18"/>
        <v>190</v>
      </c>
      <c r="H163">
        <v>1000</v>
      </c>
      <c r="I163" s="4">
        <f>Full_Data[[#This Row],[Selling Price]]/Full_Data[[#This Row],[Weight (g)]]</f>
        <v>0.19</v>
      </c>
      <c r="J163" t="b">
        <v>0</v>
      </c>
      <c r="K163">
        <v>1</v>
      </c>
      <c r="L163">
        <f t="shared" si="19"/>
        <v>15</v>
      </c>
      <c r="M163" t="str">
        <f t="shared" si="20"/>
        <v>Medium</v>
      </c>
      <c r="N163" t="str">
        <f t="shared" si="21"/>
        <v>6-10%</v>
      </c>
      <c r="O163" t="str">
        <f t="shared" si="22"/>
        <v>OK</v>
      </c>
      <c r="P163">
        <f>IFERROR(Full_Data!G163/Full_Data!H163,"Check data")</f>
        <v>0.19</v>
      </c>
      <c r="Q163" t="str">
        <f t="shared" si="23"/>
        <v>Match</v>
      </c>
      <c r="R163" t="str">
        <f t="shared" si="24"/>
        <v>Mismatch</v>
      </c>
      <c r="S163" t="str">
        <f t="shared" si="25"/>
        <v>Match</v>
      </c>
    </row>
    <row r="164" spans="1:19" x14ac:dyDescent="0.25">
      <c r="A164" t="s">
        <v>163</v>
      </c>
      <c r="B164">
        <v>40000</v>
      </c>
      <c r="C164">
        <f t="shared" si="26"/>
        <v>400</v>
      </c>
      <c r="D164">
        <v>25</v>
      </c>
      <c r="E164">
        <v>1</v>
      </c>
      <c r="F164">
        <v>29900</v>
      </c>
      <c r="G164">
        <f t="shared" si="18"/>
        <v>299</v>
      </c>
      <c r="H164">
        <v>250</v>
      </c>
      <c r="I164" s="4">
        <f>Full_Data[[#This Row],[Selling Price]]/Full_Data[[#This Row],[Weight (g)]]</f>
        <v>1.196</v>
      </c>
      <c r="J164" t="b">
        <v>0</v>
      </c>
      <c r="K164">
        <v>250</v>
      </c>
      <c r="L164">
        <f t="shared" si="19"/>
        <v>101</v>
      </c>
      <c r="M164" t="str">
        <f t="shared" si="20"/>
        <v>High</v>
      </c>
      <c r="N164" t="str">
        <f t="shared" si="21"/>
        <v>21%+</v>
      </c>
      <c r="O164" t="str">
        <f t="shared" si="22"/>
        <v>OK</v>
      </c>
      <c r="P164">
        <f>IFERROR(Full_Data!G164/Full_Data!H164,"Check data")</f>
        <v>1.196</v>
      </c>
      <c r="Q164" t="str">
        <f t="shared" si="23"/>
        <v>Match</v>
      </c>
      <c r="R164" t="str">
        <f t="shared" si="24"/>
        <v>Mismatch</v>
      </c>
      <c r="S164" t="str">
        <f t="shared" si="25"/>
        <v>Match</v>
      </c>
    </row>
    <row r="165" spans="1:19" x14ac:dyDescent="0.25">
      <c r="A165" t="s">
        <v>164</v>
      </c>
      <c r="B165">
        <v>7000</v>
      </c>
      <c r="C165">
        <f t="shared" si="26"/>
        <v>70</v>
      </c>
      <c r="D165">
        <v>14</v>
      </c>
      <c r="E165">
        <v>6</v>
      </c>
      <c r="F165">
        <v>6000</v>
      </c>
      <c r="G165">
        <f t="shared" si="18"/>
        <v>60</v>
      </c>
      <c r="H165">
        <v>50</v>
      </c>
      <c r="I165" s="4">
        <f>Full_Data[[#This Row],[Selling Price]]/Full_Data[[#This Row],[Weight (g)]]</f>
        <v>1.2</v>
      </c>
      <c r="J165" t="b">
        <v>0</v>
      </c>
      <c r="K165">
        <v>50</v>
      </c>
      <c r="L165">
        <f t="shared" si="19"/>
        <v>10</v>
      </c>
      <c r="M165" t="str">
        <f t="shared" si="20"/>
        <v>Medium</v>
      </c>
      <c r="N165" t="str">
        <f t="shared" si="21"/>
        <v>11-15%</v>
      </c>
      <c r="O165" t="str">
        <f t="shared" si="22"/>
        <v>OK</v>
      </c>
      <c r="P165">
        <f>IFERROR(Full_Data!G165/Full_Data!H165,"Check data")</f>
        <v>1.2</v>
      </c>
      <c r="Q165" t="str">
        <f t="shared" si="23"/>
        <v>Match</v>
      </c>
      <c r="R165" t="str">
        <f t="shared" si="24"/>
        <v>Mismatch</v>
      </c>
      <c r="S165" t="str">
        <f t="shared" si="25"/>
        <v>Match</v>
      </c>
    </row>
    <row r="166" spans="1:19" x14ac:dyDescent="0.25">
      <c r="A166" t="s">
        <v>165</v>
      </c>
      <c r="B166">
        <v>35000</v>
      </c>
      <c r="C166">
        <f t="shared" si="26"/>
        <v>350</v>
      </c>
      <c r="D166">
        <v>28</v>
      </c>
      <c r="E166">
        <v>6</v>
      </c>
      <c r="F166">
        <v>25100</v>
      </c>
      <c r="G166">
        <f t="shared" si="18"/>
        <v>251</v>
      </c>
      <c r="H166">
        <v>250</v>
      </c>
      <c r="I166" s="4">
        <f>Full_Data[[#This Row],[Selling Price]]/Full_Data[[#This Row],[Weight (g)]]</f>
        <v>1.004</v>
      </c>
      <c r="J166" t="b">
        <v>0</v>
      </c>
      <c r="K166">
        <v>250</v>
      </c>
      <c r="L166">
        <f t="shared" si="19"/>
        <v>99</v>
      </c>
      <c r="M166" t="str">
        <f t="shared" si="20"/>
        <v>High</v>
      </c>
      <c r="N166" t="str">
        <f t="shared" si="21"/>
        <v>21%+</v>
      </c>
      <c r="O166" t="str">
        <f t="shared" si="22"/>
        <v>OK</v>
      </c>
      <c r="P166">
        <f>IFERROR(Full_Data!G166/Full_Data!H166,"Check data")</f>
        <v>1.004</v>
      </c>
      <c r="Q166" t="str">
        <f t="shared" si="23"/>
        <v>Match</v>
      </c>
      <c r="R166" t="str">
        <f t="shared" si="24"/>
        <v>Mismatch</v>
      </c>
      <c r="S166" t="str">
        <f t="shared" si="25"/>
        <v>Match</v>
      </c>
    </row>
    <row r="167" spans="1:19" x14ac:dyDescent="0.25">
      <c r="A167" t="s">
        <v>166</v>
      </c>
      <c r="B167">
        <v>2500</v>
      </c>
      <c r="C167">
        <f t="shared" si="26"/>
        <v>25</v>
      </c>
      <c r="D167">
        <v>0</v>
      </c>
      <c r="E167">
        <v>4</v>
      </c>
      <c r="F167">
        <v>2500</v>
      </c>
      <c r="G167">
        <f t="shared" si="18"/>
        <v>25</v>
      </c>
      <c r="H167">
        <v>50</v>
      </c>
      <c r="I167" s="4">
        <f>Full_Data[[#This Row],[Selling Price]]/Full_Data[[#This Row],[Weight (g)]]</f>
        <v>0.5</v>
      </c>
      <c r="J167" t="b">
        <v>0</v>
      </c>
      <c r="K167">
        <v>50</v>
      </c>
      <c r="L167">
        <f t="shared" si="19"/>
        <v>0</v>
      </c>
      <c r="M167" t="str">
        <f t="shared" si="20"/>
        <v>Low</v>
      </c>
      <c r="N167" t="str">
        <f t="shared" si="21"/>
        <v>0-5%</v>
      </c>
      <c r="O167" t="str">
        <f t="shared" si="22"/>
        <v>OK</v>
      </c>
      <c r="P167">
        <f>IFERROR(Full_Data!G167/Full_Data!H167,"Check data")</f>
        <v>0.5</v>
      </c>
      <c r="Q167" t="str">
        <f t="shared" si="23"/>
        <v>Match</v>
      </c>
      <c r="R167" t="str">
        <f t="shared" si="24"/>
        <v>Match</v>
      </c>
      <c r="S167" t="str">
        <f t="shared" si="25"/>
        <v>Match</v>
      </c>
    </row>
    <row r="168" spans="1:19" x14ac:dyDescent="0.25">
      <c r="A168" t="s">
        <v>167</v>
      </c>
      <c r="B168">
        <v>23500</v>
      </c>
      <c r="C168">
        <f t="shared" si="26"/>
        <v>235</v>
      </c>
      <c r="D168">
        <v>9</v>
      </c>
      <c r="E168">
        <v>6</v>
      </c>
      <c r="F168">
        <v>21200</v>
      </c>
      <c r="G168">
        <f t="shared" si="18"/>
        <v>212</v>
      </c>
      <c r="H168">
        <v>500</v>
      </c>
      <c r="I168" s="4">
        <f>Full_Data[[#This Row],[Selling Price]]/Full_Data[[#This Row],[Weight (g)]]</f>
        <v>0.42399999999999999</v>
      </c>
      <c r="J168" t="b">
        <v>0</v>
      </c>
      <c r="K168">
        <v>500</v>
      </c>
      <c r="L168">
        <f t="shared" si="19"/>
        <v>23</v>
      </c>
      <c r="M168" t="str">
        <f t="shared" si="20"/>
        <v>High</v>
      </c>
      <c r="N168" t="str">
        <f t="shared" si="21"/>
        <v>6-10%</v>
      </c>
      <c r="O168" t="str">
        <f t="shared" si="22"/>
        <v>OK</v>
      </c>
      <c r="P168">
        <f>IFERROR(Full_Data!G168/Full_Data!H168,"Check data")</f>
        <v>0.42399999999999999</v>
      </c>
      <c r="Q168" t="str">
        <f t="shared" si="23"/>
        <v>Match</v>
      </c>
      <c r="R168" t="str">
        <f t="shared" si="24"/>
        <v>Mismatch</v>
      </c>
      <c r="S168" t="str">
        <f t="shared" si="25"/>
        <v>Mismatch</v>
      </c>
    </row>
    <row r="169" spans="1:19" x14ac:dyDescent="0.25">
      <c r="A169" t="s">
        <v>168</v>
      </c>
      <c r="B169">
        <v>8500</v>
      </c>
      <c r="C169">
        <f t="shared" si="26"/>
        <v>85</v>
      </c>
      <c r="D169">
        <v>9</v>
      </c>
      <c r="E169">
        <v>6</v>
      </c>
      <c r="F169">
        <v>7700</v>
      </c>
      <c r="G169">
        <f t="shared" si="18"/>
        <v>77</v>
      </c>
      <c r="H169">
        <v>500</v>
      </c>
      <c r="I169" s="4">
        <f>Full_Data[[#This Row],[Selling Price]]/Full_Data[[#This Row],[Weight (g)]]</f>
        <v>0.154</v>
      </c>
      <c r="J169" t="b">
        <v>0</v>
      </c>
      <c r="K169">
        <v>500</v>
      </c>
      <c r="L169">
        <f t="shared" si="19"/>
        <v>8</v>
      </c>
      <c r="M169" t="str">
        <f t="shared" si="20"/>
        <v>Medium</v>
      </c>
      <c r="N169" t="str">
        <f t="shared" si="21"/>
        <v>6-10%</v>
      </c>
      <c r="O169" t="str">
        <f t="shared" si="22"/>
        <v>OK</v>
      </c>
      <c r="P169">
        <f>IFERROR(Full_Data!G169/Full_Data!H169,"Check data")</f>
        <v>0.154</v>
      </c>
      <c r="Q169" t="str">
        <f t="shared" si="23"/>
        <v>Match</v>
      </c>
      <c r="R169" t="str">
        <f t="shared" si="24"/>
        <v>Mismatch</v>
      </c>
      <c r="S169" t="str">
        <f t="shared" si="25"/>
        <v>Match</v>
      </c>
    </row>
    <row r="170" spans="1:19" x14ac:dyDescent="0.25">
      <c r="A170" t="s">
        <v>160</v>
      </c>
      <c r="B170">
        <v>5200</v>
      </c>
      <c r="C170">
        <f t="shared" si="26"/>
        <v>52</v>
      </c>
      <c r="D170">
        <v>0</v>
      </c>
      <c r="E170">
        <v>4</v>
      </c>
      <c r="F170">
        <v>5200</v>
      </c>
      <c r="G170">
        <f t="shared" si="18"/>
        <v>52</v>
      </c>
      <c r="H170">
        <v>1000</v>
      </c>
      <c r="I170" s="4">
        <f>Full_Data[[#This Row],[Selling Price]]/Full_Data[[#This Row],[Weight (g)]]</f>
        <v>5.1999999999999998E-2</v>
      </c>
      <c r="J170" t="b">
        <v>0</v>
      </c>
      <c r="K170">
        <v>1</v>
      </c>
      <c r="L170">
        <f t="shared" si="19"/>
        <v>0</v>
      </c>
      <c r="M170" t="str">
        <f t="shared" si="20"/>
        <v>Medium</v>
      </c>
      <c r="N170" t="str">
        <f t="shared" si="21"/>
        <v>0-5%</v>
      </c>
      <c r="O170" t="str">
        <f t="shared" si="22"/>
        <v>OK</v>
      </c>
      <c r="P170">
        <f>IFERROR(Full_Data!G170/Full_Data!H170,"Check data")</f>
        <v>5.1999999999999998E-2</v>
      </c>
      <c r="Q170" t="str">
        <f t="shared" si="23"/>
        <v>Match</v>
      </c>
      <c r="R170" t="str">
        <f t="shared" si="24"/>
        <v>Match</v>
      </c>
      <c r="S170" t="str">
        <f t="shared" si="25"/>
        <v>Match</v>
      </c>
    </row>
    <row r="171" spans="1:19" x14ac:dyDescent="0.25">
      <c r="A171" t="s">
        <v>169</v>
      </c>
      <c r="B171">
        <v>4500</v>
      </c>
      <c r="C171">
        <f t="shared" si="26"/>
        <v>45</v>
      </c>
      <c r="D171">
        <v>2</v>
      </c>
      <c r="E171">
        <v>6</v>
      </c>
      <c r="F171">
        <v>4400</v>
      </c>
      <c r="G171">
        <f t="shared" si="18"/>
        <v>44</v>
      </c>
      <c r="H171">
        <v>100</v>
      </c>
      <c r="I171" s="4">
        <f>Full_Data[[#This Row],[Selling Price]]/Full_Data[[#This Row],[Weight (g)]]</f>
        <v>0.44</v>
      </c>
      <c r="J171" t="b">
        <v>0</v>
      </c>
      <c r="K171">
        <v>100</v>
      </c>
      <c r="L171">
        <f t="shared" si="19"/>
        <v>1</v>
      </c>
      <c r="M171" t="str">
        <f t="shared" si="20"/>
        <v>Low</v>
      </c>
      <c r="N171" t="str">
        <f t="shared" si="21"/>
        <v>0-5%</v>
      </c>
      <c r="O171" t="str">
        <f t="shared" si="22"/>
        <v>OK</v>
      </c>
      <c r="P171">
        <f>IFERROR(Full_Data!G171/Full_Data!H171,"Check data")</f>
        <v>0.44</v>
      </c>
      <c r="Q171" t="str">
        <f t="shared" si="23"/>
        <v>Match</v>
      </c>
      <c r="R171" t="str">
        <f t="shared" si="24"/>
        <v>Mismatch</v>
      </c>
      <c r="S171" t="str">
        <f t="shared" si="25"/>
        <v>Match</v>
      </c>
    </row>
    <row r="172" spans="1:19" x14ac:dyDescent="0.25">
      <c r="A172" t="s">
        <v>170</v>
      </c>
      <c r="B172">
        <v>3500</v>
      </c>
      <c r="C172">
        <f t="shared" si="26"/>
        <v>35</v>
      </c>
      <c r="D172">
        <v>2</v>
      </c>
      <c r="E172">
        <v>3</v>
      </c>
      <c r="F172">
        <v>3400</v>
      </c>
      <c r="G172">
        <f t="shared" si="18"/>
        <v>34</v>
      </c>
      <c r="H172">
        <v>500</v>
      </c>
      <c r="I172" s="4">
        <f>Full_Data[[#This Row],[Selling Price]]/Full_Data[[#This Row],[Weight (g)]]</f>
        <v>6.8000000000000005E-2</v>
      </c>
      <c r="J172" t="b">
        <v>0</v>
      </c>
      <c r="K172">
        <v>500</v>
      </c>
      <c r="L172">
        <f t="shared" si="19"/>
        <v>1</v>
      </c>
      <c r="M172" t="str">
        <f t="shared" si="20"/>
        <v>Low</v>
      </c>
      <c r="N172" t="str">
        <f t="shared" si="21"/>
        <v>0-5%</v>
      </c>
      <c r="O172" t="str">
        <f t="shared" si="22"/>
        <v>OK</v>
      </c>
      <c r="P172">
        <f>IFERROR(Full_Data!G172/Full_Data!H172,"Check data")</f>
        <v>6.8000000000000005E-2</v>
      </c>
      <c r="Q172" t="str">
        <f t="shared" si="23"/>
        <v>Match</v>
      </c>
      <c r="R172" t="str">
        <f t="shared" si="24"/>
        <v>Mismatch</v>
      </c>
      <c r="S172" t="str">
        <f t="shared" si="25"/>
        <v>Mismatch</v>
      </c>
    </row>
    <row r="173" spans="1:19" x14ac:dyDescent="0.25">
      <c r="A173" t="s">
        <v>171</v>
      </c>
      <c r="B173">
        <v>24500</v>
      </c>
      <c r="C173">
        <f t="shared" si="26"/>
        <v>245</v>
      </c>
      <c r="D173">
        <v>29</v>
      </c>
      <c r="E173">
        <v>6</v>
      </c>
      <c r="F173">
        <v>17200</v>
      </c>
      <c r="G173">
        <f t="shared" si="18"/>
        <v>172</v>
      </c>
      <c r="H173">
        <v>200</v>
      </c>
      <c r="I173" s="4">
        <f>Full_Data[[#This Row],[Selling Price]]/Full_Data[[#This Row],[Weight (g)]]</f>
        <v>0.86</v>
      </c>
      <c r="J173" t="b">
        <v>0</v>
      </c>
      <c r="K173">
        <v>200</v>
      </c>
      <c r="L173">
        <f t="shared" si="19"/>
        <v>73</v>
      </c>
      <c r="M173" t="str">
        <f t="shared" si="20"/>
        <v>Medium</v>
      </c>
      <c r="N173" t="str">
        <f t="shared" si="21"/>
        <v>21%+</v>
      </c>
      <c r="O173" t="str">
        <f t="shared" si="22"/>
        <v>OK</v>
      </c>
      <c r="P173">
        <f>IFERROR(Full_Data!G173/Full_Data!H173,"Check data")</f>
        <v>0.86</v>
      </c>
      <c r="Q173" t="str">
        <f t="shared" si="23"/>
        <v>Match</v>
      </c>
      <c r="R173" t="str">
        <f t="shared" si="24"/>
        <v>Mismatch</v>
      </c>
      <c r="S173" t="str">
        <f t="shared" si="25"/>
        <v>Mismatch</v>
      </c>
    </row>
    <row r="174" spans="1:19" x14ac:dyDescent="0.25">
      <c r="A174" t="s">
        <v>172</v>
      </c>
      <c r="B174">
        <v>10100</v>
      </c>
      <c r="C174">
        <f t="shared" si="26"/>
        <v>101</v>
      </c>
      <c r="D174">
        <v>6</v>
      </c>
      <c r="E174">
        <v>4</v>
      </c>
      <c r="F174">
        <v>9400</v>
      </c>
      <c r="G174">
        <f t="shared" si="18"/>
        <v>94</v>
      </c>
      <c r="H174">
        <v>500</v>
      </c>
      <c r="I174" s="4">
        <f>Full_Data[[#This Row],[Selling Price]]/Full_Data[[#This Row],[Weight (g)]]</f>
        <v>0.188</v>
      </c>
      <c r="J174" t="b">
        <v>0</v>
      </c>
      <c r="K174">
        <v>500</v>
      </c>
      <c r="L174">
        <f t="shared" si="19"/>
        <v>7</v>
      </c>
      <c r="M174" t="str">
        <f t="shared" si="20"/>
        <v>Medium</v>
      </c>
      <c r="N174" t="str">
        <f t="shared" si="21"/>
        <v>6-10%</v>
      </c>
      <c r="O174" t="str">
        <f t="shared" si="22"/>
        <v>OK</v>
      </c>
      <c r="P174">
        <f>IFERROR(Full_Data!G174/Full_Data!H174,"Check data")</f>
        <v>0.188</v>
      </c>
      <c r="Q174" t="str">
        <f t="shared" si="23"/>
        <v>Match</v>
      </c>
      <c r="R174" t="str">
        <f t="shared" si="24"/>
        <v>Mismatch</v>
      </c>
      <c r="S174" t="str">
        <f t="shared" si="25"/>
        <v>Mismatch</v>
      </c>
    </row>
    <row r="175" spans="1:19" x14ac:dyDescent="0.25">
      <c r="A175" t="s">
        <v>173</v>
      </c>
      <c r="B175">
        <v>32500</v>
      </c>
      <c r="C175">
        <f t="shared" si="26"/>
        <v>325</v>
      </c>
      <c r="D175">
        <v>12</v>
      </c>
      <c r="E175">
        <v>6</v>
      </c>
      <c r="F175">
        <v>28300</v>
      </c>
      <c r="G175">
        <f t="shared" si="18"/>
        <v>283</v>
      </c>
      <c r="H175">
        <v>250</v>
      </c>
      <c r="I175" s="4">
        <f>Full_Data[[#This Row],[Selling Price]]/Full_Data[[#This Row],[Weight (g)]]</f>
        <v>1.1319999999999999</v>
      </c>
      <c r="J175" t="b">
        <v>0</v>
      </c>
      <c r="K175">
        <v>250</v>
      </c>
      <c r="L175">
        <f t="shared" si="19"/>
        <v>42</v>
      </c>
      <c r="M175" t="str">
        <f t="shared" si="20"/>
        <v>High</v>
      </c>
      <c r="N175" t="str">
        <f t="shared" si="21"/>
        <v>11-15%</v>
      </c>
      <c r="O175" t="str">
        <f t="shared" si="22"/>
        <v>OK</v>
      </c>
      <c r="P175">
        <f>IFERROR(Full_Data!G175/Full_Data!H175,"Check data")</f>
        <v>1.1319999999999999</v>
      </c>
      <c r="Q175" t="str">
        <f t="shared" si="23"/>
        <v>Match</v>
      </c>
      <c r="R175" t="str">
        <f t="shared" si="24"/>
        <v>Mismatch</v>
      </c>
      <c r="S175" t="str">
        <f t="shared" si="25"/>
        <v>Mismatch</v>
      </c>
    </row>
    <row r="176" spans="1:19" x14ac:dyDescent="0.25">
      <c r="A176" t="s">
        <v>174</v>
      </c>
      <c r="B176">
        <v>6000</v>
      </c>
      <c r="C176">
        <f t="shared" si="26"/>
        <v>60</v>
      </c>
      <c r="D176">
        <v>10</v>
      </c>
      <c r="E176">
        <v>6</v>
      </c>
      <c r="F176">
        <v>5400</v>
      </c>
      <c r="G176">
        <f t="shared" si="18"/>
        <v>54</v>
      </c>
      <c r="H176">
        <v>500</v>
      </c>
      <c r="I176" s="4">
        <f>Full_Data[[#This Row],[Selling Price]]/Full_Data[[#This Row],[Weight (g)]]</f>
        <v>0.108</v>
      </c>
      <c r="J176" t="b">
        <v>0</v>
      </c>
      <c r="K176">
        <v>500</v>
      </c>
      <c r="L176">
        <f t="shared" si="19"/>
        <v>6</v>
      </c>
      <c r="M176" t="str">
        <f t="shared" si="20"/>
        <v>Medium</v>
      </c>
      <c r="N176" t="str">
        <f t="shared" si="21"/>
        <v>6-10%</v>
      </c>
      <c r="O176" t="str">
        <f t="shared" si="22"/>
        <v>OK</v>
      </c>
      <c r="P176">
        <f>IFERROR(Full_Data!G176/Full_Data!H176,"Check data")</f>
        <v>0.108</v>
      </c>
      <c r="Q176" t="str">
        <f t="shared" si="23"/>
        <v>Match</v>
      </c>
      <c r="R176" t="str">
        <f t="shared" si="24"/>
        <v>Match</v>
      </c>
      <c r="S176" t="str">
        <f t="shared" si="25"/>
        <v>Match</v>
      </c>
    </row>
    <row r="177" spans="1:19" x14ac:dyDescent="0.25">
      <c r="A177" t="s">
        <v>175</v>
      </c>
      <c r="B177">
        <v>13400</v>
      </c>
      <c r="C177">
        <f t="shared" si="26"/>
        <v>134</v>
      </c>
      <c r="D177">
        <v>6</v>
      </c>
      <c r="E177">
        <v>6</v>
      </c>
      <c r="F177">
        <v>12500</v>
      </c>
      <c r="G177">
        <f t="shared" si="18"/>
        <v>125</v>
      </c>
      <c r="H177">
        <v>500</v>
      </c>
      <c r="I177" s="4">
        <f>Full_Data[[#This Row],[Selling Price]]/Full_Data[[#This Row],[Weight (g)]]</f>
        <v>0.25</v>
      </c>
      <c r="J177" t="b">
        <v>0</v>
      </c>
      <c r="K177">
        <v>500</v>
      </c>
      <c r="L177">
        <f t="shared" si="19"/>
        <v>9</v>
      </c>
      <c r="M177" t="str">
        <f t="shared" si="20"/>
        <v>Medium</v>
      </c>
      <c r="N177" t="str">
        <f t="shared" si="21"/>
        <v>6-10%</v>
      </c>
      <c r="O177" t="str">
        <f t="shared" si="22"/>
        <v>OK</v>
      </c>
      <c r="P177">
        <f>IFERROR(Full_Data!G177/Full_Data!H177,"Check data")</f>
        <v>0.25</v>
      </c>
      <c r="Q177" t="str">
        <f t="shared" si="23"/>
        <v>Match</v>
      </c>
      <c r="R177" t="str">
        <f t="shared" si="24"/>
        <v>Mismatch</v>
      </c>
      <c r="S177" t="str">
        <f t="shared" si="25"/>
        <v>Mismatch</v>
      </c>
    </row>
    <row r="178" spans="1:19" x14ac:dyDescent="0.25">
      <c r="A178" t="s">
        <v>151</v>
      </c>
      <c r="B178">
        <v>4200</v>
      </c>
      <c r="C178">
        <f t="shared" si="26"/>
        <v>42</v>
      </c>
      <c r="D178">
        <v>2</v>
      </c>
      <c r="E178">
        <v>2</v>
      </c>
      <c r="F178">
        <v>4100</v>
      </c>
      <c r="G178">
        <f t="shared" si="18"/>
        <v>41</v>
      </c>
      <c r="H178">
        <v>50</v>
      </c>
      <c r="I178" s="4">
        <f>Full_Data[[#This Row],[Selling Price]]/Full_Data[[#This Row],[Weight (g)]]</f>
        <v>0.82</v>
      </c>
      <c r="J178" t="b">
        <v>0</v>
      </c>
      <c r="K178">
        <v>50</v>
      </c>
      <c r="L178">
        <f t="shared" si="19"/>
        <v>1</v>
      </c>
      <c r="M178" t="str">
        <f t="shared" si="20"/>
        <v>Low</v>
      </c>
      <c r="N178" t="str">
        <f t="shared" si="21"/>
        <v>0-5%</v>
      </c>
      <c r="O178" t="str">
        <f t="shared" si="22"/>
        <v>OK</v>
      </c>
      <c r="P178">
        <f>IFERROR(Full_Data!G178/Full_Data!H178,"Check data")</f>
        <v>0.82</v>
      </c>
      <c r="Q178" t="str">
        <f t="shared" si="23"/>
        <v>Match</v>
      </c>
      <c r="R178" t="str">
        <f t="shared" si="24"/>
        <v>Mismatch</v>
      </c>
      <c r="S178" t="str">
        <f t="shared" si="25"/>
        <v>Match</v>
      </c>
    </row>
    <row r="179" spans="1:19" x14ac:dyDescent="0.25">
      <c r="A179" t="s">
        <v>176</v>
      </c>
      <c r="B179">
        <v>7000</v>
      </c>
      <c r="C179">
        <f t="shared" si="26"/>
        <v>70</v>
      </c>
      <c r="D179">
        <v>14</v>
      </c>
      <c r="E179">
        <v>2</v>
      </c>
      <c r="F179">
        <v>6000</v>
      </c>
      <c r="G179">
        <f t="shared" si="18"/>
        <v>60</v>
      </c>
      <c r="H179">
        <v>100</v>
      </c>
      <c r="I179" s="4">
        <f>Full_Data[[#This Row],[Selling Price]]/Full_Data[[#This Row],[Weight (g)]]</f>
        <v>0.6</v>
      </c>
      <c r="J179" t="b">
        <v>0</v>
      </c>
      <c r="K179">
        <v>100</v>
      </c>
      <c r="L179">
        <f t="shared" si="19"/>
        <v>10</v>
      </c>
      <c r="M179" t="str">
        <f t="shared" si="20"/>
        <v>Medium</v>
      </c>
      <c r="N179" t="str">
        <f t="shared" si="21"/>
        <v>11-15%</v>
      </c>
      <c r="O179" t="str">
        <f t="shared" si="22"/>
        <v>OK</v>
      </c>
      <c r="P179">
        <f>IFERROR(Full_Data!G179/Full_Data!H179,"Check data")</f>
        <v>0.6</v>
      </c>
      <c r="Q179" t="str">
        <f t="shared" si="23"/>
        <v>Match</v>
      </c>
      <c r="R179" t="str">
        <f t="shared" si="24"/>
        <v>Mismatch</v>
      </c>
      <c r="S179" t="str">
        <f t="shared" si="25"/>
        <v>Match</v>
      </c>
    </row>
    <row r="180" spans="1:19" x14ac:dyDescent="0.25">
      <c r="A180" t="s">
        <v>177</v>
      </c>
      <c r="B180">
        <v>7000</v>
      </c>
      <c r="C180">
        <f t="shared" si="26"/>
        <v>70</v>
      </c>
      <c r="D180">
        <v>7</v>
      </c>
      <c r="E180">
        <v>2</v>
      </c>
      <c r="F180">
        <v>6500</v>
      </c>
      <c r="G180">
        <f t="shared" si="18"/>
        <v>65</v>
      </c>
      <c r="H180">
        <v>100</v>
      </c>
      <c r="I180" s="4">
        <f>Full_Data[[#This Row],[Selling Price]]/Full_Data[[#This Row],[Weight (g)]]</f>
        <v>0.65</v>
      </c>
      <c r="J180" t="b">
        <v>0</v>
      </c>
      <c r="K180">
        <v>100</v>
      </c>
      <c r="L180">
        <f t="shared" si="19"/>
        <v>5</v>
      </c>
      <c r="M180" t="str">
        <f t="shared" si="20"/>
        <v>Medium</v>
      </c>
      <c r="N180" t="str">
        <f t="shared" si="21"/>
        <v>6-10%</v>
      </c>
      <c r="O180" t="str">
        <f t="shared" si="22"/>
        <v>OK</v>
      </c>
      <c r="P180">
        <f>IFERROR(Full_Data!G180/Full_Data!H180,"Check data")</f>
        <v>0.65</v>
      </c>
      <c r="Q180" t="str">
        <f t="shared" si="23"/>
        <v>Match</v>
      </c>
      <c r="R180" t="str">
        <f t="shared" si="24"/>
        <v>Mismatch</v>
      </c>
      <c r="S180" t="str">
        <f t="shared" si="25"/>
        <v>Match</v>
      </c>
    </row>
    <row r="181" spans="1:19" x14ac:dyDescent="0.25">
      <c r="A181" t="s">
        <v>178</v>
      </c>
      <c r="B181">
        <v>13200</v>
      </c>
      <c r="C181">
        <f t="shared" si="26"/>
        <v>132</v>
      </c>
      <c r="D181">
        <v>3</v>
      </c>
      <c r="E181">
        <v>6</v>
      </c>
      <c r="F181">
        <v>12800</v>
      </c>
      <c r="G181">
        <f t="shared" si="18"/>
        <v>128</v>
      </c>
      <c r="H181">
        <v>400</v>
      </c>
      <c r="I181" s="4">
        <f>Full_Data[[#This Row],[Selling Price]]/Full_Data[[#This Row],[Weight (g)]]</f>
        <v>0.32</v>
      </c>
      <c r="J181" t="b">
        <v>0</v>
      </c>
      <c r="K181">
        <v>400</v>
      </c>
      <c r="L181">
        <f t="shared" si="19"/>
        <v>4</v>
      </c>
      <c r="M181" t="str">
        <f t="shared" si="20"/>
        <v>Medium</v>
      </c>
      <c r="N181" t="str">
        <f t="shared" si="21"/>
        <v>0-5%</v>
      </c>
      <c r="O181" t="str">
        <f t="shared" si="22"/>
        <v>OK</v>
      </c>
      <c r="P181">
        <f>IFERROR(Full_Data!G181/Full_Data!H181,"Check data")</f>
        <v>0.32</v>
      </c>
      <c r="Q181" t="str">
        <f t="shared" si="23"/>
        <v>Match</v>
      </c>
      <c r="R181" t="str">
        <f t="shared" si="24"/>
        <v>Mismatch</v>
      </c>
      <c r="S181" t="str">
        <f t="shared" si="25"/>
        <v>Match</v>
      </c>
    </row>
    <row r="182" spans="1:19" x14ac:dyDescent="0.25">
      <c r="A182" t="s">
        <v>179</v>
      </c>
      <c r="B182">
        <v>6500</v>
      </c>
      <c r="C182">
        <f t="shared" si="26"/>
        <v>65</v>
      </c>
      <c r="D182">
        <v>9</v>
      </c>
      <c r="E182">
        <v>6</v>
      </c>
      <c r="F182">
        <v>5900</v>
      </c>
      <c r="G182">
        <f t="shared" si="18"/>
        <v>59</v>
      </c>
      <c r="H182">
        <v>1000</v>
      </c>
      <c r="I182" s="4">
        <f>Full_Data[[#This Row],[Selling Price]]/Full_Data[[#This Row],[Weight (g)]]</f>
        <v>5.8999999999999997E-2</v>
      </c>
      <c r="J182" t="b">
        <v>0</v>
      </c>
      <c r="K182">
        <v>1</v>
      </c>
      <c r="L182">
        <f t="shared" si="19"/>
        <v>6</v>
      </c>
      <c r="M182" t="str">
        <f t="shared" si="20"/>
        <v>Medium</v>
      </c>
      <c r="N182" t="str">
        <f t="shared" si="21"/>
        <v>6-10%</v>
      </c>
      <c r="O182" t="str">
        <f t="shared" si="22"/>
        <v>OK</v>
      </c>
      <c r="P182">
        <f>IFERROR(Full_Data!G182/Full_Data!H182,"Check data")</f>
        <v>5.8999999999999997E-2</v>
      </c>
      <c r="Q182" t="str">
        <f t="shared" si="23"/>
        <v>Match</v>
      </c>
      <c r="R182" t="str">
        <f t="shared" si="24"/>
        <v>Mismatch</v>
      </c>
      <c r="S182" t="str">
        <f t="shared" si="25"/>
        <v>Match</v>
      </c>
    </row>
    <row r="183" spans="1:19" x14ac:dyDescent="0.25">
      <c r="A183" t="s">
        <v>180</v>
      </c>
      <c r="B183">
        <v>26000</v>
      </c>
      <c r="C183">
        <f t="shared" si="26"/>
        <v>260</v>
      </c>
      <c r="D183">
        <v>20</v>
      </c>
      <c r="E183">
        <v>6</v>
      </c>
      <c r="F183">
        <v>20800</v>
      </c>
      <c r="G183">
        <f t="shared" si="18"/>
        <v>208</v>
      </c>
      <c r="H183">
        <v>1000</v>
      </c>
      <c r="I183" s="4">
        <f>Full_Data[[#This Row],[Selling Price]]/Full_Data[[#This Row],[Weight (g)]]</f>
        <v>0.20799999999999999</v>
      </c>
      <c r="J183" t="b">
        <v>0</v>
      </c>
      <c r="K183">
        <v>1</v>
      </c>
      <c r="L183">
        <f t="shared" si="19"/>
        <v>52</v>
      </c>
      <c r="M183" t="str">
        <f t="shared" si="20"/>
        <v>High</v>
      </c>
      <c r="N183" t="str">
        <f t="shared" si="21"/>
        <v>16-20%</v>
      </c>
      <c r="O183" t="str">
        <f t="shared" si="22"/>
        <v>OK</v>
      </c>
      <c r="P183">
        <f>IFERROR(Full_Data!G183/Full_Data!H183,"Check data")</f>
        <v>0.20799999999999999</v>
      </c>
      <c r="Q183" t="str">
        <f t="shared" si="23"/>
        <v>Match</v>
      </c>
      <c r="R183" t="str">
        <f t="shared" si="24"/>
        <v>Match</v>
      </c>
      <c r="S183" t="str">
        <f t="shared" si="25"/>
        <v>Match</v>
      </c>
    </row>
    <row r="184" spans="1:19" x14ac:dyDescent="0.25">
      <c r="A184" t="s">
        <v>181</v>
      </c>
      <c r="B184">
        <v>9900</v>
      </c>
      <c r="C184">
        <f t="shared" si="26"/>
        <v>99</v>
      </c>
      <c r="D184">
        <v>10</v>
      </c>
      <c r="E184">
        <v>6</v>
      </c>
      <c r="F184">
        <v>8900</v>
      </c>
      <c r="G184">
        <f t="shared" si="18"/>
        <v>89</v>
      </c>
      <c r="H184">
        <v>200</v>
      </c>
      <c r="I184" s="4">
        <f>Full_Data[[#This Row],[Selling Price]]/Full_Data[[#This Row],[Weight (g)]]</f>
        <v>0.44500000000000001</v>
      </c>
      <c r="J184" t="b">
        <v>0</v>
      </c>
      <c r="K184">
        <v>200</v>
      </c>
      <c r="L184">
        <f t="shared" si="19"/>
        <v>10</v>
      </c>
      <c r="M184" t="str">
        <f t="shared" si="20"/>
        <v>Medium</v>
      </c>
      <c r="N184" t="str">
        <f t="shared" si="21"/>
        <v>6-10%</v>
      </c>
      <c r="O184" t="str">
        <f t="shared" si="22"/>
        <v>OK</v>
      </c>
      <c r="P184">
        <f>IFERROR(Full_Data!G184/Full_Data!H184,"Check data")</f>
        <v>0.44500000000000001</v>
      </c>
      <c r="Q184" t="str">
        <f t="shared" si="23"/>
        <v>Match</v>
      </c>
      <c r="R184" t="str">
        <f t="shared" si="24"/>
        <v>Mismatch</v>
      </c>
      <c r="S184" t="str">
        <f t="shared" si="25"/>
        <v>Match</v>
      </c>
    </row>
    <row r="185" spans="1:19" x14ac:dyDescent="0.25">
      <c r="A185" t="s">
        <v>182</v>
      </c>
      <c r="B185">
        <v>6500</v>
      </c>
      <c r="C185">
        <f t="shared" si="26"/>
        <v>65</v>
      </c>
      <c r="D185">
        <v>10</v>
      </c>
      <c r="E185">
        <v>3</v>
      </c>
      <c r="F185">
        <v>5800</v>
      </c>
      <c r="G185">
        <f t="shared" si="18"/>
        <v>58</v>
      </c>
      <c r="H185">
        <v>500</v>
      </c>
      <c r="I185" s="4">
        <f>Full_Data[[#This Row],[Selling Price]]/Full_Data[[#This Row],[Weight (g)]]</f>
        <v>0.11600000000000001</v>
      </c>
      <c r="J185" t="b">
        <v>0</v>
      </c>
      <c r="K185">
        <v>500</v>
      </c>
      <c r="L185">
        <f t="shared" si="19"/>
        <v>7</v>
      </c>
      <c r="M185" t="str">
        <f t="shared" si="20"/>
        <v>Medium</v>
      </c>
      <c r="N185" t="str">
        <f t="shared" si="21"/>
        <v>6-10%</v>
      </c>
      <c r="O185" t="str">
        <f t="shared" si="22"/>
        <v>OK</v>
      </c>
      <c r="P185">
        <f>IFERROR(Full_Data!G185/Full_Data!H185,"Check data")</f>
        <v>0.11600000000000001</v>
      </c>
      <c r="Q185" t="str">
        <f t="shared" si="23"/>
        <v>Match</v>
      </c>
      <c r="R185" t="str">
        <f t="shared" si="24"/>
        <v>Mismatch</v>
      </c>
      <c r="S185" t="str">
        <f t="shared" si="25"/>
        <v>Mismatch</v>
      </c>
    </row>
    <row r="186" spans="1:19" x14ac:dyDescent="0.25">
      <c r="A186" t="s">
        <v>183</v>
      </c>
      <c r="B186">
        <v>13500</v>
      </c>
      <c r="C186">
        <f t="shared" si="26"/>
        <v>135</v>
      </c>
      <c r="D186">
        <v>7</v>
      </c>
      <c r="E186">
        <v>1</v>
      </c>
      <c r="F186">
        <v>12500</v>
      </c>
      <c r="G186">
        <f t="shared" si="18"/>
        <v>125</v>
      </c>
      <c r="H186">
        <v>500</v>
      </c>
      <c r="I186" s="4">
        <f>Full_Data[[#This Row],[Selling Price]]/Full_Data[[#This Row],[Weight (g)]]</f>
        <v>0.25</v>
      </c>
      <c r="J186" t="b">
        <v>0</v>
      </c>
      <c r="K186">
        <v>500</v>
      </c>
      <c r="L186">
        <f t="shared" si="19"/>
        <v>10</v>
      </c>
      <c r="M186" t="str">
        <f t="shared" si="20"/>
        <v>Medium</v>
      </c>
      <c r="N186" t="str">
        <f t="shared" si="21"/>
        <v>6-10%</v>
      </c>
      <c r="O186" t="str">
        <f t="shared" si="22"/>
        <v>OK</v>
      </c>
      <c r="P186">
        <f>IFERROR(Full_Data!G186/Full_Data!H186,"Check data")</f>
        <v>0.25</v>
      </c>
      <c r="Q186" t="str">
        <f t="shared" si="23"/>
        <v>Match</v>
      </c>
      <c r="R186" t="str">
        <f t="shared" si="24"/>
        <v>Mismatch</v>
      </c>
      <c r="S186" t="str">
        <f t="shared" si="25"/>
        <v>Match</v>
      </c>
    </row>
    <row r="187" spans="1:19" x14ac:dyDescent="0.25">
      <c r="A187" t="s">
        <v>184</v>
      </c>
      <c r="B187">
        <v>9000</v>
      </c>
      <c r="C187">
        <f t="shared" si="26"/>
        <v>90</v>
      </c>
      <c r="D187">
        <v>10</v>
      </c>
      <c r="E187">
        <v>2</v>
      </c>
      <c r="F187">
        <v>8100</v>
      </c>
      <c r="G187">
        <f t="shared" si="18"/>
        <v>81</v>
      </c>
      <c r="H187">
        <v>50</v>
      </c>
      <c r="I187" s="4">
        <f>Full_Data[[#This Row],[Selling Price]]/Full_Data[[#This Row],[Weight (g)]]</f>
        <v>1.62</v>
      </c>
      <c r="J187" t="b">
        <v>0</v>
      </c>
      <c r="K187">
        <v>50</v>
      </c>
      <c r="L187">
        <f t="shared" si="19"/>
        <v>9</v>
      </c>
      <c r="M187" t="str">
        <f t="shared" si="20"/>
        <v>Medium</v>
      </c>
      <c r="N187" t="str">
        <f t="shared" si="21"/>
        <v>6-10%</v>
      </c>
      <c r="O187" t="str">
        <f t="shared" si="22"/>
        <v>OK</v>
      </c>
      <c r="P187">
        <f>IFERROR(Full_Data!G187/Full_Data!H187,"Check data")</f>
        <v>1.62</v>
      </c>
      <c r="Q187" t="str">
        <f t="shared" si="23"/>
        <v>Match</v>
      </c>
      <c r="R187" t="str">
        <f t="shared" si="24"/>
        <v>Match</v>
      </c>
      <c r="S187" t="str">
        <f t="shared" si="25"/>
        <v>Match</v>
      </c>
    </row>
    <row r="188" spans="1:19" x14ac:dyDescent="0.25">
      <c r="A188" t="s">
        <v>185</v>
      </c>
      <c r="B188">
        <v>13500</v>
      </c>
      <c r="C188">
        <f t="shared" si="26"/>
        <v>135</v>
      </c>
      <c r="D188">
        <v>14</v>
      </c>
      <c r="E188">
        <v>6</v>
      </c>
      <c r="F188">
        <v>11500</v>
      </c>
      <c r="G188">
        <f t="shared" si="18"/>
        <v>115</v>
      </c>
      <c r="H188">
        <v>100</v>
      </c>
      <c r="I188" s="4">
        <f>Full_Data[[#This Row],[Selling Price]]/Full_Data[[#This Row],[Weight (g)]]</f>
        <v>1.1499999999999999</v>
      </c>
      <c r="J188" t="b">
        <v>0</v>
      </c>
      <c r="K188">
        <v>100</v>
      </c>
      <c r="L188">
        <f t="shared" si="19"/>
        <v>20</v>
      </c>
      <c r="M188" t="str">
        <f t="shared" si="20"/>
        <v>Medium</v>
      </c>
      <c r="N188" t="str">
        <f t="shared" si="21"/>
        <v>11-15%</v>
      </c>
      <c r="O188" t="str">
        <f t="shared" si="22"/>
        <v>OK</v>
      </c>
      <c r="P188">
        <f>IFERROR(Full_Data!G188/Full_Data!H188,"Check data")</f>
        <v>1.1499999999999999</v>
      </c>
      <c r="Q188" t="str">
        <f t="shared" si="23"/>
        <v>Match</v>
      </c>
      <c r="R188" t="str">
        <f t="shared" si="24"/>
        <v>Mismatch</v>
      </c>
      <c r="S188" t="str">
        <f t="shared" si="25"/>
        <v>Mismatch</v>
      </c>
    </row>
    <row r="189" spans="1:19" x14ac:dyDescent="0.25">
      <c r="A189" t="s">
        <v>186</v>
      </c>
      <c r="B189">
        <v>15000</v>
      </c>
      <c r="C189">
        <f t="shared" si="26"/>
        <v>150</v>
      </c>
      <c r="D189">
        <v>10</v>
      </c>
      <c r="E189">
        <v>4</v>
      </c>
      <c r="F189">
        <v>13400</v>
      </c>
      <c r="G189">
        <f t="shared" si="18"/>
        <v>134</v>
      </c>
      <c r="H189">
        <v>1000</v>
      </c>
      <c r="I189" s="4">
        <f>Full_Data[[#This Row],[Selling Price]]/Full_Data[[#This Row],[Weight (g)]]</f>
        <v>0.13400000000000001</v>
      </c>
      <c r="J189" t="b">
        <v>0</v>
      </c>
      <c r="K189">
        <v>1</v>
      </c>
      <c r="L189">
        <f t="shared" si="19"/>
        <v>16</v>
      </c>
      <c r="M189" t="str">
        <f t="shared" si="20"/>
        <v>Medium</v>
      </c>
      <c r="N189" t="str">
        <f t="shared" si="21"/>
        <v>6-10%</v>
      </c>
      <c r="O189" t="str">
        <f t="shared" si="22"/>
        <v>OK</v>
      </c>
      <c r="P189">
        <f>IFERROR(Full_Data!G189/Full_Data!H189,"Check data")</f>
        <v>0.13400000000000001</v>
      </c>
      <c r="Q189" t="str">
        <f t="shared" si="23"/>
        <v>Match</v>
      </c>
      <c r="R189" t="str">
        <f t="shared" si="24"/>
        <v>Mismatch</v>
      </c>
      <c r="S189" t="str">
        <f t="shared" si="25"/>
        <v>Mismatch</v>
      </c>
    </row>
    <row r="190" spans="1:19" x14ac:dyDescent="0.25">
      <c r="A190" t="s">
        <v>187</v>
      </c>
      <c r="B190">
        <v>9500</v>
      </c>
      <c r="C190">
        <f t="shared" si="26"/>
        <v>95</v>
      </c>
      <c r="D190">
        <v>7</v>
      </c>
      <c r="E190">
        <v>5</v>
      </c>
      <c r="F190">
        <v>8800</v>
      </c>
      <c r="G190">
        <f t="shared" si="18"/>
        <v>88</v>
      </c>
      <c r="H190">
        <v>500</v>
      </c>
      <c r="I190" s="4">
        <f>Full_Data[[#This Row],[Selling Price]]/Full_Data[[#This Row],[Weight (g)]]</f>
        <v>0.17599999999999999</v>
      </c>
      <c r="J190" t="b">
        <v>0</v>
      </c>
      <c r="K190">
        <v>500</v>
      </c>
      <c r="L190">
        <f t="shared" si="19"/>
        <v>7</v>
      </c>
      <c r="M190" t="str">
        <f t="shared" si="20"/>
        <v>Medium</v>
      </c>
      <c r="N190" t="str">
        <f t="shared" si="21"/>
        <v>6-10%</v>
      </c>
      <c r="O190" t="str">
        <f t="shared" si="22"/>
        <v>OK</v>
      </c>
      <c r="P190">
        <f>IFERROR(Full_Data!G190/Full_Data!H190,"Check data")</f>
        <v>0.17599999999999999</v>
      </c>
      <c r="Q190" t="str">
        <f t="shared" si="23"/>
        <v>Match</v>
      </c>
      <c r="R190" t="str">
        <f t="shared" si="24"/>
        <v>Mismatch</v>
      </c>
      <c r="S190" t="str">
        <f t="shared" si="25"/>
        <v>Match</v>
      </c>
    </row>
    <row r="191" spans="1:19" x14ac:dyDescent="0.25">
      <c r="A191" t="s">
        <v>138</v>
      </c>
      <c r="B191">
        <v>19900</v>
      </c>
      <c r="C191">
        <f t="shared" si="26"/>
        <v>199</v>
      </c>
      <c r="D191">
        <v>7</v>
      </c>
      <c r="E191">
        <v>6</v>
      </c>
      <c r="F191">
        <v>18400</v>
      </c>
      <c r="G191">
        <f t="shared" si="18"/>
        <v>184</v>
      </c>
      <c r="H191">
        <v>1000</v>
      </c>
      <c r="I191" s="4">
        <f>Full_Data[[#This Row],[Selling Price]]/Full_Data[[#This Row],[Weight (g)]]</f>
        <v>0.184</v>
      </c>
      <c r="J191" t="b">
        <v>0</v>
      </c>
      <c r="K191">
        <v>1</v>
      </c>
      <c r="L191">
        <f t="shared" si="19"/>
        <v>15</v>
      </c>
      <c r="M191" t="str">
        <f t="shared" si="20"/>
        <v>Medium</v>
      </c>
      <c r="N191" t="str">
        <f t="shared" si="21"/>
        <v>6-10%</v>
      </c>
      <c r="O191" t="str">
        <f t="shared" si="22"/>
        <v>OK</v>
      </c>
      <c r="P191">
        <f>IFERROR(Full_Data!G191/Full_Data!H191,"Check data")</f>
        <v>0.184</v>
      </c>
      <c r="Q191" t="str">
        <f t="shared" si="23"/>
        <v>Match</v>
      </c>
      <c r="R191" t="str">
        <f t="shared" si="24"/>
        <v>Mismatch</v>
      </c>
      <c r="S191" t="str">
        <f t="shared" si="25"/>
        <v>Mismatch</v>
      </c>
    </row>
    <row r="192" spans="1:19" x14ac:dyDescent="0.25">
      <c r="A192" t="s">
        <v>188</v>
      </c>
      <c r="B192">
        <v>48500</v>
      </c>
      <c r="C192">
        <f t="shared" si="26"/>
        <v>485</v>
      </c>
      <c r="D192">
        <v>7</v>
      </c>
      <c r="E192">
        <v>6</v>
      </c>
      <c r="F192">
        <v>44900</v>
      </c>
      <c r="G192">
        <f t="shared" si="18"/>
        <v>449</v>
      </c>
      <c r="H192">
        <v>2000</v>
      </c>
      <c r="I192" s="4">
        <f>Full_Data[[#This Row],[Selling Price]]/Full_Data[[#This Row],[Weight (g)]]</f>
        <v>0.22450000000000001</v>
      </c>
      <c r="J192" t="b">
        <v>0</v>
      </c>
      <c r="K192">
        <v>2</v>
      </c>
      <c r="L192">
        <f t="shared" si="19"/>
        <v>36</v>
      </c>
      <c r="M192" t="str">
        <f t="shared" si="20"/>
        <v>High</v>
      </c>
      <c r="N192" t="str">
        <f t="shared" si="21"/>
        <v>6-10%</v>
      </c>
      <c r="O192" t="str">
        <f t="shared" si="22"/>
        <v>OK</v>
      </c>
      <c r="P192">
        <f>IFERROR(Full_Data!G192/Full_Data!H192,"Check data")</f>
        <v>0.22450000000000001</v>
      </c>
      <c r="Q192" t="str">
        <f t="shared" si="23"/>
        <v>Match</v>
      </c>
      <c r="R192" t="str">
        <f t="shared" si="24"/>
        <v>Mismatch</v>
      </c>
      <c r="S192" t="str">
        <f t="shared" si="25"/>
        <v>Match</v>
      </c>
    </row>
    <row r="193" spans="1:19" x14ac:dyDescent="0.25">
      <c r="A193" t="s">
        <v>189</v>
      </c>
      <c r="B193">
        <v>21000</v>
      </c>
      <c r="C193">
        <f t="shared" si="26"/>
        <v>210</v>
      </c>
      <c r="D193">
        <v>0</v>
      </c>
      <c r="E193">
        <v>4</v>
      </c>
      <c r="F193">
        <v>21000</v>
      </c>
      <c r="G193">
        <f t="shared" si="18"/>
        <v>210</v>
      </c>
      <c r="H193">
        <v>400</v>
      </c>
      <c r="I193" s="4">
        <f>Full_Data[[#This Row],[Selling Price]]/Full_Data[[#This Row],[Weight (g)]]</f>
        <v>0.52500000000000002</v>
      </c>
      <c r="J193" t="b">
        <v>0</v>
      </c>
      <c r="K193">
        <v>400</v>
      </c>
      <c r="L193">
        <f t="shared" si="19"/>
        <v>0</v>
      </c>
      <c r="M193" t="str">
        <f t="shared" si="20"/>
        <v>High</v>
      </c>
      <c r="N193" t="str">
        <f t="shared" si="21"/>
        <v>0-5%</v>
      </c>
      <c r="O193" t="str">
        <f t="shared" si="22"/>
        <v>OK</v>
      </c>
      <c r="P193">
        <f>IFERROR(Full_Data!G193/Full_Data!H193,"Check data")</f>
        <v>0.52500000000000002</v>
      </c>
      <c r="Q193" t="str">
        <f t="shared" si="23"/>
        <v>Match</v>
      </c>
      <c r="R193" t="str">
        <f t="shared" si="24"/>
        <v>Match</v>
      </c>
      <c r="S193" t="str">
        <f t="shared" si="25"/>
        <v>Match</v>
      </c>
    </row>
    <row r="194" spans="1:19" x14ac:dyDescent="0.25">
      <c r="A194" t="s">
        <v>190</v>
      </c>
      <c r="B194">
        <v>7500</v>
      </c>
      <c r="C194">
        <f t="shared" si="26"/>
        <v>75</v>
      </c>
      <c r="D194">
        <v>8</v>
      </c>
      <c r="E194">
        <v>1</v>
      </c>
      <c r="F194">
        <v>6900</v>
      </c>
      <c r="G194">
        <f t="shared" ref="G194:G257" si="27">F194/100</f>
        <v>69</v>
      </c>
      <c r="H194">
        <v>500</v>
      </c>
      <c r="I194" s="4">
        <f>Full_Data[[#This Row],[Selling Price]]/Full_Data[[#This Row],[Weight (g)]]</f>
        <v>0.13800000000000001</v>
      </c>
      <c r="J194" t="b">
        <v>0</v>
      </c>
      <c r="K194">
        <v>500</v>
      </c>
      <c r="L194">
        <f t="shared" ref="L194:L257" si="28">C194-G194</f>
        <v>6</v>
      </c>
      <c r="M194" t="str">
        <f t="shared" ref="M194:M257" si="29">IF(G194&lt;50,"Low",IF(G194&lt;200,"Medium","High"))</f>
        <v>Medium</v>
      </c>
      <c r="N194" t="str">
        <f t="shared" ref="N194:N257" si="30">IF(D194&lt;=5,"0-5%",
IF(D194&lt;=10,"6-10%",
IF(D194&lt;=15,"11-15%",
IF(D194&lt;=20,"16-20%","21%+"))))</f>
        <v>6-10%</v>
      </c>
      <c r="O194" t="str">
        <f t="shared" ref="O194:O257" si="31">IF(AND(C194=0,G194=0),"Review: Zero MRP and selling price",IF(C194&lt;=0,"Review: Invalid MRP",IF(G194&lt;0,"Review: Negative selling price",IF(G194=0,"Review: Zero selling price",IF(H194&lt;=0,"Review: Invalid weight","OK")))))</f>
        <v>OK</v>
      </c>
      <c r="P194">
        <f>IFERROR(Full_Data!G194/Full_Data!H194,"Check data")</f>
        <v>0.13800000000000001</v>
      </c>
      <c r="Q194" t="str">
        <f t="shared" ref="Q194:Q257" si="32">IF(OR(H194="",H194&lt;=0),"Invalid weight",IF(G194="","Missing selling price",IF(ROUND(G194/H194,2)=ROUND(I194,2),"Match","Mismatch")))</f>
        <v>Match</v>
      </c>
      <c r="R194" t="str">
        <f t="shared" ref="R194:R257" si="33">IF(OR(C194&lt;=0,G194=""),"Check data",IF(ROUND((C194-G194)/C194*100,2)=ROUND(D194,2),"Match","Mismatch"))</f>
        <v>Match</v>
      </c>
      <c r="S194" t="str">
        <f t="shared" ref="S194:S257" si="34">IF(OR(C194&lt;=0,G194=""),"Check data",IF(ROUND((C194-G194)/C194*100,0)=D194,"Match","Mismatch"))</f>
        <v>Match</v>
      </c>
    </row>
    <row r="195" spans="1:19" x14ac:dyDescent="0.25">
      <c r="A195" t="s">
        <v>191</v>
      </c>
      <c r="B195">
        <v>9800</v>
      </c>
      <c r="C195">
        <f t="shared" ref="C195:C258" si="35">B195/100</f>
        <v>98</v>
      </c>
      <c r="D195">
        <v>9</v>
      </c>
      <c r="E195">
        <v>5</v>
      </c>
      <c r="F195">
        <v>8900</v>
      </c>
      <c r="G195">
        <f t="shared" si="27"/>
        <v>89</v>
      </c>
      <c r="H195">
        <v>100</v>
      </c>
      <c r="I195" s="4">
        <f>Full_Data[[#This Row],[Selling Price]]/Full_Data[[#This Row],[Weight (g)]]</f>
        <v>0.89</v>
      </c>
      <c r="J195" t="b">
        <v>0</v>
      </c>
      <c r="K195">
        <v>100</v>
      </c>
      <c r="L195">
        <f t="shared" si="28"/>
        <v>9</v>
      </c>
      <c r="M195" t="str">
        <f t="shared" si="29"/>
        <v>Medium</v>
      </c>
      <c r="N195" t="str">
        <f t="shared" si="30"/>
        <v>6-10%</v>
      </c>
      <c r="O195" t="str">
        <f t="shared" si="31"/>
        <v>OK</v>
      </c>
      <c r="P195">
        <f>IFERROR(Full_Data!G195/Full_Data!H195,"Check data")</f>
        <v>0.89</v>
      </c>
      <c r="Q195" t="str">
        <f t="shared" si="32"/>
        <v>Match</v>
      </c>
      <c r="R195" t="str">
        <f t="shared" si="33"/>
        <v>Mismatch</v>
      </c>
      <c r="S195" t="str">
        <f t="shared" si="34"/>
        <v>Match</v>
      </c>
    </row>
    <row r="196" spans="1:19" x14ac:dyDescent="0.25">
      <c r="A196" t="s">
        <v>192</v>
      </c>
      <c r="B196">
        <v>9400</v>
      </c>
      <c r="C196">
        <f t="shared" si="35"/>
        <v>94</v>
      </c>
      <c r="D196">
        <v>4</v>
      </c>
      <c r="E196">
        <v>6</v>
      </c>
      <c r="F196">
        <v>9000</v>
      </c>
      <c r="G196">
        <f t="shared" si="27"/>
        <v>90</v>
      </c>
      <c r="H196">
        <v>500</v>
      </c>
      <c r="I196" s="4">
        <f>Full_Data[[#This Row],[Selling Price]]/Full_Data[[#This Row],[Weight (g)]]</f>
        <v>0.18</v>
      </c>
      <c r="J196" t="b">
        <v>0</v>
      </c>
      <c r="K196">
        <v>500</v>
      </c>
      <c r="L196">
        <f t="shared" si="28"/>
        <v>4</v>
      </c>
      <c r="M196" t="str">
        <f t="shared" si="29"/>
        <v>Medium</v>
      </c>
      <c r="N196" t="str">
        <f t="shared" si="30"/>
        <v>0-5%</v>
      </c>
      <c r="O196" t="str">
        <f t="shared" si="31"/>
        <v>OK</v>
      </c>
      <c r="P196">
        <f>IFERROR(Full_Data!G196/Full_Data!H196,"Check data")</f>
        <v>0.18</v>
      </c>
      <c r="Q196" t="str">
        <f t="shared" si="32"/>
        <v>Match</v>
      </c>
      <c r="R196" t="str">
        <f t="shared" si="33"/>
        <v>Mismatch</v>
      </c>
      <c r="S196" t="str">
        <f t="shared" si="34"/>
        <v>Match</v>
      </c>
    </row>
    <row r="197" spans="1:19" x14ac:dyDescent="0.25">
      <c r="A197" t="s">
        <v>193</v>
      </c>
      <c r="B197">
        <v>3000</v>
      </c>
      <c r="C197">
        <f t="shared" si="35"/>
        <v>30</v>
      </c>
      <c r="D197">
        <v>6</v>
      </c>
      <c r="E197">
        <v>6</v>
      </c>
      <c r="F197">
        <v>2800</v>
      </c>
      <c r="G197">
        <f t="shared" si="27"/>
        <v>28</v>
      </c>
      <c r="H197">
        <v>500</v>
      </c>
      <c r="I197" s="4">
        <f>Full_Data[[#This Row],[Selling Price]]/Full_Data[[#This Row],[Weight (g)]]</f>
        <v>5.6000000000000001E-2</v>
      </c>
      <c r="J197" t="b">
        <v>0</v>
      </c>
      <c r="K197">
        <v>500</v>
      </c>
      <c r="L197">
        <f t="shared" si="28"/>
        <v>2</v>
      </c>
      <c r="M197" t="str">
        <f t="shared" si="29"/>
        <v>Low</v>
      </c>
      <c r="N197" t="str">
        <f t="shared" si="30"/>
        <v>6-10%</v>
      </c>
      <c r="O197" t="str">
        <f t="shared" si="31"/>
        <v>OK</v>
      </c>
      <c r="P197">
        <f>IFERROR(Full_Data!G197/Full_Data!H197,"Check data")</f>
        <v>5.6000000000000001E-2</v>
      </c>
      <c r="Q197" t="str">
        <f t="shared" si="32"/>
        <v>Match</v>
      </c>
      <c r="R197" t="str">
        <f t="shared" si="33"/>
        <v>Mismatch</v>
      </c>
      <c r="S197" t="str">
        <f t="shared" si="34"/>
        <v>Mismatch</v>
      </c>
    </row>
    <row r="198" spans="1:19" x14ac:dyDescent="0.25">
      <c r="A198" t="s">
        <v>194</v>
      </c>
      <c r="B198">
        <v>9500</v>
      </c>
      <c r="C198">
        <f t="shared" si="35"/>
        <v>95</v>
      </c>
      <c r="D198">
        <v>9</v>
      </c>
      <c r="E198">
        <v>6</v>
      </c>
      <c r="F198">
        <v>8600</v>
      </c>
      <c r="G198">
        <f t="shared" si="27"/>
        <v>86</v>
      </c>
      <c r="H198">
        <v>200</v>
      </c>
      <c r="I198" s="4">
        <f>Full_Data[[#This Row],[Selling Price]]/Full_Data[[#This Row],[Weight (g)]]</f>
        <v>0.43</v>
      </c>
      <c r="J198" t="b">
        <v>0</v>
      </c>
      <c r="K198">
        <v>200</v>
      </c>
      <c r="L198">
        <f t="shared" si="28"/>
        <v>9</v>
      </c>
      <c r="M198" t="str">
        <f t="shared" si="29"/>
        <v>Medium</v>
      </c>
      <c r="N198" t="str">
        <f t="shared" si="30"/>
        <v>6-10%</v>
      </c>
      <c r="O198" t="str">
        <f t="shared" si="31"/>
        <v>OK</v>
      </c>
      <c r="P198">
        <f>IFERROR(Full_Data!G198/Full_Data!H198,"Check data")</f>
        <v>0.43</v>
      </c>
      <c r="Q198" t="str">
        <f t="shared" si="32"/>
        <v>Match</v>
      </c>
      <c r="R198" t="str">
        <f t="shared" si="33"/>
        <v>Mismatch</v>
      </c>
      <c r="S198" t="str">
        <f t="shared" si="34"/>
        <v>Match</v>
      </c>
    </row>
    <row r="199" spans="1:19" x14ac:dyDescent="0.25">
      <c r="A199" t="s">
        <v>195</v>
      </c>
      <c r="B199">
        <v>6000</v>
      </c>
      <c r="C199">
        <f t="shared" si="35"/>
        <v>60</v>
      </c>
      <c r="D199">
        <v>28</v>
      </c>
      <c r="E199">
        <v>3</v>
      </c>
      <c r="F199">
        <v>4300</v>
      </c>
      <c r="G199">
        <f t="shared" si="27"/>
        <v>43</v>
      </c>
      <c r="H199">
        <v>260</v>
      </c>
      <c r="I199" s="4">
        <f>Full_Data[[#This Row],[Selling Price]]/Full_Data[[#This Row],[Weight (g)]]</f>
        <v>0.16538461538461538</v>
      </c>
      <c r="J199" t="b">
        <v>0</v>
      </c>
      <c r="K199">
        <v>260</v>
      </c>
      <c r="L199">
        <f t="shared" si="28"/>
        <v>17</v>
      </c>
      <c r="M199" t="str">
        <f t="shared" si="29"/>
        <v>Low</v>
      </c>
      <c r="N199" t="str">
        <f t="shared" si="30"/>
        <v>21%+</v>
      </c>
      <c r="O199" t="str">
        <f t="shared" si="31"/>
        <v>OK</v>
      </c>
      <c r="P199">
        <f>IFERROR(Full_Data!G199/Full_Data!H199,"Check data")</f>
        <v>0.16538461538461538</v>
      </c>
      <c r="Q199" t="str">
        <f t="shared" si="32"/>
        <v>Match</v>
      </c>
      <c r="R199" t="str">
        <f t="shared" si="33"/>
        <v>Mismatch</v>
      </c>
      <c r="S199" t="str">
        <f t="shared" si="34"/>
        <v>Match</v>
      </c>
    </row>
    <row r="200" spans="1:19" x14ac:dyDescent="0.25">
      <c r="A200" t="s">
        <v>196</v>
      </c>
      <c r="B200">
        <v>16000</v>
      </c>
      <c r="C200">
        <f t="shared" si="35"/>
        <v>160</v>
      </c>
      <c r="D200">
        <v>50</v>
      </c>
      <c r="E200">
        <v>6</v>
      </c>
      <c r="F200">
        <v>8000</v>
      </c>
      <c r="G200">
        <f t="shared" si="27"/>
        <v>80</v>
      </c>
      <c r="H200">
        <v>500</v>
      </c>
      <c r="I200" s="4">
        <f>Full_Data[[#This Row],[Selling Price]]/Full_Data[[#This Row],[Weight (g)]]</f>
        <v>0.16</v>
      </c>
      <c r="J200" t="b">
        <v>0</v>
      </c>
      <c r="K200">
        <v>500</v>
      </c>
      <c r="L200">
        <f t="shared" si="28"/>
        <v>80</v>
      </c>
      <c r="M200" t="str">
        <f t="shared" si="29"/>
        <v>Medium</v>
      </c>
      <c r="N200" t="str">
        <f t="shared" si="30"/>
        <v>21%+</v>
      </c>
      <c r="O200" t="str">
        <f t="shared" si="31"/>
        <v>OK</v>
      </c>
      <c r="P200">
        <f>IFERROR(Full_Data!G200/Full_Data!H200,"Check data")</f>
        <v>0.16</v>
      </c>
      <c r="Q200" t="str">
        <f t="shared" si="32"/>
        <v>Match</v>
      </c>
      <c r="R200" t="str">
        <f t="shared" si="33"/>
        <v>Match</v>
      </c>
      <c r="S200" t="str">
        <f t="shared" si="34"/>
        <v>Match</v>
      </c>
    </row>
    <row r="201" spans="1:19" x14ac:dyDescent="0.25">
      <c r="A201" t="s">
        <v>197</v>
      </c>
      <c r="B201">
        <v>2500</v>
      </c>
      <c r="C201">
        <f t="shared" si="35"/>
        <v>25</v>
      </c>
      <c r="D201">
        <v>20</v>
      </c>
      <c r="E201">
        <v>6</v>
      </c>
      <c r="F201">
        <v>2000</v>
      </c>
      <c r="G201">
        <f t="shared" si="27"/>
        <v>20</v>
      </c>
      <c r="H201">
        <v>60</v>
      </c>
      <c r="I201" s="4">
        <f>Full_Data[[#This Row],[Selling Price]]/Full_Data[[#This Row],[Weight (g)]]</f>
        <v>0.33333333333333331</v>
      </c>
      <c r="J201" t="b">
        <v>0</v>
      </c>
      <c r="K201">
        <v>60</v>
      </c>
      <c r="L201">
        <f t="shared" si="28"/>
        <v>5</v>
      </c>
      <c r="M201" t="str">
        <f t="shared" si="29"/>
        <v>Low</v>
      </c>
      <c r="N201" t="str">
        <f t="shared" si="30"/>
        <v>16-20%</v>
      </c>
      <c r="O201" t="str">
        <f t="shared" si="31"/>
        <v>OK</v>
      </c>
      <c r="P201">
        <f>IFERROR(Full_Data!G201/Full_Data!H201,"Check data")</f>
        <v>0.33333333333333331</v>
      </c>
      <c r="Q201" t="str">
        <f t="shared" si="32"/>
        <v>Match</v>
      </c>
      <c r="R201" t="str">
        <f t="shared" si="33"/>
        <v>Match</v>
      </c>
      <c r="S201" t="str">
        <f t="shared" si="34"/>
        <v>Match</v>
      </c>
    </row>
    <row r="202" spans="1:19" x14ac:dyDescent="0.25">
      <c r="A202" t="s">
        <v>198</v>
      </c>
      <c r="B202">
        <v>11300</v>
      </c>
      <c r="C202">
        <f t="shared" si="35"/>
        <v>113</v>
      </c>
      <c r="D202">
        <v>10</v>
      </c>
      <c r="E202">
        <v>5</v>
      </c>
      <c r="F202">
        <v>10100</v>
      </c>
      <c r="G202">
        <f t="shared" si="27"/>
        <v>101</v>
      </c>
      <c r="H202">
        <v>200</v>
      </c>
      <c r="I202" s="4">
        <f>Full_Data[[#This Row],[Selling Price]]/Full_Data[[#This Row],[Weight (g)]]</f>
        <v>0.505</v>
      </c>
      <c r="J202" t="b">
        <v>0</v>
      </c>
      <c r="K202">
        <v>200</v>
      </c>
      <c r="L202">
        <f t="shared" si="28"/>
        <v>12</v>
      </c>
      <c r="M202" t="str">
        <f t="shared" si="29"/>
        <v>Medium</v>
      </c>
      <c r="N202" t="str">
        <f t="shared" si="30"/>
        <v>6-10%</v>
      </c>
      <c r="O202" t="str">
        <f t="shared" si="31"/>
        <v>OK</v>
      </c>
      <c r="P202">
        <f>IFERROR(Full_Data!G202/Full_Data!H202,"Check data")</f>
        <v>0.505</v>
      </c>
      <c r="Q202" t="str">
        <f t="shared" si="32"/>
        <v>Match</v>
      </c>
      <c r="R202" t="str">
        <f t="shared" si="33"/>
        <v>Mismatch</v>
      </c>
      <c r="S202" t="str">
        <f t="shared" si="34"/>
        <v>Mismatch</v>
      </c>
    </row>
    <row r="203" spans="1:19" x14ac:dyDescent="0.25">
      <c r="A203" t="s">
        <v>199</v>
      </c>
      <c r="B203">
        <v>11000</v>
      </c>
      <c r="C203">
        <f t="shared" si="35"/>
        <v>110</v>
      </c>
      <c r="D203">
        <v>4</v>
      </c>
      <c r="E203">
        <v>6</v>
      </c>
      <c r="F203">
        <v>10500</v>
      </c>
      <c r="G203">
        <f t="shared" si="27"/>
        <v>105</v>
      </c>
      <c r="H203">
        <v>250</v>
      </c>
      <c r="I203" s="4">
        <f>Full_Data[[#This Row],[Selling Price]]/Full_Data[[#This Row],[Weight (g)]]</f>
        <v>0.42</v>
      </c>
      <c r="J203" t="b">
        <v>0</v>
      </c>
      <c r="K203">
        <v>500</v>
      </c>
      <c r="L203">
        <f t="shared" si="28"/>
        <v>5</v>
      </c>
      <c r="M203" t="str">
        <f t="shared" si="29"/>
        <v>Medium</v>
      </c>
      <c r="N203" t="str">
        <f t="shared" si="30"/>
        <v>0-5%</v>
      </c>
      <c r="O203" t="str">
        <f t="shared" si="31"/>
        <v>OK</v>
      </c>
      <c r="P203">
        <f>IFERROR(Full_Data!G203/Full_Data!H203,"Check data")</f>
        <v>0.42</v>
      </c>
      <c r="Q203" t="str">
        <f t="shared" si="32"/>
        <v>Match</v>
      </c>
      <c r="R203" t="str">
        <f t="shared" si="33"/>
        <v>Mismatch</v>
      </c>
      <c r="S203" t="str">
        <f t="shared" si="34"/>
        <v>Mismatch</v>
      </c>
    </row>
    <row r="204" spans="1:19" x14ac:dyDescent="0.25">
      <c r="A204" t="s">
        <v>200</v>
      </c>
      <c r="B204">
        <v>25000</v>
      </c>
      <c r="C204">
        <f t="shared" si="35"/>
        <v>250</v>
      </c>
      <c r="D204">
        <v>0</v>
      </c>
      <c r="E204">
        <v>3</v>
      </c>
      <c r="F204">
        <v>25000</v>
      </c>
      <c r="G204">
        <f t="shared" si="27"/>
        <v>250</v>
      </c>
      <c r="H204">
        <v>500</v>
      </c>
      <c r="I204" s="4">
        <f>Full_Data[[#This Row],[Selling Price]]/Full_Data[[#This Row],[Weight (g)]]</f>
        <v>0.5</v>
      </c>
      <c r="J204" t="b">
        <v>0</v>
      </c>
      <c r="K204">
        <v>500</v>
      </c>
      <c r="L204">
        <f t="shared" si="28"/>
        <v>0</v>
      </c>
      <c r="M204" t="str">
        <f t="shared" si="29"/>
        <v>High</v>
      </c>
      <c r="N204" t="str">
        <f t="shared" si="30"/>
        <v>0-5%</v>
      </c>
      <c r="O204" t="str">
        <f t="shared" si="31"/>
        <v>OK</v>
      </c>
      <c r="P204">
        <f>IFERROR(Full_Data!G204/Full_Data!H204,"Check data")</f>
        <v>0.5</v>
      </c>
      <c r="Q204" t="str">
        <f t="shared" si="32"/>
        <v>Match</v>
      </c>
      <c r="R204" t="str">
        <f t="shared" si="33"/>
        <v>Match</v>
      </c>
      <c r="S204" t="str">
        <f t="shared" si="34"/>
        <v>Match</v>
      </c>
    </row>
    <row r="205" spans="1:19" x14ac:dyDescent="0.25">
      <c r="A205" t="s">
        <v>201</v>
      </c>
      <c r="B205">
        <v>13500</v>
      </c>
      <c r="C205">
        <f t="shared" si="35"/>
        <v>135</v>
      </c>
      <c r="D205">
        <v>0</v>
      </c>
      <c r="E205">
        <v>2</v>
      </c>
      <c r="F205">
        <v>13500</v>
      </c>
      <c r="G205">
        <f t="shared" si="27"/>
        <v>135</v>
      </c>
      <c r="H205">
        <v>500</v>
      </c>
      <c r="I205" s="4">
        <f>Full_Data[[#This Row],[Selling Price]]/Full_Data[[#This Row],[Weight (g)]]</f>
        <v>0.27</v>
      </c>
      <c r="J205" t="b">
        <v>0</v>
      </c>
      <c r="K205">
        <v>500</v>
      </c>
      <c r="L205">
        <f t="shared" si="28"/>
        <v>0</v>
      </c>
      <c r="M205" t="str">
        <f t="shared" si="29"/>
        <v>Medium</v>
      </c>
      <c r="N205" t="str">
        <f t="shared" si="30"/>
        <v>0-5%</v>
      </c>
      <c r="O205" t="str">
        <f t="shared" si="31"/>
        <v>OK</v>
      </c>
      <c r="P205">
        <f>IFERROR(Full_Data!G205/Full_Data!H205,"Check data")</f>
        <v>0.27</v>
      </c>
      <c r="Q205" t="str">
        <f t="shared" si="32"/>
        <v>Match</v>
      </c>
      <c r="R205" t="str">
        <f t="shared" si="33"/>
        <v>Match</v>
      </c>
      <c r="S205" t="str">
        <f t="shared" si="34"/>
        <v>Match</v>
      </c>
    </row>
    <row r="206" spans="1:19" x14ac:dyDescent="0.25">
      <c r="A206" t="s">
        <v>202</v>
      </c>
      <c r="B206">
        <v>3700</v>
      </c>
      <c r="C206">
        <f t="shared" si="35"/>
        <v>37</v>
      </c>
      <c r="D206">
        <v>0</v>
      </c>
      <c r="E206">
        <v>6</v>
      </c>
      <c r="F206">
        <v>3700</v>
      </c>
      <c r="G206">
        <f t="shared" si="27"/>
        <v>37</v>
      </c>
      <c r="H206">
        <v>100</v>
      </c>
      <c r="I206" s="4">
        <f>Full_Data[[#This Row],[Selling Price]]/Full_Data[[#This Row],[Weight (g)]]</f>
        <v>0.37</v>
      </c>
      <c r="J206" t="b">
        <v>0</v>
      </c>
      <c r="K206">
        <v>100</v>
      </c>
      <c r="L206">
        <f t="shared" si="28"/>
        <v>0</v>
      </c>
      <c r="M206" t="str">
        <f t="shared" si="29"/>
        <v>Low</v>
      </c>
      <c r="N206" t="str">
        <f t="shared" si="30"/>
        <v>0-5%</v>
      </c>
      <c r="O206" t="str">
        <f t="shared" si="31"/>
        <v>OK</v>
      </c>
      <c r="P206">
        <f>IFERROR(Full_Data!G206/Full_Data!H206,"Check data")</f>
        <v>0.37</v>
      </c>
      <c r="Q206" t="str">
        <f t="shared" si="32"/>
        <v>Match</v>
      </c>
      <c r="R206" t="str">
        <f t="shared" si="33"/>
        <v>Match</v>
      </c>
      <c r="S206" t="str">
        <f t="shared" si="34"/>
        <v>Match</v>
      </c>
    </row>
    <row r="207" spans="1:19" x14ac:dyDescent="0.25">
      <c r="A207" t="s">
        <v>203</v>
      </c>
      <c r="B207">
        <v>18000</v>
      </c>
      <c r="C207">
        <f t="shared" si="35"/>
        <v>180</v>
      </c>
      <c r="D207">
        <v>1</v>
      </c>
      <c r="E207">
        <v>5</v>
      </c>
      <c r="F207">
        <v>17800</v>
      </c>
      <c r="G207">
        <f t="shared" si="27"/>
        <v>178</v>
      </c>
      <c r="H207">
        <v>1000</v>
      </c>
      <c r="I207" s="4">
        <f>Full_Data[[#This Row],[Selling Price]]/Full_Data[[#This Row],[Weight (g)]]</f>
        <v>0.17799999999999999</v>
      </c>
      <c r="J207" t="b">
        <v>0</v>
      </c>
      <c r="K207">
        <v>200</v>
      </c>
      <c r="L207">
        <f t="shared" si="28"/>
        <v>2</v>
      </c>
      <c r="M207" t="str">
        <f t="shared" si="29"/>
        <v>Medium</v>
      </c>
      <c r="N207" t="str">
        <f t="shared" si="30"/>
        <v>0-5%</v>
      </c>
      <c r="O207" t="str">
        <f t="shared" si="31"/>
        <v>OK</v>
      </c>
      <c r="P207">
        <f>IFERROR(Full_Data!G207/Full_Data!H207,"Check data")</f>
        <v>0.17799999999999999</v>
      </c>
      <c r="Q207" t="str">
        <f t="shared" si="32"/>
        <v>Match</v>
      </c>
      <c r="R207" t="str">
        <f t="shared" si="33"/>
        <v>Mismatch</v>
      </c>
      <c r="S207" t="str">
        <f t="shared" si="34"/>
        <v>Match</v>
      </c>
    </row>
    <row r="208" spans="1:19" x14ac:dyDescent="0.25">
      <c r="A208" t="s">
        <v>204</v>
      </c>
      <c r="B208">
        <v>6400</v>
      </c>
      <c r="C208">
        <f t="shared" si="35"/>
        <v>64</v>
      </c>
      <c r="D208">
        <v>0</v>
      </c>
      <c r="E208">
        <v>5</v>
      </c>
      <c r="F208">
        <v>6400</v>
      </c>
      <c r="G208">
        <f t="shared" si="27"/>
        <v>64</v>
      </c>
      <c r="H208">
        <v>500</v>
      </c>
      <c r="I208" s="4">
        <f>Full_Data[[#This Row],[Selling Price]]/Full_Data[[#This Row],[Weight (g)]]</f>
        <v>0.128</v>
      </c>
      <c r="J208" t="b">
        <v>0</v>
      </c>
      <c r="K208">
        <v>500</v>
      </c>
      <c r="L208">
        <f t="shared" si="28"/>
        <v>0</v>
      </c>
      <c r="M208" t="str">
        <f t="shared" si="29"/>
        <v>Medium</v>
      </c>
      <c r="N208" t="str">
        <f t="shared" si="30"/>
        <v>0-5%</v>
      </c>
      <c r="O208" t="str">
        <f t="shared" si="31"/>
        <v>OK</v>
      </c>
      <c r="P208">
        <f>IFERROR(Full_Data!G208/Full_Data!H208,"Check data")</f>
        <v>0.128</v>
      </c>
      <c r="Q208" t="str">
        <f t="shared" si="32"/>
        <v>Match</v>
      </c>
      <c r="R208" t="str">
        <f t="shared" si="33"/>
        <v>Match</v>
      </c>
      <c r="S208" t="str">
        <f t="shared" si="34"/>
        <v>Match</v>
      </c>
    </row>
    <row r="209" spans="1:19" x14ac:dyDescent="0.25">
      <c r="A209" t="s">
        <v>205</v>
      </c>
      <c r="B209">
        <v>5000</v>
      </c>
      <c r="C209">
        <f t="shared" si="35"/>
        <v>50</v>
      </c>
      <c r="D209">
        <v>0</v>
      </c>
      <c r="E209">
        <v>2</v>
      </c>
      <c r="F209">
        <v>5000</v>
      </c>
      <c r="G209">
        <f t="shared" si="27"/>
        <v>50</v>
      </c>
      <c r="H209">
        <v>200</v>
      </c>
      <c r="I209" s="4">
        <f>Full_Data[[#This Row],[Selling Price]]/Full_Data[[#This Row],[Weight (g)]]</f>
        <v>0.25</v>
      </c>
      <c r="J209" t="b">
        <v>0</v>
      </c>
      <c r="K209">
        <v>200</v>
      </c>
      <c r="L209">
        <f t="shared" si="28"/>
        <v>0</v>
      </c>
      <c r="M209" t="str">
        <f t="shared" si="29"/>
        <v>Medium</v>
      </c>
      <c r="N209" t="str">
        <f t="shared" si="30"/>
        <v>0-5%</v>
      </c>
      <c r="O209" t="str">
        <f t="shared" si="31"/>
        <v>OK</v>
      </c>
      <c r="P209">
        <f>IFERROR(Full_Data!G209/Full_Data!H209,"Check data")</f>
        <v>0.25</v>
      </c>
      <c r="Q209" t="str">
        <f t="shared" si="32"/>
        <v>Match</v>
      </c>
      <c r="R209" t="str">
        <f t="shared" si="33"/>
        <v>Match</v>
      </c>
      <c r="S209" t="str">
        <f t="shared" si="34"/>
        <v>Match</v>
      </c>
    </row>
    <row r="210" spans="1:19" x14ac:dyDescent="0.25">
      <c r="A210" t="s">
        <v>206</v>
      </c>
      <c r="B210">
        <v>8000</v>
      </c>
      <c r="C210">
        <f t="shared" si="35"/>
        <v>80</v>
      </c>
      <c r="D210">
        <v>10</v>
      </c>
      <c r="E210">
        <v>6</v>
      </c>
      <c r="F210">
        <v>7200</v>
      </c>
      <c r="G210">
        <f t="shared" si="27"/>
        <v>72</v>
      </c>
      <c r="H210">
        <v>500</v>
      </c>
      <c r="I210" s="4">
        <f>Full_Data[[#This Row],[Selling Price]]/Full_Data[[#This Row],[Weight (g)]]</f>
        <v>0.14399999999999999</v>
      </c>
      <c r="J210" t="b">
        <v>0</v>
      </c>
      <c r="K210">
        <v>500</v>
      </c>
      <c r="L210">
        <f t="shared" si="28"/>
        <v>8</v>
      </c>
      <c r="M210" t="str">
        <f t="shared" si="29"/>
        <v>Medium</v>
      </c>
      <c r="N210" t="str">
        <f t="shared" si="30"/>
        <v>6-10%</v>
      </c>
      <c r="O210" t="str">
        <f t="shared" si="31"/>
        <v>OK</v>
      </c>
      <c r="P210">
        <f>IFERROR(Full_Data!G210/Full_Data!H210,"Check data")</f>
        <v>0.14399999999999999</v>
      </c>
      <c r="Q210" t="str">
        <f t="shared" si="32"/>
        <v>Match</v>
      </c>
      <c r="R210" t="str">
        <f t="shared" si="33"/>
        <v>Match</v>
      </c>
      <c r="S210" t="str">
        <f t="shared" si="34"/>
        <v>Match</v>
      </c>
    </row>
    <row r="211" spans="1:19" x14ac:dyDescent="0.25">
      <c r="A211" t="s">
        <v>207</v>
      </c>
      <c r="B211">
        <v>20000</v>
      </c>
      <c r="C211">
        <f t="shared" si="35"/>
        <v>200</v>
      </c>
      <c r="D211">
        <v>1</v>
      </c>
      <c r="E211">
        <v>6</v>
      </c>
      <c r="F211">
        <v>19800</v>
      </c>
      <c r="G211">
        <f t="shared" si="27"/>
        <v>198</v>
      </c>
      <c r="H211">
        <v>50</v>
      </c>
      <c r="I211" s="4">
        <f>Full_Data[[#This Row],[Selling Price]]/Full_Data[[#This Row],[Weight (g)]]</f>
        <v>3.96</v>
      </c>
      <c r="J211" t="b">
        <v>0</v>
      </c>
      <c r="K211">
        <v>50</v>
      </c>
      <c r="L211">
        <f t="shared" si="28"/>
        <v>2</v>
      </c>
      <c r="M211" t="str">
        <f t="shared" si="29"/>
        <v>Medium</v>
      </c>
      <c r="N211" t="str">
        <f t="shared" si="30"/>
        <v>0-5%</v>
      </c>
      <c r="O211" t="str">
        <f t="shared" si="31"/>
        <v>OK</v>
      </c>
      <c r="P211">
        <f>IFERROR(Full_Data!G211/Full_Data!H211,"Check data")</f>
        <v>3.96</v>
      </c>
      <c r="Q211" t="str">
        <f t="shared" si="32"/>
        <v>Match</v>
      </c>
      <c r="R211" t="str">
        <f t="shared" si="33"/>
        <v>Match</v>
      </c>
      <c r="S211" t="str">
        <f t="shared" si="34"/>
        <v>Match</v>
      </c>
    </row>
    <row r="212" spans="1:19" x14ac:dyDescent="0.25">
      <c r="A212" t="s">
        <v>208</v>
      </c>
      <c r="B212">
        <v>9500</v>
      </c>
      <c r="C212">
        <f t="shared" si="35"/>
        <v>95</v>
      </c>
      <c r="D212">
        <v>0</v>
      </c>
      <c r="E212">
        <v>1</v>
      </c>
      <c r="F212">
        <v>9500</v>
      </c>
      <c r="G212">
        <f t="shared" si="27"/>
        <v>95</v>
      </c>
      <c r="H212">
        <v>200</v>
      </c>
      <c r="I212" s="4">
        <f>Full_Data[[#This Row],[Selling Price]]/Full_Data[[#This Row],[Weight (g)]]</f>
        <v>0.47499999999999998</v>
      </c>
      <c r="J212" t="b">
        <v>0</v>
      </c>
      <c r="K212">
        <v>200</v>
      </c>
      <c r="L212">
        <f t="shared" si="28"/>
        <v>0</v>
      </c>
      <c r="M212" t="str">
        <f t="shared" si="29"/>
        <v>Medium</v>
      </c>
      <c r="N212" t="str">
        <f t="shared" si="30"/>
        <v>0-5%</v>
      </c>
      <c r="O212" t="str">
        <f t="shared" si="31"/>
        <v>OK</v>
      </c>
      <c r="P212">
        <f>IFERROR(Full_Data!G212/Full_Data!H212,"Check data")</f>
        <v>0.47499999999999998</v>
      </c>
      <c r="Q212" t="str">
        <f t="shared" si="32"/>
        <v>Match</v>
      </c>
      <c r="R212" t="str">
        <f t="shared" si="33"/>
        <v>Match</v>
      </c>
      <c r="S212" t="str">
        <f t="shared" si="34"/>
        <v>Match</v>
      </c>
    </row>
    <row r="213" spans="1:19" x14ac:dyDescent="0.25">
      <c r="A213" t="s">
        <v>209</v>
      </c>
      <c r="B213">
        <v>19000</v>
      </c>
      <c r="C213">
        <f t="shared" si="35"/>
        <v>190</v>
      </c>
      <c r="D213">
        <v>11</v>
      </c>
      <c r="E213">
        <v>4</v>
      </c>
      <c r="F213">
        <v>16900</v>
      </c>
      <c r="G213">
        <f t="shared" si="27"/>
        <v>169</v>
      </c>
      <c r="H213">
        <v>100</v>
      </c>
      <c r="I213" s="4">
        <f>Full_Data[[#This Row],[Selling Price]]/Full_Data[[#This Row],[Weight (g)]]</f>
        <v>1.69</v>
      </c>
      <c r="J213" t="b">
        <v>0</v>
      </c>
      <c r="K213">
        <v>100</v>
      </c>
      <c r="L213">
        <f t="shared" si="28"/>
        <v>21</v>
      </c>
      <c r="M213" t="str">
        <f t="shared" si="29"/>
        <v>Medium</v>
      </c>
      <c r="N213" t="str">
        <f t="shared" si="30"/>
        <v>11-15%</v>
      </c>
      <c r="O213" t="str">
        <f t="shared" si="31"/>
        <v>OK</v>
      </c>
      <c r="P213">
        <f>IFERROR(Full_Data!G213/Full_Data!H213,"Check data")</f>
        <v>1.69</v>
      </c>
      <c r="Q213" t="str">
        <f t="shared" si="32"/>
        <v>Match</v>
      </c>
      <c r="R213" t="str">
        <f t="shared" si="33"/>
        <v>Mismatch</v>
      </c>
      <c r="S213" t="str">
        <f t="shared" si="34"/>
        <v>Match</v>
      </c>
    </row>
    <row r="214" spans="1:19" x14ac:dyDescent="0.25">
      <c r="A214" t="s">
        <v>210</v>
      </c>
      <c r="B214">
        <v>2000</v>
      </c>
      <c r="C214">
        <f t="shared" si="35"/>
        <v>20</v>
      </c>
      <c r="D214">
        <v>0</v>
      </c>
      <c r="E214">
        <v>2</v>
      </c>
      <c r="F214">
        <v>2000</v>
      </c>
      <c r="G214">
        <f t="shared" si="27"/>
        <v>20</v>
      </c>
      <c r="H214">
        <v>100</v>
      </c>
      <c r="I214" s="4">
        <f>Full_Data[[#This Row],[Selling Price]]/Full_Data[[#This Row],[Weight (g)]]</f>
        <v>0.2</v>
      </c>
      <c r="J214" t="b">
        <v>0</v>
      </c>
      <c r="K214">
        <v>100</v>
      </c>
      <c r="L214">
        <f t="shared" si="28"/>
        <v>0</v>
      </c>
      <c r="M214" t="str">
        <f t="shared" si="29"/>
        <v>Low</v>
      </c>
      <c r="N214" t="str">
        <f t="shared" si="30"/>
        <v>0-5%</v>
      </c>
      <c r="O214" t="str">
        <f t="shared" si="31"/>
        <v>OK</v>
      </c>
      <c r="P214">
        <f>IFERROR(Full_Data!G214/Full_Data!H214,"Check data")</f>
        <v>0.2</v>
      </c>
      <c r="Q214" t="str">
        <f t="shared" si="32"/>
        <v>Match</v>
      </c>
      <c r="R214" t="str">
        <f t="shared" si="33"/>
        <v>Match</v>
      </c>
      <c r="S214" t="str">
        <f t="shared" si="34"/>
        <v>Match</v>
      </c>
    </row>
    <row r="215" spans="1:19" x14ac:dyDescent="0.25">
      <c r="A215" t="s">
        <v>211</v>
      </c>
      <c r="B215">
        <v>3300</v>
      </c>
      <c r="C215">
        <f t="shared" si="35"/>
        <v>33</v>
      </c>
      <c r="D215">
        <v>3</v>
      </c>
      <c r="E215">
        <v>6</v>
      </c>
      <c r="F215">
        <v>3200</v>
      </c>
      <c r="G215">
        <f t="shared" si="27"/>
        <v>32</v>
      </c>
      <c r="H215">
        <v>100</v>
      </c>
      <c r="I215" s="4">
        <f>Full_Data[[#This Row],[Selling Price]]/Full_Data[[#This Row],[Weight (g)]]</f>
        <v>0.32</v>
      </c>
      <c r="J215" t="b">
        <v>0</v>
      </c>
      <c r="K215">
        <v>100</v>
      </c>
      <c r="L215">
        <f t="shared" si="28"/>
        <v>1</v>
      </c>
      <c r="M215" t="str">
        <f t="shared" si="29"/>
        <v>Low</v>
      </c>
      <c r="N215" t="str">
        <f t="shared" si="30"/>
        <v>0-5%</v>
      </c>
      <c r="O215" t="str">
        <f t="shared" si="31"/>
        <v>OK</v>
      </c>
      <c r="P215">
        <f>IFERROR(Full_Data!G215/Full_Data!H215,"Check data")</f>
        <v>0.32</v>
      </c>
      <c r="Q215" t="str">
        <f t="shared" si="32"/>
        <v>Match</v>
      </c>
      <c r="R215" t="str">
        <f t="shared" si="33"/>
        <v>Mismatch</v>
      </c>
      <c r="S215" t="str">
        <f t="shared" si="34"/>
        <v>Match</v>
      </c>
    </row>
    <row r="216" spans="1:19" x14ac:dyDescent="0.25">
      <c r="A216" t="s">
        <v>212</v>
      </c>
      <c r="B216">
        <v>18500</v>
      </c>
      <c r="C216">
        <f t="shared" si="35"/>
        <v>185</v>
      </c>
      <c r="D216">
        <v>9</v>
      </c>
      <c r="E216">
        <v>6</v>
      </c>
      <c r="F216">
        <v>16700</v>
      </c>
      <c r="G216">
        <f t="shared" si="27"/>
        <v>167</v>
      </c>
      <c r="H216">
        <v>225</v>
      </c>
      <c r="I216" s="4">
        <f>Full_Data[[#This Row],[Selling Price]]/Full_Data[[#This Row],[Weight (g)]]</f>
        <v>0.74222222222222223</v>
      </c>
      <c r="J216" t="b">
        <v>0</v>
      </c>
      <c r="K216">
        <v>225</v>
      </c>
      <c r="L216">
        <f t="shared" si="28"/>
        <v>18</v>
      </c>
      <c r="M216" t="str">
        <f t="shared" si="29"/>
        <v>Medium</v>
      </c>
      <c r="N216" t="str">
        <f t="shared" si="30"/>
        <v>6-10%</v>
      </c>
      <c r="O216" t="str">
        <f t="shared" si="31"/>
        <v>OK</v>
      </c>
      <c r="P216">
        <f>IFERROR(Full_Data!G216/Full_Data!H216,"Check data")</f>
        <v>0.74222222222222223</v>
      </c>
      <c r="Q216" t="str">
        <f t="shared" si="32"/>
        <v>Match</v>
      </c>
      <c r="R216" t="str">
        <f t="shared" si="33"/>
        <v>Mismatch</v>
      </c>
      <c r="S216" t="str">
        <f t="shared" si="34"/>
        <v>Mismatch</v>
      </c>
    </row>
    <row r="217" spans="1:19" x14ac:dyDescent="0.25">
      <c r="A217" t="s">
        <v>213</v>
      </c>
      <c r="B217">
        <v>9100</v>
      </c>
      <c r="C217">
        <f t="shared" si="35"/>
        <v>91</v>
      </c>
      <c r="D217">
        <v>14</v>
      </c>
      <c r="E217">
        <v>6</v>
      </c>
      <c r="F217">
        <v>7800</v>
      </c>
      <c r="G217">
        <f t="shared" si="27"/>
        <v>78</v>
      </c>
      <c r="H217">
        <v>500</v>
      </c>
      <c r="I217" s="4">
        <f>Full_Data[[#This Row],[Selling Price]]/Full_Data[[#This Row],[Weight (g)]]</f>
        <v>0.156</v>
      </c>
      <c r="J217" t="b">
        <v>0</v>
      </c>
      <c r="K217">
        <v>500</v>
      </c>
      <c r="L217">
        <f t="shared" si="28"/>
        <v>13</v>
      </c>
      <c r="M217" t="str">
        <f t="shared" si="29"/>
        <v>Medium</v>
      </c>
      <c r="N217" t="str">
        <f t="shared" si="30"/>
        <v>11-15%</v>
      </c>
      <c r="O217" t="str">
        <f t="shared" si="31"/>
        <v>OK</v>
      </c>
      <c r="P217">
        <f>IFERROR(Full_Data!G217/Full_Data!H217,"Check data")</f>
        <v>0.156</v>
      </c>
      <c r="Q217" t="str">
        <f t="shared" si="32"/>
        <v>Match</v>
      </c>
      <c r="R217" t="str">
        <f t="shared" si="33"/>
        <v>Mismatch</v>
      </c>
      <c r="S217" t="str">
        <f t="shared" si="34"/>
        <v>Match</v>
      </c>
    </row>
    <row r="218" spans="1:19" x14ac:dyDescent="0.25">
      <c r="A218" t="s">
        <v>176</v>
      </c>
      <c r="B218">
        <v>3700</v>
      </c>
      <c r="C218">
        <f t="shared" si="35"/>
        <v>37</v>
      </c>
      <c r="D218">
        <v>2</v>
      </c>
      <c r="E218">
        <v>6</v>
      </c>
      <c r="F218">
        <v>3600</v>
      </c>
      <c r="G218">
        <f t="shared" si="27"/>
        <v>36</v>
      </c>
      <c r="H218">
        <v>50</v>
      </c>
      <c r="I218" s="4">
        <f>Full_Data[[#This Row],[Selling Price]]/Full_Data[[#This Row],[Weight (g)]]</f>
        <v>0.72</v>
      </c>
      <c r="J218" t="b">
        <v>0</v>
      </c>
      <c r="K218">
        <v>50</v>
      </c>
      <c r="L218">
        <f t="shared" si="28"/>
        <v>1</v>
      </c>
      <c r="M218" t="str">
        <f t="shared" si="29"/>
        <v>Low</v>
      </c>
      <c r="N218" t="str">
        <f t="shared" si="30"/>
        <v>0-5%</v>
      </c>
      <c r="O218" t="str">
        <f t="shared" si="31"/>
        <v>OK</v>
      </c>
      <c r="P218">
        <f>IFERROR(Full_Data!G218/Full_Data!H218,"Check data")</f>
        <v>0.72</v>
      </c>
      <c r="Q218" t="str">
        <f t="shared" si="32"/>
        <v>Match</v>
      </c>
      <c r="R218" t="str">
        <f t="shared" si="33"/>
        <v>Mismatch</v>
      </c>
      <c r="S218" t="str">
        <f t="shared" si="34"/>
        <v>Mismatch</v>
      </c>
    </row>
    <row r="219" spans="1:19" x14ac:dyDescent="0.25">
      <c r="A219" t="s">
        <v>214</v>
      </c>
      <c r="B219">
        <v>16000</v>
      </c>
      <c r="C219">
        <f t="shared" si="35"/>
        <v>160</v>
      </c>
      <c r="D219">
        <v>50</v>
      </c>
      <c r="E219">
        <v>6</v>
      </c>
      <c r="F219">
        <v>8000</v>
      </c>
      <c r="G219">
        <f t="shared" si="27"/>
        <v>80</v>
      </c>
      <c r="H219">
        <v>500</v>
      </c>
      <c r="I219" s="4">
        <f>Full_Data[[#This Row],[Selling Price]]/Full_Data[[#This Row],[Weight (g)]]</f>
        <v>0.16</v>
      </c>
      <c r="J219" t="b">
        <v>0</v>
      </c>
      <c r="K219">
        <v>500</v>
      </c>
      <c r="L219">
        <f t="shared" si="28"/>
        <v>80</v>
      </c>
      <c r="M219" t="str">
        <f t="shared" si="29"/>
        <v>Medium</v>
      </c>
      <c r="N219" t="str">
        <f t="shared" si="30"/>
        <v>21%+</v>
      </c>
      <c r="O219" t="str">
        <f t="shared" si="31"/>
        <v>OK</v>
      </c>
      <c r="P219">
        <f>IFERROR(Full_Data!G219/Full_Data!H219,"Check data")</f>
        <v>0.16</v>
      </c>
      <c r="Q219" t="str">
        <f t="shared" si="32"/>
        <v>Match</v>
      </c>
      <c r="R219" t="str">
        <f t="shared" si="33"/>
        <v>Match</v>
      </c>
      <c r="S219" t="str">
        <f t="shared" si="34"/>
        <v>Match</v>
      </c>
    </row>
    <row r="220" spans="1:19" x14ac:dyDescent="0.25">
      <c r="A220" t="s">
        <v>215</v>
      </c>
      <c r="B220">
        <v>18000</v>
      </c>
      <c r="C220">
        <f t="shared" si="35"/>
        <v>180</v>
      </c>
      <c r="D220">
        <v>10</v>
      </c>
      <c r="E220">
        <v>2</v>
      </c>
      <c r="F220">
        <v>16200</v>
      </c>
      <c r="G220">
        <f t="shared" si="27"/>
        <v>162</v>
      </c>
      <c r="H220">
        <v>500</v>
      </c>
      <c r="I220" s="4">
        <f>Full_Data[[#This Row],[Selling Price]]/Full_Data[[#This Row],[Weight (g)]]</f>
        <v>0.32400000000000001</v>
      </c>
      <c r="J220" t="b">
        <v>0</v>
      </c>
      <c r="K220">
        <v>500</v>
      </c>
      <c r="L220">
        <f t="shared" si="28"/>
        <v>18</v>
      </c>
      <c r="M220" t="str">
        <f t="shared" si="29"/>
        <v>Medium</v>
      </c>
      <c r="N220" t="str">
        <f t="shared" si="30"/>
        <v>6-10%</v>
      </c>
      <c r="O220" t="str">
        <f t="shared" si="31"/>
        <v>OK</v>
      </c>
      <c r="P220">
        <f>IFERROR(Full_Data!G220/Full_Data!H220,"Check data")</f>
        <v>0.32400000000000001</v>
      </c>
      <c r="Q220" t="str">
        <f t="shared" si="32"/>
        <v>Match</v>
      </c>
      <c r="R220" t="str">
        <f t="shared" si="33"/>
        <v>Match</v>
      </c>
      <c r="S220" t="str">
        <f t="shared" si="34"/>
        <v>Match</v>
      </c>
    </row>
    <row r="221" spans="1:19" x14ac:dyDescent="0.25">
      <c r="A221" t="s">
        <v>216</v>
      </c>
      <c r="B221">
        <v>6000</v>
      </c>
      <c r="C221">
        <f t="shared" si="35"/>
        <v>60</v>
      </c>
      <c r="D221">
        <v>10</v>
      </c>
      <c r="E221">
        <v>1</v>
      </c>
      <c r="F221">
        <v>5400</v>
      </c>
      <c r="G221">
        <f t="shared" si="27"/>
        <v>54</v>
      </c>
      <c r="H221">
        <v>280</v>
      </c>
      <c r="I221" s="4">
        <f>Full_Data[[#This Row],[Selling Price]]/Full_Data[[#This Row],[Weight (g)]]</f>
        <v>0.19285714285714287</v>
      </c>
      <c r="J221" t="b">
        <v>0</v>
      </c>
      <c r="K221">
        <v>280</v>
      </c>
      <c r="L221">
        <f t="shared" si="28"/>
        <v>6</v>
      </c>
      <c r="M221" t="str">
        <f t="shared" si="29"/>
        <v>Medium</v>
      </c>
      <c r="N221" t="str">
        <f t="shared" si="30"/>
        <v>6-10%</v>
      </c>
      <c r="O221" t="str">
        <f t="shared" si="31"/>
        <v>OK</v>
      </c>
      <c r="P221">
        <f>IFERROR(Full_Data!G221/Full_Data!H221,"Check data")</f>
        <v>0.19285714285714287</v>
      </c>
      <c r="Q221" t="str">
        <f t="shared" si="32"/>
        <v>Match</v>
      </c>
      <c r="R221" t="str">
        <f t="shared" si="33"/>
        <v>Match</v>
      </c>
      <c r="S221" t="str">
        <f t="shared" si="34"/>
        <v>Match</v>
      </c>
    </row>
    <row r="222" spans="1:19" x14ac:dyDescent="0.25">
      <c r="A222" t="s">
        <v>217</v>
      </c>
      <c r="B222">
        <v>3500</v>
      </c>
      <c r="C222">
        <f t="shared" si="35"/>
        <v>35</v>
      </c>
      <c r="D222">
        <v>2</v>
      </c>
      <c r="E222">
        <v>1</v>
      </c>
      <c r="F222">
        <v>3400</v>
      </c>
      <c r="G222">
        <f t="shared" si="27"/>
        <v>34</v>
      </c>
      <c r="H222">
        <v>50</v>
      </c>
      <c r="I222" s="4">
        <f>Full_Data[[#This Row],[Selling Price]]/Full_Data[[#This Row],[Weight (g)]]</f>
        <v>0.68</v>
      </c>
      <c r="J222" t="b">
        <v>0</v>
      </c>
      <c r="K222">
        <v>50</v>
      </c>
      <c r="L222">
        <f t="shared" si="28"/>
        <v>1</v>
      </c>
      <c r="M222" t="str">
        <f t="shared" si="29"/>
        <v>Low</v>
      </c>
      <c r="N222" t="str">
        <f t="shared" si="30"/>
        <v>0-5%</v>
      </c>
      <c r="O222" t="str">
        <f t="shared" si="31"/>
        <v>OK</v>
      </c>
      <c r="P222">
        <f>IFERROR(Full_Data!G222/Full_Data!H222,"Check data")</f>
        <v>0.68</v>
      </c>
      <c r="Q222" t="str">
        <f t="shared" si="32"/>
        <v>Match</v>
      </c>
      <c r="R222" t="str">
        <f t="shared" si="33"/>
        <v>Mismatch</v>
      </c>
      <c r="S222" t="str">
        <f t="shared" si="34"/>
        <v>Mismatch</v>
      </c>
    </row>
    <row r="223" spans="1:19" x14ac:dyDescent="0.25">
      <c r="A223" t="s">
        <v>218</v>
      </c>
      <c r="B223">
        <v>8900</v>
      </c>
      <c r="C223">
        <f t="shared" si="35"/>
        <v>89</v>
      </c>
      <c r="D223">
        <v>10</v>
      </c>
      <c r="E223">
        <v>2</v>
      </c>
      <c r="F223">
        <v>8000</v>
      </c>
      <c r="G223">
        <f t="shared" si="27"/>
        <v>80</v>
      </c>
      <c r="H223">
        <v>40</v>
      </c>
      <c r="I223" s="4">
        <f>Full_Data[[#This Row],[Selling Price]]/Full_Data[[#This Row],[Weight (g)]]</f>
        <v>2</v>
      </c>
      <c r="J223" t="b">
        <v>0</v>
      </c>
      <c r="K223">
        <v>40</v>
      </c>
      <c r="L223">
        <f t="shared" si="28"/>
        <v>9</v>
      </c>
      <c r="M223" t="str">
        <f t="shared" si="29"/>
        <v>Medium</v>
      </c>
      <c r="N223" t="str">
        <f t="shared" si="30"/>
        <v>6-10%</v>
      </c>
      <c r="O223" t="str">
        <f t="shared" si="31"/>
        <v>OK</v>
      </c>
      <c r="P223">
        <f>IFERROR(Full_Data!G223/Full_Data!H223,"Check data")</f>
        <v>2</v>
      </c>
      <c r="Q223" t="str">
        <f t="shared" si="32"/>
        <v>Match</v>
      </c>
      <c r="R223" t="str">
        <f t="shared" si="33"/>
        <v>Mismatch</v>
      </c>
      <c r="S223" t="str">
        <f t="shared" si="34"/>
        <v>Match</v>
      </c>
    </row>
    <row r="224" spans="1:19" x14ac:dyDescent="0.25">
      <c r="A224" t="s">
        <v>219</v>
      </c>
      <c r="B224">
        <v>8000</v>
      </c>
      <c r="C224">
        <f t="shared" si="35"/>
        <v>80</v>
      </c>
      <c r="D224">
        <v>10</v>
      </c>
      <c r="E224">
        <v>5</v>
      </c>
      <c r="F224">
        <v>7200</v>
      </c>
      <c r="G224">
        <f t="shared" si="27"/>
        <v>72</v>
      </c>
      <c r="H224">
        <v>500</v>
      </c>
      <c r="I224" s="4">
        <f>Full_Data[[#This Row],[Selling Price]]/Full_Data[[#This Row],[Weight (g)]]</f>
        <v>0.14399999999999999</v>
      </c>
      <c r="J224" t="b">
        <v>0</v>
      </c>
      <c r="K224">
        <v>500</v>
      </c>
      <c r="L224">
        <f t="shared" si="28"/>
        <v>8</v>
      </c>
      <c r="M224" t="str">
        <f t="shared" si="29"/>
        <v>Medium</v>
      </c>
      <c r="N224" t="str">
        <f t="shared" si="30"/>
        <v>6-10%</v>
      </c>
      <c r="O224" t="str">
        <f t="shared" si="31"/>
        <v>OK</v>
      </c>
      <c r="P224">
        <f>IFERROR(Full_Data!G224/Full_Data!H224,"Check data")</f>
        <v>0.14399999999999999</v>
      </c>
      <c r="Q224" t="str">
        <f t="shared" si="32"/>
        <v>Match</v>
      </c>
      <c r="R224" t="str">
        <f t="shared" si="33"/>
        <v>Match</v>
      </c>
      <c r="S224" t="str">
        <f t="shared" si="34"/>
        <v>Match</v>
      </c>
    </row>
    <row r="225" spans="1:19" x14ac:dyDescent="0.25">
      <c r="A225" t="s">
        <v>220</v>
      </c>
      <c r="B225">
        <v>4400</v>
      </c>
      <c r="C225">
        <f t="shared" si="35"/>
        <v>44</v>
      </c>
      <c r="D225">
        <v>0</v>
      </c>
      <c r="E225">
        <v>2</v>
      </c>
      <c r="F225">
        <v>4400</v>
      </c>
      <c r="G225">
        <f t="shared" si="27"/>
        <v>44</v>
      </c>
      <c r="H225">
        <v>60</v>
      </c>
      <c r="I225" s="4">
        <f>Full_Data[[#This Row],[Selling Price]]/Full_Data[[#This Row],[Weight (g)]]</f>
        <v>0.73333333333333328</v>
      </c>
      <c r="J225" t="b">
        <v>0</v>
      </c>
      <c r="K225">
        <v>60</v>
      </c>
      <c r="L225">
        <f t="shared" si="28"/>
        <v>0</v>
      </c>
      <c r="M225" t="str">
        <f t="shared" si="29"/>
        <v>Low</v>
      </c>
      <c r="N225" t="str">
        <f t="shared" si="30"/>
        <v>0-5%</v>
      </c>
      <c r="O225" t="str">
        <f t="shared" si="31"/>
        <v>OK</v>
      </c>
      <c r="P225">
        <f>IFERROR(Full_Data!G225/Full_Data!H225,"Check data")</f>
        <v>0.73333333333333328</v>
      </c>
      <c r="Q225" t="str">
        <f t="shared" si="32"/>
        <v>Match</v>
      </c>
      <c r="R225" t="str">
        <f t="shared" si="33"/>
        <v>Match</v>
      </c>
      <c r="S225" t="str">
        <f t="shared" si="34"/>
        <v>Match</v>
      </c>
    </row>
    <row r="226" spans="1:19" x14ac:dyDescent="0.25">
      <c r="A226" t="s">
        <v>221</v>
      </c>
      <c r="B226">
        <v>105000</v>
      </c>
      <c r="C226">
        <f t="shared" si="35"/>
        <v>1050</v>
      </c>
      <c r="D226">
        <v>1</v>
      </c>
      <c r="E226">
        <v>6</v>
      </c>
      <c r="F226">
        <v>103500</v>
      </c>
      <c r="G226">
        <f t="shared" si="27"/>
        <v>1035</v>
      </c>
      <c r="H226">
        <v>5000</v>
      </c>
      <c r="I226" s="4">
        <f>Full_Data[[#This Row],[Selling Price]]/Full_Data[[#This Row],[Weight (g)]]</f>
        <v>0.20699999999999999</v>
      </c>
      <c r="J226" t="b">
        <v>0</v>
      </c>
      <c r="K226">
        <v>5</v>
      </c>
      <c r="L226">
        <f t="shared" si="28"/>
        <v>15</v>
      </c>
      <c r="M226" t="str">
        <f t="shared" si="29"/>
        <v>High</v>
      </c>
      <c r="N226" t="str">
        <f t="shared" si="30"/>
        <v>0-5%</v>
      </c>
      <c r="O226" t="str">
        <f t="shared" si="31"/>
        <v>OK</v>
      </c>
      <c r="P226">
        <f>IFERROR(Full_Data!G226/Full_Data!H226,"Check data")</f>
        <v>0.20699999999999999</v>
      </c>
      <c r="Q226" t="str">
        <f t="shared" si="32"/>
        <v>Match</v>
      </c>
      <c r="R226" t="str">
        <f t="shared" si="33"/>
        <v>Mismatch</v>
      </c>
      <c r="S226" t="str">
        <f t="shared" si="34"/>
        <v>Match</v>
      </c>
    </row>
    <row r="227" spans="1:19" x14ac:dyDescent="0.25">
      <c r="A227" t="s">
        <v>222</v>
      </c>
      <c r="B227">
        <v>9900</v>
      </c>
      <c r="C227">
        <f t="shared" si="35"/>
        <v>99</v>
      </c>
      <c r="D227">
        <v>5</v>
      </c>
      <c r="E227">
        <v>6</v>
      </c>
      <c r="F227">
        <v>9400</v>
      </c>
      <c r="G227">
        <f t="shared" si="27"/>
        <v>94</v>
      </c>
      <c r="H227">
        <v>165</v>
      </c>
      <c r="I227" s="4">
        <f>Full_Data[[#This Row],[Selling Price]]/Full_Data[[#This Row],[Weight (g)]]</f>
        <v>0.5696969696969697</v>
      </c>
      <c r="J227" t="b">
        <v>0</v>
      </c>
      <c r="K227">
        <v>165</v>
      </c>
      <c r="L227">
        <f t="shared" si="28"/>
        <v>5</v>
      </c>
      <c r="M227" t="str">
        <f t="shared" si="29"/>
        <v>Medium</v>
      </c>
      <c r="N227" t="str">
        <f t="shared" si="30"/>
        <v>0-5%</v>
      </c>
      <c r="O227" t="str">
        <f t="shared" si="31"/>
        <v>OK</v>
      </c>
      <c r="P227">
        <f>IFERROR(Full_Data!G227/Full_Data!H227,"Check data")</f>
        <v>0.5696969696969697</v>
      </c>
      <c r="Q227" t="str">
        <f t="shared" si="32"/>
        <v>Match</v>
      </c>
      <c r="R227" t="str">
        <f t="shared" si="33"/>
        <v>Mismatch</v>
      </c>
      <c r="S227" t="str">
        <f t="shared" si="34"/>
        <v>Match</v>
      </c>
    </row>
    <row r="228" spans="1:19" x14ac:dyDescent="0.25">
      <c r="A228" t="s">
        <v>223</v>
      </c>
      <c r="B228">
        <v>23000</v>
      </c>
      <c r="C228">
        <f t="shared" si="35"/>
        <v>230</v>
      </c>
      <c r="D228">
        <v>0</v>
      </c>
      <c r="E228">
        <v>1</v>
      </c>
      <c r="F228">
        <v>23000</v>
      </c>
      <c r="G228">
        <f t="shared" si="27"/>
        <v>230</v>
      </c>
      <c r="H228">
        <v>623</v>
      </c>
      <c r="I228" s="4">
        <f>Full_Data[[#This Row],[Selling Price]]/Full_Data[[#This Row],[Weight (g)]]</f>
        <v>0.36918138041733545</v>
      </c>
      <c r="J228" t="b">
        <v>0</v>
      </c>
      <c r="K228">
        <v>623</v>
      </c>
      <c r="L228">
        <f t="shared" si="28"/>
        <v>0</v>
      </c>
      <c r="M228" t="str">
        <f t="shared" si="29"/>
        <v>High</v>
      </c>
      <c r="N228" t="str">
        <f t="shared" si="30"/>
        <v>0-5%</v>
      </c>
      <c r="O228" t="str">
        <f t="shared" si="31"/>
        <v>OK</v>
      </c>
      <c r="P228">
        <f>IFERROR(Full_Data!G228/Full_Data!H228,"Check data")</f>
        <v>0.36918138041733545</v>
      </c>
      <c r="Q228" t="str">
        <f t="shared" si="32"/>
        <v>Match</v>
      </c>
      <c r="R228" t="str">
        <f t="shared" si="33"/>
        <v>Match</v>
      </c>
      <c r="S228" t="str">
        <f t="shared" si="34"/>
        <v>Match</v>
      </c>
    </row>
    <row r="229" spans="1:19" x14ac:dyDescent="0.25">
      <c r="A229" t="s">
        <v>224</v>
      </c>
      <c r="B229">
        <v>6000</v>
      </c>
      <c r="C229">
        <f t="shared" si="35"/>
        <v>60</v>
      </c>
      <c r="D229">
        <v>6</v>
      </c>
      <c r="E229">
        <v>3</v>
      </c>
      <c r="F229">
        <v>5600</v>
      </c>
      <c r="G229">
        <f t="shared" si="27"/>
        <v>56</v>
      </c>
      <c r="H229">
        <v>1000</v>
      </c>
      <c r="I229" s="4">
        <f>Full_Data[[#This Row],[Selling Price]]/Full_Data[[#This Row],[Weight (g)]]</f>
        <v>5.6000000000000001E-2</v>
      </c>
      <c r="J229" t="b">
        <v>0</v>
      </c>
      <c r="K229">
        <v>1</v>
      </c>
      <c r="L229">
        <f t="shared" si="28"/>
        <v>4</v>
      </c>
      <c r="M229" t="str">
        <f t="shared" si="29"/>
        <v>Medium</v>
      </c>
      <c r="N229" t="str">
        <f t="shared" si="30"/>
        <v>6-10%</v>
      </c>
      <c r="O229" t="str">
        <f t="shared" si="31"/>
        <v>OK</v>
      </c>
      <c r="P229">
        <f>IFERROR(Full_Data!G229/Full_Data!H229,"Check data")</f>
        <v>5.6000000000000001E-2</v>
      </c>
      <c r="Q229" t="str">
        <f t="shared" si="32"/>
        <v>Match</v>
      </c>
      <c r="R229" t="str">
        <f t="shared" si="33"/>
        <v>Mismatch</v>
      </c>
      <c r="S229" t="str">
        <f t="shared" si="34"/>
        <v>Mismatch</v>
      </c>
    </row>
    <row r="230" spans="1:19" x14ac:dyDescent="0.25">
      <c r="A230" t="s">
        <v>225</v>
      </c>
      <c r="B230">
        <v>12000</v>
      </c>
      <c r="C230">
        <f t="shared" si="35"/>
        <v>120</v>
      </c>
      <c r="D230">
        <v>1</v>
      </c>
      <c r="E230">
        <v>2</v>
      </c>
      <c r="F230">
        <v>11800</v>
      </c>
      <c r="G230">
        <f t="shared" si="27"/>
        <v>118</v>
      </c>
      <c r="H230">
        <v>240</v>
      </c>
      <c r="I230" s="4">
        <f>Full_Data[[#This Row],[Selling Price]]/Full_Data[[#This Row],[Weight (g)]]</f>
        <v>0.49166666666666664</v>
      </c>
      <c r="J230" t="b">
        <v>0</v>
      </c>
      <c r="K230">
        <v>240</v>
      </c>
      <c r="L230">
        <f t="shared" si="28"/>
        <v>2</v>
      </c>
      <c r="M230" t="str">
        <f t="shared" si="29"/>
        <v>Medium</v>
      </c>
      <c r="N230" t="str">
        <f t="shared" si="30"/>
        <v>0-5%</v>
      </c>
      <c r="O230" t="str">
        <f t="shared" si="31"/>
        <v>OK</v>
      </c>
      <c r="P230">
        <f>IFERROR(Full_Data!G230/Full_Data!H230,"Check data")</f>
        <v>0.49166666666666664</v>
      </c>
      <c r="Q230" t="str">
        <f t="shared" si="32"/>
        <v>Match</v>
      </c>
      <c r="R230" t="str">
        <f t="shared" si="33"/>
        <v>Mismatch</v>
      </c>
      <c r="S230" t="str">
        <f t="shared" si="34"/>
        <v>Mismatch</v>
      </c>
    </row>
    <row r="231" spans="1:19" x14ac:dyDescent="0.25">
      <c r="A231" t="s">
        <v>226</v>
      </c>
      <c r="B231">
        <v>4300</v>
      </c>
      <c r="C231">
        <f t="shared" si="35"/>
        <v>43</v>
      </c>
      <c r="D231">
        <v>0</v>
      </c>
      <c r="E231">
        <v>6</v>
      </c>
      <c r="F231">
        <v>4300</v>
      </c>
      <c r="G231">
        <f t="shared" si="27"/>
        <v>43</v>
      </c>
      <c r="H231">
        <v>200</v>
      </c>
      <c r="I231" s="4">
        <f>Full_Data[[#This Row],[Selling Price]]/Full_Data[[#This Row],[Weight (g)]]</f>
        <v>0.215</v>
      </c>
      <c r="J231" t="b">
        <v>0</v>
      </c>
      <c r="K231">
        <v>200</v>
      </c>
      <c r="L231">
        <f t="shared" si="28"/>
        <v>0</v>
      </c>
      <c r="M231" t="str">
        <f t="shared" si="29"/>
        <v>Low</v>
      </c>
      <c r="N231" t="str">
        <f t="shared" si="30"/>
        <v>0-5%</v>
      </c>
      <c r="O231" t="str">
        <f t="shared" si="31"/>
        <v>OK</v>
      </c>
      <c r="P231">
        <f>IFERROR(Full_Data!G231/Full_Data!H231,"Check data")</f>
        <v>0.215</v>
      </c>
      <c r="Q231" t="str">
        <f t="shared" si="32"/>
        <v>Match</v>
      </c>
      <c r="R231" t="str">
        <f t="shared" si="33"/>
        <v>Match</v>
      </c>
      <c r="S231" t="str">
        <f t="shared" si="34"/>
        <v>Match</v>
      </c>
    </row>
    <row r="232" spans="1:19" x14ac:dyDescent="0.25">
      <c r="A232" t="s">
        <v>227</v>
      </c>
      <c r="B232">
        <v>2500</v>
      </c>
      <c r="C232">
        <f t="shared" si="35"/>
        <v>25</v>
      </c>
      <c r="D232">
        <v>0</v>
      </c>
      <c r="E232">
        <v>6</v>
      </c>
      <c r="F232">
        <v>2500</v>
      </c>
      <c r="G232">
        <f t="shared" si="27"/>
        <v>25</v>
      </c>
      <c r="H232">
        <v>60</v>
      </c>
      <c r="I232" s="4">
        <f>Full_Data[[#This Row],[Selling Price]]/Full_Data[[#This Row],[Weight (g)]]</f>
        <v>0.41666666666666669</v>
      </c>
      <c r="J232" t="b">
        <v>0</v>
      </c>
      <c r="K232">
        <v>60</v>
      </c>
      <c r="L232">
        <f t="shared" si="28"/>
        <v>0</v>
      </c>
      <c r="M232" t="str">
        <f t="shared" si="29"/>
        <v>Low</v>
      </c>
      <c r="N232" t="str">
        <f t="shared" si="30"/>
        <v>0-5%</v>
      </c>
      <c r="O232" t="str">
        <f t="shared" si="31"/>
        <v>OK</v>
      </c>
      <c r="P232">
        <f>IFERROR(Full_Data!G232/Full_Data!H232,"Check data")</f>
        <v>0.41666666666666669</v>
      </c>
      <c r="Q232" t="str">
        <f t="shared" si="32"/>
        <v>Match</v>
      </c>
      <c r="R232" t="str">
        <f t="shared" si="33"/>
        <v>Match</v>
      </c>
      <c r="S232" t="str">
        <f t="shared" si="34"/>
        <v>Match</v>
      </c>
    </row>
    <row r="233" spans="1:19" x14ac:dyDescent="0.25">
      <c r="A233" t="s">
        <v>228</v>
      </c>
      <c r="B233">
        <v>1500</v>
      </c>
      <c r="C233">
        <f t="shared" si="35"/>
        <v>15</v>
      </c>
      <c r="D233">
        <v>0</v>
      </c>
      <c r="E233">
        <v>5</v>
      </c>
      <c r="F233">
        <v>1500</v>
      </c>
      <c r="G233">
        <f t="shared" si="27"/>
        <v>15</v>
      </c>
      <c r="H233">
        <v>60</v>
      </c>
      <c r="I233" s="4">
        <f>Full_Data[[#This Row],[Selling Price]]/Full_Data[[#This Row],[Weight (g)]]</f>
        <v>0.25</v>
      </c>
      <c r="J233" t="b">
        <v>0</v>
      </c>
      <c r="K233">
        <v>60</v>
      </c>
      <c r="L233">
        <f t="shared" si="28"/>
        <v>0</v>
      </c>
      <c r="M233" t="str">
        <f t="shared" si="29"/>
        <v>Low</v>
      </c>
      <c r="N233" t="str">
        <f t="shared" si="30"/>
        <v>0-5%</v>
      </c>
      <c r="O233" t="str">
        <f t="shared" si="31"/>
        <v>OK</v>
      </c>
      <c r="P233">
        <f>IFERROR(Full_Data!G233/Full_Data!H233,"Check data")</f>
        <v>0.25</v>
      </c>
      <c r="Q233" t="str">
        <f t="shared" si="32"/>
        <v>Match</v>
      </c>
      <c r="R233" t="str">
        <f t="shared" si="33"/>
        <v>Match</v>
      </c>
      <c r="S233" t="str">
        <f t="shared" si="34"/>
        <v>Match</v>
      </c>
    </row>
    <row r="234" spans="1:19" x14ac:dyDescent="0.25">
      <c r="A234" t="s">
        <v>157</v>
      </c>
      <c r="B234">
        <v>7000</v>
      </c>
      <c r="C234">
        <f t="shared" si="35"/>
        <v>70</v>
      </c>
      <c r="D234">
        <v>0</v>
      </c>
      <c r="E234">
        <v>2</v>
      </c>
      <c r="F234">
        <v>7000</v>
      </c>
      <c r="G234">
        <f t="shared" si="27"/>
        <v>70</v>
      </c>
      <c r="H234">
        <v>100</v>
      </c>
      <c r="I234" s="4">
        <f>Full_Data[[#This Row],[Selling Price]]/Full_Data[[#This Row],[Weight (g)]]</f>
        <v>0.7</v>
      </c>
      <c r="J234" t="b">
        <v>0</v>
      </c>
      <c r="K234">
        <v>100</v>
      </c>
      <c r="L234">
        <f t="shared" si="28"/>
        <v>0</v>
      </c>
      <c r="M234" t="str">
        <f t="shared" si="29"/>
        <v>Medium</v>
      </c>
      <c r="N234" t="str">
        <f t="shared" si="30"/>
        <v>0-5%</v>
      </c>
      <c r="O234" t="str">
        <f t="shared" si="31"/>
        <v>OK</v>
      </c>
      <c r="P234">
        <f>IFERROR(Full_Data!G234/Full_Data!H234,"Check data")</f>
        <v>0.7</v>
      </c>
      <c r="Q234" t="str">
        <f t="shared" si="32"/>
        <v>Match</v>
      </c>
      <c r="R234" t="str">
        <f t="shared" si="33"/>
        <v>Match</v>
      </c>
      <c r="S234" t="str">
        <f t="shared" si="34"/>
        <v>Match</v>
      </c>
    </row>
    <row r="235" spans="1:19" x14ac:dyDescent="0.25">
      <c r="A235" t="s">
        <v>229</v>
      </c>
      <c r="B235">
        <v>22000</v>
      </c>
      <c r="C235">
        <f t="shared" si="35"/>
        <v>220</v>
      </c>
      <c r="D235">
        <v>6</v>
      </c>
      <c r="E235">
        <v>6</v>
      </c>
      <c r="F235">
        <v>20500</v>
      </c>
      <c r="G235">
        <f t="shared" si="27"/>
        <v>205</v>
      </c>
      <c r="H235">
        <v>623</v>
      </c>
      <c r="I235" s="4">
        <f>Full_Data[[#This Row],[Selling Price]]/Full_Data[[#This Row],[Weight (g)]]</f>
        <v>0.3290529695024077</v>
      </c>
      <c r="J235" t="b">
        <v>0</v>
      </c>
      <c r="K235">
        <v>680</v>
      </c>
      <c r="L235">
        <f t="shared" si="28"/>
        <v>15</v>
      </c>
      <c r="M235" t="str">
        <f t="shared" si="29"/>
        <v>High</v>
      </c>
      <c r="N235" t="str">
        <f t="shared" si="30"/>
        <v>6-10%</v>
      </c>
      <c r="O235" t="str">
        <f t="shared" si="31"/>
        <v>OK</v>
      </c>
      <c r="P235">
        <f>IFERROR(Full_Data!G235/Full_Data!H235,"Check data")</f>
        <v>0.3290529695024077</v>
      </c>
      <c r="Q235" t="str">
        <f t="shared" si="32"/>
        <v>Match</v>
      </c>
      <c r="R235" t="str">
        <f t="shared" si="33"/>
        <v>Mismatch</v>
      </c>
      <c r="S235" t="str">
        <f t="shared" si="34"/>
        <v>Mismatch</v>
      </c>
    </row>
    <row r="236" spans="1:19" x14ac:dyDescent="0.25">
      <c r="A236" t="s">
        <v>230</v>
      </c>
      <c r="B236">
        <v>5500</v>
      </c>
      <c r="C236">
        <f t="shared" si="35"/>
        <v>55</v>
      </c>
      <c r="D236">
        <v>16</v>
      </c>
      <c r="E236">
        <v>4</v>
      </c>
      <c r="F236">
        <v>4600</v>
      </c>
      <c r="G236">
        <f t="shared" si="27"/>
        <v>46</v>
      </c>
      <c r="H236">
        <v>200</v>
      </c>
      <c r="I236" s="4">
        <f>Full_Data[[#This Row],[Selling Price]]/Full_Data[[#This Row],[Weight (g)]]</f>
        <v>0.23</v>
      </c>
      <c r="J236" t="b">
        <v>0</v>
      </c>
      <c r="K236">
        <v>200</v>
      </c>
      <c r="L236">
        <f t="shared" si="28"/>
        <v>9</v>
      </c>
      <c r="M236" t="str">
        <f t="shared" si="29"/>
        <v>Low</v>
      </c>
      <c r="N236" t="str">
        <f t="shared" si="30"/>
        <v>16-20%</v>
      </c>
      <c r="O236" t="str">
        <f t="shared" si="31"/>
        <v>OK</v>
      </c>
      <c r="P236">
        <f>IFERROR(Full_Data!G236/Full_Data!H236,"Check data")</f>
        <v>0.23</v>
      </c>
      <c r="Q236" t="str">
        <f t="shared" si="32"/>
        <v>Match</v>
      </c>
      <c r="R236" t="str">
        <f t="shared" si="33"/>
        <v>Mismatch</v>
      </c>
      <c r="S236" t="str">
        <f t="shared" si="34"/>
        <v>Match</v>
      </c>
    </row>
    <row r="237" spans="1:19" x14ac:dyDescent="0.25">
      <c r="A237" t="s">
        <v>231</v>
      </c>
      <c r="B237">
        <v>7000</v>
      </c>
      <c r="C237">
        <f t="shared" si="35"/>
        <v>70</v>
      </c>
      <c r="D237">
        <v>7</v>
      </c>
      <c r="E237">
        <v>1</v>
      </c>
      <c r="F237">
        <v>6500</v>
      </c>
      <c r="G237">
        <f t="shared" si="27"/>
        <v>65</v>
      </c>
      <c r="H237">
        <v>100</v>
      </c>
      <c r="I237" s="4">
        <f>Full_Data[[#This Row],[Selling Price]]/Full_Data[[#This Row],[Weight (g)]]</f>
        <v>0.65</v>
      </c>
      <c r="J237" t="b">
        <v>0</v>
      </c>
      <c r="K237">
        <v>100</v>
      </c>
      <c r="L237">
        <f t="shared" si="28"/>
        <v>5</v>
      </c>
      <c r="M237" t="str">
        <f t="shared" si="29"/>
        <v>Medium</v>
      </c>
      <c r="N237" t="str">
        <f t="shared" si="30"/>
        <v>6-10%</v>
      </c>
      <c r="O237" t="str">
        <f t="shared" si="31"/>
        <v>OK</v>
      </c>
      <c r="P237">
        <f>IFERROR(Full_Data!G237/Full_Data!H237,"Check data")</f>
        <v>0.65</v>
      </c>
      <c r="Q237" t="str">
        <f t="shared" si="32"/>
        <v>Match</v>
      </c>
      <c r="R237" t="str">
        <f t="shared" si="33"/>
        <v>Mismatch</v>
      </c>
      <c r="S237" t="str">
        <f t="shared" si="34"/>
        <v>Match</v>
      </c>
    </row>
    <row r="238" spans="1:19" x14ac:dyDescent="0.25">
      <c r="A238" t="s">
        <v>232</v>
      </c>
      <c r="B238">
        <v>12000</v>
      </c>
      <c r="C238">
        <f t="shared" si="35"/>
        <v>120</v>
      </c>
      <c r="D238">
        <v>0</v>
      </c>
      <c r="E238">
        <v>6</v>
      </c>
      <c r="F238">
        <v>12000</v>
      </c>
      <c r="G238">
        <f t="shared" si="27"/>
        <v>120</v>
      </c>
      <c r="H238">
        <v>250</v>
      </c>
      <c r="I238" s="4">
        <f>Full_Data[[#This Row],[Selling Price]]/Full_Data[[#This Row],[Weight (g)]]</f>
        <v>0.48</v>
      </c>
      <c r="J238" t="b">
        <v>0</v>
      </c>
      <c r="K238">
        <v>250</v>
      </c>
      <c r="L238">
        <f t="shared" si="28"/>
        <v>0</v>
      </c>
      <c r="M238" t="str">
        <f t="shared" si="29"/>
        <v>Medium</v>
      </c>
      <c r="N238" t="str">
        <f t="shared" si="30"/>
        <v>0-5%</v>
      </c>
      <c r="O238" t="str">
        <f t="shared" si="31"/>
        <v>OK</v>
      </c>
      <c r="P238">
        <f>IFERROR(Full_Data!G238/Full_Data!H238,"Check data")</f>
        <v>0.48</v>
      </c>
      <c r="Q238" t="str">
        <f t="shared" si="32"/>
        <v>Match</v>
      </c>
      <c r="R238" t="str">
        <f t="shared" si="33"/>
        <v>Match</v>
      </c>
      <c r="S238" t="str">
        <f t="shared" si="34"/>
        <v>Match</v>
      </c>
    </row>
    <row r="239" spans="1:19" x14ac:dyDescent="0.25">
      <c r="A239" t="s">
        <v>233</v>
      </c>
      <c r="B239">
        <v>4000</v>
      </c>
      <c r="C239">
        <f t="shared" si="35"/>
        <v>40</v>
      </c>
      <c r="D239">
        <v>2</v>
      </c>
      <c r="E239">
        <v>6</v>
      </c>
      <c r="F239">
        <v>3900</v>
      </c>
      <c r="G239">
        <f t="shared" si="27"/>
        <v>39</v>
      </c>
      <c r="H239">
        <v>200</v>
      </c>
      <c r="I239" s="4">
        <f>Full_Data[[#This Row],[Selling Price]]/Full_Data[[#This Row],[Weight (g)]]</f>
        <v>0.19500000000000001</v>
      </c>
      <c r="J239" t="b">
        <v>0</v>
      </c>
      <c r="K239">
        <v>200</v>
      </c>
      <c r="L239">
        <f t="shared" si="28"/>
        <v>1</v>
      </c>
      <c r="M239" t="str">
        <f t="shared" si="29"/>
        <v>Low</v>
      </c>
      <c r="N239" t="str">
        <f t="shared" si="30"/>
        <v>0-5%</v>
      </c>
      <c r="O239" t="str">
        <f t="shared" si="31"/>
        <v>OK</v>
      </c>
      <c r="P239">
        <f>IFERROR(Full_Data!G239/Full_Data!H239,"Check data")</f>
        <v>0.19500000000000001</v>
      </c>
      <c r="Q239" t="str">
        <f t="shared" si="32"/>
        <v>Match</v>
      </c>
      <c r="R239" t="str">
        <f t="shared" si="33"/>
        <v>Mismatch</v>
      </c>
      <c r="S239" t="str">
        <f t="shared" si="34"/>
        <v>Mismatch</v>
      </c>
    </row>
    <row r="240" spans="1:19" x14ac:dyDescent="0.25">
      <c r="A240" t="s">
        <v>234</v>
      </c>
      <c r="B240">
        <v>4800</v>
      </c>
      <c r="C240">
        <f t="shared" si="35"/>
        <v>48</v>
      </c>
      <c r="D240">
        <v>2</v>
      </c>
      <c r="E240">
        <v>2</v>
      </c>
      <c r="F240">
        <v>4700</v>
      </c>
      <c r="G240">
        <f t="shared" si="27"/>
        <v>47</v>
      </c>
      <c r="H240">
        <v>500</v>
      </c>
      <c r="I240" s="4">
        <f>Full_Data[[#This Row],[Selling Price]]/Full_Data[[#This Row],[Weight (g)]]</f>
        <v>9.4E-2</v>
      </c>
      <c r="J240" t="b">
        <v>0</v>
      </c>
      <c r="K240">
        <v>500</v>
      </c>
      <c r="L240">
        <f t="shared" si="28"/>
        <v>1</v>
      </c>
      <c r="M240" t="str">
        <f t="shared" si="29"/>
        <v>Low</v>
      </c>
      <c r="N240" t="str">
        <f t="shared" si="30"/>
        <v>0-5%</v>
      </c>
      <c r="O240" t="str">
        <f t="shared" si="31"/>
        <v>OK</v>
      </c>
      <c r="P240">
        <f>IFERROR(Full_Data!G240/Full_Data!H240,"Check data")</f>
        <v>9.4E-2</v>
      </c>
      <c r="Q240" t="str">
        <f t="shared" si="32"/>
        <v>Match</v>
      </c>
      <c r="R240" t="str">
        <f t="shared" si="33"/>
        <v>Mismatch</v>
      </c>
      <c r="S240" t="str">
        <f t="shared" si="34"/>
        <v>Match</v>
      </c>
    </row>
    <row r="241" spans="1:19" x14ac:dyDescent="0.25">
      <c r="A241" t="s">
        <v>235</v>
      </c>
      <c r="B241">
        <v>6500</v>
      </c>
      <c r="C241">
        <f t="shared" si="35"/>
        <v>65</v>
      </c>
      <c r="D241">
        <v>20</v>
      </c>
      <c r="E241">
        <v>4</v>
      </c>
      <c r="F241">
        <v>5200</v>
      </c>
      <c r="G241">
        <f t="shared" si="27"/>
        <v>52</v>
      </c>
      <c r="H241">
        <v>500</v>
      </c>
      <c r="I241" s="4">
        <f>Full_Data[[#This Row],[Selling Price]]/Full_Data[[#This Row],[Weight (g)]]</f>
        <v>0.104</v>
      </c>
      <c r="J241" t="b">
        <v>0</v>
      </c>
      <c r="K241">
        <v>500</v>
      </c>
      <c r="L241">
        <f t="shared" si="28"/>
        <v>13</v>
      </c>
      <c r="M241" t="str">
        <f t="shared" si="29"/>
        <v>Medium</v>
      </c>
      <c r="N241" t="str">
        <f t="shared" si="30"/>
        <v>16-20%</v>
      </c>
      <c r="O241" t="str">
        <f t="shared" si="31"/>
        <v>OK</v>
      </c>
      <c r="P241">
        <f>IFERROR(Full_Data!G241/Full_Data!H241,"Check data")</f>
        <v>0.104</v>
      </c>
      <c r="Q241" t="str">
        <f t="shared" si="32"/>
        <v>Match</v>
      </c>
      <c r="R241" t="str">
        <f t="shared" si="33"/>
        <v>Match</v>
      </c>
      <c r="S241" t="str">
        <f t="shared" si="34"/>
        <v>Match</v>
      </c>
    </row>
    <row r="242" spans="1:19" x14ac:dyDescent="0.25">
      <c r="A242" t="s">
        <v>236</v>
      </c>
      <c r="B242">
        <v>3500</v>
      </c>
      <c r="C242">
        <f t="shared" si="35"/>
        <v>35</v>
      </c>
      <c r="D242">
        <v>5</v>
      </c>
      <c r="E242">
        <v>6</v>
      </c>
      <c r="F242">
        <v>3300</v>
      </c>
      <c r="G242">
        <f t="shared" si="27"/>
        <v>33</v>
      </c>
      <c r="H242">
        <v>25</v>
      </c>
      <c r="I242" s="4">
        <f>Full_Data[[#This Row],[Selling Price]]/Full_Data[[#This Row],[Weight (g)]]</f>
        <v>1.32</v>
      </c>
      <c r="J242" t="b">
        <v>0</v>
      </c>
      <c r="K242">
        <v>25</v>
      </c>
      <c r="L242">
        <f t="shared" si="28"/>
        <v>2</v>
      </c>
      <c r="M242" t="str">
        <f t="shared" si="29"/>
        <v>Low</v>
      </c>
      <c r="N242" t="str">
        <f t="shared" si="30"/>
        <v>0-5%</v>
      </c>
      <c r="O242" t="str">
        <f t="shared" si="31"/>
        <v>OK</v>
      </c>
      <c r="P242">
        <f>IFERROR(Full_Data!G242/Full_Data!H242,"Check data")</f>
        <v>1.32</v>
      </c>
      <c r="Q242" t="str">
        <f t="shared" si="32"/>
        <v>Match</v>
      </c>
      <c r="R242" t="str">
        <f t="shared" si="33"/>
        <v>Mismatch</v>
      </c>
      <c r="S242" t="str">
        <f t="shared" si="34"/>
        <v>Mismatch</v>
      </c>
    </row>
    <row r="243" spans="1:19" x14ac:dyDescent="0.25">
      <c r="A243" t="s">
        <v>237</v>
      </c>
      <c r="B243">
        <v>21500</v>
      </c>
      <c r="C243">
        <f t="shared" si="35"/>
        <v>215</v>
      </c>
      <c r="D243">
        <v>0</v>
      </c>
      <c r="E243">
        <v>4</v>
      </c>
      <c r="F243">
        <v>21500</v>
      </c>
      <c r="G243">
        <f t="shared" si="27"/>
        <v>215</v>
      </c>
      <c r="H243">
        <v>1000</v>
      </c>
      <c r="I243" s="4">
        <f>Full_Data[[#This Row],[Selling Price]]/Full_Data[[#This Row],[Weight (g)]]</f>
        <v>0.215</v>
      </c>
      <c r="J243" t="b">
        <v>0</v>
      </c>
      <c r="K243">
        <v>1</v>
      </c>
      <c r="L243">
        <f t="shared" si="28"/>
        <v>0</v>
      </c>
      <c r="M243" t="str">
        <f t="shared" si="29"/>
        <v>High</v>
      </c>
      <c r="N243" t="str">
        <f t="shared" si="30"/>
        <v>0-5%</v>
      </c>
      <c r="O243" t="str">
        <f t="shared" si="31"/>
        <v>OK</v>
      </c>
      <c r="P243">
        <f>IFERROR(Full_Data!G243/Full_Data!H243,"Check data")</f>
        <v>0.215</v>
      </c>
      <c r="Q243" t="str">
        <f t="shared" si="32"/>
        <v>Match</v>
      </c>
      <c r="R243" t="str">
        <f t="shared" si="33"/>
        <v>Match</v>
      </c>
      <c r="S243" t="str">
        <f t="shared" si="34"/>
        <v>Match</v>
      </c>
    </row>
    <row r="244" spans="1:19" x14ac:dyDescent="0.25">
      <c r="A244" t="s">
        <v>238</v>
      </c>
      <c r="B244">
        <v>10200</v>
      </c>
      <c r="C244">
        <f t="shared" si="35"/>
        <v>102</v>
      </c>
      <c r="D244">
        <v>7</v>
      </c>
      <c r="E244">
        <v>4</v>
      </c>
      <c r="F244">
        <v>9400</v>
      </c>
      <c r="G244">
        <f t="shared" si="27"/>
        <v>94</v>
      </c>
      <c r="H244">
        <v>2000</v>
      </c>
      <c r="I244" s="4">
        <f>Full_Data[[#This Row],[Selling Price]]/Full_Data[[#This Row],[Weight (g)]]</f>
        <v>4.7E-2</v>
      </c>
      <c r="J244" t="b">
        <v>0</v>
      </c>
      <c r="K244">
        <v>2</v>
      </c>
      <c r="L244">
        <f t="shared" si="28"/>
        <v>8</v>
      </c>
      <c r="M244" t="str">
        <f t="shared" si="29"/>
        <v>Medium</v>
      </c>
      <c r="N244" t="str">
        <f t="shared" si="30"/>
        <v>6-10%</v>
      </c>
      <c r="O244" t="str">
        <f t="shared" si="31"/>
        <v>OK</v>
      </c>
      <c r="P244">
        <f>IFERROR(Full_Data!G244/Full_Data!H244,"Check data")</f>
        <v>4.7E-2</v>
      </c>
      <c r="Q244" t="str">
        <f t="shared" si="32"/>
        <v>Match</v>
      </c>
      <c r="R244" t="str">
        <f t="shared" si="33"/>
        <v>Mismatch</v>
      </c>
      <c r="S244" t="str">
        <f t="shared" si="34"/>
        <v>Mismatch</v>
      </c>
    </row>
    <row r="245" spans="1:19" x14ac:dyDescent="0.25">
      <c r="A245" t="s">
        <v>239</v>
      </c>
      <c r="B245">
        <v>8500</v>
      </c>
      <c r="C245">
        <f t="shared" si="35"/>
        <v>85</v>
      </c>
      <c r="D245">
        <v>7</v>
      </c>
      <c r="E245">
        <v>5</v>
      </c>
      <c r="F245">
        <v>7900</v>
      </c>
      <c r="G245">
        <f t="shared" si="27"/>
        <v>79</v>
      </c>
      <c r="H245">
        <v>500</v>
      </c>
      <c r="I245" s="4">
        <f>Full_Data[[#This Row],[Selling Price]]/Full_Data[[#This Row],[Weight (g)]]</f>
        <v>0.158</v>
      </c>
      <c r="J245" t="b">
        <v>0</v>
      </c>
      <c r="K245">
        <v>500</v>
      </c>
      <c r="L245">
        <f t="shared" si="28"/>
        <v>6</v>
      </c>
      <c r="M245" t="str">
        <f t="shared" si="29"/>
        <v>Medium</v>
      </c>
      <c r="N245" t="str">
        <f t="shared" si="30"/>
        <v>6-10%</v>
      </c>
      <c r="O245" t="str">
        <f t="shared" si="31"/>
        <v>OK</v>
      </c>
      <c r="P245">
        <f>IFERROR(Full_Data!G245/Full_Data!H245,"Check data")</f>
        <v>0.158</v>
      </c>
      <c r="Q245" t="str">
        <f t="shared" si="32"/>
        <v>Match</v>
      </c>
      <c r="R245" t="str">
        <f t="shared" si="33"/>
        <v>Mismatch</v>
      </c>
      <c r="S245" t="str">
        <f t="shared" si="34"/>
        <v>Match</v>
      </c>
    </row>
    <row r="246" spans="1:19" x14ac:dyDescent="0.25">
      <c r="A246" t="s">
        <v>240</v>
      </c>
      <c r="B246">
        <v>7500</v>
      </c>
      <c r="C246">
        <f t="shared" si="35"/>
        <v>75</v>
      </c>
      <c r="D246">
        <v>0</v>
      </c>
      <c r="E246">
        <v>3</v>
      </c>
      <c r="F246">
        <v>7500</v>
      </c>
      <c r="G246">
        <f t="shared" si="27"/>
        <v>75</v>
      </c>
      <c r="H246">
        <v>1000</v>
      </c>
      <c r="I246" s="4">
        <f>Full_Data[[#This Row],[Selling Price]]/Full_Data[[#This Row],[Weight (g)]]</f>
        <v>7.4999999999999997E-2</v>
      </c>
      <c r="J246" t="b">
        <v>0</v>
      </c>
      <c r="K246">
        <v>1</v>
      </c>
      <c r="L246">
        <f t="shared" si="28"/>
        <v>0</v>
      </c>
      <c r="M246" t="str">
        <f t="shared" si="29"/>
        <v>Medium</v>
      </c>
      <c r="N246" t="str">
        <f t="shared" si="30"/>
        <v>0-5%</v>
      </c>
      <c r="O246" t="str">
        <f t="shared" si="31"/>
        <v>OK</v>
      </c>
      <c r="P246">
        <f>IFERROR(Full_Data!G246/Full_Data!H246,"Check data")</f>
        <v>7.4999999999999997E-2</v>
      </c>
      <c r="Q246" t="str">
        <f t="shared" si="32"/>
        <v>Match</v>
      </c>
      <c r="R246" t="str">
        <f t="shared" si="33"/>
        <v>Match</v>
      </c>
      <c r="S246" t="str">
        <f t="shared" si="34"/>
        <v>Match</v>
      </c>
    </row>
    <row r="247" spans="1:19" x14ac:dyDescent="0.25">
      <c r="A247" t="s">
        <v>241</v>
      </c>
      <c r="B247">
        <v>8000</v>
      </c>
      <c r="C247">
        <f t="shared" si="35"/>
        <v>80</v>
      </c>
      <c r="D247">
        <v>10</v>
      </c>
      <c r="E247">
        <v>4</v>
      </c>
      <c r="F247">
        <v>7200</v>
      </c>
      <c r="G247">
        <f t="shared" si="27"/>
        <v>72</v>
      </c>
      <c r="H247">
        <v>500</v>
      </c>
      <c r="I247" s="4">
        <f>Full_Data[[#This Row],[Selling Price]]/Full_Data[[#This Row],[Weight (g)]]</f>
        <v>0.14399999999999999</v>
      </c>
      <c r="J247" t="b">
        <v>0</v>
      </c>
      <c r="K247">
        <v>500</v>
      </c>
      <c r="L247">
        <f t="shared" si="28"/>
        <v>8</v>
      </c>
      <c r="M247" t="str">
        <f t="shared" si="29"/>
        <v>Medium</v>
      </c>
      <c r="N247" t="str">
        <f t="shared" si="30"/>
        <v>6-10%</v>
      </c>
      <c r="O247" t="str">
        <f t="shared" si="31"/>
        <v>OK</v>
      </c>
      <c r="P247">
        <f>IFERROR(Full_Data!G247/Full_Data!H247,"Check data")</f>
        <v>0.14399999999999999</v>
      </c>
      <c r="Q247" t="str">
        <f t="shared" si="32"/>
        <v>Match</v>
      </c>
      <c r="R247" t="str">
        <f t="shared" si="33"/>
        <v>Match</v>
      </c>
      <c r="S247" t="str">
        <f t="shared" si="34"/>
        <v>Match</v>
      </c>
    </row>
    <row r="248" spans="1:19" x14ac:dyDescent="0.25">
      <c r="A248" t="s">
        <v>242</v>
      </c>
      <c r="B248">
        <v>10900</v>
      </c>
      <c r="C248">
        <f t="shared" si="35"/>
        <v>109</v>
      </c>
      <c r="D248">
        <v>10</v>
      </c>
      <c r="E248">
        <v>5</v>
      </c>
      <c r="F248">
        <v>9800</v>
      </c>
      <c r="G248">
        <f t="shared" si="27"/>
        <v>98</v>
      </c>
      <c r="H248">
        <v>9</v>
      </c>
      <c r="I248" s="4">
        <f>Full_Data[[#This Row],[Selling Price]]/Full_Data[[#This Row],[Weight (g)]]</f>
        <v>10.888888888888889</v>
      </c>
      <c r="J248" t="b">
        <v>0</v>
      </c>
      <c r="K248">
        <v>9</v>
      </c>
      <c r="L248">
        <f t="shared" si="28"/>
        <v>11</v>
      </c>
      <c r="M248" t="str">
        <f t="shared" si="29"/>
        <v>Medium</v>
      </c>
      <c r="N248" t="str">
        <f t="shared" si="30"/>
        <v>6-10%</v>
      </c>
      <c r="O248" t="str">
        <f t="shared" si="31"/>
        <v>OK</v>
      </c>
      <c r="P248">
        <f>IFERROR(Full_Data!G248/Full_Data!H248,"Check data")</f>
        <v>10.888888888888889</v>
      </c>
      <c r="Q248" t="str">
        <f t="shared" si="32"/>
        <v>Match</v>
      </c>
      <c r="R248" t="str">
        <f t="shared" si="33"/>
        <v>Mismatch</v>
      </c>
      <c r="S248" t="str">
        <f t="shared" si="34"/>
        <v>Match</v>
      </c>
    </row>
    <row r="249" spans="1:19" x14ac:dyDescent="0.25">
      <c r="A249" t="s">
        <v>243</v>
      </c>
      <c r="B249">
        <v>10000</v>
      </c>
      <c r="C249">
        <f t="shared" si="35"/>
        <v>100</v>
      </c>
      <c r="D249">
        <v>10</v>
      </c>
      <c r="E249">
        <v>6</v>
      </c>
      <c r="F249">
        <v>9000</v>
      </c>
      <c r="G249">
        <f t="shared" si="27"/>
        <v>90</v>
      </c>
      <c r="H249">
        <v>500</v>
      </c>
      <c r="I249" s="4">
        <f>Full_Data[[#This Row],[Selling Price]]/Full_Data[[#This Row],[Weight (g)]]</f>
        <v>0.18</v>
      </c>
      <c r="J249" t="b">
        <v>0</v>
      </c>
      <c r="K249">
        <v>500</v>
      </c>
      <c r="L249">
        <f t="shared" si="28"/>
        <v>10</v>
      </c>
      <c r="M249" t="str">
        <f t="shared" si="29"/>
        <v>Medium</v>
      </c>
      <c r="N249" t="str">
        <f t="shared" si="30"/>
        <v>6-10%</v>
      </c>
      <c r="O249" t="str">
        <f t="shared" si="31"/>
        <v>OK</v>
      </c>
      <c r="P249">
        <f>IFERROR(Full_Data!G249/Full_Data!H249,"Check data")</f>
        <v>0.18</v>
      </c>
      <c r="Q249" t="str">
        <f t="shared" si="32"/>
        <v>Match</v>
      </c>
      <c r="R249" t="str">
        <f t="shared" si="33"/>
        <v>Match</v>
      </c>
      <c r="S249" t="str">
        <f t="shared" si="34"/>
        <v>Match</v>
      </c>
    </row>
    <row r="250" spans="1:19" x14ac:dyDescent="0.25">
      <c r="A250" t="s">
        <v>161</v>
      </c>
      <c r="B250">
        <v>7400</v>
      </c>
      <c r="C250">
        <f t="shared" si="35"/>
        <v>74</v>
      </c>
      <c r="D250">
        <v>2</v>
      </c>
      <c r="E250">
        <v>6</v>
      </c>
      <c r="F250">
        <v>7200</v>
      </c>
      <c r="G250">
        <f t="shared" si="27"/>
        <v>72</v>
      </c>
      <c r="H250">
        <v>100</v>
      </c>
      <c r="I250" s="4">
        <f>Full_Data[[#This Row],[Selling Price]]/Full_Data[[#This Row],[Weight (g)]]</f>
        <v>0.72</v>
      </c>
      <c r="J250" t="b">
        <v>0</v>
      </c>
      <c r="K250">
        <v>100</v>
      </c>
      <c r="L250">
        <f t="shared" si="28"/>
        <v>2</v>
      </c>
      <c r="M250" t="str">
        <f t="shared" si="29"/>
        <v>Medium</v>
      </c>
      <c r="N250" t="str">
        <f t="shared" si="30"/>
        <v>0-5%</v>
      </c>
      <c r="O250" t="str">
        <f t="shared" si="31"/>
        <v>OK</v>
      </c>
      <c r="P250">
        <f>IFERROR(Full_Data!G250/Full_Data!H250,"Check data")</f>
        <v>0.72</v>
      </c>
      <c r="Q250" t="str">
        <f t="shared" si="32"/>
        <v>Match</v>
      </c>
      <c r="R250" t="str">
        <f t="shared" si="33"/>
        <v>Mismatch</v>
      </c>
      <c r="S250" t="str">
        <f t="shared" si="34"/>
        <v>Mismatch</v>
      </c>
    </row>
    <row r="251" spans="1:19" x14ac:dyDescent="0.25">
      <c r="A251" t="s">
        <v>240</v>
      </c>
      <c r="B251">
        <v>37000</v>
      </c>
      <c r="C251">
        <f t="shared" si="35"/>
        <v>370</v>
      </c>
      <c r="D251">
        <v>10</v>
      </c>
      <c r="E251">
        <v>6</v>
      </c>
      <c r="F251">
        <v>33300</v>
      </c>
      <c r="G251">
        <f t="shared" si="27"/>
        <v>333</v>
      </c>
      <c r="H251">
        <v>5000</v>
      </c>
      <c r="I251" s="4">
        <f>Full_Data[[#This Row],[Selling Price]]/Full_Data[[#This Row],[Weight (g)]]</f>
        <v>6.6600000000000006E-2</v>
      </c>
      <c r="J251" t="b">
        <v>0</v>
      </c>
      <c r="K251">
        <v>5</v>
      </c>
      <c r="L251">
        <f t="shared" si="28"/>
        <v>37</v>
      </c>
      <c r="M251" t="str">
        <f t="shared" si="29"/>
        <v>High</v>
      </c>
      <c r="N251" t="str">
        <f t="shared" si="30"/>
        <v>6-10%</v>
      </c>
      <c r="O251" t="str">
        <f t="shared" si="31"/>
        <v>OK</v>
      </c>
      <c r="P251">
        <f>IFERROR(Full_Data!G251/Full_Data!H251,"Check data")</f>
        <v>6.6600000000000006E-2</v>
      </c>
      <c r="Q251" t="str">
        <f t="shared" si="32"/>
        <v>Match</v>
      </c>
      <c r="R251" t="str">
        <f t="shared" si="33"/>
        <v>Match</v>
      </c>
      <c r="S251" t="str">
        <f t="shared" si="34"/>
        <v>Match</v>
      </c>
    </row>
    <row r="252" spans="1:19" x14ac:dyDescent="0.25">
      <c r="A252" t="s">
        <v>244</v>
      </c>
      <c r="B252">
        <v>4200</v>
      </c>
      <c r="C252">
        <f t="shared" si="35"/>
        <v>42</v>
      </c>
      <c r="D252">
        <v>4</v>
      </c>
      <c r="E252">
        <v>5</v>
      </c>
      <c r="F252">
        <v>4000</v>
      </c>
      <c r="G252">
        <f t="shared" si="27"/>
        <v>40</v>
      </c>
      <c r="H252">
        <v>50</v>
      </c>
      <c r="I252" s="4">
        <f>Full_Data[[#This Row],[Selling Price]]/Full_Data[[#This Row],[Weight (g)]]</f>
        <v>0.8</v>
      </c>
      <c r="J252" t="b">
        <v>0</v>
      </c>
      <c r="K252">
        <v>50</v>
      </c>
      <c r="L252">
        <f t="shared" si="28"/>
        <v>2</v>
      </c>
      <c r="M252" t="str">
        <f t="shared" si="29"/>
        <v>Low</v>
      </c>
      <c r="N252" t="str">
        <f t="shared" si="30"/>
        <v>0-5%</v>
      </c>
      <c r="O252" t="str">
        <f t="shared" si="31"/>
        <v>OK</v>
      </c>
      <c r="P252">
        <f>IFERROR(Full_Data!G252/Full_Data!H252,"Check data")</f>
        <v>0.8</v>
      </c>
      <c r="Q252" t="str">
        <f t="shared" si="32"/>
        <v>Match</v>
      </c>
      <c r="R252" t="str">
        <f t="shared" si="33"/>
        <v>Mismatch</v>
      </c>
      <c r="S252" t="str">
        <f t="shared" si="34"/>
        <v>Mismatch</v>
      </c>
    </row>
    <row r="253" spans="1:19" x14ac:dyDescent="0.25">
      <c r="A253" t="s">
        <v>245</v>
      </c>
      <c r="B253">
        <v>32500</v>
      </c>
      <c r="C253">
        <f t="shared" si="35"/>
        <v>325</v>
      </c>
      <c r="D253">
        <v>9</v>
      </c>
      <c r="E253">
        <v>1</v>
      </c>
      <c r="F253">
        <v>29300</v>
      </c>
      <c r="G253">
        <f t="shared" si="27"/>
        <v>293</v>
      </c>
      <c r="H253">
        <v>500</v>
      </c>
      <c r="I253" s="4">
        <f>Full_Data[[#This Row],[Selling Price]]/Full_Data[[#This Row],[Weight (g)]]</f>
        <v>0.58599999999999997</v>
      </c>
      <c r="J253" t="b">
        <v>0</v>
      </c>
      <c r="K253">
        <v>500</v>
      </c>
      <c r="L253">
        <f t="shared" si="28"/>
        <v>32</v>
      </c>
      <c r="M253" t="str">
        <f t="shared" si="29"/>
        <v>High</v>
      </c>
      <c r="N253" t="str">
        <f t="shared" si="30"/>
        <v>6-10%</v>
      </c>
      <c r="O253" t="str">
        <f t="shared" si="31"/>
        <v>OK</v>
      </c>
      <c r="P253">
        <f>IFERROR(Full_Data!G253/Full_Data!H253,"Check data")</f>
        <v>0.58599999999999997</v>
      </c>
      <c r="Q253" t="str">
        <f t="shared" si="32"/>
        <v>Match</v>
      </c>
      <c r="R253" t="str">
        <f t="shared" si="33"/>
        <v>Mismatch</v>
      </c>
      <c r="S253" t="str">
        <f t="shared" si="34"/>
        <v>Mismatch</v>
      </c>
    </row>
    <row r="254" spans="1:19" x14ac:dyDescent="0.25">
      <c r="A254" t="s">
        <v>246</v>
      </c>
      <c r="B254">
        <v>3500</v>
      </c>
      <c r="C254">
        <f t="shared" si="35"/>
        <v>35</v>
      </c>
      <c r="D254">
        <v>2</v>
      </c>
      <c r="E254">
        <v>6</v>
      </c>
      <c r="F254">
        <v>3400</v>
      </c>
      <c r="G254">
        <f t="shared" si="27"/>
        <v>34</v>
      </c>
      <c r="H254">
        <v>20</v>
      </c>
      <c r="I254" s="4">
        <f>Full_Data[[#This Row],[Selling Price]]/Full_Data[[#This Row],[Weight (g)]]</f>
        <v>1.7</v>
      </c>
      <c r="J254" t="b">
        <v>0</v>
      </c>
      <c r="K254">
        <v>20</v>
      </c>
      <c r="L254">
        <f t="shared" si="28"/>
        <v>1</v>
      </c>
      <c r="M254" t="str">
        <f t="shared" si="29"/>
        <v>Low</v>
      </c>
      <c r="N254" t="str">
        <f t="shared" si="30"/>
        <v>0-5%</v>
      </c>
      <c r="O254" t="str">
        <f t="shared" si="31"/>
        <v>OK</v>
      </c>
      <c r="P254">
        <f>IFERROR(Full_Data!G254/Full_Data!H254,"Check data")</f>
        <v>1.7</v>
      </c>
      <c r="Q254" t="str">
        <f t="shared" si="32"/>
        <v>Match</v>
      </c>
      <c r="R254" t="str">
        <f t="shared" si="33"/>
        <v>Mismatch</v>
      </c>
      <c r="S254" t="str">
        <f t="shared" si="34"/>
        <v>Mismatch</v>
      </c>
    </row>
    <row r="255" spans="1:19" x14ac:dyDescent="0.25">
      <c r="A255" t="s">
        <v>247</v>
      </c>
      <c r="B255">
        <v>3000</v>
      </c>
      <c r="C255">
        <f t="shared" si="35"/>
        <v>30</v>
      </c>
      <c r="D255">
        <v>3</v>
      </c>
      <c r="E255">
        <v>6</v>
      </c>
      <c r="F255">
        <v>2900</v>
      </c>
      <c r="G255">
        <f t="shared" si="27"/>
        <v>29</v>
      </c>
      <c r="H255">
        <v>50</v>
      </c>
      <c r="I255" s="4">
        <f>Full_Data[[#This Row],[Selling Price]]/Full_Data[[#This Row],[Weight (g)]]</f>
        <v>0.57999999999999996</v>
      </c>
      <c r="J255" t="b">
        <v>0</v>
      </c>
      <c r="K255">
        <v>50</v>
      </c>
      <c r="L255">
        <f t="shared" si="28"/>
        <v>1</v>
      </c>
      <c r="M255" t="str">
        <f t="shared" si="29"/>
        <v>Low</v>
      </c>
      <c r="N255" t="str">
        <f t="shared" si="30"/>
        <v>0-5%</v>
      </c>
      <c r="O255" t="str">
        <f t="shared" si="31"/>
        <v>OK</v>
      </c>
      <c r="P255">
        <f>IFERROR(Full_Data!G255/Full_Data!H255,"Check data")</f>
        <v>0.57999999999999996</v>
      </c>
      <c r="Q255" t="str">
        <f t="shared" si="32"/>
        <v>Match</v>
      </c>
      <c r="R255" t="str">
        <f t="shared" si="33"/>
        <v>Mismatch</v>
      </c>
      <c r="S255" t="str">
        <f t="shared" si="34"/>
        <v>Match</v>
      </c>
    </row>
    <row r="256" spans="1:19" x14ac:dyDescent="0.25">
      <c r="A256" t="s">
        <v>165</v>
      </c>
      <c r="B256">
        <v>69500</v>
      </c>
      <c r="C256">
        <f t="shared" si="35"/>
        <v>695</v>
      </c>
      <c r="D256">
        <v>32</v>
      </c>
      <c r="E256">
        <v>6</v>
      </c>
      <c r="F256">
        <v>47000</v>
      </c>
      <c r="G256">
        <f t="shared" si="27"/>
        <v>470</v>
      </c>
      <c r="H256">
        <v>500</v>
      </c>
      <c r="I256" s="4">
        <f>Full_Data[[#This Row],[Selling Price]]/Full_Data[[#This Row],[Weight (g)]]</f>
        <v>0.94</v>
      </c>
      <c r="J256" t="b">
        <v>0</v>
      </c>
      <c r="K256">
        <v>500</v>
      </c>
      <c r="L256">
        <f t="shared" si="28"/>
        <v>225</v>
      </c>
      <c r="M256" t="str">
        <f t="shared" si="29"/>
        <v>High</v>
      </c>
      <c r="N256" t="str">
        <f t="shared" si="30"/>
        <v>21%+</v>
      </c>
      <c r="O256" t="str">
        <f t="shared" si="31"/>
        <v>OK</v>
      </c>
      <c r="P256">
        <f>IFERROR(Full_Data!G256/Full_Data!H256,"Check data")</f>
        <v>0.94</v>
      </c>
      <c r="Q256" t="str">
        <f t="shared" si="32"/>
        <v>Match</v>
      </c>
      <c r="R256" t="str">
        <f t="shared" si="33"/>
        <v>Mismatch</v>
      </c>
      <c r="S256" t="str">
        <f t="shared" si="34"/>
        <v>Match</v>
      </c>
    </row>
    <row r="257" spans="1:19" x14ac:dyDescent="0.25">
      <c r="A257" t="s">
        <v>248</v>
      </c>
      <c r="B257">
        <v>11000</v>
      </c>
      <c r="C257">
        <f t="shared" si="35"/>
        <v>110</v>
      </c>
      <c r="D257">
        <v>20</v>
      </c>
      <c r="E257">
        <v>6</v>
      </c>
      <c r="F257">
        <v>8800</v>
      </c>
      <c r="G257">
        <f t="shared" si="27"/>
        <v>88</v>
      </c>
      <c r="H257">
        <v>80</v>
      </c>
      <c r="I257" s="4">
        <f>Full_Data[[#This Row],[Selling Price]]/Full_Data[[#This Row],[Weight (g)]]</f>
        <v>1.1000000000000001</v>
      </c>
      <c r="J257" t="b">
        <v>0</v>
      </c>
      <c r="K257">
        <v>80</v>
      </c>
      <c r="L257">
        <f t="shared" si="28"/>
        <v>22</v>
      </c>
      <c r="M257" t="str">
        <f t="shared" si="29"/>
        <v>Medium</v>
      </c>
      <c r="N257" t="str">
        <f t="shared" si="30"/>
        <v>16-20%</v>
      </c>
      <c r="O257" t="str">
        <f t="shared" si="31"/>
        <v>OK</v>
      </c>
      <c r="P257">
        <f>IFERROR(Full_Data!G257/Full_Data!H257,"Check data")</f>
        <v>1.1000000000000001</v>
      </c>
      <c r="Q257" t="str">
        <f t="shared" si="32"/>
        <v>Match</v>
      </c>
      <c r="R257" t="str">
        <f t="shared" si="33"/>
        <v>Match</v>
      </c>
      <c r="S257" t="str">
        <f t="shared" si="34"/>
        <v>Match</v>
      </c>
    </row>
    <row r="258" spans="1:19" x14ac:dyDescent="0.25">
      <c r="A258" t="s">
        <v>249</v>
      </c>
      <c r="B258">
        <v>3300</v>
      </c>
      <c r="C258">
        <f t="shared" si="35"/>
        <v>33</v>
      </c>
      <c r="D258">
        <v>3</v>
      </c>
      <c r="E258">
        <v>5</v>
      </c>
      <c r="F258">
        <v>3200</v>
      </c>
      <c r="G258">
        <f t="shared" ref="G258:G321" si="36">F258/100</f>
        <v>32</v>
      </c>
      <c r="H258">
        <v>50</v>
      </c>
      <c r="I258" s="4">
        <f>Full_Data[[#This Row],[Selling Price]]/Full_Data[[#This Row],[Weight (g)]]</f>
        <v>0.64</v>
      </c>
      <c r="J258" t="b">
        <v>0</v>
      </c>
      <c r="K258">
        <v>50</v>
      </c>
      <c r="L258">
        <f t="shared" ref="L258:L321" si="37">C258-G258</f>
        <v>1</v>
      </c>
      <c r="M258" t="str">
        <f t="shared" ref="M258:M321" si="38">IF(G258&lt;50,"Low",IF(G258&lt;200,"Medium","High"))</f>
        <v>Low</v>
      </c>
      <c r="N258" t="str">
        <f t="shared" ref="N258:N321" si="39">IF(D258&lt;=5,"0-5%",
IF(D258&lt;=10,"6-10%",
IF(D258&lt;=15,"11-15%",
IF(D258&lt;=20,"16-20%","21%+"))))</f>
        <v>0-5%</v>
      </c>
      <c r="O258" t="str">
        <f t="shared" ref="O258:O321" si="40">IF(AND(C258=0,G258=0),"Review: Zero MRP and selling price",IF(C258&lt;=0,"Review: Invalid MRP",IF(G258&lt;0,"Review: Negative selling price",IF(G258=0,"Review: Zero selling price",IF(H258&lt;=0,"Review: Invalid weight","OK")))))</f>
        <v>OK</v>
      </c>
      <c r="P258">
        <f>IFERROR(Full_Data!G258/Full_Data!H258,"Check data")</f>
        <v>0.64</v>
      </c>
      <c r="Q258" t="str">
        <f t="shared" ref="Q258:Q321" si="41">IF(OR(H258="",H258&lt;=0),"Invalid weight",IF(G258="","Missing selling price",IF(ROUND(G258/H258,2)=ROUND(I258,2),"Match","Mismatch")))</f>
        <v>Match</v>
      </c>
      <c r="R258" t="str">
        <f t="shared" ref="R258:R321" si="42">IF(OR(C258&lt;=0,G258=""),"Check data",IF(ROUND((C258-G258)/C258*100,2)=ROUND(D258,2),"Match","Mismatch"))</f>
        <v>Mismatch</v>
      </c>
      <c r="S258" t="str">
        <f t="shared" ref="S258:S321" si="43">IF(OR(C258&lt;=0,G258=""),"Check data",IF(ROUND((C258-G258)/C258*100,0)=D258,"Match","Mismatch"))</f>
        <v>Match</v>
      </c>
    </row>
    <row r="259" spans="1:19" x14ac:dyDescent="0.25">
      <c r="A259" t="s">
        <v>250</v>
      </c>
      <c r="B259">
        <v>4000</v>
      </c>
      <c r="C259">
        <f t="shared" ref="C259:C322" si="44">B259/100</f>
        <v>40</v>
      </c>
      <c r="D259">
        <v>5</v>
      </c>
      <c r="E259">
        <v>1</v>
      </c>
      <c r="F259">
        <v>3800</v>
      </c>
      <c r="G259">
        <f t="shared" si="36"/>
        <v>38</v>
      </c>
      <c r="H259">
        <v>100</v>
      </c>
      <c r="I259" s="4">
        <f>Full_Data[[#This Row],[Selling Price]]/Full_Data[[#This Row],[Weight (g)]]</f>
        <v>0.38</v>
      </c>
      <c r="J259" t="b">
        <v>0</v>
      </c>
      <c r="K259">
        <v>100</v>
      </c>
      <c r="L259">
        <f t="shared" si="37"/>
        <v>2</v>
      </c>
      <c r="M259" t="str">
        <f t="shared" si="38"/>
        <v>Low</v>
      </c>
      <c r="N259" t="str">
        <f t="shared" si="39"/>
        <v>0-5%</v>
      </c>
      <c r="O259" t="str">
        <f t="shared" si="40"/>
        <v>OK</v>
      </c>
      <c r="P259">
        <f>IFERROR(Full_Data!G259/Full_Data!H259,"Check data")</f>
        <v>0.38</v>
      </c>
      <c r="Q259" t="str">
        <f t="shared" si="41"/>
        <v>Match</v>
      </c>
      <c r="R259" t="str">
        <f t="shared" si="42"/>
        <v>Match</v>
      </c>
      <c r="S259" t="str">
        <f t="shared" si="43"/>
        <v>Match</v>
      </c>
    </row>
    <row r="260" spans="1:19" x14ac:dyDescent="0.25">
      <c r="A260" t="s">
        <v>251</v>
      </c>
      <c r="B260">
        <v>12500</v>
      </c>
      <c r="C260">
        <f t="shared" si="44"/>
        <v>125</v>
      </c>
      <c r="D260">
        <v>2</v>
      </c>
      <c r="E260">
        <v>6</v>
      </c>
      <c r="F260">
        <v>12200</v>
      </c>
      <c r="G260">
        <f t="shared" si="36"/>
        <v>122</v>
      </c>
      <c r="H260">
        <v>500</v>
      </c>
      <c r="I260" s="4">
        <f>Full_Data[[#This Row],[Selling Price]]/Full_Data[[#This Row],[Weight (g)]]</f>
        <v>0.24399999999999999</v>
      </c>
      <c r="J260" t="b">
        <v>0</v>
      </c>
      <c r="K260">
        <v>500</v>
      </c>
      <c r="L260">
        <f t="shared" si="37"/>
        <v>3</v>
      </c>
      <c r="M260" t="str">
        <f t="shared" si="38"/>
        <v>Medium</v>
      </c>
      <c r="N260" t="str">
        <f t="shared" si="39"/>
        <v>0-5%</v>
      </c>
      <c r="O260" t="str">
        <f t="shared" si="40"/>
        <v>OK</v>
      </c>
      <c r="P260">
        <f>IFERROR(Full_Data!G260/Full_Data!H260,"Check data")</f>
        <v>0.24399999999999999</v>
      </c>
      <c r="Q260" t="str">
        <f t="shared" si="41"/>
        <v>Match</v>
      </c>
      <c r="R260" t="str">
        <f t="shared" si="42"/>
        <v>Mismatch</v>
      </c>
      <c r="S260" t="str">
        <f t="shared" si="43"/>
        <v>Match</v>
      </c>
    </row>
    <row r="261" spans="1:19" x14ac:dyDescent="0.25">
      <c r="A261" t="s">
        <v>252</v>
      </c>
      <c r="B261">
        <v>7900</v>
      </c>
      <c r="C261">
        <f t="shared" si="44"/>
        <v>79</v>
      </c>
      <c r="D261">
        <v>10</v>
      </c>
      <c r="E261">
        <v>6</v>
      </c>
      <c r="F261">
        <v>7100</v>
      </c>
      <c r="G261">
        <f t="shared" si="36"/>
        <v>71</v>
      </c>
      <c r="H261">
        <v>200</v>
      </c>
      <c r="I261" s="4">
        <f>Full_Data[[#This Row],[Selling Price]]/Full_Data[[#This Row],[Weight (g)]]</f>
        <v>0.35499999999999998</v>
      </c>
      <c r="J261" t="b">
        <v>0</v>
      </c>
      <c r="K261">
        <v>200</v>
      </c>
      <c r="L261">
        <f t="shared" si="37"/>
        <v>8</v>
      </c>
      <c r="M261" t="str">
        <f t="shared" si="38"/>
        <v>Medium</v>
      </c>
      <c r="N261" t="str">
        <f t="shared" si="39"/>
        <v>6-10%</v>
      </c>
      <c r="O261" t="str">
        <f t="shared" si="40"/>
        <v>OK</v>
      </c>
      <c r="P261">
        <f>IFERROR(Full_Data!G261/Full_Data!H261,"Check data")</f>
        <v>0.35499999999999998</v>
      </c>
      <c r="Q261" t="str">
        <f t="shared" si="41"/>
        <v>Match</v>
      </c>
      <c r="R261" t="str">
        <f t="shared" si="42"/>
        <v>Mismatch</v>
      </c>
      <c r="S261" t="str">
        <f t="shared" si="43"/>
        <v>Match</v>
      </c>
    </row>
    <row r="262" spans="1:19" x14ac:dyDescent="0.25">
      <c r="A262" t="s">
        <v>253</v>
      </c>
      <c r="B262">
        <v>6000</v>
      </c>
      <c r="C262">
        <f t="shared" si="44"/>
        <v>60</v>
      </c>
      <c r="D262">
        <v>0</v>
      </c>
      <c r="E262">
        <v>1</v>
      </c>
      <c r="F262">
        <v>6000</v>
      </c>
      <c r="G262">
        <f t="shared" si="36"/>
        <v>60</v>
      </c>
      <c r="H262">
        <v>240</v>
      </c>
      <c r="I262" s="4">
        <f>Full_Data[[#This Row],[Selling Price]]/Full_Data[[#This Row],[Weight (g)]]</f>
        <v>0.25</v>
      </c>
      <c r="J262" t="b">
        <v>0</v>
      </c>
      <c r="K262">
        <v>240</v>
      </c>
      <c r="L262">
        <f t="shared" si="37"/>
        <v>0</v>
      </c>
      <c r="M262" t="str">
        <f t="shared" si="38"/>
        <v>Medium</v>
      </c>
      <c r="N262" t="str">
        <f t="shared" si="39"/>
        <v>0-5%</v>
      </c>
      <c r="O262" t="str">
        <f t="shared" si="40"/>
        <v>OK</v>
      </c>
      <c r="P262">
        <f>IFERROR(Full_Data!G262/Full_Data!H262,"Check data")</f>
        <v>0.25</v>
      </c>
      <c r="Q262" t="str">
        <f t="shared" si="41"/>
        <v>Match</v>
      </c>
      <c r="R262" t="str">
        <f t="shared" si="42"/>
        <v>Match</v>
      </c>
      <c r="S262" t="str">
        <f t="shared" si="43"/>
        <v>Match</v>
      </c>
    </row>
    <row r="263" spans="1:19" x14ac:dyDescent="0.25">
      <c r="A263" t="s">
        <v>254</v>
      </c>
      <c r="B263">
        <v>11000</v>
      </c>
      <c r="C263">
        <f t="shared" si="44"/>
        <v>110</v>
      </c>
      <c r="D263">
        <v>2</v>
      </c>
      <c r="E263">
        <v>6</v>
      </c>
      <c r="F263">
        <v>10700</v>
      </c>
      <c r="G263">
        <f t="shared" si="36"/>
        <v>107</v>
      </c>
      <c r="H263">
        <v>500</v>
      </c>
      <c r="I263" s="4">
        <f>Full_Data[[#This Row],[Selling Price]]/Full_Data[[#This Row],[Weight (g)]]</f>
        <v>0.214</v>
      </c>
      <c r="J263" t="b">
        <v>0</v>
      </c>
      <c r="K263">
        <v>500</v>
      </c>
      <c r="L263">
        <f t="shared" si="37"/>
        <v>3</v>
      </c>
      <c r="M263" t="str">
        <f t="shared" si="38"/>
        <v>Medium</v>
      </c>
      <c r="N263" t="str">
        <f t="shared" si="39"/>
        <v>0-5%</v>
      </c>
      <c r="O263" t="str">
        <f t="shared" si="40"/>
        <v>OK</v>
      </c>
      <c r="P263">
        <f>IFERROR(Full_Data!G263/Full_Data!H263,"Check data")</f>
        <v>0.214</v>
      </c>
      <c r="Q263" t="str">
        <f t="shared" si="41"/>
        <v>Match</v>
      </c>
      <c r="R263" t="str">
        <f t="shared" si="42"/>
        <v>Mismatch</v>
      </c>
      <c r="S263" t="str">
        <f t="shared" si="43"/>
        <v>Mismatch</v>
      </c>
    </row>
    <row r="264" spans="1:19" x14ac:dyDescent="0.25">
      <c r="A264" t="s">
        <v>255</v>
      </c>
      <c r="B264">
        <v>7000</v>
      </c>
      <c r="C264">
        <f t="shared" si="44"/>
        <v>70</v>
      </c>
      <c r="D264">
        <v>7</v>
      </c>
      <c r="E264">
        <v>3</v>
      </c>
      <c r="F264">
        <v>6500</v>
      </c>
      <c r="G264">
        <f t="shared" si="36"/>
        <v>65</v>
      </c>
      <c r="H264">
        <v>100</v>
      </c>
      <c r="I264" s="4">
        <f>Full_Data[[#This Row],[Selling Price]]/Full_Data[[#This Row],[Weight (g)]]</f>
        <v>0.65</v>
      </c>
      <c r="J264" t="b">
        <v>0</v>
      </c>
      <c r="K264">
        <v>100</v>
      </c>
      <c r="L264">
        <f t="shared" si="37"/>
        <v>5</v>
      </c>
      <c r="M264" t="str">
        <f t="shared" si="38"/>
        <v>Medium</v>
      </c>
      <c r="N264" t="str">
        <f t="shared" si="39"/>
        <v>6-10%</v>
      </c>
      <c r="O264" t="str">
        <f t="shared" si="40"/>
        <v>OK</v>
      </c>
      <c r="P264">
        <f>IFERROR(Full_Data!G264/Full_Data!H264,"Check data")</f>
        <v>0.65</v>
      </c>
      <c r="Q264" t="str">
        <f t="shared" si="41"/>
        <v>Match</v>
      </c>
      <c r="R264" t="str">
        <f t="shared" si="42"/>
        <v>Mismatch</v>
      </c>
      <c r="S264" t="str">
        <f t="shared" si="43"/>
        <v>Match</v>
      </c>
    </row>
    <row r="265" spans="1:19" x14ac:dyDescent="0.25">
      <c r="A265" t="s">
        <v>256</v>
      </c>
      <c r="B265">
        <v>2500</v>
      </c>
      <c r="C265">
        <f t="shared" si="44"/>
        <v>25</v>
      </c>
      <c r="D265">
        <v>0</v>
      </c>
      <c r="E265">
        <v>5</v>
      </c>
      <c r="F265">
        <v>2500</v>
      </c>
      <c r="G265">
        <f t="shared" si="36"/>
        <v>25</v>
      </c>
      <c r="H265">
        <v>100</v>
      </c>
      <c r="I265" s="4">
        <f>Full_Data[[#This Row],[Selling Price]]/Full_Data[[#This Row],[Weight (g)]]</f>
        <v>0.25</v>
      </c>
      <c r="J265" t="b">
        <v>0</v>
      </c>
      <c r="K265">
        <v>100</v>
      </c>
      <c r="L265">
        <f t="shared" si="37"/>
        <v>0</v>
      </c>
      <c r="M265" t="str">
        <f t="shared" si="38"/>
        <v>Low</v>
      </c>
      <c r="N265" t="str">
        <f t="shared" si="39"/>
        <v>0-5%</v>
      </c>
      <c r="O265" t="str">
        <f t="shared" si="40"/>
        <v>OK</v>
      </c>
      <c r="P265">
        <f>IFERROR(Full_Data!G265/Full_Data!H265,"Check data")</f>
        <v>0.25</v>
      </c>
      <c r="Q265" t="str">
        <f t="shared" si="41"/>
        <v>Match</v>
      </c>
      <c r="R265" t="str">
        <f t="shared" si="42"/>
        <v>Match</v>
      </c>
      <c r="S265" t="str">
        <f t="shared" si="43"/>
        <v>Match</v>
      </c>
    </row>
    <row r="266" spans="1:19" x14ac:dyDescent="0.25">
      <c r="A266" t="s">
        <v>257</v>
      </c>
      <c r="B266">
        <v>2000</v>
      </c>
      <c r="C266">
        <f t="shared" si="44"/>
        <v>20</v>
      </c>
      <c r="D266">
        <v>0</v>
      </c>
      <c r="E266">
        <v>2</v>
      </c>
      <c r="F266">
        <v>2000</v>
      </c>
      <c r="G266">
        <f t="shared" si="36"/>
        <v>20</v>
      </c>
      <c r="H266">
        <v>46</v>
      </c>
      <c r="I266" s="4">
        <f>Full_Data[[#This Row],[Selling Price]]/Full_Data[[#This Row],[Weight (g)]]</f>
        <v>0.43478260869565216</v>
      </c>
      <c r="J266" t="b">
        <v>0</v>
      </c>
      <c r="K266">
        <v>46</v>
      </c>
      <c r="L266">
        <f t="shared" si="37"/>
        <v>0</v>
      </c>
      <c r="M266" t="str">
        <f t="shared" si="38"/>
        <v>Low</v>
      </c>
      <c r="N266" t="str">
        <f t="shared" si="39"/>
        <v>0-5%</v>
      </c>
      <c r="O266" t="str">
        <f t="shared" si="40"/>
        <v>OK</v>
      </c>
      <c r="P266">
        <f>IFERROR(Full_Data!G266/Full_Data!H266,"Check data")</f>
        <v>0.43478260869565216</v>
      </c>
      <c r="Q266" t="str">
        <f t="shared" si="41"/>
        <v>Match</v>
      </c>
      <c r="R266" t="str">
        <f t="shared" si="42"/>
        <v>Match</v>
      </c>
      <c r="S266" t="str">
        <f t="shared" si="43"/>
        <v>Match</v>
      </c>
    </row>
    <row r="267" spans="1:19" x14ac:dyDescent="0.25">
      <c r="A267" t="s">
        <v>258</v>
      </c>
      <c r="B267">
        <v>17500</v>
      </c>
      <c r="C267">
        <f t="shared" si="44"/>
        <v>175</v>
      </c>
      <c r="D267">
        <v>5</v>
      </c>
      <c r="E267">
        <v>6</v>
      </c>
      <c r="F267">
        <v>16600</v>
      </c>
      <c r="G267">
        <f t="shared" si="36"/>
        <v>166</v>
      </c>
      <c r="H267">
        <v>200</v>
      </c>
      <c r="I267" s="4">
        <f>Full_Data[[#This Row],[Selling Price]]/Full_Data[[#This Row],[Weight (g)]]</f>
        <v>0.83</v>
      </c>
      <c r="J267" t="b">
        <v>0</v>
      </c>
      <c r="K267">
        <v>200</v>
      </c>
      <c r="L267">
        <f t="shared" si="37"/>
        <v>9</v>
      </c>
      <c r="M267" t="str">
        <f t="shared" si="38"/>
        <v>Medium</v>
      </c>
      <c r="N267" t="str">
        <f t="shared" si="39"/>
        <v>0-5%</v>
      </c>
      <c r="O267" t="str">
        <f t="shared" si="40"/>
        <v>OK</v>
      </c>
      <c r="P267">
        <f>IFERROR(Full_Data!G267/Full_Data!H267,"Check data")</f>
        <v>0.83</v>
      </c>
      <c r="Q267" t="str">
        <f t="shared" si="41"/>
        <v>Match</v>
      </c>
      <c r="R267" t="str">
        <f t="shared" si="42"/>
        <v>Mismatch</v>
      </c>
      <c r="S267" t="str">
        <f t="shared" si="43"/>
        <v>Match</v>
      </c>
    </row>
    <row r="268" spans="1:19" x14ac:dyDescent="0.25">
      <c r="A268" t="s">
        <v>259</v>
      </c>
      <c r="B268">
        <v>1000</v>
      </c>
      <c r="C268">
        <f t="shared" si="44"/>
        <v>10</v>
      </c>
      <c r="D268">
        <v>0</v>
      </c>
      <c r="E268">
        <v>6</v>
      </c>
      <c r="F268">
        <v>1000</v>
      </c>
      <c r="G268">
        <f t="shared" si="36"/>
        <v>10</v>
      </c>
      <c r="H268">
        <v>20</v>
      </c>
      <c r="I268" s="4">
        <f>Full_Data[[#This Row],[Selling Price]]/Full_Data[[#This Row],[Weight (g)]]</f>
        <v>0.5</v>
      </c>
      <c r="J268" t="b">
        <v>0</v>
      </c>
      <c r="K268">
        <v>20</v>
      </c>
      <c r="L268">
        <f t="shared" si="37"/>
        <v>0</v>
      </c>
      <c r="M268" t="str">
        <f t="shared" si="38"/>
        <v>Low</v>
      </c>
      <c r="N268" t="str">
        <f t="shared" si="39"/>
        <v>0-5%</v>
      </c>
      <c r="O268" t="str">
        <f t="shared" si="40"/>
        <v>OK</v>
      </c>
      <c r="P268">
        <f>IFERROR(Full_Data!G268/Full_Data!H268,"Check data")</f>
        <v>0.5</v>
      </c>
      <c r="Q268" t="str">
        <f t="shared" si="41"/>
        <v>Match</v>
      </c>
      <c r="R268" t="str">
        <f t="shared" si="42"/>
        <v>Match</v>
      </c>
      <c r="S268" t="str">
        <f t="shared" si="43"/>
        <v>Match</v>
      </c>
    </row>
    <row r="269" spans="1:19" x14ac:dyDescent="0.25">
      <c r="A269" t="s">
        <v>260</v>
      </c>
      <c r="B269">
        <v>6200</v>
      </c>
      <c r="C269">
        <f t="shared" si="44"/>
        <v>62</v>
      </c>
      <c r="D269">
        <v>6</v>
      </c>
      <c r="E269">
        <v>6</v>
      </c>
      <c r="F269">
        <v>5800</v>
      </c>
      <c r="G269">
        <f t="shared" si="36"/>
        <v>58</v>
      </c>
      <c r="H269">
        <v>250</v>
      </c>
      <c r="I269" s="4">
        <f>Full_Data[[#This Row],[Selling Price]]/Full_Data[[#This Row],[Weight (g)]]</f>
        <v>0.23200000000000001</v>
      </c>
      <c r="J269" t="b">
        <v>0</v>
      </c>
      <c r="K269">
        <v>250</v>
      </c>
      <c r="L269">
        <f t="shared" si="37"/>
        <v>4</v>
      </c>
      <c r="M269" t="str">
        <f t="shared" si="38"/>
        <v>Medium</v>
      </c>
      <c r="N269" t="str">
        <f t="shared" si="39"/>
        <v>6-10%</v>
      </c>
      <c r="O269" t="str">
        <f t="shared" si="40"/>
        <v>OK</v>
      </c>
      <c r="P269">
        <f>IFERROR(Full_Data!G269/Full_Data!H269,"Check data")</f>
        <v>0.23200000000000001</v>
      </c>
      <c r="Q269" t="str">
        <f t="shared" si="41"/>
        <v>Match</v>
      </c>
      <c r="R269" t="str">
        <f t="shared" si="42"/>
        <v>Mismatch</v>
      </c>
      <c r="S269" t="str">
        <f t="shared" si="43"/>
        <v>Match</v>
      </c>
    </row>
    <row r="270" spans="1:19" x14ac:dyDescent="0.25">
      <c r="A270" t="s">
        <v>261</v>
      </c>
      <c r="B270">
        <v>10000</v>
      </c>
      <c r="C270">
        <f t="shared" si="44"/>
        <v>100</v>
      </c>
      <c r="D270">
        <v>10</v>
      </c>
      <c r="E270">
        <v>6</v>
      </c>
      <c r="F270">
        <v>9000</v>
      </c>
      <c r="G270">
        <f t="shared" si="36"/>
        <v>90</v>
      </c>
      <c r="H270">
        <v>50</v>
      </c>
      <c r="I270" s="4">
        <f>Full_Data[[#This Row],[Selling Price]]/Full_Data[[#This Row],[Weight (g)]]</f>
        <v>1.8</v>
      </c>
      <c r="J270" t="b">
        <v>0</v>
      </c>
      <c r="K270">
        <v>50</v>
      </c>
      <c r="L270">
        <f t="shared" si="37"/>
        <v>10</v>
      </c>
      <c r="M270" t="str">
        <f t="shared" si="38"/>
        <v>Medium</v>
      </c>
      <c r="N270" t="str">
        <f t="shared" si="39"/>
        <v>6-10%</v>
      </c>
      <c r="O270" t="str">
        <f t="shared" si="40"/>
        <v>OK</v>
      </c>
      <c r="P270">
        <f>IFERROR(Full_Data!G270/Full_Data!H270,"Check data")</f>
        <v>1.8</v>
      </c>
      <c r="Q270" t="str">
        <f t="shared" si="41"/>
        <v>Match</v>
      </c>
      <c r="R270" t="str">
        <f t="shared" si="42"/>
        <v>Match</v>
      </c>
      <c r="S270" t="str">
        <f t="shared" si="43"/>
        <v>Match</v>
      </c>
    </row>
    <row r="271" spans="1:19" x14ac:dyDescent="0.25">
      <c r="A271" t="s">
        <v>262</v>
      </c>
      <c r="B271">
        <v>6000</v>
      </c>
      <c r="C271">
        <f t="shared" si="44"/>
        <v>60</v>
      </c>
      <c r="D271">
        <v>10</v>
      </c>
      <c r="E271">
        <v>4</v>
      </c>
      <c r="F271">
        <v>5400</v>
      </c>
      <c r="G271">
        <f t="shared" si="36"/>
        <v>54</v>
      </c>
      <c r="H271">
        <v>1000</v>
      </c>
      <c r="I271" s="4">
        <f>Full_Data[[#This Row],[Selling Price]]/Full_Data[[#This Row],[Weight (g)]]</f>
        <v>5.3999999999999999E-2</v>
      </c>
      <c r="J271" t="b">
        <v>0</v>
      </c>
      <c r="K271">
        <v>1</v>
      </c>
      <c r="L271">
        <f t="shared" si="37"/>
        <v>6</v>
      </c>
      <c r="M271" t="str">
        <f t="shared" si="38"/>
        <v>Medium</v>
      </c>
      <c r="N271" t="str">
        <f t="shared" si="39"/>
        <v>6-10%</v>
      </c>
      <c r="O271" t="str">
        <f t="shared" si="40"/>
        <v>OK</v>
      </c>
      <c r="P271">
        <f>IFERROR(Full_Data!G271/Full_Data!H271,"Check data")</f>
        <v>5.3999999999999999E-2</v>
      </c>
      <c r="Q271" t="str">
        <f t="shared" si="41"/>
        <v>Match</v>
      </c>
      <c r="R271" t="str">
        <f t="shared" si="42"/>
        <v>Match</v>
      </c>
      <c r="S271" t="str">
        <f t="shared" si="43"/>
        <v>Match</v>
      </c>
    </row>
    <row r="272" spans="1:19" x14ac:dyDescent="0.25">
      <c r="A272" t="s">
        <v>263</v>
      </c>
      <c r="B272">
        <v>3300</v>
      </c>
      <c r="C272">
        <f t="shared" si="44"/>
        <v>33</v>
      </c>
      <c r="D272">
        <v>3</v>
      </c>
      <c r="E272">
        <v>1</v>
      </c>
      <c r="F272">
        <v>3200</v>
      </c>
      <c r="G272">
        <f t="shared" si="36"/>
        <v>32</v>
      </c>
      <c r="H272">
        <v>50</v>
      </c>
      <c r="I272" s="4">
        <f>Full_Data[[#This Row],[Selling Price]]/Full_Data[[#This Row],[Weight (g)]]</f>
        <v>0.64</v>
      </c>
      <c r="J272" t="b">
        <v>0</v>
      </c>
      <c r="K272">
        <v>50</v>
      </c>
      <c r="L272">
        <f t="shared" si="37"/>
        <v>1</v>
      </c>
      <c r="M272" t="str">
        <f t="shared" si="38"/>
        <v>Low</v>
      </c>
      <c r="N272" t="str">
        <f t="shared" si="39"/>
        <v>0-5%</v>
      </c>
      <c r="O272" t="str">
        <f t="shared" si="40"/>
        <v>OK</v>
      </c>
      <c r="P272">
        <f>IFERROR(Full_Data!G272/Full_Data!H272,"Check data")</f>
        <v>0.64</v>
      </c>
      <c r="Q272" t="str">
        <f t="shared" si="41"/>
        <v>Match</v>
      </c>
      <c r="R272" t="str">
        <f t="shared" si="42"/>
        <v>Mismatch</v>
      </c>
      <c r="S272" t="str">
        <f t="shared" si="43"/>
        <v>Match</v>
      </c>
    </row>
    <row r="273" spans="1:19" x14ac:dyDescent="0.25">
      <c r="A273" t="s">
        <v>264</v>
      </c>
      <c r="B273">
        <v>4800</v>
      </c>
      <c r="C273">
        <f t="shared" si="44"/>
        <v>48</v>
      </c>
      <c r="D273">
        <v>6</v>
      </c>
      <c r="E273">
        <v>6</v>
      </c>
      <c r="F273">
        <v>4500</v>
      </c>
      <c r="G273">
        <f t="shared" si="36"/>
        <v>45</v>
      </c>
      <c r="H273">
        <v>200</v>
      </c>
      <c r="I273" s="4">
        <f>Full_Data[[#This Row],[Selling Price]]/Full_Data[[#This Row],[Weight (g)]]</f>
        <v>0.22500000000000001</v>
      </c>
      <c r="J273" t="b">
        <v>0</v>
      </c>
      <c r="K273">
        <v>200</v>
      </c>
      <c r="L273">
        <f t="shared" si="37"/>
        <v>3</v>
      </c>
      <c r="M273" t="str">
        <f t="shared" si="38"/>
        <v>Low</v>
      </c>
      <c r="N273" t="str">
        <f t="shared" si="39"/>
        <v>6-10%</v>
      </c>
      <c r="O273" t="str">
        <f t="shared" si="40"/>
        <v>OK</v>
      </c>
      <c r="P273">
        <f>IFERROR(Full_Data!G273/Full_Data!H273,"Check data")</f>
        <v>0.22500000000000001</v>
      </c>
      <c r="Q273" t="str">
        <f t="shared" si="41"/>
        <v>Match</v>
      </c>
      <c r="R273" t="str">
        <f t="shared" si="42"/>
        <v>Mismatch</v>
      </c>
      <c r="S273" t="str">
        <f t="shared" si="43"/>
        <v>Match</v>
      </c>
    </row>
    <row r="274" spans="1:19" x14ac:dyDescent="0.25">
      <c r="A274" t="s">
        <v>265</v>
      </c>
      <c r="B274">
        <v>3500</v>
      </c>
      <c r="C274">
        <f t="shared" si="44"/>
        <v>35</v>
      </c>
      <c r="D274">
        <v>2</v>
      </c>
      <c r="E274">
        <v>6</v>
      </c>
      <c r="F274">
        <v>3400</v>
      </c>
      <c r="G274">
        <f t="shared" si="36"/>
        <v>34</v>
      </c>
      <c r="H274">
        <v>48</v>
      </c>
      <c r="I274" s="4">
        <f>Full_Data[[#This Row],[Selling Price]]/Full_Data[[#This Row],[Weight (g)]]</f>
        <v>0.70833333333333337</v>
      </c>
      <c r="J274" t="b">
        <v>0</v>
      </c>
      <c r="K274">
        <v>48</v>
      </c>
      <c r="L274">
        <f t="shared" si="37"/>
        <v>1</v>
      </c>
      <c r="M274" t="str">
        <f t="shared" si="38"/>
        <v>Low</v>
      </c>
      <c r="N274" t="str">
        <f t="shared" si="39"/>
        <v>0-5%</v>
      </c>
      <c r="O274" t="str">
        <f t="shared" si="40"/>
        <v>OK</v>
      </c>
      <c r="P274">
        <f>IFERROR(Full_Data!G274/Full_Data!H274,"Check data")</f>
        <v>0.70833333333333337</v>
      </c>
      <c r="Q274" t="str">
        <f t="shared" si="41"/>
        <v>Match</v>
      </c>
      <c r="R274" t="str">
        <f t="shared" si="42"/>
        <v>Mismatch</v>
      </c>
      <c r="S274" t="str">
        <f t="shared" si="43"/>
        <v>Mismatch</v>
      </c>
    </row>
    <row r="275" spans="1:19" x14ac:dyDescent="0.25">
      <c r="A275" t="s">
        <v>266</v>
      </c>
      <c r="B275">
        <v>3000</v>
      </c>
      <c r="C275">
        <f t="shared" si="44"/>
        <v>30</v>
      </c>
      <c r="D275">
        <v>10</v>
      </c>
      <c r="E275">
        <v>6</v>
      </c>
      <c r="F275">
        <v>2700</v>
      </c>
      <c r="G275">
        <f t="shared" si="36"/>
        <v>27</v>
      </c>
      <c r="H275">
        <v>200</v>
      </c>
      <c r="I275" s="4">
        <f>Full_Data[[#This Row],[Selling Price]]/Full_Data[[#This Row],[Weight (g)]]</f>
        <v>0.13500000000000001</v>
      </c>
      <c r="J275" t="b">
        <v>0</v>
      </c>
      <c r="K275">
        <v>200</v>
      </c>
      <c r="L275">
        <f t="shared" si="37"/>
        <v>3</v>
      </c>
      <c r="M275" t="str">
        <f t="shared" si="38"/>
        <v>Low</v>
      </c>
      <c r="N275" t="str">
        <f t="shared" si="39"/>
        <v>6-10%</v>
      </c>
      <c r="O275" t="str">
        <f t="shared" si="40"/>
        <v>OK</v>
      </c>
      <c r="P275">
        <f>IFERROR(Full_Data!G275/Full_Data!H275,"Check data")</f>
        <v>0.13500000000000001</v>
      </c>
      <c r="Q275" t="str">
        <f t="shared" si="41"/>
        <v>Match</v>
      </c>
      <c r="R275" t="str">
        <f t="shared" si="42"/>
        <v>Match</v>
      </c>
      <c r="S275" t="str">
        <f t="shared" si="43"/>
        <v>Match</v>
      </c>
    </row>
    <row r="276" spans="1:19" x14ac:dyDescent="0.25">
      <c r="A276" t="s">
        <v>267</v>
      </c>
      <c r="B276">
        <v>25500</v>
      </c>
      <c r="C276">
        <f t="shared" si="44"/>
        <v>255</v>
      </c>
      <c r="D276">
        <v>6</v>
      </c>
      <c r="E276">
        <v>2</v>
      </c>
      <c r="F276">
        <v>23900</v>
      </c>
      <c r="G276">
        <f t="shared" si="36"/>
        <v>239</v>
      </c>
      <c r="H276">
        <v>1000</v>
      </c>
      <c r="I276" s="4">
        <f>Full_Data[[#This Row],[Selling Price]]/Full_Data[[#This Row],[Weight (g)]]</f>
        <v>0.23899999999999999</v>
      </c>
      <c r="J276" t="b">
        <v>0</v>
      </c>
      <c r="K276">
        <v>1</v>
      </c>
      <c r="L276">
        <f t="shared" si="37"/>
        <v>16</v>
      </c>
      <c r="M276" t="str">
        <f t="shared" si="38"/>
        <v>High</v>
      </c>
      <c r="N276" t="str">
        <f t="shared" si="39"/>
        <v>6-10%</v>
      </c>
      <c r="O276" t="str">
        <f t="shared" si="40"/>
        <v>OK</v>
      </c>
      <c r="P276">
        <f>IFERROR(Full_Data!G276/Full_Data!H276,"Check data")</f>
        <v>0.23899999999999999</v>
      </c>
      <c r="Q276" t="str">
        <f t="shared" si="41"/>
        <v>Match</v>
      </c>
      <c r="R276" t="str">
        <f t="shared" si="42"/>
        <v>Mismatch</v>
      </c>
      <c r="S276" t="str">
        <f t="shared" si="43"/>
        <v>Match</v>
      </c>
    </row>
    <row r="277" spans="1:19" x14ac:dyDescent="0.25">
      <c r="A277" t="s">
        <v>268</v>
      </c>
      <c r="B277">
        <v>3100</v>
      </c>
      <c r="C277">
        <f t="shared" si="44"/>
        <v>31</v>
      </c>
      <c r="D277">
        <v>3</v>
      </c>
      <c r="E277">
        <v>6</v>
      </c>
      <c r="F277">
        <v>3000</v>
      </c>
      <c r="G277">
        <f t="shared" si="36"/>
        <v>30</v>
      </c>
      <c r="H277">
        <v>50</v>
      </c>
      <c r="I277" s="4">
        <f>Full_Data[[#This Row],[Selling Price]]/Full_Data[[#This Row],[Weight (g)]]</f>
        <v>0.6</v>
      </c>
      <c r="J277" t="b">
        <v>0</v>
      </c>
      <c r="K277">
        <v>50</v>
      </c>
      <c r="L277">
        <f t="shared" si="37"/>
        <v>1</v>
      </c>
      <c r="M277" t="str">
        <f t="shared" si="38"/>
        <v>Low</v>
      </c>
      <c r="N277" t="str">
        <f t="shared" si="39"/>
        <v>0-5%</v>
      </c>
      <c r="O277" t="str">
        <f t="shared" si="40"/>
        <v>OK</v>
      </c>
      <c r="P277">
        <f>IFERROR(Full_Data!G277/Full_Data!H277,"Check data")</f>
        <v>0.6</v>
      </c>
      <c r="Q277" t="str">
        <f t="shared" si="41"/>
        <v>Match</v>
      </c>
      <c r="R277" t="str">
        <f t="shared" si="42"/>
        <v>Mismatch</v>
      </c>
      <c r="S277" t="str">
        <f t="shared" si="43"/>
        <v>Match</v>
      </c>
    </row>
    <row r="278" spans="1:19" x14ac:dyDescent="0.25">
      <c r="A278" t="s">
        <v>269</v>
      </c>
      <c r="B278">
        <v>5000</v>
      </c>
      <c r="C278">
        <f t="shared" si="44"/>
        <v>50</v>
      </c>
      <c r="D278">
        <v>10</v>
      </c>
      <c r="E278">
        <v>2</v>
      </c>
      <c r="F278">
        <v>4500</v>
      </c>
      <c r="G278">
        <f t="shared" si="36"/>
        <v>45</v>
      </c>
      <c r="H278">
        <v>70</v>
      </c>
      <c r="I278" s="4">
        <f>Full_Data[[#This Row],[Selling Price]]/Full_Data[[#This Row],[Weight (g)]]</f>
        <v>0.6428571428571429</v>
      </c>
      <c r="J278" t="b">
        <v>0</v>
      </c>
      <c r="K278">
        <v>70</v>
      </c>
      <c r="L278">
        <f t="shared" si="37"/>
        <v>5</v>
      </c>
      <c r="M278" t="str">
        <f t="shared" si="38"/>
        <v>Low</v>
      </c>
      <c r="N278" t="str">
        <f t="shared" si="39"/>
        <v>6-10%</v>
      </c>
      <c r="O278" t="str">
        <f t="shared" si="40"/>
        <v>OK</v>
      </c>
      <c r="P278">
        <f>IFERROR(Full_Data!G278/Full_Data!H278,"Check data")</f>
        <v>0.6428571428571429</v>
      </c>
      <c r="Q278" t="str">
        <f t="shared" si="41"/>
        <v>Match</v>
      </c>
      <c r="R278" t="str">
        <f t="shared" si="42"/>
        <v>Match</v>
      </c>
      <c r="S278" t="str">
        <f t="shared" si="43"/>
        <v>Match</v>
      </c>
    </row>
    <row r="279" spans="1:19" x14ac:dyDescent="0.25">
      <c r="A279" t="s">
        <v>270</v>
      </c>
      <c r="B279">
        <v>1000</v>
      </c>
      <c r="C279">
        <f t="shared" si="44"/>
        <v>10</v>
      </c>
      <c r="D279">
        <v>0</v>
      </c>
      <c r="E279">
        <v>2</v>
      </c>
      <c r="F279">
        <v>1000</v>
      </c>
      <c r="G279">
        <f t="shared" si="36"/>
        <v>10</v>
      </c>
      <c r="H279">
        <v>20</v>
      </c>
      <c r="I279" s="4">
        <f>Full_Data[[#This Row],[Selling Price]]/Full_Data[[#This Row],[Weight (g)]]</f>
        <v>0.5</v>
      </c>
      <c r="J279" t="b">
        <v>0</v>
      </c>
      <c r="K279">
        <v>20</v>
      </c>
      <c r="L279">
        <f t="shared" si="37"/>
        <v>0</v>
      </c>
      <c r="M279" t="str">
        <f t="shared" si="38"/>
        <v>Low</v>
      </c>
      <c r="N279" t="str">
        <f t="shared" si="39"/>
        <v>0-5%</v>
      </c>
      <c r="O279" t="str">
        <f t="shared" si="40"/>
        <v>OK</v>
      </c>
      <c r="P279">
        <f>IFERROR(Full_Data!G279/Full_Data!H279,"Check data")</f>
        <v>0.5</v>
      </c>
      <c r="Q279" t="str">
        <f t="shared" si="41"/>
        <v>Match</v>
      </c>
      <c r="R279" t="str">
        <f t="shared" si="42"/>
        <v>Match</v>
      </c>
      <c r="S279" t="str">
        <f t="shared" si="43"/>
        <v>Match</v>
      </c>
    </row>
    <row r="280" spans="1:19" x14ac:dyDescent="0.25">
      <c r="A280" t="s">
        <v>271</v>
      </c>
      <c r="B280">
        <v>22000</v>
      </c>
      <c r="C280">
        <f t="shared" si="44"/>
        <v>220</v>
      </c>
      <c r="D280">
        <v>50</v>
      </c>
      <c r="E280">
        <v>6</v>
      </c>
      <c r="F280">
        <v>11000</v>
      </c>
      <c r="G280">
        <f t="shared" si="36"/>
        <v>110</v>
      </c>
      <c r="H280">
        <v>200</v>
      </c>
      <c r="I280" s="4">
        <f>Full_Data[[#This Row],[Selling Price]]/Full_Data[[#This Row],[Weight (g)]]</f>
        <v>0.55000000000000004</v>
      </c>
      <c r="J280" t="b">
        <v>0</v>
      </c>
      <c r="K280">
        <v>200</v>
      </c>
      <c r="L280">
        <f t="shared" si="37"/>
        <v>110</v>
      </c>
      <c r="M280" t="str">
        <f t="shared" si="38"/>
        <v>Medium</v>
      </c>
      <c r="N280" t="str">
        <f t="shared" si="39"/>
        <v>21%+</v>
      </c>
      <c r="O280" t="str">
        <f t="shared" si="40"/>
        <v>OK</v>
      </c>
      <c r="P280">
        <f>IFERROR(Full_Data!G280/Full_Data!H280,"Check data")</f>
        <v>0.55000000000000004</v>
      </c>
      <c r="Q280" t="str">
        <f t="shared" si="41"/>
        <v>Match</v>
      </c>
      <c r="R280" t="str">
        <f t="shared" si="42"/>
        <v>Match</v>
      </c>
      <c r="S280" t="str">
        <f t="shared" si="43"/>
        <v>Match</v>
      </c>
    </row>
    <row r="281" spans="1:19" x14ac:dyDescent="0.25">
      <c r="A281" t="s">
        <v>151</v>
      </c>
      <c r="B281">
        <v>15800</v>
      </c>
      <c r="C281">
        <f t="shared" si="44"/>
        <v>158</v>
      </c>
      <c r="D281">
        <v>10</v>
      </c>
      <c r="E281">
        <v>6</v>
      </c>
      <c r="F281">
        <v>14200</v>
      </c>
      <c r="G281">
        <f t="shared" si="36"/>
        <v>142</v>
      </c>
      <c r="H281">
        <v>200</v>
      </c>
      <c r="I281" s="4">
        <f>Full_Data[[#This Row],[Selling Price]]/Full_Data[[#This Row],[Weight (g)]]</f>
        <v>0.71</v>
      </c>
      <c r="J281" t="b">
        <v>0</v>
      </c>
      <c r="K281">
        <v>200</v>
      </c>
      <c r="L281">
        <f t="shared" si="37"/>
        <v>16</v>
      </c>
      <c r="M281" t="str">
        <f t="shared" si="38"/>
        <v>Medium</v>
      </c>
      <c r="N281" t="str">
        <f t="shared" si="39"/>
        <v>6-10%</v>
      </c>
      <c r="O281" t="str">
        <f t="shared" si="40"/>
        <v>OK</v>
      </c>
      <c r="P281">
        <f>IFERROR(Full_Data!G281/Full_Data!H281,"Check data")</f>
        <v>0.71</v>
      </c>
      <c r="Q281" t="str">
        <f t="shared" si="41"/>
        <v>Match</v>
      </c>
      <c r="R281" t="str">
        <f t="shared" si="42"/>
        <v>Mismatch</v>
      </c>
      <c r="S281" t="str">
        <f t="shared" si="43"/>
        <v>Match</v>
      </c>
    </row>
    <row r="282" spans="1:19" x14ac:dyDescent="0.25">
      <c r="A282" t="s">
        <v>272</v>
      </c>
      <c r="B282">
        <v>7000</v>
      </c>
      <c r="C282">
        <f t="shared" si="44"/>
        <v>70</v>
      </c>
      <c r="D282">
        <v>7</v>
      </c>
      <c r="E282">
        <v>6</v>
      </c>
      <c r="F282">
        <v>6500</v>
      </c>
      <c r="G282">
        <f t="shared" si="36"/>
        <v>65</v>
      </c>
      <c r="H282">
        <v>500</v>
      </c>
      <c r="I282" s="4">
        <f>Full_Data[[#This Row],[Selling Price]]/Full_Data[[#This Row],[Weight (g)]]</f>
        <v>0.13</v>
      </c>
      <c r="J282" t="b">
        <v>0</v>
      </c>
      <c r="K282">
        <v>500</v>
      </c>
      <c r="L282">
        <f t="shared" si="37"/>
        <v>5</v>
      </c>
      <c r="M282" t="str">
        <f t="shared" si="38"/>
        <v>Medium</v>
      </c>
      <c r="N282" t="str">
        <f t="shared" si="39"/>
        <v>6-10%</v>
      </c>
      <c r="O282" t="str">
        <f t="shared" si="40"/>
        <v>OK</v>
      </c>
      <c r="P282">
        <f>IFERROR(Full_Data!G282/Full_Data!H282,"Check data")</f>
        <v>0.13</v>
      </c>
      <c r="Q282" t="str">
        <f t="shared" si="41"/>
        <v>Match</v>
      </c>
      <c r="R282" t="str">
        <f t="shared" si="42"/>
        <v>Mismatch</v>
      </c>
      <c r="S282" t="str">
        <f t="shared" si="43"/>
        <v>Match</v>
      </c>
    </row>
    <row r="283" spans="1:19" x14ac:dyDescent="0.25">
      <c r="A283" t="s">
        <v>273</v>
      </c>
      <c r="B283">
        <v>10000</v>
      </c>
      <c r="C283">
        <f t="shared" si="44"/>
        <v>100</v>
      </c>
      <c r="D283">
        <v>0</v>
      </c>
      <c r="E283">
        <v>6</v>
      </c>
      <c r="F283">
        <v>10000</v>
      </c>
      <c r="G283">
        <f t="shared" si="36"/>
        <v>100</v>
      </c>
      <c r="H283">
        <v>100</v>
      </c>
      <c r="I283" s="4">
        <f>Full_Data[[#This Row],[Selling Price]]/Full_Data[[#This Row],[Weight (g)]]</f>
        <v>1</v>
      </c>
      <c r="J283" t="b">
        <v>0</v>
      </c>
      <c r="K283">
        <v>100</v>
      </c>
      <c r="L283">
        <f t="shared" si="37"/>
        <v>0</v>
      </c>
      <c r="M283" t="str">
        <f t="shared" si="38"/>
        <v>Medium</v>
      </c>
      <c r="N283" t="str">
        <f t="shared" si="39"/>
        <v>0-5%</v>
      </c>
      <c r="O283" t="str">
        <f t="shared" si="40"/>
        <v>OK</v>
      </c>
      <c r="P283">
        <f>IFERROR(Full_Data!G283/Full_Data!H283,"Check data")</f>
        <v>1</v>
      </c>
      <c r="Q283" t="str">
        <f t="shared" si="41"/>
        <v>Match</v>
      </c>
      <c r="R283" t="str">
        <f t="shared" si="42"/>
        <v>Match</v>
      </c>
      <c r="S283" t="str">
        <f t="shared" si="43"/>
        <v>Match</v>
      </c>
    </row>
    <row r="284" spans="1:19" x14ac:dyDescent="0.25">
      <c r="A284" t="s">
        <v>274</v>
      </c>
      <c r="B284">
        <v>15900</v>
      </c>
      <c r="C284">
        <f t="shared" si="44"/>
        <v>159</v>
      </c>
      <c r="D284">
        <v>9</v>
      </c>
      <c r="E284">
        <v>1</v>
      </c>
      <c r="F284">
        <v>14400</v>
      </c>
      <c r="G284">
        <f t="shared" si="36"/>
        <v>144</v>
      </c>
      <c r="H284">
        <v>50</v>
      </c>
      <c r="I284" s="4">
        <f>Full_Data[[#This Row],[Selling Price]]/Full_Data[[#This Row],[Weight (g)]]</f>
        <v>2.88</v>
      </c>
      <c r="J284" t="b">
        <v>0</v>
      </c>
      <c r="K284">
        <v>50</v>
      </c>
      <c r="L284">
        <f t="shared" si="37"/>
        <v>15</v>
      </c>
      <c r="M284" t="str">
        <f t="shared" si="38"/>
        <v>Medium</v>
      </c>
      <c r="N284" t="str">
        <f t="shared" si="39"/>
        <v>6-10%</v>
      </c>
      <c r="O284" t="str">
        <f t="shared" si="40"/>
        <v>OK</v>
      </c>
      <c r="P284">
        <f>IFERROR(Full_Data!G284/Full_Data!H284,"Check data")</f>
        <v>2.88</v>
      </c>
      <c r="Q284" t="str">
        <f t="shared" si="41"/>
        <v>Match</v>
      </c>
      <c r="R284" t="str">
        <f t="shared" si="42"/>
        <v>Mismatch</v>
      </c>
      <c r="S284" t="str">
        <f t="shared" si="43"/>
        <v>Match</v>
      </c>
    </row>
    <row r="285" spans="1:19" x14ac:dyDescent="0.25">
      <c r="A285" t="s">
        <v>275</v>
      </c>
      <c r="B285">
        <v>6000</v>
      </c>
      <c r="C285">
        <f t="shared" si="44"/>
        <v>60</v>
      </c>
      <c r="D285">
        <v>0</v>
      </c>
      <c r="E285">
        <v>3</v>
      </c>
      <c r="F285">
        <v>6000</v>
      </c>
      <c r="G285">
        <f t="shared" si="36"/>
        <v>60</v>
      </c>
      <c r="H285">
        <v>1000</v>
      </c>
      <c r="I285" s="4">
        <f>Full_Data[[#This Row],[Selling Price]]/Full_Data[[#This Row],[Weight (g)]]</f>
        <v>0.06</v>
      </c>
      <c r="J285" t="b">
        <v>0</v>
      </c>
      <c r="K285">
        <v>1</v>
      </c>
      <c r="L285">
        <f t="shared" si="37"/>
        <v>0</v>
      </c>
      <c r="M285" t="str">
        <f t="shared" si="38"/>
        <v>Medium</v>
      </c>
      <c r="N285" t="str">
        <f t="shared" si="39"/>
        <v>0-5%</v>
      </c>
      <c r="O285" t="str">
        <f t="shared" si="40"/>
        <v>OK</v>
      </c>
      <c r="P285">
        <f>IFERROR(Full_Data!G285/Full_Data!H285,"Check data")</f>
        <v>0.06</v>
      </c>
      <c r="Q285" t="str">
        <f t="shared" si="41"/>
        <v>Match</v>
      </c>
      <c r="R285" t="str">
        <f t="shared" si="42"/>
        <v>Match</v>
      </c>
      <c r="S285" t="str">
        <f t="shared" si="43"/>
        <v>Match</v>
      </c>
    </row>
    <row r="286" spans="1:19" x14ac:dyDescent="0.25">
      <c r="A286" t="s">
        <v>276</v>
      </c>
      <c r="B286">
        <v>2800</v>
      </c>
      <c r="C286">
        <f t="shared" si="44"/>
        <v>28</v>
      </c>
      <c r="D286">
        <v>10</v>
      </c>
      <c r="E286">
        <v>1</v>
      </c>
      <c r="F286">
        <v>2500</v>
      </c>
      <c r="G286">
        <f t="shared" si="36"/>
        <v>25</v>
      </c>
      <c r="H286">
        <v>65</v>
      </c>
      <c r="I286" s="4">
        <f>Full_Data[[#This Row],[Selling Price]]/Full_Data[[#This Row],[Weight (g)]]</f>
        <v>0.38461538461538464</v>
      </c>
      <c r="J286" t="b">
        <v>0</v>
      </c>
      <c r="K286">
        <v>65</v>
      </c>
      <c r="L286">
        <f t="shared" si="37"/>
        <v>3</v>
      </c>
      <c r="M286" t="str">
        <f t="shared" si="38"/>
        <v>Low</v>
      </c>
      <c r="N286" t="str">
        <f t="shared" si="39"/>
        <v>6-10%</v>
      </c>
      <c r="O286" t="str">
        <f t="shared" si="40"/>
        <v>OK</v>
      </c>
      <c r="P286">
        <f>IFERROR(Full_Data!G286/Full_Data!H286,"Check data")</f>
        <v>0.38461538461538464</v>
      </c>
      <c r="Q286" t="str">
        <f t="shared" si="41"/>
        <v>Match</v>
      </c>
      <c r="R286" t="str">
        <f t="shared" si="42"/>
        <v>Mismatch</v>
      </c>
      <c r="S286" t="str">
        <f t="shared" si="43"/>
        <v>Mismatch</v>
      </c>
    </row>
    <row r="287" spans="1:19" x14ac:dyDescent="0.25">
      <c r="A287" t="s">
        <v>277</v>
      </c>
      <c r="B287">
        <v>9500</v>
      </c>
      <c r="C287">
        <f t="shared" si="44"/>
        <v>95</v>
      </c>
      <c r="D287">
        <v>0</v>
      </c>
      <c r="E287">
        <v>6</v>
      </c>
      <c r="F287">
        <v>9500</v>
      </c>
      <c r="G287">
        <f t="shared" si="36"/>
        <v>95</v>
      </c>
      <c r="H287">
        <v>1000</v>
      </c>
      <c r="I287" s="4">
        <f>Full_Data[[#This Row],[Selling Price]]/Full_Data[[#This Row],[Weight (g)]]</f>
        <v>9.5000000000000001E-2</v>
      </c>
      <c r="J287" t="b">
        <v>0</v>
      </c>
      <c r="K287">
        <v>1</v>
      </c>
      <c r="L287">
        <f t="shared" si="37"/>
        <v>0</v>
      </c>
      <c r="M287" t="str">
        <f t="shared" si="38"/>
        <v>Medium</v>
      </c>
      <c r="N287" t="str">
        <f t="shared" si="39"/>
        <v>0-5%</v>
      </c>
      <c r="O287" t="str">
        <f t="shared" si="40"/>
        <v>OK</v>
      </c>
      <c r="P287">
        <f>IFERROR(Full_Data!G287/Full_Data!H287,"Check data")</f>
        <v>9.5000000000000001E-2</v>
      </c>
      <c r="Q287" t="str">
        <f t="shared" si="41"/>
        <v>Match</v>
      </c>
      <c r="R287" t="str">
        <f t="shared" si="42"/>
        <v>Match</v>
      </c>
      <c r="S287" t="str">
        <f t="shared" si="43"/>
        <v>Match</v>
      </c>
    </row>
    <row r="288" spans="1:19" x14ac:dyDescent="0.25">
      <c r="A288" t="s">
        <v>278</v>
      </c>
      <c r="B288">
        <v>36500</v>
      </c>
      <c r="C288">
        <f t="shared" si="44"/>
        <v>365</v>
      </c>
      <c r="D288">
        <v>29</v>
      </c>
      <c r="E288">
        <v>2</v>
      </c>
      <c r="F288">
        <v>25600</v>
      </c>
      <c r="G288">
        <f t="shared" si="36"/>
        <v>256</v>
      </c>
      <c r="H288">
        <v>200</v>
      </c>
      <c r="I288" s="4">
        <f>Full_Data[[#This Row],[Selling Price]]/Full_Data[[#This Row],[Weight (g)]]</f>
        <v>1.28</v>
      </c>
      <c r="J288" t="b">
        <v>0</v>
      </c>
      <c r="K288">
        <v>200</v>
      </c>
      <c r="L288">
        <f t="shared" si="37"/>
        <v>109</v>
      </c>
      <c r="M288" t="str">
        <f t="shared" si="38"/>
        <v>High</v>
      </c>
      <c r="N288" t="str">
        <f t="shared" si="39"/>
        <v>21%+</v>
      </c>
      <c r="O288" t="str">
        <f t="shared" si="40"/>
        <v>OK</v>
      </c>
      <c r="P288">
        <f>IFERROR(Full_Data!G288/Full_Data!H288,"Check data")</f>
        <v>1.28</v>
      </c>
      <c r="Q288" t="str">
        <f t="shared" si="41"/>
        <v>Match</v>
      </c>
      <c r="R288" t="str">
        <f t="shared" si="42"/>
        <v>Mismatch</v>
      </c>
      <c r="S288" t="str">
        <f t="shared" si="43"/>
        <v>Mismatch</v>
      </c>
    </row>
    <row r="289" spans="1:19" x14ac:dyDescent="0.25">
      <c r="A289" t="s">
        <v>279</v>
      </c>
      <c r="B289">
        <v>3500</v>
      </c>
      <c r="C289">
        <f t="shared" si="44"/>
        <v>35</v>
      </c>
      <c r="D289">
        <v>2</v>
      </c>
      <c r="E289">
        <v>6</v>
      </c>
      <c r="F289">
        <v>3400</v>
      </c>
      <c r="G289">
        <f t="shared" si="36"/>
        <v>34</v>
      </c>
      <c r="H289">
        <v>500</v>
      </c>
      <c r="I289" s="4">
        <f>Full_Data[[#This Row],[Selling Price]]/Full_Data[[#This Row],[Weight (g)]]</f>
        <v>6.8000000000000005E-2</v>
      </c>
      <c r="J289" t="b">
        <v>0</v>
      </c>
      <c r="K289">
        <v>500</v>
      </c>
      <c r="L289">
        <f t="shared" si="37"/>
        <v>1</v>
      </c>
      <c r="M289" t="str">
        <f t="shared" si="38"/>
        <v>Low</v>
      </c>
      <c r="N289" t="str">
        <f t="shared" si="39"/>
        <v>0-5%</v>
      </c>
      <c r="O289" t="str">
        <f t="shared" si="40"/>
        <v>OK</v>
      </c>
      <c r="P289">
        <f>IFERROR(Full_Data!G289/Full_Data!H289,"Check data")</f>
        <v>6.8000000000000005E-2</v>
      </c>
      <c r="Q289" t="str">
        <f t="shared" si="41"/>
        <v>Match</v>
      </c>
      <c r="R289" t="str">
        <f t="shared" si="42"/>
        <v>Mismatch</v>
      </c>
      <c r="S289" t="str">
        <f t="shared" si="43"/>
        <v>Mismatch</v>
      </c>
    </row>
    <row r="290" spans="1:19" x14ac:dyDescent="0.25">
      <c r="A290" t="s">
        <v>280</v>
      </c>
      <c r="B290">
        <v>33000</v>
      </c>
      <c r="C290">
        <f t="shared" si="44"/>
        <v>330</v>
      </c>
      <c r="D290">
        <v>10</v>
      </c>
      <c r="E290">
        <v>5</v>
      </c>
      <c r="F290">
        <v>29400</v>
      </c>
      <c r="G290">
        <f t="shared" si="36"/>
        <v>294</v>
      </c>
      <c r="H290">
        <v>1000</v>
      </c>
      <c r="I290" s="4">
        <f>Full_Data[[#This Row],[Selling Price]]/Full_Data[[#This Row],[Weight (g)]]</f>
        <v>0.29399999999999998</v>
      </c>
      <c r="J290" t="b">
        <v>0</v>
      </c>
      <c r="K290">
        <v>1</v>
      </c>
      <c r="L290">
        <f t="shared" si="37"/>
        <v>36</v>
      </c>
      <c r="M290" t="str">
        <f t="shared" si="38"/>
        <v>High</v>
      </c>
      <c r="N290" t="str">
        <f t="shared" si="39"/>
        <v>6-10%</v>
      </c>
      <c r="O290" t="str">
        <f t="shared" si="40"/>
        <v>OK</v>
      </c>
      <c r="P290">
        <f>IFERROR(Full_Data!G290/Full_Data!H290,"Check data")</f>
        <v>0.29399999999999998</v>
      </c>
      <c r="Q290" t="str">
        <f t="shared" si="41"/>
        <v>Match</v>
      </c>
      <c r="R290" t="str">
        <f t="shared" si="42"/>
        <v>Mismatch</v>
      </c>
      <c r="S290" t="str">
        <f t="shared" si="43"/>
        <v>Mismatch</v>
      </c>
    </row>
    <row r="291" spans="1:19" x14ac:dyDescent="0.25">
      <c r="A291" t="s">
        <v>281</v>
      </c>
      <c r="B291">
        <v>9000</v>
      </c>
      <c r="C291">
        <f t="shared" si="44"/>
        <v>90</v>
      </c>
      <c r="D291">
        <v>10</v>
      </c>
      <c r="E291">
        <v>6</v>
      </c>
      <c r="F291">
        <v>8100</v>
      </c>
      <c r="G291">
        <f t="shared" si="36"/>
        <v>81</v>
      </c>
      <c r="H291">
        <v>500</v>
      </c>
      <c r="I291" s="4">
        <f>Full_Data[[#This Row],[Selling Price]]/Full_Data[[#This Row],[Weight (g)]]</f>
        <v>0.16200000000000001</v>
      </c>
      <c r="J291" t="b">
        <v>0</v>
      </c>
      <c r="K291">
        <v>500</v>
      </c>
      <c r="L291">
        <f t="shared" si="37"/>
        <v>9</v>
      </c>
      <c r="M291" t="str">
        <f t="shared" si="38"/>
        <v>Medium</v>
      </c>
      <c r="N291" t="str">
        <f t="shared" si="39"/>
        <v>6-10%</v>
      </c>
      <c r="O291" t="str">
        <f t="shared" si="40"/>
        <v>OK</v>
      </c>
      <c r="P291">
        <f>IFERROR(Full_Data!G291/Full_Data!H291,"Check data")</f>
        <v>0.16200000000000001</v>
      </c>
      <c r="Q291" t="str">
        <f t="shared" si="41"/>
        <v>Match</v>
      </c>
      <c r="R291" t="str">
        <f t="shared" si="42"/>
        <v>Match</v>
      </c>
      <c r="S291" t="str">
        <f t="shared" si="43"/>
        <v>Match</v>
      </c>
    </row>
    <row r="292" spans="1:19" x14ac:dyDescent="0.25">
      <c r="A292" t="s">
        <v>282</v>
      </c>
      <c r="B292">
        <v>12000</v>
      </c>
      <c r="C292">
        <f t="shared" si="44"/>
        <v>120</v>
      </c>
      <c r="D292">
        <v>10</v>
      </c>
      <c r="E292">
        <v>6</v>
      </c>
      <c r="F292">
        <v>10800</v>
      </c>
      <c r="G292">
        <f t="shared" si="36"/>
        <v>108</v>
      </c>
      <c r="H292">
        <v>150</v>
      </c>
      <c r="I292" s="4">
        <f>Full_Data[[#This Row],[Selling Price]]/Full_Data[[#This Row],[Weight (g)]]</f>
        <v>0.72</v>
      </c>
      <c r="J292" t="b">
        <v>0</v>
      </c>
      <c r="K292">
        <v>150</v>
      </c>
      <c r="L292">
        <f t="shared" si="37"/>
        <v>12</v>
      </c>
      <c r="M292" t="str">
        <f t="shared" si="38"/>
        <v>Medium</v>
      </c>
      <c r="N292" t="str">
        <f t="shared" si="39"/>
        <v>6-10%</v>
      </c>
      <c r="O292" t="str">
        <f t="shared" si="40"/>
        <v>OK</v>
      </c>
      <c r="P292">
        <f>IFERROR(Full_Data!G292/Full_Data!H292,"Check data")</f>
        <v>0.72</v>
      </c>
      <c r="Q292" t="str">
        <f t="shared" si="41"/>
        <v>Match</v>
      </c>
      <c r="R292" t="str">
        <f t="shared" si="42"/>
        <v>Match</v>
      </c>
      <c r="S292" t="str">
        <f t="shared" si="43"/>
        <v>Match</v>
      </c>
    </row>
    <row r="293" spans="1:19" x14ac:dyDescent="0.25">
      <c r="A293" t="s">
        <v>283</v>
      </c>
      <c r="B293">
        <v>10000</v>
      </c>
      <c r="C293">
        <f t="shared" si="44"/>
        <v>100</v>
      </c>
      <c r="D293">
        <v>10</v>
      </c>
      <c r="E293">
        <v>5</v>
      </c>
      <c r="F293">
        <v>9000</v>
      </c>
      <c r="G293">
        <f t="shared" si="36"/>
        <v>90</v>
      </c>
      <c r="H293">
        <v>100</v>
      </c>
      <c r="I293" s="4">
        <f>Full_Data[[#This Row],[Selling Price]]/Full_Data[[#This Row],[Weight (g)]]</f>
        <v>0.9</v>
      </c>
      <c r="J293" t="b">
        <v>0</v>
      </c>
      <c r="K293">
        <v>100</v>
      </c>
      <c r="L293">
        <f t="shared" si="37"/>
        <v>10</v>
      </c>
      <c r="M293" t="str">
        <f t="shared" si="38"/>
        <v>Medium</v>
      </c>
      <c r="N293" t="str">
        <f t="shared" si="39"/>
        <v>6-10%</v>
      </c>
      <c r="O293" t="str">
        <f t="shared" si="40"/>
        <v>OK</v>
      </c>
      <c r="P293">
        <f>IFERROR(Full_Data!G293/Full_Data!H293,"Check data")</f>
        <v>0.9</v>
      </c>
      <c r="Q293" t="str">
        <f t="shared" si="41"/>
        <v>Match</v>
      </c>
      <c r="R293" t="str">
        <f t="shared" si="42"/>
        <v>Match</v>
      </c>
      <c r="S293" t="str">
        <f t="shared" si="43"/>
        <v>Match</v>
      </c>
    </row>
    <row r="294" spans="1:19" x14ac:dyDescent="0.25">
      <c r="A294" t="s">
        <v>284</v>
      </c>
      <c r="B294">
        <v>13000</v>
      </c>
      <c r="C294">
        <f t="shared" si="44"/>
        <v>130</v>
      </c>
      <c r="D294">
        <v>7</v>
      </c>
      <c r="E294">
        <v>6</v>
      </c>
      <c r="F294">
        <v>12000</v>
      </c>
      <c r="G294">
        <f t="shared" si="36"/>
        <v>120</v>
      </c>
      <c r="H294">
        <v>500</v>
      </c>
      <c r="I294" s="4">
        <f>Full_Data[[#This Row],[Selling Price]]/Full_Data[[#This Row],[Weight (g)]]</f>
        <v>0.24</v>
      </c>
      <c r="J294" t="b">
        <v>0</v>
      </c>
      <c r="K294">
        <v>500</v>
      </c>
      <c r="L294">
        <f t="shared" si="37"/>
        <v>10</v>
      </c>
      <c r="M294" t="str">
        <f t="shared" si="38"/>
        <v>Medium</v>
      </c>
      <c r="N294" t="str">
        <f t="shared" si="39"/>
        <v>6-10%</v>
      </c>
      <c r="O294" t="str">
        <f t="shared" si="40"/>
        <v>OK</v>
      </c>
      <c r="P294">
        <f>IFERROR(Full_Data!G294/Full_Data!H294,"Check data")</f>
        <v>0.24</v>
      </c>
      <c r="Q294" t="str">
        <f t="shared" si="41"/>
        <v>Match</v>
      </c>
      <c r="R294" t="str">
        <f t="shared" si="42"/>
        <v>Mismatch</v>
      </c>
      <c r="S294" t="str">
        <f t="shared" si="43"/>
        <v>Mismatch</v>
      </c>
    </row>
    <row r="295" spans="1:19" x14ac:dyDescent="0.25">
      <c r="A295" t="s">
        <v>285</v>
      </c>
      <c r="B295">
        <v>6500</v>
      </c>
      <c r="C295">
        <f t="shared" si="44"/>
        <v>65</v>
      </c>
      <c r="D295">
        <v>6</v>
      </c>
      <c r="E295">
        <v>3</v>
      </c>
      <c r="F295">
        <v>6100</v>
      </c>
      <c r="G295">
        <f t="shared" si="36"/>
        <v>61</v>
      </c>
      <c r="H295">
        <v>110</v>
      </c>
      <c r="I295" s="4">
        <f>Full_Data[[#This Row],[Selling Price]]/Full_Data[[#This Row],[Weight (g)]]</f>
        <v>0.55454545454545456</v>
      </c>
      <c r="J295" t="b">
        <v>0</v>
      </c>
      <c r="K295">
        <v>100</v>
      </c>
      <c r="L295">
        <f t="shared" si="37"/>
        <v>4</v>
      </c>
      <c r="M295" t="str">
        <f t="shared" si="38"/>
        <v>Medium</v>
      </c>
      <c r="N295" t="str">
        <f t="shared" si="39"/>
        <v>6-10%</v>
      </c>
      <c r="O295" t="str">
        <f t="shared" si="40"/>
        <v>OK</v>
      </c>
      <c r="P295">
        <f>IFERROR(Full_Data!G295/Full_Data!H295,"Check data")</f>
        <v>0.55454545454545456</v>
      </c>
      <c r="Q295" t="str">
        <f t="shared" si="41"/>
        <v>Match</v>
      </c>
      <c r="R295" t="str">
        <f t="shared" si="42"/>
        <v>Mismatch</v>
      </c>
      <c r="S295" t="str">
        <f t="shared" si="43"/>
        <v>Match</v>
      </c>
    </row>
    <row r="296" spans="1:19" x14ac:dyDescent="0.25">
      <c r="A296" t="s">
        <v>286</v>
      </c>
      <c r="B296">
        <v>1000</v>
      </c>
      <c r="C296">
        <f t="shared" si="44"/>
        <v>10</v>
      </c>
      <c r="D296">
        <v>0</v>
      </c>
      <c r="E296">
        <v>2</v>
      </c>
      <c r="F296">
        <v>1000</v>
      </c>
      <c r="G296">
        <f t="shared" si="36"/>
        <v>10</v>
      </c>
      <c r="H296">
        <v>20</v>
      </c>
      <c r="I296" s="4">
        <f>Full_Data[[#This Row],[Selling Price]]/Full_Data[[#This Row],[Weight (g)]]</f>
        <v>0.5</v>
      </c>
      <c r="J296" t="b">
        <v>0</v>
      </c>
      <c r="K296">
        <v>20</v>
      </c>
      <c r="L296">
        <f t="shared" si="37"/>
        <v>0</v>
      </c>
      <c r="M296" t="str">
        <f t="shared" si="38"/>
        <v>Low</v>
      </c>
      <c r="N296" t="str">
        <f t="shared" si="39"/>
        <v>0-5%</v>
      </c>
      <c r="O296" t="str">
        <f t="shared" si="40"/>
        <v>OK</v>
      </c>
      <c r="P296">
        <f>IFERROR(Full_Data!G296/Full_Data!H296,"Check data")</f>
        <v>0.5</v>
      </c>
      <c r="Q296" t="str">
        <f t="shared" si="41"/>
        <v>Match</v>
      </c>
      <c r="R296" t="str">
        <f t="shared" si="42"/>
        <v>Match</v>
      </c>
      <c r="S296" t="str">
        <f t="shared" si="43"/>
        <v>Match</v>
      </c>
    </row>
    <row r="297" spans="1:19" x14ac:dyDescent="0.25">
      <c r="A297" t="s">
        <v>287</v>
      </c>
      <c r="B297">
        <v>22000</v>
      </c>
      <c r="C297">
        <f t="shared" si="44"/>
        <v>220</v>
      </c>
      <c r="D297">
        <v>7</v>
      </c>
      <c r="E297">
        <v>3</v>
      </c>
      <c r="F297">
        <v>20400</v>
      </c>
      <c r="G297">
        <f t="shared" si="36"/>
        <v>204</v>
      </c>
      <c r="H297">
        <v>500</v>
      </c>
      <c r="I297" s="4">
        <f>Full_Data[[#This Row],[Selling Price]]/Full_Data[[#This Row],[Weight (g)]]</f>
        <v>0.40799999999999997</v>
      </c>
      <c r="J297" t="b">
        <v>0</v>
      </c>
      <c r="K297">
        <v>500</v>
      </c>
      <c r="L297">
        <f t="shared" si="37"/>
        <v>16</v>
      </c>
      <c r="M297" t="str">
        <f t="shared" si="38"/>
        <v>High</v>
      </c>
      <c r="N297" t="str">
        <f t="shared" si="39"/>
        <v>6-10%</v>
      </c>
      <c r="O297" t="str">
        <f t="shared" si="40"/>
        <v>OK</v>
      </c>
      <c r="P297">
        <f>IFERROR(Full_Data!G297/Full_Data!H297,"Check data")</f>
        <v>0.40799999999999997</v>
      </c>
      <c r="Q297" t="str">
        <f t="shared" si="41"/>
        <v>Match</v>
      </c>
      <c r="R297" t="str">
        <f t="shared" si="42"/>
        <v>Mismatch</v>
      </c>
      <c r="S297" t="str">
        <f t="shared" si="43"/>
        <v>Match</v>
      </c>
    </row>
    <row r="298" spans="1:19" x14ac:dyDescent="0.25">
      <c r="A298" t="s">
        <v>276</v>
      </c>
      <c r="B298">
        <v>2800</v>
      </c>
      <c r="C298">
        <f t="shared" si="44"/>
        <v>28</v>
      </c>
      <c r="D298">
        <v>17</v>
      </c>
      <c r="E298">
        <v>3</v>
      </c>
      <c r="F298">
        <v>2300</v>
      </c>
      <c r="G298">
        <f t="shared" si="36"/>
        <v>23</v>
      </c>
      <c r="H298">
        <v>65</v>
      </c>
      <c r="I298" s="4">
        <f>Full_Data[[#This Row],[Selling Price]]/Full_Data[[#This Row],[Weight (g)]]</f>
        <v>0.35384615384615387</v>
      </c>
      <c r="J298" t="b">
        <v>0</v>
      </c>
      <c r="K298">
        <v>65</v>
      </c>
      <c r="L298">
        <f t="shared" si="37"/>
        <v>5</v>
      </c>
      <c r="M298" t="str">
        <f t="shared" si="38"/>
        <v>Low</v>
      </c>
      <c r="N298" t="str">
        <f t="shared" si="39"/>
        <v>16-20%</v>
      </c>
      <c r="O298" t="str">
        <f t="shared" si="40"/>
        <v>OK</v>
      </c>
      <c r="P298">
        <f>IFERROR(Full_Data!G298/Full_Data!H298,"Check data")</f>
        <v>0.35384615384615387</v>
      </c>
      <c r="Q298" t="str">
        <f t="shared" si="41"/>
        <v>Match</v>
      </c>
      <c r="R298" t="str">
        <f t="shared" si="42"/>
        <v>Mismatch</v>
      </c>
      <c r="S298" t="str">
        <f t="shared" si="43"/>
        <v>Mismatch</v>
      </c>
    </row>
    <row r="299" spans="1:19" x14ac:dyDescent="0.25">
      <c r="A299" t="s">
        <v>288</v>
      </c>
      <c r="B299">
        <v>5500</v>
      </c>
      <c r="C299">
        <f t="shared" si="44"/>
        <v>55</v>
      </c>
      <c r="D299">
        <v>9</v>
      </c>
      <c r="E299">
        <v>2</v>
      </c>
      <c r="F299">
        <v>5000</v>
      </c>
      <c r="G299">
        <f t="shared" si="36"/>
        <v>50</v>
      </c>
      <c r="H299">
        <v>50</v>
      </c>
      <c r="I299" s="4">
        <f>Full_Data[[#This Row],[Selling Price]]/Full_Data[[#This Row],[Weight (g)]]</f>
        <v>1</v>
      </c>
      <c r="J299" t="b">
        <v>0</v>
      </c>
      <c r="K299">
        <v>50</v>
      </c>
      <c r="L299">
        <f t="shared" si="37"/>
        <v>5</v>
      </c>
      <c r="M299" t="str">
        <f t="shared" si="38"/>
        <v>Medium</v>
      </c>
      <c r="N299" t="str">
        <f t="shared" si="39"/>
        <v>6-10%</v>
      </c>
      <c r="O299" t="str">
        <f t="shared" si="40"/>
        <v>OK</v>
      </c>
      <c r="P299">
        <f>IFERROR(Full_Data!G299/Full_Data!H299,"Check data")</f>
        <v>1</v>
      </c>
      <c r="Q299" t="str">
        <f t="shared" si="41"/>
        <v>Match</v>
      </c>
      <c r="R299" t="str">
        <f t="shared" si="42"/>
        <v>Mismatch</v>
      </c>
      <c r="S299" t="str">
        <f t="shared" si="43"/>
        <v>Match</v>
      </c>
    </row>
    <row r="300" spans="1:19" x14ac:dyDescent="0.25">
      <c r="A300" t="s">
        <v>289</v>
      </c>
      <c r="B300">
        <v>4400</v>
      </c>
      <c r="C300">
        <f t="shared" si="44"/>
        <v>44</v>
      </c>
      <c r="D300">
        <v>0</v>
      </c>
      <c r="E300">
        <v>4</v>
      </c>
      <c r="F300">
        <v>4400</v>
      </c>
      <c r="G300">
        <f t="shared" si="36"/>
        <v>44</v>
      </c>
      <c r="H300">
        <v>60</v>
      </c>
      <c r="I300" s="4">
        <f>Full_Data[[#This Row],[Selling Price]]/Full_Data[[#This Row],[Weight (g)]]</f>
        <v>0.73333333333333328</v>
      </c>
      <c r="J300" t="b">
        <v>0</v>
      </c>
      <c r="K300">
        <v>60</v>
      </c>
      <c r="L300">
        <f t="shared" si="37"/>
        <v>0</v>
      </c>
      <c r="M300" t="str">
        <f t="shared" si="38"/>
        <v>Low</v>
      </c>
      <c r="N300" t="str">
        <f t="shared" si="39"/>
        <v>0-5%</v>
      </c>
      <c r="O300" t="str">
        <f t="shared" si="40"/>
        <v>OK</v>
      </c>
      <c r="P300">
        <f>IFERROR(Full_Data!G300/Full_Data!H300,"Check data")</f>
        <v>0.73333333333333328</v>
      </c>
      <c r="Q300" t="str">
        <f t="shared" si="41"/>
        <v>Match</v>
      </c>
      <c r="R300" t="str">
        <f t="shared" si="42"/>
        <v>Match</v>
      </c>
      <c r="S300" t="str">
        <f t="shared" si="43"/>
        <v>Match</v>
      </c>
    </row>
    <row r="301" spans="1:19" x14ac:dyDescent="0.25">
      <c r="A301" t="s">
        <v>290</v>
      </c>
      <c r="B301">
        <v>7000</v>
      </c>
      <c r="C301">
        <f t="shared" si="44"/>
        <v>70</v>
      </c>
      <c r="D301">
        <v>10</v>
      </c>
      <c r="E301">
        <v>3</v>
      </c>
      <c r="F301">
        <v>6300</v>
      </c>
      <c r="G301">
        <f t="shared" si="36"/>
        <v>63</v>
      </c>
      <c r="H301">
        <v>405</v>
      </c>
      <c r="I301" s="4">
        <f>Full_Data[[#This Row],[Selling Price]]/Full_Data[[#This Row],[Weight (g)]]</f>
        <v>0.15555555555555556</v>
      </c>
      <c r="J301" t="b">
        <v>0</v>
      </c>
      <c r="K301">
        <v>405</v>
      </c>
      <c r="L301">
        <f t="shared" si="37"/>
        <v>7</v>
      </c>
      <c r="M301" t="str">
        <f t="shared" si="38"/>
        <v>Medium</v>
      </c>
      <c r="N301" t="str">
        <f t="shared" si="39"/>
        <v>6-10%</v>
      </c>
      <c r="O301" t="str">
        <f t="shared" si="40"/>
        <v>OK</v>
      </c>
      <c r="P301">
        <f>IFERROR(Full_Data!G301/Full_Data!H301,"Check data")</f>
        <v>0.15555555555555556</v>
      </c>
      <c r="Q301" t="str">
        <f t="shared" si="41"/>
        <v>Match</v>
      </c>
      <c r="R301" t="str">
        <f t="shared" si="42"/>
        <v>Match</v>
      </c>
      <c r="S301" t="str">
        <f t="shared" si="43"/>
        <v>Match</v>
      </c>
    </row>
    <row r="302" spans="1:19" x14ac:dyDescent="0.25">
      <c r="A302" t="s">
        <v>291</v>
      </c>
      <c r="B302">
        <v>7400</v>
      </c>
      <c r="C302">
        <f t="shared" si="44"/>
        <v>74</v>
      </c>
      <c r="D302">
        <v>9</v>
      </c>
      <c r="E302">
        <v>3</v>
      </c>
      <c r="F302">
        <v>6700</v>
      </c>
      <c r="G302">
        <f t="shared" si="36"/>
        <v>67</v>
      </c>
      <c r="H302">
        <v>100</v>
      </c>
      <c r="I302" s="4">
        <f>Full_Data[[#This Row],[Selling Price]]/Full_Data[[#This Row],[Weight (g)]]</f>
        <v>0.67</v>
      </c>
      <c r="J302" t="b">
        <v>0</v>
      </c>
      <c r="K302">
        <v>100</v>
      </c>
      <c r="L302">
        <f t="shared" si="37"/>
        <v>7</v>
      </c>
      <c r="M302" t="str">
        <f t="shared" si="38"/>
        <v>Medium</v>
      </c>
      <c r="N302" t="str">
        <f t="shared" si="39"/>
        <v>6-10%</v>
      </c>
      <c r="O302" t="str">
        <f t="shared" si="40"/>
        <v>OK</v>
      </c>
      <c r="P302">
        <f>IFERROR(Full_Data!G302/Full_Data!H302,"Check data")</f>
        <v>0.67</v>
      </c>
      <c r="Q302" t="str">
        <f t="shared" si="41"/>
        <v>Match</v>
      </c>
      <c r="R302" t="str">
        <f t="shared" si="42"/>
        <v>Mismatch</v>
      </c>
      <c r="S302" t="str">
        <f t="shared" si="43"/>
        <v>Match</v>
      </c>
    </row>
    <row r="303" spans="1:19" x14ac:dyDescent="0.25">
      <c r="A303" t="s">
        <v>292</v>
      </c>
      <c r="B303">
        <v>29500</v>
      </c>
      <c r="C303">
        <f t="shared" si="44"/>
        <v>295</v>
      </c>
      <c r="D303">
        <v>16</v>
      </c>
      <c r="E303">
        <v>6</v>
      </c>
      <c r="F303">
        <v>24500</v>
      </c>
      <c r="G303">
        <f t="shared" si="36"/>
        <v>245</v>
      </c>
      <c r="H303">
        <v>5000</v>
      </c>
      <c r="I303" s="4">
        <f>Full_Data[[#This Row],[Selling Price]]/Full_Data[[#This Row],[Weight (g)]]</f>
        <v>4.9000000000000002E-2</v>
      </c>
      <c r="J303" t="b">
        <v>0</v>
      </c>
      <c r="K303">
        <v>5</v>
      </c>
      <c r="L303">
        <f t="shared" si="37"/>
        <v>50</v>
      </c>
      <c r="M303" t="str">
        <f t="shared" si="38"/>
        <v>High</v>
      </c>
      <c r="N303" t="str">
        <f t="shared" si="39"/>
        <v>16-20%</v>
      </c>
      <c r="O303" t="str">
        <f t="shared" si="40"/>
        <v>OK</v>
      </c>
      <c r="P303">
        <f>IFERROR(Full_Data!G303/Full_Data!H303,"Check data")</f>
        <v>4.9000000000000002E-2</v>
      </c>
      <c r="Q303" t="str">
        <f t="shared" si="41"/>
        <v>Match</v>
      </c>
      <c r="R303" t="str">
        <f t="shared" si="42"/>
        <v>Mismatch</v>
      </c>
      <c r="S303" t="str">
        <f t="shared" si="43"/>
        <v>Mismatch</v>
      </c>
    </row>
    <row r="304" spans="1:19" x14ac:dyDescent="0.25">
      <c r="A304" t="s">
        <v>293</v>
      </c>
      <c r="B304">
        <v>5000</v>
      </c>
      <c r="C304">
        <f t="shared" si="44"/>
        <v>50</v>
      </c>
      <c r="D304">
        <v>2</v>
      </c>
      <c r="E304">
        <v>6</v>
      </c>
      <c r="F304">
        <v>4900</v>
      </c>
      <c r="G304">
        <f t="shared" si="36"/>
        <v>49</v>
      </c>
      <c r="H304">
        <v>200</v>
      </c>
      <c r="I304" s="4">
        <f>Full_Data[[#This Row],[Selling Price]]/Full_Data[[#This Row],[Weight (g)]]</f>
        <v>0.245</v>
      </c>
      <c r="J304" t="b">
        <v>0</v>
      </c>
      <c r="K304">
        <v>200</v>
      </c>
      <c r="L304">
        <f t="shared" si="37"/>
        <v>1</v>
      </c>
      <c r="M304" t="str">
        <f t="shared" si="38"/>
        <v>Low</v>
      </c>
      <c r="N304" t="str">
        <f t="shared" si="39"/>
        <v>0-5%</v>
      </c>
      <c r="O304" t="str">
        <f t="shared" si="40"/>
        <v>OK</v>
      </c>
      <c r="P304">
        <f>IFERROR(Full_Data!G304/Full_Data!H304,"Check data")</f>
        <v>0.245</v>
      </c>
      <c r="Q304" t="str">
        <f t="shared" si="41"/>
        <v>Match</v>
      </c>
      <c r="R304" t="str">
        <f t="shared" si="42"/>
        <v>Match</v>
      </c>
      <c r="S304" t="str">
        <f t="shared" si="43"/>
        <v>Match</v>
      </c>
    </row>
    <row r="305" spans="1:19" x14ac:dyDescent="0.25">
      <c r="A305" t="s">
        <v>294</v>
      </c>
      <c r="B305">
        <v>4900</v>
      </c>
      <c r="C305">
        <f t="shared" si="44"/>
        <v>49</v>
      </c>
      <c r="D305">
        <v>8</v>
      </c>
      <c r="E305">
        <v>6</v>
      </c>
      <c r="F305">
        <v>4500</v>
      </c>
      <c r="G305">
        <f t="shared" si="36"/>
        <v>45</v>
      </c>
      <c r="H305">
        <v>200</v>
      </c>
      <c r="I305" s="4">
        <f>Full_Data[[#This Row],[Selling Price]]/Full_Data[[#This Row],[Weight (g)]]</f>
        <v>0.22500000000000001</v>
      </c>
      <c r="J305" t="b">
        <v>0</v>
      </c>
      <c r="K305">
        <v>200</v>
      </c>
      <c r="L305">
        <f t="shared" si="37"/>
        <v>4</v>
      </c>
      <c r="M305" t="str">
        <f t="shared" si="38"/>
        <v>Low</v>
      </c>
      <c r="N305" t="str">
        <f t="shared" si="39"/>
        <v>6-10%</v>
      </c>
      <c r="O305" t="str">
        <f t="shared" si="40"/>
        <v>OK</v>
      </c>
      <c r="P305">
        <f>IFERROR(Full_Data!G305/Full_Data!H305,"Check data")</f>
        <v>0.22500000000000001</v>
      </c>
      <c r="Q305" t="str">
        <f t="shared" si="41"/>
        <v>Match</v>
      </c>
      <c r="R305" t="str">
        <f t="shared" si="42"/>
        <v>Mismatch</v>
      </c>
      <c r="S305" t="str">
        <f t="shared" si="43"/>
        <v>Match</v>
      </c>
    </row>
    <row r="306" spans="1:19" x14ac:dyDescent="0.25">
      <c r="A306" t="s">
        <v>295</v>
      </c>
      <c r="B306">
        <v>7500</v>
      </c>
      <c r="C306">
        <f t="shared" si="44"/>
        <v>75</v>
      </c>
      <c r="D306">
        <v>17</v>
      </c>
      <c r="E306">
        <v>6</v>
      </c>
      <c r="F306">
        <v>6200</v>
      </c>
      <c r="G306">
        <f t="shared" si="36"/>
        <v>62</v>
      </c>
      <c r="H306">
        <v>50</v>
      </c>
      <c r="I306" s="4">
        <f>Full_Data[[#This Row],[Selling Price]]/Full_Data[[#This Row],[Weight (g)]]</f>
        <v>1.24</v>
      </c>
      <c r="J306" t="b">
        <v>0</v>
      </c>
      <c r="K306">
        <v>50</v>
      </c>
      <c r="L306">
        <f t="shared" si="37"/>
        <v>13</v>
      </c>
      <c r="M306" t="str">
        <f t="shared" si="38"/>
        <v>Medium</v>
      </c>
      <c r="N306" t="str">
        <f t="shared" si="39"/>
        <v>16-20%</v>
      </c>
      <c r="O306" t="str">
        <f t="shared" si="40"/>
        <v>OK</v>
      </c>
      <c r="P306">
        <f>IFERROR(Full_Data!G306/Full_Data!H306,"Check data")</f>
        <v>1.24</v>
      </c>
      <c r="Q306" t="str">
        <f t="shared" si="41"/>
        <v>Match</v>
      </c>
      <c r="R306" t="str">
        <f t="shared" si="42"/>
        <v>Mismatch</v>
      </c>
      <c r="S306" t="str">
        <f t="shared" si="43"/>
        <v>Match</v>
      </c>
    </row>
    <row r="307" spans="1:19" x14ac:dyDescent="0.25">
      <c r="A307" t="s">
        <v>296</v>
      </c>
      <c r="B307">
        <v>9600</v>
      </c>
      <c r="C307">
        <f t="shared" si="44"/>
        <v>96</v>
      </c>
      <c r="D307">
        <v>15</v>
      </c>
      <c r="E307">
        <v>6</v>
      </c>
      <c r="F307">
        <v>8100</v>
      </c>
      <c r="G307">
        <f t="shared" si="36"/>
        <v>81</v>
      </c>
      <c r="H307">
        <v>280</v>
      </c>
      <c r="I307" s="4">
        <f>Full_Data[[#This Row],[Selling Price]]/Full_Data[[#This Row],[Weight (g)]]</f>
        <v>0.28928571428571431</v>
      </c>
      <c r="J307" t="b">
        <v>0</v>
      </c>
      <c r="K307">
        <v>280</v>
      </c>
      <c r="L307">
        <f t="shared" si="37"/>
        <v>15</v>
      </c>
      <c r="M307" t="str">
        <f t="shared" si="38"/>
        <v>Medium</v>
      </c>
      <c r="N307" t="str">
        <f t="shared" si="39"/>
        <v>11-15%</v>
      </c>
      <c r="O307" t="str">
        <f t="shared" si="40"/>
        <v>OK</v>
      </c>
      <c r="P307">
        <f>IFERROR(Full_Data!G307/Full_Data!H307,"Check data")</f>
        <v>0.28928571428571431</v>
      </c>
      <c r="Q307" t="str">
        <f t="shared" si="41"/>
        <v>Match</v>
      </c>
      <c r="R307" t="str">
        <f t="shared" si="42"/>
        <v>Mismatch</v>
      </c>
      <c r="S307" t="str">
        <f t="shared" si="43"/>
        <v>Mismatch</v>
      </c>
    </row>
    <row r="308" spans="1:19" x14ac:dyDescent="0.25">
      <c r="A308" t="s">
        <v>297</v>
      </c>
      <c r="B308">
        <v>4000</v>
      </c>
      <c r="C308">
        <f t="shared" si="44"/>
        <v>40</v>
      </c>
      <c r="D308">
        <v>5</v>
      </c>
      <c r="E308">
        <v>6</v>
      </c>
      <c r="F308">
        <v>3800</v>
      </c>
      <c r="G308">
        <f t="shared" si="36"/>
        <v>38</v>
      </c>
      <c r="H308">
        <v>50</v>
      </c>
      <c r="I308" s="4">
        <f>Full_Data[[#This Row],[Selling Price]]/Full_Data[[#This Row],[Weight (g)]]</f>
        <v>0.76</v>
      </c>
      <c r="J308" t="b">
        <v>0</v>
      </c>
      <c r="K308">
        <v>50</v>
      </c>
      <c r="L308">
        <f t="shared" si="37"/>
        <v>2</v>
      </c>
      <c r="M308" t="str">
        <f t="shared" si="38"/>
        <v>Low</v>
      </c>
      <c r="N308" t="str">
        <f t="shared" si="39"/>
        <v>0-5%</v>
      </c>
      <c r="O308" t="str">
        <f t="shared" si="40"/>
        <v>OK</v>
      </c>
      <c r="P308">
        <f>IFERROR(Full_Data!G308/Full_Data!H308,"Check data")</f>
        <v>0.76</v>
      </c>
      <c r="Q308" t="str">
        <f t="shared" si="41"/>
        <v>Match</v>
      </c>
      <c r="R308" t="str">
        <f t="shared" si="42"/>
        <v>Match</v>
      </c>
      <c r="S308" t="str">
        <f t="shared" si="43"/>
        <v>Match</v>
      </c>
    </row>
    <row r="309" spans="1:19" x14ac:dyDescent="0.25">
      <c r="A309" t="s">
        <v>298</v>
      </c>
      <c r="B309">
        <v>3500</v>
      </c>
      <c r="C309">
        <f t="shared" si="44"/>
        <v>35</v>
      </c>
      <c r="D309">
        <v>2</v>
      </c>
      <c r="E309">
        <v>6</v>
      </c>
      <c r="F309">
        <v>3400</v>
      </c>
      <c r="G309">
        <f t="shared" si="36"/>
        <v>34</v>
      </c>
      <c r="H309">
        <v>100</v>
      </c>
      <c r="I309" s="4">
        <f>Full_Data[[#This Row],[Selling Price]]/Full_Data[[#This Row],[Weight (g)]]</f>
        <v>0.34</v>
      </c>
      <c r="J309" t="b">
        <v>0</v>
      </c>
      <c r="K309">
        <v>100</v>
      </c>
      <c r="L309">
        <f t="shared" si="37"/>
        <v>1</v>
      </c>
      <c r="M309" t="str">
        <f t="shared" si="38"/>
        <v>Low</v>
      </c>
      <c r="N309" t="str">
        <f t="shared" si="39"/>
        <v>0-5%</v>
      </c>
      <c r="O309" t="str">
        <f t="shared" si="40"/>
        <v>OK</v>
      </c>
      <c r="P309">
        <f>IFERROR(Full_Data!G309/Full_Data!H309,"Check data")</f>
        <v>0.34</v>
      </c>
      <c r="Q309" t="str">
        <f t="shared" si="41"/>
        <v>Match</v>
      </c>
      <c r="R309" t="str">
        <f t="shared" si="42"/>
        <v>Mismatch</v>
      </c>
      <c r="S309" t="str">
        <f t="shared" si="43"/>
        <v>Mismatch</v>
      </c>
    </row>
    <row r="310" spans="1:19" x14ac:dyDescent="0.25">
      <c r="A310" t="s">
        <v>299</v>
      </c>
      <c r="B310">
        <v>19000</v>
      </c>
      <c r="C310">
        <f t="shared" si="44"/>
        <v>190</v>
      </c>
      <c r="D310">
        <v>0</v>
      </c>
      <c r="E310">
        <v>4</v>
      </c>
      <c r="F310">
        <v>19000</v>
      </c>
      <c r="G310">
        <f t="shared" si="36"/>
        <v>190</v>
      </c>
      <c r="H310">
        <v>500</v>
      </c>
      <c r="I310" s="4">
        <f>Full_Data[[#This Row],[Selling Price]]/Full_Data[[#This Row],[Weight (g)]]</f>
        <v>0.38</v>
      </c>
      <c r="J310" t="b">
        <v>0</v>
      </c>
      <c r="K310">
        <v>500</v>
      </c>
      <c r="L310">
        <f t="shared" si="37"/>
        <v>0</v>
      </c>
      <c r="M310" t="str">
        <f t="shared" si="38"/>
        <v>Medium</v>
      </c>
      <c r="N310" t="str">
        <f t="shared" si="39"/>
        <v>0-5%</v>
      </c>
      <c r="O310" t="str">
        <f t="shared" si="40"/>
        <v>OK</v>
      </c>
      <c r="P310">
        <f>IFERROR(Full_Data!G310/Full_Data!H310,"Check data")</f>
        <v>0.38</v>
      </c>
      <c r="Q310" t="str">
        <f t="shared" si="41"/>
        <v>Match</v>
      </c>
      <c r="R310" t="str">
        <f t="shared" si="42"/>
        <v>Match</v>
      </c>
      <c r="S310" t="str">
        <f t="shared" si="43"/>
        <v>Match</v>
      </c>
    </row>
    <row r="311" spans="1:19" x14ac:dyDescent="0.25">
      <c r="A311" t="s">
        <v>300</v>
      </c>
      <c r="B311">
        <v>4000</v>
      </c>
      <c r="C311">
        <f t="shared" si="44"/>
        <v>40</v>
      </c>
      <c r="D311">
        <v>2</v>
      </c>
      <c r="E311">
        <v>6</v>
      </c>
      <c r="F311">
        <v>3900</v>
      </c>
      <c r="G311">
        <f t="shared" si="36"/>
        <v>39</v>
      </c>
      <c r="H311">
        <v>50</v>
      </c>
      <c r="I311" s="4">
        <f>Full_Data[[#This Row],[Selling Price]]/Full_Data[[#This Row],[Weight (g)]]</f>
        <v>0.78</v>
      </c>
      <c r="J311" t="b">
        <v>0</v>
      </c>
      <c r="K311">
        <v>50</v>
      </c>
      <c r="L311">
        <f t="shared" si="37"/>
        <v>1</v>
      </c>
      <c r="M311" t="str">
        <f t="shared" si="38"/>
        <v>Low</v>
      </c>
      <c r="N311" t="str">
        <f t="shared" si="39"/>
        <v>0-5%</v>
      </c>
      <c r="O311" t="str">
        <f t="shared" si="40"/>
        <v>OK</v>
      </c>
      <c r="P311">
        <f>IFERROR(Full_Data!G311/Full_Data!H311,"Check data")</f>
        <v>0.78</v>
      </c>
      <c r="Q311" t="str">
        <f t="shared" si="41"/>
        <v>Match</v>
      </c>
      <c r="R311" t="str">
        <f t="shared" si="42"/>
        <v>Mismatch</v>
      </c>
      <c r="S311" t="str">
        <f t="shared" si="43"/>
        <v>Mismatch</v>
      </c>
    </row>
    <row r="312" spans="1:19" x14ac:dyDescent="0.25">
      <c r="A312" t="s">
        <v>301</v>
      </c>
      <c r="B312">
        <v>6000</v>
      </c>
      <c r="C312">
        <f t="shared" si="44"/>
        <v>60</v>
      </c>
      <c r="D312">
        <v>15</v>
      </c>
      <c r="E312">
        <v>6</v>
      </c>
      <c r="F312">
        <v>5100</v>
      </c>
      <c r="G312">
        <f t="shared" si="36"/>
        <v>51</v>
      </c>
      <c r="H312">
        <v>50</v>
      </c>
      <c r="I312" s="4">
        <f>Full_Data[[#This Row],[Selling Price]]/Full_Data[[#This Row],[Weight (g)]]</f>
        <v>1.02</v>
      </c>
      <c r="J312" t="b">
        <v>0</v>
      </c>
      <c r="K312">
        <v>50</v>
      </c>
      <c r="L312">
        <f t="shared" si="37"/>
        <v>9</v>
      </c>
      <c r="M312" t="str">
        <f t="shared" si="38"/>
        <v>Medium</v>
      </c>
      <c r="N312" t="str">
        <f t="shared" si="39"/>
        <v>11-15%</v>
      </c>
      <c r="O312" t="str">
        <f t="shared" si="40"/>
        <v>OK</v>
      </c>
      <c r="P312">
        <f>IFERROR(Full_Data!G312/Full_Data!H312,"Check data")</f>
        <v>1.02</v>
      </c>
      <c r="Q312" t="str">
        <f t="shared" si="41"/>
        <v>Match</v>
      </c>
      <c r="R312" t="str">
        <f t="shared" si="42"/>
        <v>Match</v>
      </c>
      <c r="S312" t="str">
        <f t="shared" si="43"/>
        <v>Match</v>
      </c>
    </row>
    <row r="313" spans="1:19" x14ac:dyDescent="0.25">
      <c r="A313" t="s">
        <v>302</v>
      </c>
      <c r="B313">
        <v>9500</v>
      </c>
      <c r="C313">
        <f t="shared" si="44"/>
        <v>95</v>
      </c>
      <c r="D313">
        <v>0</v>
      </c>
      <c r="E313">
        <v>6</v>
      </c>
      <c r="F313">
        <v>9500</v>
      </c>
      <c r="G313">
        <f t="shared" si="36"/>
        <v>95</v>
      </c>
      <c r="H313">
        <v>500</v>
      </c>
      <c r="I313" s="4">
        <f>Full_Data[[#This Row],[Selling Price]]/Full_Data[[#This Row],[Weight (g)]]</f>
        <v>0.19</v>
      </c>
      <c r="J313" t="b">
        <v>0</v>
      </c>
      <c r="K313">
        <v>500</v>
      </c>
      <c r="L313">
        <f t="shared" si="37"/>
        <v>0</v>
      </c>
      <c r="M313" t="str">
        <f t="shared" si="38"/>
        <v>Medium</v>
      </c>
      <c r="N313" t="str">
        <f t="shared" si="39"/>
        <v>0-5%</v>
      </c>
      <c r="O313" t="str">
        <f t="shared" si="40"/>
        <v>OK</v>
      </c>
      <c r="P313">
        <f>IFERROR(Full_Data!G313/Full_Data!H313,"Check data")</f>
        <v>0.19</v>
      </c>
      <c r="Q313" t="str">
        <f t="shared" si="41"/>
        <v>Match</v>
      </c>
      <c r="R313" t="str">
        <f t="shared" si="42"/>
        <v>Match</v>
      </c>
      <c r="S313" t="str">
        <f t="shared" si="43"/>
        <v>Match</v>
      </c>
    </row>
    <row r="314" spans="1:19" x14ac:dyDescent="0.25">
      <c r="A314" t="s">
        <v>303</v>
      </c>
      <c r="B314">
        <v>4600</v>
      </c>
      <c r="C314">
        <f t="shared" si="44"/>
        <v>46</v>
      </c>
      <c r="D314">
        <v>0</v>
      </c>
      <c r="E314">
        <v>6</v>
      </c>
      <c r="F314">
        <v>4600</v>
      </c>
      <c r="G314">
        <f t="shared" si="36"/>
        <v>46</v>
      </c>
      <c r="H314">
        <v>54</v>
      </c>
      <c r="I314" s="4">
        <f>Full_Data[[#This Row],[Selling Price]]/Full_Data[[#This Row],[Weight (g)]]</f>
        <v>0.85185185185185186</v>
      </c>
      <c r="J314" t="b">
        <v>0</v>
      </c>
      <c r="K314">
        <v>54</v>
      </c>
      <c r="L314">
        <f t="shared" si="37"/>
        <v>0</v>
      </c>
      <c r="M314" t="str">
        <f t="shared" si="38"/>
        <v>Low</v>
      </c>
      <c r="N314" t="str">
        <f t="shared" si="39"/>
        <v>0-5%</v>
      </c>
      <c r="O314" t="str">
        <f t="shared" si="40"/>
        <v>OK</v>
      </c>
      <c r="P314">
        <f>IFERROR(Full_Data!G314/Full_Data!H314,"Check data")</f>
        <v>0.85185185185185186</v>
      </c>
      <c r="Q314" t="str">
        <f t="shared" si="41"/>
        <v>Match</v>
      </c>
      <c r="R314" t="str">
        <f t="shared" si="42"/>
        <v>Match</v>
      </c>
      <c r="S314" t="str">
        <f t="shared" si="43"/>
        <v>Match</v>
      </c>
    </row>
    <row r="315" spans="1:19" x14ac:dyDescent="0.25">
      <c r="A315" t="s">
        <v>304</v>
      </c>
      <c r="B315">
        <v>14200</v>
      </c>
      <c r="C315">
        <f t="shared" si="44"/>
        <v>142</v>
      </c>
      <c r="D315">
        <v>9</v>
      </c>
      <c r="E315">
        <v>3</v>
      </c>
      <c r="F315">
        <v>12800</v>
      </c>
      <c r="G315">
        <f t="shared" si="36"/>
        <v>128</v>
      </c>
      <c r="H315">
        <v>500</v>
      </c>
      <c r="I315" s="4">
        <f>Full_Data[[#This Row],[Selling Price]]/Full_Data[[#This Row],[Weight (g)]]</f>
        <v>0.25600000000000001</v>
      </c>
      <c r="J315" t="b">
        <v>0</v>
      </c>
      <c r="K315">
        <v>500</v>
      </c>
      <c r="L315">
        <f t="shared" si="37"/>
        <v>14</v>
      </c>
      <c r="M315" t="str">
        <f t="shared" si="38"/>
        <v>Medium</v>
      </c>
      <c r="N315" t="str">
        <f t="shared" si="39"/>
        <v>6-10%</v>
      </c>
      <c r="O315" t="str">
        <f t="shared" si="40"/>
        <v>OK</v>
      </c>
      <c r="P315">
        <f>IFERROR(Full_Data!G315/Full_Data!H315,"Check data")</f>
        <v>0.25600000000000001</v>
      </c>
      <c r="Q315" t="str">
        <f t="shared" si="41"/>
        <v>Match</v>
      </c>
      <c r="R315" t="str">
        <f t="shared" si="42"/>
        <v>Mismatch</v>
      </c>
      <c r="S315" t="str">
        <f t="shared" si="43"/>
        <v>Mismatch</v>
      </c>
    </row>
    <row r="316" spans="1:19" x14ac:dyDescent="0.25">
      <c r="A316" t="s">
        <v>305</v>
      </c>
      <c r="B316">
        <v>30000</v>
      </c>
      <c r="C316">
        <f t="shared" si="44"/>
        <v>300</v>
      </c>
      <c r="D316">
        <v>10</v>
      </c>
      <c r="E316">
        <v>3</v>
      </c>
      <c r="F316">
        <v>27000</v>
      </c>
      <c r="G316">
        <f t="shared" si="36"/>
        <v>270</v>
      </c>
      <c r="H316">
        <v>42</v>
      </c>
      <c r="I316" s="4">
        <f>Full_Data[[#This Row],[Selling Price]]/Full_Data[[#This Row],[Weight (g)]]</f>
        <v>6.4285714285714288</v>
      </c>
      <c r="J316" t="b">
        <v>0</v>
      </c>
      <c r="K316">
        <v>42</v>
      </c>
      <c r="L316">
        <f t="shared" si="37"/>
        <v>30</v>
      </c>
      <c r="M316" t="str">
        <f t="shared" si="38"/>
        <v>High</v>
      </c>
      <c r="N316" t="str">
        <f t="shared" si="39"/>
        <v>6-10%</v>
      </c>
      <c r="O316" t="str">
        <f t="shared" si="40"/>
        <v>OK</v>
      </c>
      <c r="P316">
        <f>IFERROR(Full_Data!G316/Full_Data!H316,"Check data")</f>
        <v>6.4285714285714288</v>
      </c>
      <c r="Q316" t="str">
        <f t="shared" si="41"/>
        <v>Match</v>
      </c>
      <c r="R316" t="str">
        <f t="shared" si="42"/>
        <v>Match</v>
      </c>
      <c r="S316" t="str">
        <f t="shared" si="43"/>
        <v>Match</v>
      </c>
    </row>
    <row r="317" spans="1:19" x14ac:dyDescent="0.25">
      <c r="A317" t="s">
        <v>306</v>
      </c>
      <c r="B317">
        <v>3700</v>
      </c>
      <c r="C317">
        <f t="shared" si="44"/>
        <v>37</v>
      </c>
      <c r="D317">
        <v>2</v>
      </c>
      <c r="E317">
        <v>6</v>
      </c>
      <c r="F317">
        <v>3600</v>
      </c>
      <c r="G317">
        <f t="shared" si="36"/>
        <v>36</v>
      </c>
      <c r="H317">
        <v>100</v>
      </c>
      <c r="I317" s="4">
        <f>Full_Data[[#This Row],[Selling Price]]/Full_Data[[#This Row],[Weight (g)]]</f>
        <v>0.36</v>
      </c>
      <c r="J317" t="b">
        <v>0</v>
      </c>
      <c r="K317">
        <v>100</v>
      </c>
      <c r="L317">
        <f t="shared" si="37"/>
        <v>1</v>
      </c>
      <c r="M317" t="str">
        <f t="shared" si="38"/>
        <v>Low</v>
      </c>
      <c r="N317" t="str">
        <f t="shared" si="39"/>
        <v>0-5%</v>
      </c>
      <c r="O317" t="str">
        <f t="shared" si="40"/>
        <v>OK</v>
      </c>
      <c r="P317">
        <f>IFERROR(Full_Data!G317/Full_Data!H317,"Check data")</f>
        <v>0.36</v>
      </c>
      <c r="Q317" t="str">
        <f t="shared" si="41"/>
        <v>Match</v>
      </c>
      <c r="R317" t="str">
        <f t="shared" si="42"/>
        <v>Mismatch</v>
      </c>
      <c r="S317" t="str">
        <f t="shared" si="43"/>
        <v>Mismatch</v>
      </c>
    </row>
    <row r="318" spans="1:19" x14ac:dyDescent="0.25">
      <c r="A318" t="s">
        <v>307</v>
      </c>
      <c r="B318">
        <v>14500</v>
      </c>
      <c r="C318">
        <f t="shared" si="44"/>
        <v>145</v>
      </c>
      <c r="D318">
        <v>0</v>
      </c>
      <c r="E318">
        <v>6</v>
      </c>
      <c r="F318">
        <v>14500</v>
      </c>
      <c r="G318">
        <f t="shared" si="36"/>
        <v>145</v>
      </c>
      <c r="H318">
        <v>500</v>
      </c>
      <c r="I318" s="4">
        <f>Full_Data[[#This Row],[Selling Price]]/Full_Data[[#This Row],[Weight (g)]]</f>
        <v>0.28999999999999998</v>
      </c>
      <c r="J318" t="b">
        <v>0</v>
      </c>
      <c r="K318">
        <v>500</v>
      </c>
      <c r="L318">
        <f t="shared" si="37"/>
        <v>0</v>
      </c>
      <c r="M318" t="str">
        <f t="shared" si="38"/>
        <v>Medium</v>
      </c>
      <c r="N318" t="str">
        <f t="shared" si="39"/>
        <v>0-5%</v>
      </c>
      <c r="O318" t="str">
        <f t="shared" si="40"/>
        <v>OK</v>
      </c>
      <c r="P318">
        <f>IFERROR(Full_Data!G318/Full_Data!H318,"Check data")</f>
        <v>0.28999999999999998</v>
      </c>
      <c r="Q318" t="str">
        <f t="shared" si="41"/>
        <v>Match</v>
      </c>
      <c r="R318" t="str">
        <f t="shared" si="42"/>
        <v>Match</v>
      </c>
      <c r="S318" t="str">
        <f t="shared" si="43"/>
        <v>Match</v>
      </c>
    </row>
    <row r="319" spans="1:19" x14ac:dyDescent="0.25">
      <c r="A319" t="s">
        <v>308</v>
      </c>
      <c r="B319">
        <v>3500</v>
      </c>
      <c r="C319">
        <f t="shared" si="44"/>
        <v>35</v>
      </c>
      <c r="D319">
        <v>2</v>
      </c>
      <c r="E319">
        <v>6</v>
      </c>
      <c r="F319">
        <v>3400</v>
      </c>
      <c r="G319">
        <f t="shared" si="36"/>
        <v>34</v>
      </c>
      <c r="H319">
        <v>500</v>
      </c>
      <c r="I319" s="4">
        <f>Full_Data[[#This Row],[Selling Price]]/Full_Data[[#This Row],[Weight (g)]]</f>
        <v>6.8000000000000005E-2</v>
      </c>
      <c r="J319" t="b">
        <v>0</v>
      </c>
      <c r="K319">
        <v>500</v>
      </c>
      <c r="L319">
        <f t="shared" si="37"/>
        <v>1</v>
      </c>
      <c r="M319" t="str">
        <f t="shared" si="38"/>
        <v>Low</v>
      </c>
      <c r="N319" t="str">
        <f t="shared" si="39"/>
        <v>0-5%</v>
      </c>
      <c r="O319" t="str">
        <f t="shared" si="40"/>
        <v>OK</v>
      </c>
      <c r="P319">
        <f>IFERROR(Full_Data!G319/Full_Data!H319,"Check data")</f>
        <v>6.8000000000000005E-2</v>
      </c>
      <c r="Q319" t="str">
        <f t="shared" si="41"/>
        <v>Match</v>
      </c>
      <c r="R319" t="str">
        <f t="shared" si="42"/>
        <v>Mismatch</v>
      </c>
      <c r="S319" t="str">
        <f t="shared" si="43"/>
        <v>Mismatch</v>
      </c>
    </row>
    <row r="320" spans="1:19" x14ac:dyDescent="0.25">
      <c r="A320" t="s">
        <v>309</v>
      </c>
      <c r="B320">
        <v>20500</v>
      </c>
      <c r="C320">
        <f t="shared" si="44"/>
        <v>205</v>
      </c>
      <c r="D320">
        <v>5</v>
      </c>
      <c r="E320">
        <v>1</v>
      </c>
      <c r="F320">
        <v>19400</v>
      </c>
      <c r="G320">
        <f t="shared" si="36"/>
        <v>194</v>
      </c>
      <c r="H320">
        <v>250</v>
      </c>
      <c r="I320" s="4">
        <f>Full_Data[[#This Row],[Selling Price]]/Full_Data[[#This Row],[Weight (g)]]</f>
        <v>0.77600000000000002</v>
      </c>
      <c r="J320" t="b">
        <v>0</v>
      </c>
      <c r="K320">
        <v>250</v>
      </c>
      <c r="L320">
        <f t="shared" si="37"/>
        <v>11</v>
      </c>
      <c r="M320" t="str">
        <f t="shared" si="38"/>
        <v>Medium</v>
      </c>
      <c r="N320" t="str">
        <f t="shared" si="39"/>
        <v>0-5%</v>
      </c>
      <c r="O320" t="str">
        <f t="shared" si="40"/>
        <v>OK</v>
      </c>
      <c r="P320">
        <f>IFERROR(Full_Data!G320/Full_Data!H320,"Check data")</f>
        <v>0.77600000000000002</v>
      </c>
      <c r="Q320" t="str">
        <f t="shared" si="41"/>
        <v>Match</v>
      </c>
      <c r="R320" t="str">
        <f t="shared" si="42"/>
        <v>Mismatch</v>
      </c>
      <c r="S320" t="str">
        <f t="shared" si="43"/>
        <v>Match</v>
      </c>
    </row>
    <row r="321" spans="1:19" x14ac:dyDescent="0.25">
      <c r="A321" t="s">
        <v>310</v>
      </c>
      <c r="B321">
        <v>9900</v>
      </c>
      <c r="C321">
        <f t="shared" si="44"/>
        <v>99</v>
      </c>
      <c r="D321">
        <v>0</v>
      </c>
      <c r="E321">
        <v>6</v>
      </c>
      <c r="F321">
        <v>9900</v>
      </c>
      <c r="G321">
        <f t="shared" si="36"/>
        <v>99</v>
      </c>
      <c r="H321">
        <v>75</v>
      </c>
      <c r="I321" s="4">
        <f>Full_Data[[#This Row],[Selling Price]]/Full_Data[[#This Row],[Weight (g)]]</f>
        <v>1.32</v>
      </c>
      <c r="J321" t="b">
        <v>0</v>
      </c>
      <c r="K321">
        <v>75</v>
      </c>
      <c r="L321">
        <f t="shared" si="37"/>
        <v>0</v>
      </c>
      <c r="M321" t="str">
        <f t="shared" si="38"/>
        <v>Medium</v>
      </c>
      <c r="N321" t="str">
        <f t="shared" si="39"/>
        <v>0-5%</v>
      </c>
      <c r="O321" t="str">
        <f t="shared" si="40"/>
        <v>OK</v>
      </c>
      <c r="P321">
        <f>IFERROR(Full_Data!G321/Full_Data!H321,"Check data")</f>
        <v>1.32</v>
      </c>
      <c r="Q321" t="str">
        <f t="shared" si="41"/>
        <v>Match</v>
      </c>
      <c r="R321" t="str">
        <f t="shared" si="42"/>
        <v>Match</v>
      </c>
      <c r="S321" t="str">
        <f t="shared" si="43"/>
        <v>Match</v>
      </c>
    </row>
    <row r="322" spans="1:19" x14ac:dyDescent="0.25">
      <c r="A322" t="s">
        <v>136</v>
      </c>
      <c r="B322">
        <v>19500</v>
      </c>
      <c r="C322">
        <f t="shared" si="44"/>
        <v>195</v>
      </c>
      <c r="D322">
        <v>12</v>
      </c>
      <c r="E322">
        <v>2</v>
      </c>
      <c r="F322">
        <v>17100</v>
      </c>
      <c r="G322">
        <f t="shared" ref="G322:G385" si="45">F322/100</f>
        <v>171</v>
      </c>
      <c r="H322">
        <v>500</v>
      </c>
      <c r="I322" s="4">
        <f>Full_Data[[#This Row],[Selling Price]]/Full_Data[[#This Row],[Weight (g)]]</f>
        <v>0.34200000000000003</v>
      </c>
      <c r="J322" t="b">
        <v>0</v>
      </c>
      <c r="K322">
        <v>500</v>
      </c>
      <c r="L322">
        <f t="shared" ref="L322:L385" si="46">C322-G322</f>
        <v>24</v>
      </c>
      <c r="M322" t="str">
        <f t="shared" ref="M322:M385" si="47">IF(G322&lt;50,"Low",IF(G322&lt;200,"Medium","High"))</f>
        <v>Medium</v>
      </c>
      <c r="N322" t="str">
        <f t="shared" ref="N322:N385" si="48">IF(D322&lt;=5,"0-5%",
IF(D322&lt;=10,"6-10%",
IF(D322&lt;=15,"11-15%",
IF(D322&lt;=20,"16-20%","21%+"))))</f>
        <v>11-15%</v>
      </c>
      <c r="O322" t="str">
        <f t="shared" ref="O322:O385" si="49">IF(AND(C322=0,G322=0),"Review: Zero MRP and selling price",IF(C322&lt;=0,"Review: Invalid MRP",IF(G322&lt;0,"Review: Negative selling price",IF(G322=0,"Review: Zero selling price",IF(H322&lt;=0,"Review: Invalid weight","OK")))))</f>
        <v>OK</v>
      </c>
      <c r="P322">
        <f>IFERROR(Full_Data!G322/Full_Data!H322,"Check data")</f>
        <v>0.34200000000000003</v>
      </c>
      <c r="Q322" t="str">
        <f t="shared" ref="Q322:Q385" si="50">IF(OR(H322="",H322&lt;=0),"Invalid weight",IF(G322="","Missing selling price",IF(ROUND(G322/H322,2)=ROUND(I322,2),"Match","Mismatch")))</f>
        <v>Match</v>
      </c>
      <c r="R322" t="str">
        <f t="shared" ref="R322:R385" si="51">IF(OR(C322&lt;=0,G322=""),"Check data",IF(ROUND((C322-G322)/C322*100,2)=ROUND(D322,2),"Match","Mismatch"))</f>
        <v>Mismatch</v>
      </c>
      <c r="S322" t="str">
        <f t="shared" ref="S322:S385" si="52">IF(OR(C322&lt;=0,G322=""),"Check data",IF(ROUND((C322-G322)/C322*100,0)=D322,"Match","Mismatch"))</f>
        <v>Match</v>
      </c>
    </row>
    <row r="323" spans="1:19" x14ac:dyDescent="0.25">
      <c r="A323" t="s">
        <v>311</v>
      </c>
      <c r="B323">
        <v>8500</v>
      </c>
      <c r="C323">
        <f t="shared" ref="C323:C386" si="53">B323/100</f>
        <v>85</v>
      </c>
      <c r="D323">
        <v>9</v>
      </c>
      <c r="E323">
        <v>5</v>
      </c>
      <c r="F323">
        <v>7700</v>
      </c>
      <c r="G323">
        <f t="shared" si="45"/>
        <v>77</v>
      </c>
      <c r="H323">
        <v>500</v>
      </c>
      <c r="I323" s="4">
        <f>Full_Data[[#This Row],[Selling Price]]/Full_Data[[#This Row],[Weight (g)]]</f>
        <v>0.154</v>
      </c>
      <c r="J323" t="b">
        <v>0</v>
      </c>
      <c r="K323">
        <v>500</v>
      </c>
      <c r="L323">
        <f t="shared" si="46"/>
        <v>8</v>
      </c>
      <c r="M323" t="str">
        <f t="shared" si="47"/>
        <v>Medium</v>
      </c>
      <c r="N323" t="str">
        <f t="shared" si="48"/>
        <v>6-10%</v>
      </c>
      <c r="O323" t="str">
        <f t="shared" si="49"/>
        <v>OK</v>
      </c>
      <c r="P323">
        <f>IFERROR(Full_Data!G323/Full_Data!H323,"Check data")</f>
        <v>0.154</v>
      </c>
      <c r="Q323" t="str">
        <f t="shared" si="50"/>
        <v>Match</v>
      </c>
      <c r="R323" t="str">
        <f t="shared" si="51"/>
        <v>Mismatch</v>
      </c>
      <c r="S323" t="str">
        <f t="shared" si="52"/>
        <v>Match</v>
      </c>
    </row>
    <row r="324" spans="1:19" x14ac:dyDescent="0.25">
      <c r="A324" t="s">
        <v>211</v>
      </c>
      <c r="B324">
        <v>2200</v>
      </c>
      <c r="C324">
        <f t="shared" si="53"/>
        <v>22</v>
      </c>
      <c r="D324">
        <v>0</v>
      </c>
      <c r="E324">
        <v>6</v>
      </c>
      <c r="F324">
        <v>2200</v>
      </c>
      <c r="G324">
        <f t="shared" si="45"/>
        <v>22</v>
      </c>
      <c r="H324">
        <v>50</v>
      </c>
      <c r="I324" s="4">
        <f>Full_Data[[#This Row],[Selling Price]]/Full_Data[[#This Row],[Weight (g)]]</f>
        <v>0.44</v>
      </c>
      <c r="J324" t="b">
        <v>0</v>
      </c>
      <c r="K324">
        <v>50</v>
      </c>
      <c r="L324">
        <f t="shared" si="46"/>
        <v>0</v>
      </c>
      <c r="M324" t="str">
        <f t="shared" si="47"/>
        <v>Low</v>
      </c>
      <c r="N324" t="str">
        <f t="shared" si="48"/>
        <v>0-5%</v>
      </c>
      <c r="O324" t="str">
        <f t="shared" si="49"/>
        <v>OK</v>
      </c>
      <c r="P324">
        <f>IFERROR(Full_Data!G324/Full_Data!H324,"Check data")</f>
        <v>0.44</v>
      </c>
      <c r="Q324" t="str">
        <f t="shared" si="50"/>
        <v>Match</v>
      </c>
      <c r="R324" t="str">
        <f t="shared" si="51"/>
        <v>Match</v>
      </c>
      <c r="S324" t="str">
        <f t="shared" si="52"/>
        <v>Match</v>
      </c>
    </row>
    <row r="325" spans="1:19" x14ac:dyDescent="0.25">
      <c r="A325" t="s">
        <v>312</v>
      </c>
      <c r="B325">
        <v>6500</v>
      </c>
      <c r="C325">
        <f t="shared" si="53"/>
        <v>65</v>
      </c>
      <c r="D325">
        <v>13</v>
      </c>
      <c r="E325">
        <v>6</v>
      </c>
      <c r="F325">
        <v>5600</v>
      </c>
      <c r="G325">
        <f t="shared" si="45"/>
        <v>56</v>
      </c>
      <c r="H325">
        <v>1000</v>
      </c>
      <c r="I325" s="4">
        <f>Full_Data[[#This Row],[Selling Price]]/Full_Data[[#This Row],[Weight (g)]]</f>
        <v>5.6000000000000001E-2</v>
      </c>
      <c r="J325" t="b">
        <v>0</v>
      </c>
      <c r="K325">
        <v>1</v>
      </c>
      <c r="L325">
        <f t="shared" si="46"/>
        <v>9</v>
      </c>
      <c r="M325" t="str">
        <f t="shared" si="47"/>
        <v>Medium</v>
      </c>
      <c r="N325" t="str">
        <f t="shared" si="48"/>
        <v>11-15%</v>
      </c>
      <c r="O325" t="str">
        <f t="shared" si="49"/>
        <v>OK</v>
      </c>
      <c r="P325">
        <f>IFERROR(Full_Data!G325/Full_Data!H325,"Check data")</f>
        <v>5.6000000000000001E-2</v>
      </c>
      <c r="Q325" t="str">
        <f t="shared" si="50"/>
        <v>Match</v>
      </c>
      <c r="R325" t="str">
        <f t="shared" si="51"/>
        <v>Mismatch</v>
      </c>
      <c r="S325" t="str">
        <f t="shared" si="52"/>
        <v>Mismatch</v>
      </c>
    </row>
    <row r="326" spans="1:19" x14ac:dyDescent="0.25">
      <c r="A326" t="s">
        <v>313</v>
      </c>
      <c r="B326">
        <v>4500</v>
      </c>
      <c r="C326">
        <f t="shared" si="53"/>
        <v>45</v>
      </c>
      <c r="D326">
        <v>2</v>
      </c>
      <c r="E326">
        <v>6</v>
      </c>
      <c r="F326">
        <v>4400</v>
      </c>
      <c r="G326">
        <f t="shared" si="45"/>
        <v>44</v>
      </c>
      <c r="H326">
        <v>90</v>
      </c>
      <c r="I326" s="4">
        <f>Full_Data[[#This Row],[Selling Price]]/Full_Data[[#This Row],[Weight (g)]]</f>
        <v>0.48888888888888887</v>
      </c>
      <c r="J326" t="b">
        <v>0</v>
      </c>
      <c r="K326">
        <v>90</v>
      </c>
      <c r="L326">
        <f t="shared" si="46"/>
        <v>1</v>
      </c>
      <c r="M326" t="str">
        <f t="shared" si="47"/>
        <v>Low</v>
      </c>
      <c r="N326" t="str">
        <f t="shared" si="48"/>
        <v>0-5%</v>
      </c>
      <c r="O326" t="str">
        <f t="shared" si="49"/>
        <v>OK</v>
      </c>
      <c r="P326">
        <f>IFERROR(Full_Data!G326/Full_Data!H326,"Check data")</f>
        <v>0.48888888888888887</v>
      </c>
      <c r="Q326" t="str">
        <f t="shared" si="50"/>
        <v>Match</v>
      </c>
      <c r="R326" t="str">
        <f t="shared" si="51"/>
        <v>Mismatch</v>
      </c>
      <c r="S326" t="str">
        <f t="shared" si="52"/>
        <v>Match</v>
      </c>
    </row>
    <row r="327" spans="1:19" x14ac:dyDescent="0.25">
      <c r="A327" t="s">
        <v>314</v>
      </c>
      <c r="B327">
        <v>4500</v>
      </c>
      <c r="C327">
        <f t="shared" si="53"/>
        <v>45</v>
      </c>
      <c r="D327">
        <v>2</v>
      </c>
      <c r="E327">
        <v>6</v>
      </c>
      <c r="F327">
        <v>4400</v>
      </c>
      <c r="G327">
        <f t="shared" si="45"/>
        <v>44</v>
      </c>
      <c r="H327">
        <v>90</v>
      </c>
      <c r="I327" s="4">
        <f>Full_Data[[#This Row],[Selling Price]]/Full_Data[[#This Row],[Weight (g)]]</f>
        <v>0.48888888888888887</v>
      </c>
      <c r="J327" t="b">
        <v>0</v>
      </c>
      <c r="K327">
        <v>90</v>
      </c>
      <c r="L327">
        <f t="shared" si="46"/>
        <v>1</v>
      </c>
      <c r="M327" t="str">
        <f t="shared" si="47"/>
        <v>Low</v>
      </c>
      <c r="N327" t="str">
        <f t="shared" si="48"/>
        <v>0-5%</v>
      </c>
      <c r="O327" t="str">
        <f t="shared" si="49"/>
        <v>OK</v>
      </c>
      <c r="P327">
        <f>IFERROR(Full_Data!G327/Full_Data!H327,"Check data")</f>
        <v>0.48888888888888887</v>
      </c>
      <c r="Q327" t="str">
        <f t="shared" si="50"/>
        <v>Match</v>
      </c>
      <c r="R327" t="str">
        <f t="shared" si="51"/>
        <v>Mismatch</v>
      </c>
      <c r="S327" t="str">
        <f t="shared" si="52"/>
        <v>Match</v>
      </c>
    </row>
    <row r="328" spans="1:19" x14ac:dyDescent="0.25">
      <c r="A328" t="s">
        <v>315</v>
      </c>
      <c r="B328">
        <v>7000</v>
      </c>
      <c r="C328">
        <f t="shared" si="53"/>
        <v>70</v>
      </c>
      <c r="D328">
        <v>10</v>
      </c>
      <c r="E328">
        <v>4</v>
      </c>
      <c r="F328">
        <v>6300</v>
      </c>
      <c r="G328">
        <f t="shared" si="45"/>
        <v>63</v>
      </c>
      <c r="H328">
        <v>500</v>
      </c>
      <c r="I328" s="4">
        <f>Full_Data[[#This Row],[Selling Price]]/Full_Data[[#This Row],[Weight (g)]]</f>
        <v>0.126</v>
      </c>
      <c r="J328" t="b">
        <v>0</v>
      </c>
      <c r="K328">
        <v>500</v>
      </c>
      <c r="L328">
        <f t="shared" si="46"/>
        <v>7</v>
      </c>
      <c r="M328" t="str">
        <f t="shared" si="47"/>
        <v>Medium</v>
      </c>
      <c r="N328" t="str">
        <f t="shared" si="48"/>
        <v>6-10%</v>
      </c>
      <c r="O328" t="str">
        <f t="shared" si="49"/>
        <v>OK</v>
      </c>
      <c r="P328">
        <f>IFERROR(Full_Data!G328/Full_Data!H328,"Check data")</f>
        <v>0.126</v>
      </c>
      <c r="Q328" t="str">
        <f t="shared" si="50"/>
        <v>Match</v>
      </c>
      <c r="R328" t="str">
        <f t="shared" si="51"/>
        <v>Match</v>
      </c>
      <c r="S328" t="str">
        <f t="shared" si="52"/>
        <v>Match</v>
      </c>
    </row>
    <row r="329" spans="1:19" x14ac:dyDescent="0.25">
      <c r="A329" t="s">
        <v>166</v>
      </c>
      <c r="B329">
        <v>5000</v>
      </c>
      <c r="C329">
        <f t="shared" si="53"/>
        <v>50</v>
      </c>
      <c r="D329">
        <v>12</v>
      </c>
      <c r="E329">
        <v>2</v>
      </c>
      <c r="F329">
        <v>4400</v>
      </c>
      <c r="G329">
        <f t="shared" si="45"/>
        <v>44</v>
      </c>
      <c r="H329">
        <v>100</v>
      </c>
      <c r="I329" s="4">
        <f>Full_Data[[#This Row],[Selling Price]]/Full_Data[[#This Row],[Weight (g)]]</f>
        <v>0.44</v>
      </c>
      <c r="J329" t="b">
        <v>0</v>
      </c>
      <c r="K329">
        <v>100</v>
      </c>
      <c r="L329">
        <f t="shared" si="46"/>
        <v>6</v>
      </c>
      <c r="M329" t="str">
        <f t="shared" si="47"/>
        <v>Low</v>
      </c>
      <c r="N329" t="str">
        <f t="shared" si="48"/>
        <v>11-15%</v>
      </c>
      <c r="O329" t="str">
        <f t="shared" si="49"/>
        <v>OK</v>
      </c>
      <c r="P329">
        <f>IFERROR(Full_Data!G329/Full_Data!H329,"Check data")</f>
        <v>0.44</v>
      </c>
      <c r="Q329" t="str">
        <f t="shared" si="50"/>
        <v>Match</v>
      </c>
      <c r="R329" t="str">
        <f t="shared" si="51"/>
        <v>Match</v>
      </c>
      <c r="S329" t="str">
        <f t="shared" si="52"/>
        <v>Match</v>
      </c>
    </row>
    <row r="330" spans="1:19" x14ac:dyDescent="0.25">
      <c r="A330" t="s">
        <v>316</v>
      </c>
      <c r="B330">
        <v>47000</v>
      </c>
      <c r="C330">
        <f t="shared" si="53"/>
        <v>470</v>
      </c>
      <c r="D330">
        <v>21</v>
      </c>
      <c r="E330">
        <v>5</v>
      </c>
      <c r="F330">
        <v>37100</v>
      </c>
      <c r="G330">
        <f t="shared" si="45"/>
        <v>371</v>
      </c>
      <c r="H330">
        <v>250</v>
      </c>
      <c r="I330" s="4">
        <f>Full_Data[[#This Row],[Selling Price]]/Full_Data[[#This Row],[Weight (g)]]</f>
        <v>1.484</v>
      </c>
      <c r="J330" t="b">
        <v>0</v>
      </c>
      <c r="K330">
        <v>250</v>
      </c>
      <c r="L330">
        <f t="shared" si="46"/>
        <v>99</v>
      </c>
      <c r="M330" t="str">
        <f t="shared" si="47"/>
        <v>High</v>
      </c>
      <c r="N330" t="str">
        <f t="shared" si="48"/>
        <v>21%+</v>
      </c>
      <c r="O330" t="str">
        <f t="shared" si="49"/>
        <v>OK</v>
      </c>
      <c r="P330">
        <f>IFERROR(Full_Data!G330/Full_Data!H330,"Check data")</f>
        <v>1.484</v>
      </c>
      <c r="Q330" t="str">
        <f t="shared" si="50"/>
        <v>Match</v>
      </c>
      <c r="R330" t="str">
        <f t="shared" si="51"/>
        <v>Mismatch</v>
      </c>
      <c r="S330" t="str">
        <f t="shared" si="52"/>
        <v>Match</v>
      </c>
    </row>
    <row r="331" spans="1:19" x14ac:dyDescent="0.25">
      <c r="A331" t="s">
        <v>317</v>
      </c>
      <c r="B331">
        <v>5000</v>
      </c>
      <c r="C331">
        <f t="shared" si="53"/>
        <v>50</v>
      </c>
      <c r="D331">
        <v>6</v>
      </c>
      <c r="E331">
        <v>3</v>
      </c>
      <c r="F331">
        <v>4700</v>
      </c>
      <c r="G331">
        <f t="shared" si="45"/>
        <v>47</v>
      </c>
      <c r="H331">
        <v>400</v>
      </c>
      <c r="I331" s="4">
        <f>Full_Data[[#This Row],[Selling Price]]/Full_Data[[#This Row],[Weight (g)]]</f>
        <v>0.11749999999999999</v>
      </c>
      <c r="J331" t="b">
        <v>0</v>
      </c>
      <c r="K331">
        <v>400</v>
      </c>
      <c r="L331">
        <f t="shared" si="46"/>
        <v>3</v>
      </c>
      <c r="M331" t="str">
        <f t="shared" si="47"/>
        <v>Low</v>
      </c>
      <c r="N331" t="str">
        <f t="shared" si="48"/>
        <v>6-10%</v>
      </c>
      <c r="O331" t="str">
        <f t="shared" si="49"/>
        <v>OK</v>
      </c>
      <c r="P331">
        <f>IFERROR(Full_Data!G331/Full_Data!H331,"Check data")</f>
        <v>0.11749999999999999</v>
      </c>
      <c r="Q331" t="str">
        <f t="shared" si="50"/>
        <v>Match</v>
      </c>
      <c r="R331" t="str">
        <f t="shared" si="51"/>
        <v>Match</v>
      </c>
      <c r="S331" t="str">
        <f t="shared" si="52"/>
        <v>Match</v>
      </c>
    </row>
    <row r="332" spans="1:19" x14ac:dyDescent="0.25">
      <c r="A332" t="s">
        <v>318</v>
      </c>
      <c r="B332">
        <v>4000</v>
      </c>
      <c r="C332">
        <f t="shared" si="53"/>
        <v>40</v>
      </c>
      <c r="D332">
        <v>10</v>
      </c>
      <c r="E332">
        <v>4</v>
      </c>
      <c r="F332">
        <v>3600</v>
      </c>
      <c r="G332">
        <f t="shared" si="45"/>
        <v>36</v>
      </c>
      <c r="H332">
        <v>500</v>
      </c>
      <c r="I332" s="4">
        <f>Full_Data[[#This Row],[Selling Price]]/Full_Data[[#This Row],[Weight (g)]]</f>
        <v>7.1999999999999995E-2</v>
      </c>
      <c r="J332" t="b">
        <v>0</v>
      </c>
      <c r="K332">
        <v>500</v>
      </c>
      <c r="L332">
        <f t="shared" si="46"/>
        <v>4</v>
      </c>
      <c r="M332" t="str">
        <f t="shared" si="47"/>
        <v>Low</v>
      </c>
      <c r="N332" t="str">
        <f t="shared" si="48"/>
        <v>6-10%</v>
      </c>
      <c r="O332" t="str">
        <f t="shared" si="49"/>
        <v>OK</v>
      </c>
      <c r="P332">
        <f>IFERROR(Full_Data!G332/Full_Data!H332,"Check data")</f>
        <v>7.1999999999999995E-2</v>
      </c>
      <c r="Q332" t="str">
        <f t="shared" si="50"/>
        <v>Match</v>
      </c>
      <c r="R332" t="str">
        <f t="shared" si="51"/>
        <v>Match</v>
      </c>
      <c r="S332" t="str">
        <f t="shared" si="52"/>
        <v>Match</v>
      </c>
    </row>
    <row r="333" spans="1:19" x14ac:dyDescent="0.25">
      <c r="A333" t="s">
        <v>319</v>
      </c>
      <c r="B333">
        <v>9500</v>
      </c>
      <c r="C333">
        <f t="shared" si="53"/>
        <v>95</v>
      </c>
      <c r="D333">
        <v>0</v>
      </c>
      <c r="E333">
        <v>4</v>
      </c>
      <c r="F333">
        <v>9500</v>
      </c>
      <c r="G333">
        <f t="shared" si="45"/>
        <v>95</v>
      </c>
      <c r="H333">
        <v>200</v>
      </c>
      <c r="I333" s="4">
        <f>Full_Data[[#This Row],[Selling Price]]/Full_Data[[#This Row],[Weight (g)]]</f>
        <v>0.47499999999999998</v>
      </c>
      <c r="J333" t="b">
        <v>0</v>
      </c>
      <c r="K333">
        <v>200</v>
      </c>
      <c r="L333">
        <f t="shared" si="46"/>
        <v>0</v>
      </c>
      <c r="M333" t="str">
        <f t="shared" si="47"/>
        <v>Medium</v>
      </c>
      <c r="N333" t="str">
        <f t="shared" si="48"/>
        <v>0-5%</v>
      </c>
      <c r="O333" t="str">
        <f t="shared" si="49"/>
        <v>OK</v>
      </c>
      <c r="P333">
        <f>IFERROR(Full_Data!G333/Full_Data!H333,"Check data")</f>
        <v>0.47499999999999998</v>
      </c>
      <c r="Q333" t="str">
        <f t="shared" si="50"/>
        <v>Match</v>
      </c>
      <c r="R333" t="str">
        <f t="shared" si="51"/>
        <v>Match</v>
      </c>
      <c r="S333" t="str">
        <f t="shared" si="52"/>
        <v>Match</v>
      </c>
    </row>
    <row r="334" spans="1:19" x14ac:dyDescent="0.25">
      <c r="A334" t="s">
        <v>320</v>
      </c>
      <c r="B334">
        <v>16000</v>
      </c>
      <c r="C334">
        <f t="shared" si="53"/>
        <v>160</v>
      </c>
      <c r="D334">
        <v>10</v>
      </c>
      <c r="E334">
        <v>3</v>
      </c>
      <c r="F334">
        <v>14400</v>
      </c>
      <c r="G334">
        <f t="shared" si="45"/>
        <v>144</v>
      </c>
      <c r="H334">
        <v>250</v>
      </c>
      <c r="I334" s="4">
        <f>Full_Data[[#This Row],[Selling Price]]/Full_Data[[#This Row],[Weight (g)]]</f>
        <v>0.57599999999999996</v>
      </c>
      <c r="J334" t="b">
        <v>0</v>
      </c>
      <c r="K334">
        <v>250</v>
      </c>
      <c r="L334">
        <f t="shared" si="46"/>
        <v>16</v>
      </c>
      <c r="M334" t="str">
        <f t="shared" si="47"/>
        <v>Medium</v>
      </c>
      <c r="N334" t="str">
        <f t="shared" si="48"/>
        <v>6-10%</v>
      </c>
      <c r="O334" t="str">
        <f t="shared" si="49"/>
        <v>OK</v>
      </c>
      <c r="P334">
        <f>IFERROR(Full_Data!G334/Full_Data!H334,"Check data")</f>
        <v>0.57599999999999996</v>
      </c>
      <c r="Q334" t="str">
        <f t="shared" si="50"/>
        <v>Match</v>
      </c>
      <c r="R334" t="str">
        <f t="shared" si="51"/>
        <v>Match</v>
      </c>
      <c r="S334" t="str">
        <f t="shared" si="52"/>
        <v>Match</v>
      </c>
    </row>
    <row r="335" spans="1:19" x14ac:dyDescent="0.25">
      <c r="A335" t="s">
        <v>321</v>
      </c>
      <c r="B335">
        <v>2500</v>
      </c>
      <c r="C335">
        <f t="shared" si="53"/>
        <v>25</v>
      </c>
      <c r="D335">
        <v>0</v>
      </c>
      <c r="E335">
        <v>6</v>
      </c>
      <c r="F335">
        <v>2500</v>
      </c>
      <c r="G335">
        <f t="shared" si="45"/>
        <v>25</v>
      </c>
      <c r="H335">
        <v>25</v>
      </c>
      <c r="I335" s="4">
        <f>Full_Data[[#This Row],[Selling Price]]/Full_Data[[#This Row],[Weight (g)]]</f>
        <v>1</v>
      </c>
      <c r="J335" t="b">
        <v>0</v>
      </c>
      <c r="K335">
        <v>25</v>
      </c>
      <c r="L335">
        <f t="shared" si="46"/>
        <v>0</v>
      </c>
      <c r="M335" t="str">
        <f t="shared" si="47"/>
        <v>Low</v>
      </c>
      <c r="N335" t="str">
        <f t="shared" si="48"/>
        <v>0-5%</v>
      </c>
      <c r="O335" t="str">
        <f t="shared" si="49"/>
        <v>OK</v>
      </c>
      <c r="P335">
        <f>IFERROR(Full_Data!G335/Full_Data!H335,"Check data")</f>
        <v>1</v>
      </c>
      <c r="Q335" t="str">
        <f t="shared" si="50"/>
        <v>Match</v>
      </c>
      <c r="R335" t="str">
        <f t="shared" si="51"/>
        <v>Match</v>
      </c>
      <c r="S335" t="str">
        <f t="shared" si="52"/>
        <v>Match</v>
      </c>
    </row>
    <row r="336" spans="1:19" x14ac:dyDescent="0.25">
      <c r="A336" t="s">
        <v>322</v>
      </c>
      <c r="B336">
        <v>20800</v>
      </c>
      <c r="C336">
        <f t="shared" si="53"/>
        <v>208</v>
      </c>
      <c r="D336">
        <v>0</v>
      </c>
      <c r="E336">
        <v>6</v>
      </c>
      <c r="F336">
        <v>20800</v>
      </c>
      <c r="G336">
        <f t="shared" si="45"/>
        <v>208</v>
      </c>
      <c r="H336">
        <v>100</v>
      </c>
      <c r="I336" s="4">
        <f>Full_Data[[#This Row],[Selling Price]]/Full_Data[[#This Row],[Weight (g)]]</f>
        <v>2.08</v>
      </c>
      <c r="J336" t="b">
        <v>0</v>
      </c>
      <c r="K336">
        <v>100</v>
      </c>
      <c r="L336">
        <f t="shared" si="46"/>
        <v>0</v>
      </c>
      <c r="M336" t="str">
        <f t="shared" si="47"/>
        <v>High</v>
      </c>
      <c r="N336" t="str">
        <f t="shared" si="48"/>
        <v>0-5%</v>
      </c>
      <c r="O336" t="str">
        <f t="shared" si="49"/>
        <v>OK</v>
      </c>
      <c r="P336">
        <f>IFERROR(Full_Data!G336/Full_Data!H336,"Check data")</f>
        <v>2.08</v>
      </c>
      <c r="Q336" t="str">
        <f t="shared" si="50"/>
        <v>Match</v>
      </c>
      <c r="R336" t="str">
        <f t="shared" si="51"/>
        <v>Match</v>
      </c>
      <c r="S336" t="str">
        <f t="shared" si="52"/>
        <v>Match</v>
      </c>
    </row>
    <row r="337" spans="1:19" x14ac:dyDescent="0.25">
      <c r="A337" t="s">
        <v>323</v>
      </c>
      <c r="B337">
        <v>3900</v>
      </c>
      <c r="C337">
        <f t="shared" si="53"/>
        <v>39</v>
      </c>
      <c r="D337">
        <v>2</v>
      </c>
      <c r="E337">
        <v>5</v>
      </c>
      <c r="F337">
        <v>3800</v>
      </c>
      <c r="G337">
        <f t="shared" si="45"/>
        <v>38</v>
      </c>
      <c r="H337">
        <v>50</v>
      </c>
      <c r="I337" s="4">
        <f>Full_Data[[#This Row],[Selling Price]]/Full_Data[[#This Row],[Weight (g)]]</f>
        <v>0.76</v>
      </c>
      <c r="J337" t="b">
        <v>0</v>
      </c>
      <c r="K337">
        <v>50</v>
      </c>
      <c r="L337">
        <f t="shared" si="46"/>
        <v>1</v>
      </c>
      <c r="M337" t="str">
        <f t="shared" si="47"/>
        <v>Low</v>
      </c>
      <c r="N337" t="str">
        <f t="shared" si="48"/>
        <v>0-5%</v>
      </c>
      <c r="O337" t="str">
        <f t="shared" si="49"/>
        <v>OK</v>
      </c>
      <c r="P337">
        <f>IFERROR(Full_Data!G337/Full_Data!H337,"Check data")</f>
        <v>0.76</v>
      </c>
      <c r="Q337" t="str">
        <f t="shared" si="50"/>
        <v>Match</v>
      </c>
      <c r="R337" t="str">
        <f t="shared" si="51"/>
        <v>Mismatch</v>
      </c>
      <c r="S337" t="str">
        <f t="shared" si="52"/>
        <v>Mismatch</v>
      </c>
    </row>
    <row r="338" spans="1:19" x14ac:dyDescent="0.25">
      <c r="A338" t="s">
        <v>324</v>
      </c>
      <c r="B338">
        <v>4900</v>
      </c>
      <c r="C338">
        <f t="shared" si="53"/>
        <v>49</v>
      </c>
      <c r="D338">
        <v>2</v>
      </c>
      <c r="E338">
        <v>3</v>
      </c>
      <c r="F338">
        <v>4800</v>
      </c>
      <c r="G338">
        <f t="shared" si="45"/>
        <v>48</v>
      </c>
      <c r="H338">
        <v>200</v>
      </c>
      <c r="I338" s="4">
        <f>Full_Data[[#This Row],[Selling Price]]/Full_Data[[#This Row],[Weight (g)]]</f>
        <v>0.24</v>
      </c>
      <c r="J338" t="b">
        <v>0</v>
      </c>
      <c r="K338">
        <v>200</v>
      </c>
      <c r="L338">
        <f t="shared" si="46"/>
        <v>1</v>
      </c>
      <c r="M338" t="str">
        <f t="shared" si="47"/>
        <v>Low</v>
      </c>
      <c r="N338" t="str">
        <f t="shared" si="48"/>
        <v>0-5%</v>
      </c>
      <c r="O338" t="str">
        <f t="shared" si="49"/>
        <v>OK</v>
      </c>
      <c r="P338">
        <f>IFERROR(Full_Data!G338/Full_Data!H338,"Check data")</f>
        <v>0.24</v>
      </c>
      <c r="Q338" t="str">
        <f t="shared" si="50"/>
        <v>Match</v>
      </c>
      <c r="R338" t="str">
        <f t="shared" si="51"/>
        <v>Mismatch</v>
      </c>
      <c r="S338" t="str">
        <f t="shared" si="52"/>
        <v>Match</v>
      </c>
    </row>
    <row r="339" spans="1:19" x14ac:dyDescent="0.25">
      <c r="A339" t="s">
        <v>325</v>
      </c>
      <c r="B339">
        <v>7000</v>
      </c>
      <c r="C339">
        <f t="shared" si="53"/>
        <v>70</v>
      </c>
      <c r="D339">
        <v>7</v>
      </c>
      <c r="E339">
        <v>6</v>
      </c>
      <c r="F339">
        <v>6500</v>
      </c>
      <c r="G339">
        <f t="shared" si="45"/>
        <v>65</v>
      </c>
      <c r="H339">
        <v>50</v>
      </c>
      <c r="I339" s="4">
        <f>Full_Data[[#This Row],[Selling Price]]/Full_Data[[#This Row],[Weight (g)]]</f>
        <v>1.3</v>
      </c>
      <c r="J339" t="b">
        <v>0</v>
      </c>
      <c r="K339">
        <v>50</v>
      </c>
      <c r="L339">
        <f t="shared" si="46"/>
        <v>5</v>
      </c>
      <c r="M339" t="str">
        <f t="shared" si="47"/>
        <v>Medium</v>
      </c>
      <c r="N339" t="str">
        <f t="shared" si="48"/>
        <v>6-10%</v>
      </c>
      <c r="O339" t="str">
        <f t="shared" si="49"/>
        <v>OK</v>
      </c>
      <c r="P339">
        <f>IFERROR(Full_Data!G339/Full_Data!H339,"Check data")</f>
        <v>1.3</v>
      </c>
      <c r="Q339" t="str">
        <f t="shared" si="50"/>
        <v>Match</v>
      </c>
      <c r="R339" t="str">
        <f t="shared" si="51"/>
        <v>Mismatch</v>
      </c>
      <c r="S339" t="str">
        <f t="shared" si="52"/>
        <v>Match</v>
      </c>
    </row>
    <row r="340" spans="1:19" x14ac:dyDescent="0.25">
      <c r="A340" t="s">
        <v>326</v>
      </c>
      <c r="B340">
        <v>15000</v>
      </c>
      <c r="C340">
        <f t="shared" si="53"/>
        <v>150</v>
      </c>
      <c r="D340">
        <v>4</v>
      </c>
      <c r="E340">
        <v>4</v>
      </c>
      <c r="F340">
        <v>14300</v>
      </c>
      <c r="G340">
        <f t="shared" si="45"/>
        <v>143</v>
      </c>
      <c r="H340">
        <v>400</v>
      </c>
      <c r="I340" s="4">
        <f>Full_Data[[#This Row],[Selling Price]]/Full_Data[[#This Row],[Weight (g)]]</f>
        <v>0.35749999999999998</v>
      </c>
      <c r="J340" t="b">
        <v>0</v>
      </c>
      <c r="K340">
        <v>400</v>
      </c>
      <c r="L340">
        <f t="shared" si="46"/>
        <v>7</v>
      </c>
      <c r="M340" t="str">
        <f t="shared" si="47"/>
        <v>Medium</v>
      </c>
      <c r="N340" t="str">
        <f t="shared" si="48"/>
        <v>0-5%</v>
      </c>
      <c r="O340" t="str">
        <f t="shared" si="49"/>
        <v>OK</v>
      </c>
      <c r="P340">
        <f>IFERROR(Full_Data!G340/Full_Data!H340,"Check data")</f>
        <v>0.35749999999999998</v>
      </c>
      <c r="Q340" t="str">
        <f t="shared" si="50"/>
        <v>Match</v>
      </c>
      <c r="R340" t="str">
        <f t="shared" si="51"/>
        <v>Mismatch</v>
      </c>
      <c r="S340" t="str">
        <f t="shared" si="52"/>
        <v>Mismatch</v>
      </c>
    </row>
    <row r="341" spans="1:19" x14ac:dyDescent="0.25">
      <c r="A341" t="s">
        <v>327</v>
      </c>
      <c r="B341">
        <v>1500</v>
      </c>
      <c r="C341">
        <f t="shared" si="53"/>
        <v>15</v>
      </c>
      <c r="D341">
        <v>0</v>
      </c>
      <c r="E341">
        <v>5</v>
      </c>
      <c r="F341">
        <v>1500</v>
      </c>
      <c r="G341">
        <f t="shared" si="45"/>
        <v>15</v>
      </c>
      <c r="H341">
        <v>50</v>
      </c>
      <c r="I341" s="4">
        <f>Full_Data[[#This Row],[Selling Price]]/Full_Data[[#This Row],[Weight (g)]]</f>
        <v>0.3</v>
      </c>
      <c r="J341" t="b">
        <v>0</v>
      </c>
      <c r="K341">
        <v>50</v>
      </c>
      <c r="L341">
        <f t="shared" si="46"/>
        <v>0</v>
      </c>
      <c r="M341" t="str">
        <f t="shared" si="47"/>
        <v>Low</v>
      </c>
      <c r="N341" t="str">
        <f t="shared" si="48"/>
        <v>0-5%</v>
      </c>
      <c r="O341" t="str">
        <f t="shared" si="49"/>
        <v>OK</v>
      </c>
      <c r="P341">
        <f>IFERROR(Full_Data!G341/Full_Data!H341,"Check data")</f>
        <v>0.3</v>
      </c>
      <c r="Q341" t="str">
        <f t="shared" si="50"/>
        <v>Match</v>
      </c>
      <c r="R341" t="str">
        <f t="shared" si="51"/>
        <v>Match</v>
      </c>
      <c r="S341" t="str">
        <f t="shared" si="52"/>
        <v>Match</v>
      </c>
    </row>
    <row r="342" spans="1:19" x14ac:dyDescent="0.25">
      <c r="A342" t="s">
        <v>328</v>
      </c>
      <c r="B342">
        <v>6000</v>
      </c>
      <c r="C342">
        <f t="shared" si="53"/>
        <v>60</v>
      </c>
      <c r="D342">
        <v>0</v>
      </c>
      <c r="E342">
        <v>4</v>
      </c>
      <c r="F342">
        <v>6000</v>
      </c>
      <c r="G342">
        <f t="shared" si="45"/>
        <v>60</v>
      </c>
      <c r="H342">
        <v>240</v>
      </c>
      <c r="I342" s="4">
        <f>Full_Data[[#This Row],[Selling Price]]/Full_Data[[#This Row],[Weight (g)]]</f>
        <v>0.25</v>
      </c>
      <c r="J342" t="b">
        <v>0</v>
      </c>
      <c r="K342">
        <v>240</v>
      </c>
      <c r="L342">
        <f t="shared" si="46"/>
        <v>0</v>
      </c>
      <c r="M342" t="str">
        <f t="shared" si="47"/>
        <v>Medium</v>
      </c>
      <c r="N342" t="str">
        <f t="shared" si="48"/>
        <v>0-5%</v>
      </c>
      <c r="O342" t="str">
        <f t="shared" si="49"/>
        <v>OK</v>
      </c>
      <c r="P342">
        <f>IFERROR(Full_Data!G342/Full_Data!H342,"Check data")</f>
        <v>0.25</v>
      </c>
      <c r="Q342" t="str">
        <f t="shared" si="50"/>
        <v>Match</v>
      </c>
      <c r="R342" t="str">
        <f t="shared" si="51"/>
        <v>Match</v>
      </c>
      <c r="S342" t="str">
        <f t="shared" si="52"/>
        <v>Match</v>
      </c>
    </row>
    <row r="343" spans="1:19" x14ac:dyDescent="0.25">
      <c r="A343" t="s">
        <v>329</v>
      </c>
      <c r="B343">
        <v>4800</v>
      </c>
      <c r="C343">
        <f t="shared" si="53"/>
        <v>48</v>
      </c>
      <c r="D343">
        <v>2</v>
      </c>
      <c r="E343">
        <v>5</v>
      </c>
      <c r="F343">
        <v>4700</v>
      </c>
      <c r="G343">
        <f t="shared" si="45"/>
        <v>47</v>
      </c>
      <c r="H343">
        <v>100</v>
      </c>
      <c r="I343" s="4">
        <f>Full_Data[[#This Row],[Selling Price]]/Full_Data[[#This Row],[Weight (g)]]</f>
        <v>0.47</v>
      </c>
      <c r="J343" t="b">
        <v>0</v>
      </c>
      <c r="K343">
        <v>100</v>
      </c>
      <c r="L343">
        <f t="shared" si="46"/>
        <v>1</v>
      </c>
      <c r="M343" t="str">
        <f t="shared" si="47"/>
        <v>Low</v>
      </c>
      <c r="N343" t="str">
        <f t="shared" si="48"/>
        <v>0-5%</v>
      </c>
      <c r="O343" t="str">
        <f t="shared" si="49"/>
        <v>OK</v>
      </c>
      <c r="P343">
        <f>IFERROR(Full_Data!G343/Full_Data!H343,"Check data")</f>
        <v>0.47</v>
      </c>
      <c r="Q343" t="str">
        <f t="shared" si="50"/>
        <v>Match</v>
      </c>
      <c r="R343" t="str">
        <f t="shared" si="51"/>
        <v>Mismatch</v>
      </c>
      <c r="S343" t="str">
        <f t="shared" si="52"/>
        <v>Match</v>
      </c>
    </row>
    <row r="344" spans="1:19" x14ac:dyDescent="0.25">
      <c r="A344" t="s">
        <v>238</v>
      </c>
      <c r="B344">
        <v>27500</v>
      </c>
      <c r="C344">
        <f t="shared" si="53"/>
        <v>275</v>
      </c>
      <c r="D344">
        <v>0</v>
      </c>
      <c r="E344">
        <v>6</v>
      </c>
      <c r="F344">
        <v>27500</v>
      </c>
      <c r="G344">
        <f t="shared" si="45"/>
        <v>275</v>
      </c>
      <c r="H344">
        <v>5000</v>
      </c>
      <c r="I344" s="4">
        <f>Full_Data[[#This Row],[Selling Price]]/Full_Data[[#This Row],[Weight (g)]]</f>
        <v>5.5E-2</v>
      </c>
      <c r="J344" t="b">
        <v>0</v>
      </c>
      <c r="K344">
        <v>5</v>
      </c>
      <c r="L344">
        <f t="shared" si="46"/>
        <v>0</v>
      </c>
      <c r="M344" t="str">
        <f t="shared" si="47"/>
        <v>High</v>
      </c>
      <c r="N344" t="str">
        <f t="shared" si="48"/>
        <v>0-5%</v>
      </c>
      <c r="O344" t="str">
        <f t="shared" si="49"/>
        <v>OK</v>
      </c>
      <c r="P344">
        <f>IFERROR(Full_Data!G344/Full_Data!H344,"Check data")</f>
        <v>5.5E-2</v>
      </c>
      <c r="Q344" t="str">
        <f t="shared" si="50"/>
        <v>Match</v>
      </c>
      <c r="R344" t="str">
        <f t="shared" si="51"/>
        <v>Match</v>
      </c>
      <c r="S344" t="str">
        <f t="shared" si="52"/>
        <v>Match</v>
      </c>
    </row>
    <row r="345" spans="1:19" x14ac:dyDescent="0.25">
      <c r="A345" t="s">
        <v>330</v>
      </c>
      <c r="B345">
        <v>21500</v>
      </c>
      <c r="C345">
        <f t="shared" si="53"/>
        <v>215</v>
      </c>
      <c r="D345">
        <v>9</v>
      </c>
      <c r="E345">
        <v>4</v>
      </c>
      <c r="F345">
        <v>19400</v>
      </c>
      <c r="G345">
        <f t="shared" si="45"/>
        <v>194</v>
      </c>
      <c r="H345">
        <v>1000</v>
      </c>
      <c r="I345" s="4">
        <f>Full_Data[[#This Row],[Selling Price]]/Full_Data[[#This Row],[Weight (g)]]</f>
        <v>0.19400000000000001</v>
      </c>
      <c r="J345" t="b">
        <v>0</v>
      </c>
      <c r="K345">
        <v>1</v>
      </c>
      <c r="L345">
        <f t="shared" si="46"/>
        <v>21</v>
      </c>
      <c r="M345" t="str">
        <f t="shared" si="47"/>
        <v>Medium</v>
      </c>
      <c r="N345" t="str">
        <f t="shared" si="48"/>
        <v>6-10%</v>
      </c>
      <c r="O345" t="str">
        <f t="shared" si="49"/>
        <v>OK</v>
      </c>
      <c r="P345">
        <f>IFERROR(Full_Data!G345/Full_Data!H345,"Check data")</f>
        <v>0.19400000000000001</v>
      </c>
      <c r="Q345" t="str">
        <f t="shared" si="50"/>
        <v>Match</v>
      </c>
      <c r="R345" t="str">
        <f t="shared" si="51"/>
        <v>Mismatch</v>
      </c>
      <c r="S345" t="str">
        <f t="shared" si="52"/>
        <v>Mismatch</v>
      </c>
    </row>
    <row r="346" spans="1:19" x14ac:dyDescent="0.25">
      <c r="A346" t="s">
        <v>331</v>
      </c>
      <c r="B346">
        <v>7500</v>
      </c>
      <c r="C346">
        <f t="shared" si="53"/>
        <v>75</v>
      </c>
      <c r="D346">
        <v>9</v>
      </c>
      <c r="E346">
        <v>4</v>
      </c>
      <c r="F346">
        <v>6800</v>
      </c>
      <c r="G346">
        <f t="shared" si="45"/>
        <v>68</v>
      </c>
      <c r="H346">
        <v>100</v>
      </c>
      <c r="I346" s="4">
        <f>Full_Data[[#This Row],[Selling Price]]/Full_Data[[#This Row],[Weight (g)]]</f>
        <v>0.68</v>
      </c>
      <c r="J346" t="b">
        <v>0</v>
      </c>
      <c r="K346">
        <v>100</v>
      </c>
      <c r="L346">
        <f t="shared" si="46"/>
        <v>7</v>
      </c>
      <c r="M346" t="str">
        <f t="shared" si="47"/>
        <v>Medium</v>
      </c>
      <c r="N346" t="str">
        <f t="shared" si="48"/>
        <v>6-10%</v>
      </c>
      <c r="O346" t="str">
        <f t="shared" si="49"/>
        <v>OK</v>
      </c>
      <c r="P346">
        <f>IFERROR(Full_Data!G346/Full_Data!H346,"Check data")</f>
        <v>0.68</v>
      </c>
      <c r="Q346" t="str">
        <f t="shared" si="50"/>
        <v>Match</v>
      </c>
      <c r="R346" t="str">
        <f t="shared" si="51"/>
        <v>Mismatch</v>
      </c>
      <c r="S346" t="str">
        <f t="shared" si="52"/>
        <v>Match</v>
      </c>
    </row>
    <row r="347" spans="1:19" x14ac:dyDescent="0.25">
      <c r="A347" t="s">
        <v>332</v>
      </c>
      <c r="B347">
        <v>10000</v>
      </c>
      <c r="C347">
        <f t="shared" si="53"/>
        <v>100</v>
      </c>
      <c r="D347">
        <v>11</v>
      </c>
      <c r="E347">
        <v>6</v>
      </c>
      <c r="F347">
        <v>8900</v>
      </c>
      <c r="G347">
        <f t="shared" si="45"/>
        <v>89</v>
      </c>
      <c r="H347">
        <v>159</v>
      </c>
      <c r="I347" s="4">
        <f>Full_Data[[#This Row],[Selling Price]]/Full_Data[[#This Row],[Weight (g)]]</f>
        <v>0.55974842767295596</v>
      </c>
      <c r="J347" t="b">
        <v>0</v>
      </c>
      <c r="K347">
        <v>159</v>
      </c>
      <c r="L347">
        <f t="shared" si="46"/>
        <v>11</v>
      </c>
      <c r="M347" t="str">
        <f t="shared" si="47"/>
        <v>Medium</v>
      </c>
      <c r="N347" t="str">
        <f t="shared" si="48"/>
        <v>11-15%</v>
      </c>
      <c r="O347" t="str">
        <f t="shared" si="49"/>
        <v>OK</v>
      </c>
      <c r="P347">
        <f>IFERROR(Full_Data!G347/Full_Data!H347,"Check data")</f>
        <v>0.55974842767295596</v>
      </c>
      <c r="Q347" t="str">
        <f t="shared" si="50"/>
        <v>Match</v>
      </c>
      <c r="R347" t="str">
        <f t="shared" si="51"/>
        <v>Match</v>
      </c>
      <c r="S347" t="str">
        <f t="shared" si="52"/>
        <v>Match</v>
      </c>
    </row>
    <row r="348" spans="1:19" x14ac:dyDescent="0.25">
      <c r="A348" t="s">
        <v>333</v>
      </c>
      <c r="B348">
        <v>20000</v>
      </c>
      <c r="C348">
        <f t="shared" si="53"/>
        <v>200</v>
      </c>
      <c r="D348">
        <v>0</v>
      </c>
      <c r="E348">
        <v>2</v>
      </c>
      <c r="F348">
        <v>20000</v>
      </c>
      <c r="G348">
        <f t="shared" si="45"/>
        <v>200</v>
      </c>
      <c r="H348">
        <v>450</v>
      </c>
      <c r="I348" s="4">
        <f>Full_Data[[#This Row],[Selling Price]]/Full_Data[[#This Row],[Weight (g)]]</f>
        <v>0.44444444444444442</v>
      </c>
      <c r="J348" t="b">
        <v>0</v>
      </c>
      <c r="K348">
        <v>450</v>
      </c>
      <c r="L348">
        <f t="shared" si="46"/>
        <v>0</v>
      </c>
      <c r="M348" t="str">
        <f t="shared" si="47"/>
        <v>High</v>
      </c>
      <c r="N348" t="str">
        <f t="shared" si="48"/>
        <v>0-5%</v>
      </c>
      <c r="O348" t="str">
        <f t="shared" si="49"/>
        <v>OK</v>
      </c>
      <c r="P348">
        <f>IFERROR(Full_Data!G348/Full_Data!H348,"Check data")</f>
        <v>0.44444444444444442</v>
      </c>
      <c r="Q348" t="str">
        <f t="shared" si="50"/>
        <v>Match</v>
      </c>
      <c r="R348" t="str">
        <f t="shared" si="51"/>
        <v>Match</v>
      </c>
      <c r="S348" t="str">
        <f t="shared" si="52"/>
        <v>Match</v>
      </c>
    </row>
    <row r="349" spans="1:19" x14ac:dyDescent="0.25">
      <c r="A349" t="s">
        <v>334</v>
      </c>
      <c r="B349">
        <v>5600</v>
      </c>
      <c r="C349">
        <f t="shared" si="53"/>
        <v>56</v>
      </c>
      <c r="D349">
        <v>7</v>
      </c>
      <c r="E349">
        <v>5</v>
      </c>
      <c r="F349">
        <v>5200</v>
      </c>
      <c r="G349">
        <f t="shared" si="45"/>
        <v>52</v>
      </c>
      <c r="H349">
        <v>100</v>
      </c>
      <c r="I349" s="4">
        <f>Full_Data[[#This Row],[Selling Price]]/Full_Data[[#This Row],[Weight (g)]]</f>
        <v>0.52</v>
      </c>
      <c r="J349" t="b">
        <v>0</v>
      </c>
      <c r="K349">
        <v>100</v>
      </c>
      <c r="L349">
        <f t="shared" si="46"/>
        <v>4</v>
      </c>
      <c r="M349" t="str">
        <f t="shared" si="47"/>
        <v>Medium</v>
      </c>
      <c r="N349" t="str">
        <f t="shared" si="48"/>
        <v>6-10%</v>
      </c>
      <c r="O349" t="str">
        <f t="shared" si="49"/>
        <v>OK</v>
      </c>
      <c r="P349">
        <f>IFERROR(Full_Data!G349/Full_Data!H349,"Check data")</f>
        <v>0.52</v>
      </c>
      <c r="Q349" t="str">
        <f t="shared" si="50"/>
        <v>Match</v>
      </c>
      <c r="R349" t="str">
        <f t="shared" si="51"/>
        <v>Mismatch</v>
      </c>
      <c r="S349" t="str">
        <f t="shared" si="52"/>
        <v>Match</v>
      </c>
    </row>
    <row r="350" spans="1:19" x14ac:dyDescent="0.25">
      <c r="A350" t="s">
        <v>335</v>
      </c>
      <c r="B350">
        <v>19000</v>
      </c>
      <c r="C350">
        <f t="shared" si="53"/>
        <v>190</v>
      </c>
      <c r="D350">
        <v>10</v>
      </c>
      <c r="E350">
        <v>6</v>
      </c>
      <c r="F350">
        <v>17100</v>
      </c>
      <c r="G350">
        <f t="shared" si="45"/>
        <v>171</v>
      </c>
      <c r="H350">
        <v>100</v>
      </c>
      <c r="I350" s="4">
        <f>Full_Data[[#This Row],[Selling Price]]/Full_Data[[#This Row],[Weight (g)]]</f>
        <v>1.71</v>
      </c>
      <c r="J350" t="b">
        <v>0</v>
      </c>
      <c r="K350">
        <v>100</v>
      </c>
      <c r="L350">
        <f t="shared" si="46"/>
        <v>19</v>
      </c>
      <c r="M350" t="str">
        <f t="shared" si="47"/>
        <v>Medium</v>
      </c>
      <c r="N350" t="str">
        <f t="shared" si="48"/>
        <v>6-10%</v>
      </c>
      <c r="O350" t="str">
        <f t="shared" si="49"/>
        <v>OK</v>
      </c>
      <c r="P350">
        <f>IFERROR(Full_Data!G350/Full_Data!H350,"Check data")</f>
        <v>1.71</v>
      </c>
      <c r="Q350" t="str">
        <f t="shared" si="50"/>
        <v>Match</v>
      </c>
      <c r="R350" t="str">
        <f t="shared" si="51"/>
        <v>Match</v>
      </c>
      <c r="S350" t="str">
        <f t="shared" si="52"/>
        <v>Match</v>
      </c>
    </row>
    <row r="351" spans="1:19" x14ac:dyDescent="0.25">
      <c r="A351" t="s">
        <v>336</v>
      </c>
      <c r="B351">
        <v>29500</v>
      </c>
      <c r="C351">
        <f t="shared" si="53"/>
        <v>295</v>
      </c>
      <c r="D351">
        <v>9</v>
      </c>
      <c r="E351">
        <v>6</v>
      </c>
      <c r="F351">
        <v>26600</v>
      </c>
      <c r="G351">
        <f t="shared" si="45"/>
        <v>266</v>
      </c>
      <c r="H351">
        <v>360</v>
      </c>
      <c r="I351" s="4">
        <f>Full_Data[[#This Row],[Selling Price]]/Full_Data[[#This Row],[Weight (g)]]</f>
        <v>0.73888888888888893</v>
      </c>
      <c r="J351" t="b">
        <v>0</v>
      </c>
      <c r="K351">
        <v>360</v>
      </c>
      <c r="L351">
        <f t="shared" si="46"/>
        <v>29</v>
      </c>
      <c r="M351" t="str">
        <f t="shared" si="47"/>
        <v>High</v>
      </c>
      <c r="N351" t="str">
        <f t="shared" si="48"/>
        <v>6-10%</v>
      </c>
      <c r="O351" t="str">
        <f t="shared" si="49"/>
        <v>OK</v>
      </c>
      <c r="P351">
        <f>IFERROR(Full_Data!G351/Full_Data!H351,"Check data")</f>
        <v>0.73888888888888893</v>
      </c>
      <c r="Q351" t="str">
        <f t="shared" si="50"/>
        <v>Match</v>
      </c>
      <c r="R351" t="str">
        <f t="shared" si="51"/>
        <v>Mismatch</v>
      </c>
      <c r="S351" t="str">
        <f t="shared" si="52"/>
        <v>Mismatch</v>
      </c>
    </row>
    <row r="352" spans="1:19" x14ac:dyDescent="0.25">
      <c r="A352" t="s">
        <v>337</v>
      </c>
      <c r="B352">
        <v>35000</v>
      </c>
      <c r="C352">
        <f t="shared" si="53"/>
        <v>350</v>
      </c>
      <c r="D352">
        <v>10</v>
      </c>
      <c r="E352">
        <v>5</v>
      </c>
      <c r="F352">
        <v>31200</v>
      </c>
      <c r="G352">
        <f t="shared" si="45"/>
        <v>312</v>
      </c>
      <c r="H352">
        <v>5000</v>
      </c>
      <c r="I352" s="4">
        <f>Full_Data[[#This Row],[Selling Price]]/Full_Data[[#This Row],[Weight (g)]]</f>
        <v>6.2399999999999997E-2</v>
      </c>
      <c r="J352" t="b">
        <v>0</v>
      </c>
      <c r="K352">
        <v>5</v>
      </c>
      <c r="L352">
        <f t="shared" si="46"/>
        <v>38</v>
      </c>
      <c r="M352" t="str">
        <f t="shared" si="47"/>
        <v>High</v>
      </c>
      <c r="N352" t="str">
        <f t="shared" si="48"/>
        <v>6-10%</v>
      </c>
      <c r="O352" t="str">
        <f t="shared" si="49"/>
        <v>OK</v>
      </c>
      <c r="P352">
        <f>IFERROR(Full_Data!G352/Full_Data!H352,"Check data")</f>
        <v>6.2399999999999997E-2</v>
      </c>
      <c r="Q352" t="str">
        <f t="shared" si="50"/>
        <v>Match</v>
      </c>
      <c r="R352" t="str">
        <f t="shared" si="51"/>
        <v>Mismatch</v>
      </c>
      <c r="S352" t="str">
        <f t="shared" si="52"/>
        <v>Mismatch</v>
      </c>
    </row>
    <row r="353" spans="1:19" x14ac:dyDescent="0.25">
      <c r="A353" t="s">
        <v>338</v>
      </c>
      <c r="B353">
        <v>35000</v>
      </c>
      <c r="C353">
        <f t="shared" si="53"/>
        <v>350</v>
      </c>
      <c r="D353">
        <v>10</v>
      </c>
      <c r="E353">
        <v>6</v>
      </c>
      <c r="F353">
        <v>31200</v>
      </c>
      <c r="G353">
        <f t="shared" si="45"/>
        <v>312</v>
      </c>
      <c r="H353">
        <v>1000</v>
      </c>
      <c r="I353" s="4">
        <f>Full_Data[[#This Row],[Selling Price]]/Full_Data[[#This Row],[Weight (g)]]</f>
        <v>0.312</v>
      </c>
      <c r="J353" t="b">
        <v>0</v>
      </c>
      <c r="K353">
        <v>1</v>
      </c>
      <c r="L353">
        <f t="shared" si="46"/>
        <v>38</v>
      </c>
      <c r="M353" t="str">
        <f t="shared" si="47"/>
        <v>High</v>
      </c>
      <c r="N353" t="str">
        <f t="shared" si="48"/>
        <v>6-10%</v>
      </c>
      <c r="O353" t="str">
        <f t="shared" si="49"/>
        <v>OK</v>
      </c>
      <c r="P353">
        <f>IFERROR(Full_Data!G353/Full_Data!H353,"Check data")</f>
        <v>0.312</v>
      </c>
      <c r="Q353" t="str">
        <f t="shared" si="50"/>
        <v>Match</v>
      </c>
      <c r="R353" t="str">
        <f t="shared" si="51"/>
        <v>Mismatch</v>
      </c>
      <c r="S353" t="str">
        <f t="shared" si="52"/>
        <v>Mismatch</v>
      </c>
    </row>
    <row r="354" spans="1:19" x14ac:dyDescent="0.25">
      <c r="A354" t="s">
        <v>339</v>
      </c>
      <c r="B354">
        <v>17000</v>
      </c>
      <c r="C354">
        <f t="shared" si="53"/>
        <v>170</v>
      </c>
      <c r="D354">
        <v>7</v>
      </c>
      <c r="E354">
        <v>6</v>
      </c>
      <c r="F354">
        <v>15700</v>
      </c>
      <c r="G354">
        <f t="shared" si="45"/>
        <v>157</v>
      </c>
      <c r="H354">
        <v>100</v>
      </c>
      <c r="I354" s="4">
        <f>Full_Data[[#This Row],[Selling Price]]/Full_Data[[#This Row],[Weight (g)]]</f>
        <v>1.57</v>
      </c>
      <c r="J354" t="b">
        <v>0</v>
      </c>
      <c r="K354">
        <v>100</v>
      </c>
      <c r="L354">
        <f t="shared" si="46"/>
        <v>13</v>
      </c>
      <c r="M354" t="str">
        <f t="shared" si="47"/>
        <v>Medium</v>
      </c>
      <c r="N354" t="str">
        <f t="shared" si="48"/>
        <v>6-10%</v>
      </c>
      <c r="O354" t="str">
        <f t="shared" si="49"/>
        <v>OK</v>
      </c>
      <c r="P354">
        <f>IFERROR(Full_Data!G354/Full_Data!H354,"Check data")</f>
        <v>1.57</v>
      </c>
      <c r="Q354" t="str">
        <f t="shared" si="50"/>
        <v>Match</v>
      </c>
      <c r="R354" t="str">
        <f t="shared" si="51"/>
        <v>Mismatch</v>
      </c>
      <c r="S354" t="str">
        <f t="shared" si="52"/>
        <v>Mismatch</v>
      </c>
    </row>
    <row r="355" spans="1:19" x14ac:dyDescent="0.25">
      <c r="A355" t="s">
        <v>340</v>
      </c>
      <c r="B355">
        <v>9000</v>
      </c>
      <c r="C355">
        <f t="shared" si="53"/>
        <v>90</v>
      </c>
      <c r="D355">
        <v>16</v>
      </c>
      <c r="E355">
        <v>3</v>
      </c>
      <c r="F355">
        <v>7500</v>
      </c>
      <c r="G355">
        <f t="shared" si="45"/>
        <v>75</v>
      </c>
      <c r="H355">
        <v>500</v>
      </c>
      <c r="I355" s="4">
        <f>Full_Data[[#This Row],[Selling Price]]/Full_Data[[#This Row],[Weight (g)]]</f>
        <v>0.15</v>
      </c>
      <c r="J355" t="b">
        <v>0</v>
      </c>
      <c r="K355">
        <v>500</v>
      </c>
      <c r="L355">
        <f t="shared" si="46"/>
        <v>15</v>
      </c>
      <c r="M355" t="str">
        <f t="shared" si="47"/>
        <v>Medium</v>
      </c>
      <c r="N355" t="str">
        <f t="shared" si="48"/>
        <v>16-20%</v>
      </c>
      <c r="O355" t="str">
        <f t="shared" si="49"/>
        <v>OK</v>
      </c>
      <c r="P355">
        <f>IFERROR(Full_Data!G355/Full_Data!H355,"Check data")</f>
        <v>0.15</v>
      </c>
      <c r="Q355" t="str">
        <f t="shared" si="50"/>
        <v>Match</v>
      </c>
      <c r="R355" t="str">
        <f t="shared" si="51"/>
        <v>Mismatch</v>
      </c>
      <c r="S355" t="str">
        <f t="shared" si="52"/>
        <v>Mismatch</v>
      </c>
    </row>
    <row r="356" spans="1:19" x14ac:dyDescent="0.25">
      <c r="A356" t="s">
        <v>341</v>
      </c>
      <c r="B356">
        <v>9500</v>
      </c>
      <c r="C356">
        <f t="shared" si="53"/>
        <v>95</v>
      </c>
      <c r="D356">
        <v>7</v>
      </c>
      <c r="E356">
        <v>6</v>
      </c>
      <c r="F356">
        <v>8800</v>
      </c>
      <c r="G356">
        <f t="shared" si="45"/>
        <v>88</v>
      </c>
      <c r="H356">
        <v>500</v>
      </c>
      <c r="I356" s="4">
        <f>Full_Data[[#This Row],[Selling Price]]/Full_Data[[#This Row],[Weight (g)]]</f>
        <v>0.17599999999999999</v>
      </c>
      <c r="J356" t="b">
        <v>0</v>
      </c>
      <c r="K356">
        <v>500</v>
      </c>
      <c r="L356">
        <f t="shared" si="46"/>
        <v>7</v>
      </c>
      <c r="M356" t="str">
        <f t="shared" si="47"/>
        <v>Medium</v>
      </c>
      <c r="N356" t="str">
        <f t="shared" si="48"/>
        <v>6-10%</v>
      </c>
      <c r="O356" t="str">
        <f t="shared" si="49"/>
        <v>OK</v>
      </c>
      <c r="P356">
        <f>IFERROR(Full_Data!G356/Full_Data!H356,"Check data")</f>
        <v>0.17599999999999999</v>
      </c>
      <c r="Q356" t="str">
        <f t="shared" si="50"/>
        <v>Match</v>
      </c>
      <c r="R356" t="str">
        <f t="shared" si="51"/>
        <v>Mismatch</v>
      </c>
      <c r="S356" t="str">
        <f t="shared" si="52"/>
        <v>Match</v>
      </c>
    </row>
    <row r="357" spans="1:19" x14ac:dyDescent="0.25">
      <c r="A357" t="s">
        <v>342</v>
      </c>
      <c r="B357">
        <v>6000</v>
      </c>
      <c r="C357">
        <f t="shared" si="53"/>
        <v>60</v>
      </c>
      <c r="D357">
        <v>6</v>
      </c>
      <c r="E357">
        <v>3</v>
      </c>
      <c r="F357">
        <v>5600</v>
      </c>
      <c r="G357">
        <f t="shared" si="45"/>
        <v>56</v>
      </c>
      <c r="H357">
        <v>500</v>
      </c>
      <c r="I357" s="4">
        <f>Full_Data[[#This Row],[Selling Price]]/Full_Data[[#This Row],[Weight (g)]]</f>
        <v>0.112</v>
      </c>
      <c r="J357" t="b">
        <v>0</v>
      </c>
      <c r="K357">
        <v>500</v>
      </c>
      <c r="L357">
        <f t="shared" si="46"/>
        <v>4</v>
      </c>
      <c r="M357" t="str">
        <f t="shared" si="47"/>
        <v>Medium</v>
      </c>
      <c r="N357" t="str">
        <f t="shared" si="48"/>
        <v>6-10%</v>
      </c>
      <c r="O357" t="str">
        <f t="shared" si="49"/>
        <v>OK</v>
      </c>
      <c r="P357">
        <f>IFERROR(Full_Data!G357/Full_Data!H357,"Check data")</f>
        <v>0.112</v>
      </c>
      <c r="Q357" t="str">
        <f t="shared" si="50"/>
        <v>Match</v>
      </c>
      <c r="R357" t="str">
        <f t="shared" si="51"/>
        <v>Mismatch</v>
      </c>
      <c r="S357" t="str">
        <f t="shared" si="52"/>
        <v>Mismatch</v>
      </c>
    </row>
    <row r="358" spans="1:19" x14ac:dyDescent="0.25">
      <c r="A358" t="s">
        <v>343</v>
      </c>
      <c r="B358">
        <v>39000</v>
      </c>
      <c r="C358">
        <f t="shared" si="53"/>
        <v>390</v>
      </c>
      <c r="D358">
        <v>11</v>
      </c>
      <c r="E358">
        <v>5</v>
      </c>
      <c r="F358">
        <v>34700</v>
      </c>
      <c r="G358">
        <f t="shared" si="45"/>
        <v>347</v>
      </c>
      <c r="H358">
        <v>1000</v>
      </c>
      <c r="I358" s="4">
        <f>Full_Data[[#This Row],[Selling Price]]/Full_Data[[#This Row],[Weight (g)]]</f>
        <v>0.34699999999999998</v>
      </c>
      <c r="J358" t="b">
        <v>0</v>
      </c>
      <c r="K358">
        <v>1</v>
      </c>
      <c r="L358">
        <f t="shared" si="46"/>
        <v>43</v>
      </c>
      <c r="M358" t="str">
        <f t="shared" si="47"/>
        <v>High</v>
      </c>
      <c r="N358" t="str">
        <f t="shared" si="48"/>
        <v>11-15%</v>
      </c>
      <c r="O358" t="str">
        <f t="shared" si="49"/>
        <v>OK</v>
      </c>
      <c r="P358">
        <f>IFERROR(Full_Data!G358/Full_Data!H358,"Check data")</f>
        <v>0.34699999999999998</v>
      </c>
      <c r="Q358" t="str">
        <f t="shared" si="50"/>
        <v>Match</v>
      </c>
      <c r="R358" t="str">
        <f t="shared" si="51"/>
        <v>Mismatch</v>
      </c>
      <c r="S358" t="str">
        <f t="shared" si="52"/>
        <v>Match</v>
      </c>
    </row>
    <row r="359" spans="1:19" x14ac:dyDescent="0.25">
      <c r="A359" t="s">
        <v>344</v>
      </c>
      <c r="B359">
        <v>6000</v>
      </c>
      <c r="C359">
        <f t="shared" si="53"/>
        <v>60</v>
      </c>
      <c r="D359">
        <v>0</v>
      </c>
      <c r="E359">
        <v>4</v>
      </c>
      <c r="F359">
        <v>6000</v>
      </c>
      <c r="G359">
        <f t="shared" si="45"/>
        <v>60</v>
      </c>
      <c r="H359">
        <v>240</v>
      </c>
      <c r="I359" s="4">
        <f>Full_Data[[#This Row],[Selling Price]]/Full_Data[[#This Row],[Weight (g)]]</f>
        <v>0.25</v>
      </c>
      <c r="J359" t="b">
        <v>0</v>
      </c>
      <c r="K359">
        <v>240</v>
      </c>
      <c r="L359">
        <f t="shared" si="46"/>
        <v>0</v>
      </c>
      <c r="M359" t="str">
        <f t="shared" si="47"/>
        <v>Medium</v>
      </c>
      <c r="N359" t="str">
        <f t="shared" si="48"/>
        <v>0-5%</v>
      </c>
      <c r="O359" t="str">
        <f t="shared" si="49"/>
        <v>OK</v>
      </c>
      <c r="P359">
        <f>IFERROR(Full_Data!G359/Full_Data!H359,"Check data")</f>
        <v>0.25</v>
      </c>
      <c r="Q359" t="str">
        <f t="shared" si="50"/>
        <v>Match</v>
      </c>
      <c r="R359" t="str">
        <f t="shared" si="51"/>
        <v>Match</v>
      </c>
      <c r="S359" t="str">
        <f t="shared" si="52"/>
        <v>Match</v>
      </c>
    </row>
    <row r="360" spans="1:19" x14ac:dyDescent="0.25">
      <c r="A360" t="s">
        <v>345</v>
      </c>
      <c r="B360">
        <v>19500</v>
      </c>
      <c r="C360">
        <f t="shared" si="53"/>
        <v>195</v>
      </c>
      <c r="D360">
        <v>12</v>
      </c>
      <c r="E360">
        <v>6</v>
      </c>
      <c r="F360">
        <v>17100</v>
      </c>
      <c r="G360">
        <f t="shared" si="45"/>
        <v>171</v>
      </c>
      <c r="H360">
        <v>500</v>
      </c>
      <c r="I360" s="4">
        <f>Full_Data[[#This Row],[Selling Price]]/Full_Data[[#This Row],[Weight (g)]]</f>
        <v>0.34200000000000003</v>
      </c>
      <c r="J360" t="b">
        <v>0</v>
      </c>
      <c r="K360">
        <v>500</v>
      </c>
      <c r="L360">
        <f t="shared" si="46"/>
        <v>24</v>
      </c>
      <c r="M360" t="str">
        <f t="shared" si="47"/>
        <v>Medium</v>
      </c>
      <c r="N360" t="str">
        <f t="shared" si="48"/>
        <v>11-15%</v>
      </c>
      <c r="O360" t="str">
        <f t="shared" si="49"/>
        <v>OK</v>
      </c>
      <c r="P360">
        <f>IFERROR(Full_Data!G360/Full_Data!H360,"Check data")</f>
        <v>0.34200000000000003</v>
      </c>
      <c r="Q360" t="str">
        <f t="shared" si="50"/>
        <v>Match</v>
      </c>
      <c r="R360" t="str">
        <f t="shared" si="51"/>
        <v>Mismatch</v>
      </c>
      <c r="S360" t="str">
        <f t="shared" si="52"/>
        <v>Match</v>
      </c>
    </row>
    <row r="361" spans="1:19" x14ac:dyDescent="0.25">
      <c r="A361" t="s">
        <v>346</v>
      </c>
      <c r="B361">
        <v>43000</v>
      </c>
      <c r="C361">
        <f t="shared" si="53"/>
        <v>430</v>
      </c>
      <c r="D361">
        <v>10</v>
      </c>
      <c r="E361">
        <v>6</v>
      </c>
      <c r="F361">
        <v>38700</v>
      </c>
      <c r="G361">
        <f t="shared" si="45"/>
        <v>387</v>
      </c>
      <c r="H361">
        <v>1000</v>
      </c>
      <c r="I361" s="4">
        <f>Full_Data[[#This Row],[Selling Price]]/Full_Data[[#This Row],[Weight (g)]]</f>
        <v>0.38700000000000001</v>
      </c>
      <c r="J361" t="b">
        <v>0</v>
      </c>
      <c r="K361">
        <v>1</v>
      </c>
      <c r="L361">
        <f t="shared" si="46"/>
        <v>43</v>
      </c>
      <c r="M361" t="str">
        <f t="shared" si="47"/>
        <v>High</v>
      </c>
      <c r="N361" t="str">
        <f t="shared" si="48"/>
        <v>6-10%</v>
      </c>
      <c r="O361" t="str">
        <f t="shared" si="49"/>
        <v>OK</v>
      </c>
      <c r="P361">
        <f>IFERROR(Full_Data!G361/Full_Data!H361,"Check data")</f>
        <v>0.38700000000000001</v>
      </c>
      <c r="Q361" t="str">
        <f t="shared" si="50"/>
        <v>Match</v>
      </c>
      <c r="R361" t="str">
        <f t="shared" si="51"/>
        <v>Match</v>
      </c>
      <c r="S361" t="str">
        <f t="shared" si="52"/>
        <v>Match</v>
      </c>
    </row>
    <row r="362" spans="1:19" x14ac:dyDescent="0.25">
      <c r="A362" t="s">
        <v>347</v>
      </c>
      <c r="B362">
        <v>7000</v>
      </c>
      <c r="C362">
        <f t="shared" si="53"/>
        <v>70</v>
      </c>
      <c r="D362">
        <v>10</v>
      </c>
      <c r="E362">
        <v>5</v>
      </c>
      <c r="F362">
        <v>6300</v>
      </c>
      <c r="G362">
        <f t="shared" si="45"/>
        <v>63</v>
      </c>
      <c r="H362">
        <v>25</v>
      </c>
      <c r="I362" s="4">
        <f>Full_Data[[#This Row],[Selling Price]]/Full_Data[[#This Row],[Weight (g)]]</f>
        <v>2.52</v>
      </c>
      <c r="J362" t="b">
        <v>0</v>
      </c>
      <c r="K362">
        <v>25</v>
      </c>
      <c r="L362">
        <f t="shared" si="46"/>
        <v>7</v>
      </c>
      <c r="M362" t="str">
        <f t="shared" si="47"/>
        <v>Medium</v>
      </c>
      <c r="N362" t="str">
        <f t="shared" si="48"/>
        <v>6-10%</v>
      </c>
      <c r="O362" t="str">
        <f t="shared" si="49"/>
        <v>OK</v>
      </c>
      <c r="P362">
        <f>IFERROR(Full_Data!G362/Full_Data!H362,"Check data")</f>
        <v>2.52</v>
      </c>
      <c r="Q362" t="str">
        <f t="shared" si="50"/>
        <v>Match</v>
      </c>
      <c r="R362" t="str">
        <f t="shared" si="51"/>
        <v>Match</v>
      </c>
      <c r="S362" t="str">
        <f t="shared" si="52"/>
        <v>Match</v>
      </c>
    </row>
    <row r="363" spans="1:19" x14ac:dyDescent="0.25">
      <c r="A363" t="s">
        <v>348</v>
      </c>
      <c r="B363">
        <v>1000</v>
      </c>
      <c r="C363">
        <f t="shared" si="53"/>
        <v>10</v>
      </c>
      <c r="D363">
        <v>0</v>
      </c>
      <c r="E363">
        <v>5</v>
      </c>
      <c r="F363">
        <v>1000</v>
      </c>
      <c r="G363">
        <f t="shared" si="45"/>
        <v>10</v>
      </c>
      <c r="H363">
        <v>20</v>
      </c>
      <c r="I363" s="4">
        <f>Full_Data[[#This Row],[Selling Price]]/Full_Data[[#This Row],[Weight (g)]]</f>
        <v>0.5</v>
      </c>
      <c r="J363" t="b">
        <v>0</v>
      </c>
      <c r="K363">
        <v>20</v>
      </c>
      <c r="L363">
        <f t="shared" si="46"/>
        <v>0</v>
      </c>
      <c r="M363" t="str">
        <f t="shared" si="47"/>
        <v>Low</v>
      </c>
      <c r="N363" t="str">
        <f t="shared" si="48"/>
        <v>0-5%</v>
      </c>
      <c r="O363" t="str">
        <f t="shared" si="49"/>
        <v>OK</v>
      </c>
      <c r="P363">
        <f>IFERROR(Full_Data!G363/Full_Data!H363,"Check data")</f>
        <v>0.5</v>
      </c>
      <c r="Q363" t="str">
        <f t="shared" si="50"/>
        <v>Match</v>
      </c>
      <c r="R363" t="str">
        <f t="shared" si="51"/>
        <v>Match</v>
      </c>
      <c r="S363" t="str">
        <f t="shared" si="52"/>
        <v>Match</v>
      </c>
    </row>
    <row r="364" spans="1:19" x14ac:dyDescent="0.25">
      <c r="A364" t="s">
        <v>349</v>
      </c>
      <c r="B364">
        <v>22300</v>
      </c>
      <c r="C364">
        <f t="shared" si="53"/>
        <v>223</v>
      </c>
      <c r="D364">
        <v>5</v>
      </c>
      <c r="E364">
        <v>6</v>
      </c>
      <c r="F364">
        <v>21100</v>
      </c>
      <c r="G364">
        <f t="shared" si="45"/>
        <v>211</v>
      </c>
      <c r="H364">
        <v>150</v>
      </c>
      <c r="I364" s="4">
        <f>Full_Data[[#This Row],[Selling Price]]/Full_Data[[#This Row],[Weight (g)]]</f>
        <v>1.4066666666666667</v>
      </c>
      <c r="J364" t="b">
        <v>0</v>
      </c>
      <c r="K364">
        <v>150</v>
      </c>
      <c r="L364">
        <f t="shared" si="46"/>
        <v>12</v>
      </c>
      <c r="M364" t="str">
        <f t="shared" si="47"/>
        <v>High</v>
      </c>
      <c r="N364" t="str">
        <f t="shared" si="48"/>
        <v>0-5%</v>
      </c>
      <c r="O364" t="str">
        <f t="shared" si="49"/>
        <v>OK</v>
      </c>
      <c r="P364">
        <f>IFERROR(Full_Data!G364/Full_Data!H364,"Check data")</f>
        <v>1.4066666666666667</v>
      </c>
      <c r="Q364" t="str">
        <f t="shared" si="50"/>
        <v>Match</v>
      </c>
      <c r="R364" t="str">
        <f t="shared" si="51"/>
        <v>Mismatch</v>
      </c>
      <c r="S364" t="str">
        <f t="shared" si="52"/>
        <v>Match</v>
      </c>
    </row>
    <row r="365" spans="1:19" x14ac:dyDescent="0.25">
      <c r="A365" t="s">
        <v>350</v>
      </c>
      <c r="B365">
        <v>145000</v>
      </c>
      <c r="C365">
        <f t="shared" si="53"/>
        <v>1450</v>
      </c>
      <c r="D365">
        <v>10</v>
      </c>
      <c r="E365">
        <v>6</v>
      </c>
      <c r="F365">
        <v>130500</v>
      </c>
      <c r="G365">
        <f t="shared" si="45"/>
        <v>1305</v>
      </c>
      <c r="H365">
        <v>540</v>
      </c>
      <c r="I365" s="4">
        <f>Full_Data[[#This Row],[Selling Price]]/Full_Data[[#This Row],[Weight (g)]]</f>
        <v>2.4166666666666665</v>
      </c>
      <c r="J365" t="b">
        <v>0</v>
      </c>
      <c r="K365">
        <v>540</v>
      </c>
      <c r="L365">
        <f t="shared" si="46"/>
        <v>145</v>
      </c>
      <c r="M365" t="str">
        <f t="shared" si="47"/>
        <v>High</v>
      </c>
      <c r="N365" t="str">
        <f t="shared" si="48"/>
        <v>6-10%</v>
      </c>
      <c r="O365" t="str">
        <f t="shared" si="49"/>
        <v>OK</v>
      </c>
      <c r="P365">
        <f>IFERROR(Full_Data!G365/Full_Data!H365,"Check data")</f>
        <v>2.4166666666666665</v>
      </c>
      <c r="Q365" t="str">
        <f t="shared" si="50"/>
        <v>Match</v>
      </c>
      <c r="R365" t="str">
        <f t="shared" si="51"/>
        <v>Match</v>
      </c>
      <c r="S365" t="str">
        <f t="shared" si="52"/>
        <v>Match</v>
      </c>
    </row>
    <row r="366" spans="1:19" x14ac:dyDescent="0.25">
      <c r="A366" t="s">
        <v>351</v>
      </c>
      <c r="B366">
        <v>12000</v>
      </c>
      <c r="C366">
        <f t="shared" si="53"/>
        <v>120</v>
      </c>
      <c r="D366">
        <v>6</v>
      </c>
      <c r="E366">
        <v>5</v>
      </c>
      <c r="F366">
        <v>11200</v>
      </c>
      <c r="G366">
        <f t="shared" si="45"/>
        <v>112</v>
      </c>
      <c r="H366">
        <v>500</v>
      </c>
      <c r="I366" s="4">
        <f>Full_Data[[#This Row],[Selling Price]]/Full_Data[[#This Row],[Weight (g)]]</f>
        <v>0.224</v>
      </c>
      <c r="J366" t="b">
        <v>0</v>
      </c>
      <c r="K366">
        <v>500</v>
      </c>
      <c r="L366">
        <f t="shared" si="46"/>
        <v>8</v>
      </c>
      <c r="M366" t="str">
        <f t="shared" si="47"/>
        <v>Medium</v>
      </c>
      <c r="N366" t="str">
        <f t="shared" si="48"/>
        <v>6-10%</v>
      </c>
      <c r="O366" t="str">
        <f t="shared" si="49"/>
        <v>OK</v>
      </c>
      <c r="P366">
        <f>IFERROR(Full_Data!G366/Full_Data!H366,"Check data")</f>
        <v>0.224</v>
      </c>
      <c r="Q366" t="str">
        <f t="shared" si="50"/>
        <v>Match</v>
      </c>
      <c r="R366" t="str">
        <f t="shared" si="51"/>
        <v>Mismatch</v>
      </c>
      <c r="S366" t="str">
        <f t="shared" si="52"/>
        <v>Mismatch</v>
      </c>
    </row>
    <row r="367" spans="1:19" x14ac:dyDescent="0.25">
      <c r="A367" t="s">
        <v>352</v>
      </c>
      <c r="B367">
        <v>16000</v>
      </c>
      <c r="C367">
        <f t="shared" si="53"/>
        <v>160</v>
      </c>
      <c r="D367">
        <v>6</v>
      </c>
      <c r="E367">
        <v>4</v>
      </c>
      <c r="F367">
        <v>15000</v>
      </c>
      <c r="G367">
        <f t="shared" si="45"/>
        <v>150</v>
      </c>
      <c r="H367">
        <v>200</v>
      </c>
      <c r="I367" s="4">
        <f>Full_Data[[#This Row],[Selling Price]]/Full_Data[[#This Row],[Weight (g)]]</f>
        <v>0.75</v>
      </c>
      <c r="J367" t="b">
        <v>0</v>
      </c>
      <c r="K367">
        <v>200</v>
      </c>
      <c r="L367">
        <f t="shared" si="46"/>
        <v>10</v>
      </c>
      <c r="M367" t="str">
        <f t="shared" si="47"/>
        <v>Medium</v>
      </c>
      <c r="N367" t="str">
        <f t="shared" si="48"/>
        <v>6-10%</v>
      </c>
      <c r="O367" t="str">
        <f t="shared" si="49"/>
        <v>OK</v>
      </c>
      <c r="P367">
        <f>IFERROR(Full_Data!G367/Full_Data!H367,"Check data")</f>
        <v>0.75</v>
      </c>
      <c r="Q367" t="str">
        <f t="shared" si="50"/>
        <v>Match</v>
      </c>
      <c r="R367" t="str">
        <f t="shared" si="51"/>
        <v>Mismatch</v>
      </c>
      <c r="S367" t="str">
        <f t="shared" si="52"/>
        <v>Match</v>
      </c>
    </row>
    <row r="368" spans="1:19" x14ac:dyDescent="0.25">
      <c r="A368" t="s">
        <v>353</v>
      </c>
      <c r="B368">
        <v>14000</v>
      </c>
      <c r="C368">
        <f t="shared" si="53"/>
        <v>140</v>
      </c>
      <c r="D368">
        <v>15</v>
      </c>
      <c r="E368">
        <v>6</v>
      </c>
      <c r="F368">
        <v>11800</v>
      </c>
      <c r="G368">
        <f t="shared" si="45"/>
        <v>118</v>
      </c>
      <c r="H368">
        <v>250</v>
      </c>
      <c r="I368" s="4">
        <f>Full_Data[[#This Row],[Selling Price]]/Full_Data[[#This Row],[Weight (g)]]</f>
        <v>0.47199999999999998</v>
      </c>
      <c r="J368" t="b">
        <v>0</v>
      </c>
      <c r="K368">
        <v>250</v>
      </c>
      <c r="L368">
        <f t="shared" si="46"/>
        <v>22</v>
      </c>
      <c r="M368" t="str">
        <f t="shared" si="47"/>
        <v>Medium</v>
      </c>
      <c r="N368" t="str">
        <f t="shared" si="48"/>
        <v>11-15%</v>
      </c>
      <c r="O368" t="str">
        <f t="shared" si="49"/>
        <v>OK</v>
      </c>
      <c r="P368">
        <f>IFERROR(Full_Data!G368/Full_Data!H368,"Check data")</f>
        <v>0.47199999999999998</v>
      </c>
      <c r="Q368" t="str">
        <f t="shared" si="50"/>
        <v>Match</v>
      </c>
      <c r="R368" t="str">
        <f t="shared" si="51"/>
        <v>Mismatch</v>
      </c>
      <c r="S368" t="str">
        <f t="shared" si="52"/>
        <v>Mismatch</v>
      </c>
    </row>
    <row r="369" spans="1:19" x14ac:dyDescent="0.25">
      <c r="A369" t="s">
        <v>354</v>
      </c>
      <c r="B369">
        <v>9500</v>
      </c>
      <c r="C369">
        <f t="shared" si="53"/>
        <v>95</v>
      </c>
      <c r="D369">
        <v>6</v>
      </c>
      <c r="E369">
        <v>4</v>
      </c>
      <c r="F369">
        <v>8900</v>
      </c>
      <c r="G369">
        <f t="shared" si="45"/>
        <v>89</v>
      </c>
      <c r="H369">
        <v>500</v>
      </c>
      <c r="I369" s="4">
        <f>Full_Data[[#This Row],[Selling Price]]/Full_Data[[#This Row],[Weight (g)]]</f>
        <v>0.17799999999999999</v>
      </c>
      <c r="J369" t="b">
        <v>0</v>
      </c>
      <c r="K369">
        <v>500</v>
      </c>
      <c r="L369">
        <f t="shared" si="46"/>
        <v>6</v>
      </c>
      <c r="M369" t="str">
        <f t="shared" si="47"/>
        <v>Medium</v>
      </c>
      <c r="N369" t="str">
        <f t="shared" si="48"/>
        <v>6-10%</v>
      </c>
      <c r="O369" t="str">
        <f t="shared" si="49"/>
        <v>OK</v>
      </c>
      <c r="P369">
        <f>IFERROR(Full_Data!G369/Full_Data!H369,"Check data")</f>
        <v>0.17799999999999999</v>
      </c>
      <c r="Q369" t="str">
        <f t="shared" si="50"/>
        <v>Match</v>
      </c>
      <c r="R369" t="str">
        <f t="shared" si="51"/>
        <v>Mismatch</v>
      </c>
      <c r="S369" t="str">
        <f t="shared" si="52"/>
        <v>Match</v>
      </c>
    </row>
    <row r="370" spans="1:19" x14ac:dyDescent="0.25">
      <c r="A370" t="s">
        <v>355</v>
      </c>
      <c r="B370">
        <v>5000</v>
      </c>
      <c r="C370">
        <f t="shared" si="53"/>
        <v>50</v>
      </c>
      <c r="D370">
        <v>6</v>
      </c>
      <c r="E370">
        <v>6</v>
      </c>
      <c r="F370">
        <v>4700</v>
      </c>
      <c r="G370">
        <f t="shared" si="45"/>
        <v>47</v>
      </c>
      <c r="H370">
        <v>200</v>
      </c>
      <c r="I370" s="4">
        <f>Full_Data[[#This Row],[Selling Price]]/Full_Data[[#This Row],[Weight (g)]]</f>
        <v>0.23499999999999999</v>
      </c>
      <c r="J370" t="b">
        <v>0</v>
      </c>
      <c r="K370">
        <v>200</v>
      </c>
      <c r="L370">
        <f t="shared" si="46"/>
        <v>3</v>
      </c>
      <c r="M370" t="str">
        <f t="shared" si="47"/>
        <v>Low</v>
      </c>
      <c r="N370" t="str">
        <f t="shared" si="48"/>
        <v>6-10%</v>
      </c>
      <c r="O370" t="str">
        <f t="shared" si="49"/>
        <v>OK</v>
      </c>
      <c r="P370">
        <f>IFERROR(Full_Data!G370/Full_Data!H370,"Check data")</f>
        <v>0.23499999999999999</v>
      </c>
      <c r="Q370" t="str">
        <f t="shared" si="50"/>
        <v>Match</v>
      </c>
      <c r="R370" t="str">
        <f t="shared" si="51"/>
        <v>Match</v>
      </c>
      <c r="S370" t="str">
        <f t="shared" si="52"/>
        <v>Match</v>
      </c>
    </row>
    <row r="371" spans="1:19" x14ac:dyDescent="0.25">
      <c r="A371" t="s">
        <v>356</v>
      </c>
      <c r="B371">
        <v>33000</v>
      </c>
      <c r="C371">
        <f t="shared" si="53"/>
        <v>330</v>
      </c>
      <c r="D371">
        <v>10</v>
      </c>
      <c r="E371">
        <v>1</v>
      </c>
      <c r="F371">
        <v>29700</v>
      </c>
      <c r="G371">
        <f t="shared" si="45"/>
        <v>297</v>
      </c>
      <c r="H371">
        <v>400</v>
      </c>
      <c r="I371" s="4">
        <f>Full_Data[[#This Row],[Selling Price]]/Full_Data[[#This Row],[Weight (g)]]</f>
        <v>0.74250000000000005</v>
      </c>
      <c r="J371" t="b">
        <v>0</v>
      </c>
      <c r="K371">
        <v>400</v>
      </c>
      <c r="L371">
        <f t="shared" si="46"/>
        <v>33</v>
      </c>
      <c r="M371" t="str">
        <f t="shared" si="47"/>
        <v>High</v>
      </c>
      <c r="N371" t="str">
        <f t="shared" si="48"/>
        <v>6-10%</v>
      </c>
      <c r="O371" t="str">
        <f t="shared" si="49"/>
        <v>OK</v>
      </c>
      <c r="P371">
        <f>IFERROR(Full_Data!G371/Full_Data!H371,"Check data")</f>
        <v>0.74250000000000005</v>
      </c>
      <c r="Q371" t="str">
        <f t="shared" si="50"/>
        <v>Match</v>
      </c>
      <c r="R371" t="str">
        <f t="shared" si="51"/>
        <v>Match</v>
      </c>
      <c r="S371" t="str">
        <f t="shared" si="52"/>
        <v>Match</v>
      </c>
    </row>
    <row r="372" spans="1:19" x14ac:dyDescent="0.25">
      <c r="A372" t="s">
        <v>357</v>
      </c>
      <c r="B372">
        <v>4400</v>
      </c>
      <c r="C372">
        <f t="shared" si="53"/>
        <v>44</v>
      </c>
      <c r="D372">
        <v>0</v>
      </c>
      <c r="E372">
        <v>5</v>
      </c>
      <c r="F372">
        <v>4400</v>
      </c>
      <c r="G372">
        <f t="shared" si="45"/>
        <v>44</v>
      </c>
      <c r="H372">
        <v>60</v>
      </c>
      <c r="I372" s="4">
        <f>Full_Data[[#This Row],[Selling Price]]/Full_Data[[#This Row],[Weight (g)]]</f>
        <v>0.73333333333333328</v>
      </c>
      <c r="J372" t="b">
        <v>0</v>
      </c>
      <c r="K372">
        <v>60</v>
      </c>
      <c r="L372">
        <f t="shared" si="46"/>
        <v>0</v>
      </c>
      <c r="M372" t="str">
        <f t="shared" si="47"/>
        <v>Low</v>
      </c>
      <c r="N372" t="str">
        <f t="shared" si="48"/>
        <v>0-5%</v>
      </c>
      <c r="O372" t="str">
        <f t="shared" si="49"/>
        <v>OK</v>
      </c>
      <c r="P372">
        <f>IFERROR(Full_Data!G372/Full_Data!H372,"Check data")</f>
        <v>0.73333333333333328</v>
      </c>
      <c r="Q372" t="str">
        <f t="shared" si="50"/>
        <v>Match</v>
      </c>
      <c r="R372" t="str">
        <f t="shared" si="51"/>
        <v>Match</v>
      </c>
      <c r="S372" t="str">
        <f t="shared" si="52"/>
        <v>Match</v>
      </c>
    </row>
    <row r="373" spans="1:19" x14ac:dyDescent="0.25">
      <c r="A373" t="s">
        <v>358</v>
      </c>
      <c r="B373">
        <v>3500</v>
      </c>
      <c r="C373">
        <f t="shared" si="53"/>
        <v>35</v>
      </c>
      <c r="D373">
        <v>2</v>
      </c>
      <c r="E373">
        <v>1</v>
      </c>
      <c r="F373">
        <v>3400</v>
      </c>
      <c r="G373">
        <f t="shared" si="45"/>
        <v>34</v>
      </c>
      <c r="H373">
        <v>40</v>
      </c>
      <c r="I373" s="4">
        <f>Full_Data[[#This Row],[Selling Price]]/Full_Data[[#This Row],[Weight (g)]]</f>
        <v>0.85</v>
      </c>
      <c r="J373" t="b">
        <v>0</v>
      </c>
      <c r="K373">
        <v>40</v>
      </c>
      <c r="L373">
        <f t="shared" si="46"/>
        <v>1</v>
      </c>
      <c r="M373" t="str">
        <f t="shared" si="47"/>
        <v>Low</v>
      </c>
      <c r="N373" t="str">
        <f t="shared" si="48"/>
        <v>0-5%</v>
      </c>
      <c r="O373" t="str">
        <f t="shared" si="49"/>
        <v>OK</v>
      </c>
      <c r="P373">
        <f>IFERROR(Full_Data!G373/Full_Data!H373,"Check data")</f>
        <v>0.85</v>
      </c>
      <c r="Q373" t="str">
        <f t="shared" si="50"/>
        <v>Match</v>
      </c>
      <c r="R373" t="str">
        <f t="shared" si="51"/>
        <v>Mismatch</v>
      </c>
      <c r="S373" t="str">
        <f t="shared" si="52"/>
        <v>Mismatch</v>
      </c>
    </row>
    <row r="374" spans="1:19" x14ac:dyDescent="0.25">
      <c r="A374" t="s">
        <v>323</v>
      </c>
      <c r="B374">
        <v>7400</v>
      </c>
      <c r="C374">
        <f t="shared" si="53"/>
        <v>74</v>
      </c>
      <c r="D374">
        <v>9</v>
      </c>
      <c r="E374">
        <v>3</v>
      </c>
      <c r="F374">
        <v>6700</v>
      </c>
      <c r="G374">
        <f t="shared" si="45"/>
        <v>67</v>
      </c>
      <c r="H374">
        <v>100</v>
      </c>
      <c r="I374" s="4">
        <f>Full_Data[[#This Row],[Selling Price]]/Full_Data[[#This Row],[Weight (g)]]</f>
        <v>0.67</v>
      </c>
      <c r="J374" t="b">
        <v>0</v>
      </c>
      <c r="K374">
        <v>100</v>
      </c>
      <c r="L374">
        <f t="shared" si="46"/>
        <v>7</v>
      </c>
      <c r="M374" t="str">
        <f t="shared" si="47"/>
        <v>Medium</v>
      </c>
      <c r="N374" t="str">
        <f t="shared" si="48"/>
        <v>6-10%</v>
      </c>
      <c r="O374" t="str">
        <f t="shared" si="49"/>
        <v>OK</v>
      </c>
      <c r="P374">
        <f>IFERROR(Full_Data!G374/Full_Data!H374,"Check data")</f>
        <v>0.67</v>
      </c>
      <c r="Q374" t="str">
        <f t="shared" si="50"/>
        <v>Match</v>
      </c>
      <c r="R374" t="str">
        <f t="shared" si="51"/>
        <v>Mismatch</v>
      </c>
      <c r="S374" t="str">
        <f t="shared" si="52"/>
        <v>Match</v>
      </c>
    </row>
    <row r="375" spans="1:19" x14ac:dyDescent="0.25">
      <c r="A375" t="s">
        <v>359</v>
      </c>
      <c r="B375">
        <v>4500</v>
      </c>
      <c r="C375">
        <f t="shared" si="53"/>
        <v>45</v>
      </c>
      <c r="D375">
        <v>4</v>
      </c>
      <c r="E375">
        <v>6</v>
      </c>
      <c r="F375">
        <v>4300</v>
      </c>
      <c r="G375">
        <f t="shared" si="45"/>
        <v>43</v>
      </c>
      <c r="H375">
        <v>500</v>
      </c>
      <c r="I375" s="4">
        <f>Full_Data[[#This Row],[Selling Price]]/Full_Data[[#This Row],[Weight (g)]]</f>
        <v>8.5999999999999993E-2</v>
      </c>
      <c r="J375" t="b">
        <v>0</v>
      </c>
      <c r="K375">
        <v>500</v>
      </c>
      <c r="L375">
        <f t="shared" si="46"/>
        <v>2</v>
      </c>
      <c r="M375" t="str">
        <f t="shared" si="47"/>
        <v>Low</v>
      </c>
      <c r="N375" t="str">
        <f t="shared" si="48"/>
        <v>0-5%</v>
      </c>
      <c r="O375" t="str">
        <f t="shared" si="49"/>
        <v>OK</v>
      </c>
      <c r="P375">
        <f>IFERROR(Full_Data!G375/Full_Data!H375,"Check data")</f>
        <v>8.5999999999999993E-2</v>
      </c>
      <c r="Q375" t="str">
        <f t="shared" si="50"/>
        <v>Match</v>
      </c>
      <c r="R375" t="str">
        <f t="shared" si="51"/>
        <v>Mismatch</v>
      </c>
      <c r="S375" t="str">
        <f t="shared" si="52"/>
        <v>Match</v>
      </c>
    </row>
    <row r="376" spans="1:19" x14ac:dyDescent="0.25">
      <c r="A376" t="s">
        <v>176</v>
      </c>
      <c r="B376">
        <v>14200</v>
      </c>
      <c r="C376">
        <f t="shared" si="53"/>
        <v>142</v>
      </c>
      <c r="D376">
        <v>9</v>
      </c>
      <c r="E376">
        <v>6</v>
      </c>
      <c r="F376">
        <v>12800</v>
      </c>
      <c r="G376">
        <f t="shared" si="45"/>
        <v>128</v>
      </c>
      <c r="H376">
        <v>200</v>
      </c>
      <c r="I376" s="4">
        <f>Full_Data[[#This Row],[Selling Price]]/Full_Data[[#This Row],[Weight (g)]]</f>
        <v>0.64</v>
      </c>
      <c r="J376" t="b">
        <v>0</v>
      </c>
      <c r="K376">
        <v>200</v>
      </c>
      <c r="L376">
        <f t="shared" si="46"/>
        <v>14</v>
      </c>
      <c r="M376" t="str">
        <f t="shared" si="47"/>
        <v>Medium</v>
      </c>
      <c r="N376" t="str">
        <f t="shared" si="48"/>
        <v>6-10%</v>
      </c>
      <c r="O376" t="str">
        <f t="shared" si="49"/>
        <v>OK</v>
      </c>
      <c r="P376">
        <f>IFERROR(Full_Data!G376/Full_Data!H376,"Check data")</f>
        <v>0.64</v>
      </c>
      <c r="Q376" t="str">
        <f t="shared" si="50"/>
        <v>Match</v>
      </c>
      <c r="R376" t="str">
        <f t="shared" si="51"/>
        <v>Mismatch</v>
      </c>
      <c r="S376" t="str">
        <f t="shared" si="52"/>
        <v>Mismatch</v>
      </c>
    </row>
    <row r="377" spans="1:19" x14ac:dyDescent="0.25">
      <c r="A377" t="s">
        <v>360</v>
      </c>
      <c r="B377">
        <v>16500</v>
      </c>
      <c r="C377">
        <f t="shared" si="53"/>
        <v>165</v>
      </c>
      <c r="D377">
        <v>10</v>
      </c>
      <c r="E377">
        <v>5</v>
      </c>
      <c r="F377">
        <v>14700</v>
      </c>
      <c r="G377">
        <f t="shared" si="45"/>
        <v>147</v>
      </c>
      <c r="H377">
        <v>285</v>
      </c>
      <c r="I377" s="4">
        <f>Full_Data[[#This Row],[Selling Price]]/Full_Data[[#This Row],[Weight (g)]]</f>
        <v>0.51578947368421058</v>
      </c>
      <c r="J377" t="b">
        <v>0</v>
      </c>
      <c r="K377">
        <v>285</v>
      </c>
      <c r="L377">
        <f t="shared" si="46"/>
        <v>18</v>
      </c>
      <c r="M377" t="str">
        <f t="shared" si="47"/>
        <v>Medium</v>
      </c>
      <c r="N377" t="str">
        <f t="shared" si="48"/>
        <v>6-10%</v>
      </c>
      <c r="O377" t="str">
        <f t="shared" si="49"/>
        <v>OK</v>
      </c>
      <c r="P377">
        <f>IFERROR(Full_Data!G377/Full_Data!H377,"Check data")</f>
        <v>0.51578947368421058</v>
      </c>
      <c r="Q377" t="str">
        <f t="shared" si="50"/>
        <v>Match</v>
      </c>
      <c r="R377" t="str">
        <f t="shared" si="51"/>
        <v>Mismatch</v>
      </c>
      <c r="S377" t="str">
        <f t="shared" si="52"/>
        <v>Mismatch</v>
      </c>
    </row>
    <row r="378" spans="1:19" x14ac:dyDescent="0.25">
      <c r="A378" t="s">
        <v>361</v>
      </c>
      <c r="B378">
        <v>7400</v>
      </c>
      <c r="C378">
        <f t="shared" si="53"/>
        <v>74</v>
      </c>
      <c r="D378">
        <v>6</v>
      </c>
      <c r="E378">
        <v>2</v>
      </c>
      <c r="F378">
        <v>6900</v>
      </c>
      <c r="G378">
        <f t="shared" si="45"/>
        <v>69</v>
      </c>
      <c r="H378">
        <v>200</v>
      </c>
      <c r="I378" s="4">
        <f>Full_Data[[#This Row],[Selling Price]]/Full_Data[[#This Row],[Weight (g)]]</f>
        <v>0.34499999999999997</v>
      </c>
      <c r="J378" t="b">
        <v>0</v>
      </c>
      <c r="K378">
        <v>200</v>
      </c>
      <c r="L378">
        <f t="shared" si="46"/>
        <v>5</v>
      </c>
      <c r="M378" t="str">
        <f t="shared" si="47"/>
        <v>Medium</v>
      </c>
      <c r="N378" t="str">
        <f t="shared" si="48"/>
        <v>6-10%</v>
      </c>
      <c r="O378" t="str">
        <f t="shared" si="49"/>
        <v>OK</v>
      </c>
      <c r="P378">
        <f>IFERROR(Full_Data!G378/Full_Data!H378,"Check data")</f>
        <v>0.34499999999999997</v>
      </c>
      <c r="Q378" t="str">
        <f t="shared" si="50"/>
        <v>Match</v>
      </c>
      <c r="R378" t="str">
        <f t="shared" si="51"/>
        <v>Mismatch</v>
      </c>
      <c r="S378" t="str">
        <f t="shared" si="52"/>
        <v>Mismatch</v>
      </c>
    </row>
    <row r="379" spans="1:19" x14ac:dyDescent="0.25">
      <c r="A379" t="s">
        <v>362</v>
      </c>
      <c r="B379">
        <v>4000</v>
      </c>
      <c r="C379">
        <f t="shared" si="53"/>
        <v>40</v>
      </c>
      <c r="D379">
        <v>2</v>
      </c>
      <c r="E379">
        <v>6</v>
      </c>
      <c r="F379">
        <v>3900</v>
      </c>
      <c r="G379">
        <f t="shared" si="45"/>
        <v>39</v>
      </c>
      <c r="H379">
        <v>48</v>
      </c>
      <c r="I379" s="4">
        <f>Full_Data[[#This Row],[Selling Price]]/Full_Data[[#This Row],[Weight (g)]]</f>
        <v>0.8125</v>
      </c>
      <c r="J379" t="b">
        <v>0</v>
      </c>
      <c r="K379">
        <v>48</v>
      </c>
      <c r="L379">
        <f t="shared" si="46"/>
        <v>1</v>
      </c>
      <c r="M379" t="str">
        <f t="shared" si="47"/>
        <v>Low</v>
      </c>
      <c r="N379" t="str">
        <f t="shared" si="48"/>
        <v>0-5%</v>
      </c>
      <c r="O379" t="str">
        <f t="shared" si="49"/>
        <v>OK</v>
      </c>
      <c r="P379">
        <f>IFERROR(Full_Data!G379/Full_Data!H379,"Check data")</f>
        <v>0.8125</v>
      </c>
      <c r="Q379" t="str">
        <f t="shared" si="50"/>
        <v>Match</v>
      </c>
      <c r="R379" t="str">
        <f t="shared" si="51"/>
        <v>Mismatch</v>
      </c>
      <c r="S379" t="str">
        <f t="shared" si="52"/>
        <v>Mismatch</v>
      </c>
    </row>
    <row r="380" spans="1:19" x14ac:dyDescent="0.25">
      <c r="A380" t="s">
        <v>363</v>
      </c>
      <c r="B380">
        <v>10200</v>
      </c>
      <c r="C380">
        <f t="shared" si="53"/>
        <v>102</v>
      </c>
      <c r="D380">
        <v>6</v>
      </c>
      <c r="E380">
        <v>6</v>
      </c>
      <c r="F380">
        <v>9500</v>
      </c>
      <c r="G380">
        <f t="shared" si="45"/>
        <v>95</v>
      </c>
      <c r="H380">
        <v>100</v>
      </c>
      <c r="I380" s="4">
        <f>Full_Data[[#This Row],[Selling Price]]/Full_Data[[#This Row],[Weight (g)]]</f>
        <v>0.95</v>
      </c>
      <c r="J380" t="b">
        <v>0</v>
      </c>
      <c r="K380">
        <v>100</v>
      </c>
      <c r="L380">
        <f t="shared" si="46"/>
        <v>7</v>
      </c>
      <c r="M380" t="str">
        <f t="shared" si="47"/>
        <v>Medium</v>
      </c>
      <c r="N380" t="str">
        <f t="shared" si="48"/>
        <v>6-10%</v>
      </c>
      <c r="O380" t="str">
        <f t="shared" si="49"/>
        <v>OK</v>
      </c>
      <c r="P380">
        <f>IFERROR(Full_Data!G380/Full_Data!H380,"Check data")</f>
        <v>0.95</v>
      </c>
      <c r="Q380" t="str">
        <f t="shared" si="50"/>
        <v>Match</v>
      </c>
      <c r="R380" t="str">
        <f t="shared" si="51"/>
        <v>Mismatch</v>
      </c>
      <c r="S380" t="str">
        <f t="shared" si="52"/>
        <v>Mismatch</v>
      </c>
    </row>
    <row r="381" spans="1:19" x14ac:dyDescent="0.25">
      <c r="A381" t="s">
        <v>364</v>
      </c>
      <c r="B381">
        <v>4900</v>
      </c>
      <c r="C381">
        <f t="shared" si="53"/>
        <v>49</v>
      </c>
      <c r="D381">
        <v>2</v>
      </c>
      <c r="E381">
        <v>6</v>
      </c>
      <c r="F381">
        <v>4800</v>
      </c>
      <c r="G381">
        <f t="shared" si="45"/>
        <v>48</v>
      </c>
      <c r="H381">
        <v>100</v>
      </c>
      <c r="I381" s="4">
        <f>Full_Data[[#This Row],[Selling Price]]/Full_Data[[#This Row],[Weight (g)]]</f>
        <v>0.48</v>
      </c>
      <c r="J381" t="b">
        <v>0</v>
      </c>
      <c r="K381">
        <v>100</v>
      </c>
      <c r="L381">
        <f t="shared" si="46"/>
        <v>1</v>
      </c>
      <c r="M381" t="str">
        <f t="shared" si="47"/>
        <v>Low</v>
      </c>
      <c r="N381" t="str">
        <f t="shared" si="48"/>
        <v>0-5%</v>
      </c>
      <c r="O381" t="str">
        <f t="shared" si="49"/>
        <v>OK</v>
      </c>
      <c r="P381">
        <f>IFERROR(Full_Data!G381/Full_Data!H381,"Check data")</f>
        <v>0.48</v>
      </c>
      <c r="Q381" t="str">
        <f t="shared" si="50"/>
        <v>Match</v>
      </c>
      <c r="R381" t="str">
        <f t="shared" si="51"/>
        <v>Mismatch</v>
      </c>
      <c r="S381" t="str">
        <f t="shared" si="52"/>
        <v>Match</v>
      </c>
    </row>
    <row r="382" spans="1:19" x14ac:dyDescent="0.25">
      <c r="A382" t="s">
        <v>365</v>
      </c>
      <c r="B382">
        <v>9000</v>
      </c>
      <c r="C382">
        <f t="shared" si="53"/>
        <v>90</v>
      </c>
      <c r="D382">
        <v>10</v>
      </c>
      <c r="E382">
        <v>6</v>
      </c>
      <c r="F382">
        <v>8100</v>
      </c>
      <c r="G382">
        <f t="shared" si="45"/>
        <v>81</v>
      </c>
      <c r="H382">
        <v>500</v>
      </c>
      <c r="I382" s="4">
        <f>Full_Data[[#This Row],[Selling Price]]/Full_Data[[#This Row],[Weight (g)]]</f>
        <v>0.16200000000000001</v>
      </c>
      <c r="J382" t="b">
        <v>0</v>
      </c>
      <c r="K382">
        <v>500</v>
      </c>
      <c r="L382">
        <f t="shared" si="46"/>
        <v>9</v>
      </c>
      <c r="M382" t="str">
        <f t="shared" si="47"/>
        <v>Medium</v>
      </c>
      <c r="N382" t="str">
        <f t="shared" si="48"/>
        <v>6-10%</v>
      </c>
      <c r="O382" t="str">
        <f t="shared" si="49"/>
        <v>OK</v>
      </c>
      <c r="P382">
        <f>IFERROR(Full_Data!G382/Full_Data!H382,"Check data")</f>
        <v>0.16200000000000001</v>
      </c>
      <c r="Q382" t="str">
        <f t="shared" si="50"/>
        <v>Match</v>
      </c>
      <c r="R382" t="str">
        <f t="shared" si="51"/>
        <v>Match</v>
      </c>
      <c r="S382" t="str">
        <f t="shared" si="52"/>
        <v>Match</v>
      </c>
    </row>
    <row r="383" spans="1:19" x14ac:dyDescent="0.25">
      <c r="A383" t="s">
        <v>366</v>
      </c>
      <c r="B383">
        <v>9500</v>
      </c>
      <c r="C383">
        <f t="shared" si="53"/>
        <v>95</v>
      </c>
      <c r="D383">
        <v>6</v>
      </c>
      <c r="E383">
        <v>5</v>
      </c>
      <c r="F383">
        <v>8900</v>
      </c>
      <c r="G383">
        <f t="shared" si="45"/>
        <v>89</v>
      </c>
      <c r="H383">
        <v>500</v>
      </c>
      <c r="I383" s="4">
        <f>Full_Data[[#This Row],[Selling Price]]/Full_Data[[#This Row],[Weight (g)]]</f>
        <v>0.17799999999999999</v>
      </c>
      <c r="J383" t="b">
        <v>0</v>
      </c>
      <c r="K383">
        <v>500</v>
      </c>
      <c r="L383">
        <f t="shared" si="46"/>
        <v>6</v>
      </c>
      <c r="M383" t="str">
        <f t="shared" si="47"/>
        <v>Medium</v>
      </c>
      <c r="N383" t="str">
        <f t="shared" si="48"/>
        <v>6-10%</v>
      </c>
      <c r="O383" t="str">
        <f t="shared" si="49"/>
        <v>OK</v>
      </c>
      <c r="P383">
        <f>IFERROR(Full_Data!G383/Full_Data!H383,"Check data")</f>
        <v>0.17799999999999999</v>
      </c>
      <c r="Q383" t="str">
        <f t="shared" si="50"/>
        <v>Match</v>
      </c>
      <c r="R383" t="str">
        <f t="shared" si="51"/>
        <v>Mismatch</v>
      </c>
      <c r="S383" t="str">
        <f t="shared" si="52"/>
        <v>Match</v>
      </c>
    </row>
    <row r="384" spans="1:19" x14ac:dyDescent="0.25">
      <c r="A384" t="s">
        <v>367</v>
      </c>
      <c r="B384">
        <v>42500</v>
      </c>
      <c r="C384">
        <f t="shared" si="53"/>
        <v>425</v>
      </c>
      <c r="D384">
        <v>20</v>
      </c>
      <c r="E384">
        <v>6</v>
      </c>
      <c r="F384">
        <v>34000</v>
      </c>
      <c r="G384">
        <f t="shared" si="45"/>
        <v>340</v>
      </c>
      <c r="H384">
        <v>200</v>
      </c>
      <c r="I384" s="4">
        <f>Full_Data[[#This Row],[Selling Price]]/Full_Data[[#This Row],[Weight (g)]]</f>
        <v>1.7</v>
      </c>
      <c r="J384" t="b">
        <v>0</v>
      </c>
      <c r="K384">
        <v>200</v>
      </c>
      <c r="L384">
        <f t="shared" si="46"/>
        <v>85</v>
      </c>
      <c r="M384" t="str">
        <f t="shared" si="47"/>
        <v>High</v>
      </c>
      <c r="N384" t="str">
        <f t="shared" si="48"/>
        <v>16-20%</v>
      </c>
      <c r="O384" t="str">
        <f t="shared" si="49"/>
        <v>OK</v>
      </c>
      <c r="P384">
        <f>IFERROR(Full_Data!G384/Full_Data!H384,"Check data")</f>
        <v>1.7</v>
      </c>
      <c r="Q384" t="str">
        <f t="shared" si="50"/>
        <v>Match</v>
      </c>
      <c r="R384" t="str">
        <f t="shared" si="51"/>
        <v>Match</v>
      </c>
      <c r="S384" t="str">
        <f t="shared" si="52"/>
        <v>Match</v>
      </c>
    </row>
    <row r="385" spans="1:19" x14ac:dyDescent="0.25">
      <c r="A385" t="s">
        <v>368</v>
      </c>
      <c r="B385">
        <v>9000</v>
      </c>
      <c r="C385">
        <f t="shared" si="53"/>
        <v>90</v>
      </c>
      <c r="D385">
        <v>10</v>
      </c>
      <c r="E385">
        <v>3</v>
      </c>
      <c r="F385">
        <v>8100</v>
      </c>
      <c r="G385">
        <f t="shared" si="45"/>
        <v>81</v>
      </c>
      <c r="H385">
        <v>20</v>
      </c>
      <c r="I385" s="4">
        <f>Full_Data[[#This Row],[Selling Price]]/Full_Data[[#This Row],[Weight (g)]]</f>
        <v>4.05</v>
      </c>
      <c r="J385" t="b">
        <v>0</v>
      </c>
      <c r="K385">
        <v>20</v>
      </c>
      <c r="L385">
        <f t="shared" si="46"/>
        <v>9</v>
      </c>
      <c r="M385" t="str">
        <f t="shared" si="47"/>
        <v>Medium</v>
      </c>
      <c r="N385" t="str">
        <f t="shared" si="48"/>
        <v>6-10%</v>
      </c>
      <c r="O385" t="str">
        <f t="shared" si="49"/>
        <v>OK</v>
      </c>
      <c r="P385">
        <f>IFERROR(Full_Data!G385/Full_Data!H385,"Check data")</f>
        <v>4.05</v>
      </c>
      <c r="Q385" t="str">
        <f t="shared" si="50"/>
        <v>Match</v>
      </c>
      <c r="R385" t="str">
        <f t="shared" si="51"/>
        <v>Match</v>
      </c>
      <c r="S385" t="str">
        <f t="shared" si="52"/>
        <v>Match</v>
      </c>
    </row>
    <row r="386" spans="1:19" x14ac:dyDescent="0.25">
      <c r="A386" t="s">
        <v>369</v>
      </c>
      <c r="B386">
        <v>23500</v>
      </c>
      <c r="C386">
        <f t="shared" si="53"/>
        <v>235</v>
      </c>
      <c r="D386">
        <v>27</v>
      </c>
      <c r="E386">
        <v>5</v>
      </c>
      <c r="F386">
        <v>17100</v>
      </c>
      <c r="G386">
        <f t="shared" ref="G386:G449" si="54">F386/100</f>
        <v>171</v>
      </c>
      <c r="H386">
        <v>1000</v>
      </c>
      <c r="I386" s="4">
        <f>Full_Data[[#This Row],[Selling Price]]/Full_Data[[#This Row],[Weight (g)]]</f>
        <v>0.17100000000000001</v>
      </c>
      <c r="J386" t="b">
        <v>0</v>
      </c>
      <c r="K386">
        <v>1</v>
      </c>
      <c r="L386">
        <f t="shared" ref="L386:L449" si="55">C386-G386</f>
        <v>64</v>
      </c>
      <c r="M386" t="str">
        <f t="shared" ref="M386:M449" si="56">IF(G386&lt;50,"Low",IF(G386&lt;200,"Medium","High"))</f>
        <v>Medium</v>
      </c>
      <c r="N386" t="str">
        <f t="shared" ref="N386:N449" si="57">IF(D386&lt;=5,"0-5%",
IF(D386&lt;=10,"6-10%",
IF(D386&lt;=15,"11-15%",
IF(D386&lt;=20,"16-20%","21%+"))))</f>
        <v>21%+</v>
      </c>
      <c r="O386" t="str">
        <f t="shared" ref="O386:O449" si="58">IF(AND(C386=0,G386=0),"Review: Zero MRP and selling price",IF(C386&lt;=0,"Review: Invalid MRP",IF(G386&lt;0,"Review: Negative selling price",IF(G386=0,"Review: Zero selling price",IF(H386&lt;=0,"Review: Invalid weight","OK")))))</f>
        <v>OK</v>
      </c>
      <c r="P386">
        <f>IFERROR(Full_Data!G386/Full_Data!H386,"Check data")</f>
        <v>0.17100000000000001</v>
      </c>
      <c r="Q386" t="str">
        <f t="shared" ref="Q386:Q449" si="59">IF(OR(H386="",H386&lt;=0),"Invalid weight",IF(G386="","Missing selling price",IF(ROUND(G386/H386,2)=ROUND(I386,2),"Match","Mismatch")))</f>
        <v>Match</v>
      </c>
      <c r="R386" t="str">
        <f t="shared" ref="R386:R449" si="60">IF(OR(C386&lt;=0,G386=""),"Check data",IF(ROUND((C386-G386)/C386*100,2)=ROUND(D386,2),"Match","Mismatch"))</f>
        <v>Mismatch</v>
      </c>
      <c r="S386" t="str">
        <f t="shared" ref="S386:S449" si="61">IF(OR(C386&lt;=0,G386=""),"Check data",IF(ROUND((C386-G386)/C386*100,0)=D386,"Match","Mismatch"))</f>
        <v>Match</v>
      </c>
    </row>
    <row r="387" spans="1:19" x14ac:dyDescent="0.25">
      <c r="A387" t="s">
        <v>370</v>
      </c>
      <c r="B387">
        <v>7600</v>
      </c>
      <c r="C387">
        <f t="shared" ref="C387:C450" si="62">B387/100</f>
        <v>76</v>
      </c>
      <c r="D387">
        <v>10</v>
      </c>
      <c r="E387">
        <v>4</v>
      </c>
      <c r="F387">
        <v>6800</v>
      </c>
      <c r="G387">
        <f t="shared" si="54"/>
        <v>68</v>
      </c>
      <c r="H387">
        <v>300</v>
      </c>
      <c r="I387" s="4">
        <f>Full_Data[[#This Row],[Selling Price]]/Full_Data[[#This Row],[Weight (g)]]</f>
        <v>0.22666666666666666</v>
      </c>
      <c r="J387" t="b">
        <v>0</v>
      </c>
      <c r="K387">
        <v>300</v>
      </c>
      <c r="L387">
        <f t="shared" si="55"/>
        <v>8</v>
      </c>
      <c r="M387" t="str">
        <f t="shared" si="56"/>
        <v>Medium</v>
      </c>
      <c r="N387" t="str">
        <f t="shared" si="57"/>
        <v>6-10%</v>
      </c>
      <c r="O387" t="str">
        <f t="shared" si="58"/>
        <v>OK</v>
      </c>
      <c r="P387">
        <f>IFERROR(Full_Data!G387/Full_Data!H387,"Check data")</f>
        <v>0.22666666666666666</v>
      </c>
      <c r="Q387" t="str">
        <f t="shared" si="59"/>
        <v>Match</v>
      </c>
      <c r="R387" t="str">
        <f t="shared" si="60"/>
        <v>Mismatch</v>
      </c>
      <c r="S387" t="str">
        <f t="shared" si="61"/>
        <v>Mismatch</v>
      </c>
    </row>
    <row r="388" spans="1:19" x14ac:dyDescent="0.25">
      <c r="A388" t="s">
        <v>371</v>
      </c>
      <c r="B388">
        <v>41000</v>
      </c>
      <c r="C388">
        <f t="shared" si="62"/>
        <v>410</v>
      </c>
      <c r="D388">
        <v>10</v>
      </c>
      <c r="E388">
        <v>6</v>
      </c>
      <c r="F388">
        <v>36900</v>
      </c>
      <c r="G388">
        <f t="shared" si="54"/>
        <v>369</v>
      </c>
      <c r="H388">
        <v>1000</v>
      </c>
      <c r="I388" s="4">
        <f>Full_Data[[#This Row],[Selling Price]]/Full_Data[[#This Row],[Weight (g)]]</f>
        <v>0.36899999999999999</v>
      </c>
      <c r="J388" t="b">
        <v>0</v>
      </c>
      <c r="K388">
        <v>1</v>
      </c>
      <c r="L388">
        <f t="shared" si="55"/>
        <v>41</v>
      </c>
      <c r="M388" t="str">
        <f t="shared" si="56"/>
        <v>High</v>
      </c>
      <c r="N388" t="str">
        <f t="shared" si="57"/>
        <v>6-10%</v>
      </c>
      <c r="O388" t="str">
        <f t="shared" si="58"/>
        <v>OK</v>
      </c>
      <c r="P388">
        <f>IFERROR(Full_Data!G388/Full_Data!H388,"Check data")</f>
        <v>0.36899999999999999</v>
      </c>
      <c r="Q388" t="str">
        <f t="shared" si="59"/>
        <v>Match</v>
      </c>
      <c r="R388" t="str">
        <f t="shared" si="60"/>
        <v>Match</v>
      </c>
      <c r="S388" t="str">
        <f t="shared" si="61"/>
        <v>Match</v>
      </c>
    </row>
    <row r="389" spans="1:19" x14ac:dyDescent="0.25">
      <c r="A389" t="s">
        <v>372</v>
      </c>
      <c r="B389">
        <v>8700</v>
      </c>
      <c r="C389">
        <f t="shared" si="62"/>
        <v>87</v>
      </c>
      <c r="D389">
        <v>6</v>
      </c>
      <c r="E389">
        <v>6</v>
      </c>
      <c r="F389">
        <v>8100</v>
      </c>
      <c r="G389">
        <f t="shared" si="54"/>
        <v>81</v>
      </c>
      <c r="H389">
        <v>500</v>
      </c>
      <c r="I389" s="4">
        <f>Full_Data[[#This Row],[Selling Price]]/Full_Data[[#This Row],[Weight (g)]]</f>
        <v>0.16200000000000001</v>
      </c>
      <c r="J389" t="b">
        <v>0</v>
      </c>
      <c r="K389">
        <v>500</v>
      </c>
      <c r="L389">
        <f t="shared" si="55"/>
        <v>6</v>
      </c>
      <c r="M389" t="str">
        <f t="shared" si="56"/>
        <v>Medium</v>
      </c>
      <c r="N389" t="str">
        <f t="shared" si="57"/>
        <v>6-10%</v>
      </c>
      <c r="O389" t="str">
        <f t="shared" si="58"/>
        <v>OK</v>
      </c>
      <c r="P389">
        <f>IFERROR(Full_Data!G389/Full_Data!H389,"Check data")</f>
        <v>0.16200000000000001</v>
      </c>
      <c r="Q389" t="str">
        <f t="shared" si="59"/>
        <v>Match</v>
      </c>
      <c r="R389" t="str">
        <f t="shared" si="60"/>
        <v>Mismatch</v>
      </c>
      <c r="S389" t="str">
        <f t="shared" si="61"/>
        <v>Mismatch</v>
      </c>
    </row>
    <row r="390" spans="1:19" x14ac:dyDescent="0.25">
      <c r="A390" t="s">
        <v>373</v>
      </c>
      <c r="B390">
        <v>42500</v>
      </c>
      <c r="C390">
        <f t="shared" si="62"/>
        <v>425</v>
      </c>
      <c r="D390">
        <v>20</v>
      </c>
      <c r="E390">
        <v>6</v>
      </c>
      <c r="F390">
        <v>34000</v>
      </c>
      <c r="G390">
        <f t="shared" si="54"/>
        <v>340</v>
      </c>
      <c r="H390">
        <v>200</v>
      </c>
      <c r="I390" s="4">
        <f>Full_Data[[#This Row],[Selling Price]]/Full_Data[[#This Row],[Weight (g)]]</f>
        <v>1.7</v>
      </c>
      <c r="J390" t="b">
        <v>0</v>
      </c>
      <c r="K390">
        <v>200</v>
      </c>
      <c r="L390">
        <f t="shared" si="55"/>
        <v>85</v>
      </c>
      <c r="M390" t="str">
        <f t="shared" si="56"/>
        <v>High</v>
      </c>
      <c r="N390" t="str">
        <f t="shared" si="57"/>
        <v>16-20%</v>
      </c>
      <c r="O390" t="str">
        <f t="shared" si="58"/>
        <v>OK</v>
      </c>
      <c r="P390">
        <f>IFERROR(Full_Data!G390/Full_Data!H390,"Check data")</f>
        <v>1.7</v>
      </c>
      <c r="Q390" t="str">
        <f t="shared" si="59"/>
        <v>Match</v>
      </c>
      <c r="R390" t="str">
        <f t="shared" si="60"/>
        <v>Match</v>
      </c>
      <c r="S390" t="str">
        <f t="shared" si="61"/>
        <v>Match</v>
      </c>
    </row>
    <row r="391" spans="1:19" x14ac:dyDescent="0.25">
      <c r="A391" t="s">
        <v>374</v>
      </c>
      <c r="B391">
        <v>8000</v>
      </c>
      <c r="C391">
        <f t="shared" si="62"/>
        <v>80</v>
      </c>
      <c r="D391">
        <v>0</v>
      </c>
      <c r="E391">
        <v>1</v>
      </c>
      <c r="F391">
        <v>8000</v>
      </c>
      <c r="G391">
        <f t="shared" si="54"/>
        <v>80</v>
      </c>
      <c r="H391">
        <v>280</v>
      </c>
      <c r="I391" s="4">
        <f>Full_Data[[#This Row],[Selling Price]]/Full_Data[[#This Row],[Weight (g)]]</f>
        <v>0.2857142857142857</v>
      </c>
      <c r="J391" t="b">
        <v>0</v>
      </c>
      <c r="K391">
        <v>280</v>
      </c>
      <c r="L391">
        <f t="shared" si="55"/>
        <v>0</v>
      </c>
      <c r="M391" t="str">
        <f t="shared" si="56"/>
        <v>Medium</v>
      </c>
      <c r="N391" t="str">
        <f t="shared" si="57"/>
        <v>0-5%</v>
      </c>
      <c r="O391" t="str">
        <f t="shared" si="58"/>
        <v>OK</v>
      </c>
      <c r="P391">
        <f>IFERROR(Full_Data!G391/Full_Data!H391,"Check data")</f>
        <v>0.2857142857142857</v>
      </c>
      <c r="Q391" t="str">
        <f t="shared" si="59"/>
        <v>Match</v>
      </c>
      <c r="R391" t="str">
        <f t="shared" si="60"/>
        <v>Match</v>
      </c>
      <c r="S391" t="str">
        <f t="shared" si="61"/>
        <v>Match</v>
      </c>
    </row>
    <row r="392" spans="1:19" x14ac:dyDescent="0.25">
      <c r="A392" t="s">
        <v>375</v>
      </c>
      <c r="B392">
        <v>9500</v>
      </c>
      <c r="C392">
        <f t="shared" si="62"/>
        <v>95</v>
      </c>
      <c r="D392">
        <v>0</v>
      </c>
      <c r="E392">
        <v>5</v>
      </c>
      <c r="F392">
        <v>9500</v>
      </c>
      <c r="G392">
        <f t="shared" si="54"/>
        <v>95</v>
      </c>
      <c r="H392">
        <v>70</v>
      </c>
      <c r="I392" s="4">
        <f>Full_Data[[#This Row],[Selling Price]]/Full_Data[[#This Row],[Weight (g)]]</f>
        <v>1.3571428571428572</v>
      </c>
      <c r="J392" t="b">
        <v>0</v>
      </c>
      <c r="K392">
        <v>70</v>
      </c>
      <c r="L392">
        <f t="shared" si="55"/>
        <v>0</v>
      </c>
      <c r="M392" t="str">
        <f t="shared" si="56"/>
        <v>Medium</v>
      </c>
      <c r="N392" t="str">
        <f t="shared" si="57"/>
        <v>0-5%</v>
      </c>
      <c r="O392" t="str">
        <f t="shared" si="58"/>
        <v>OK</v>
      </c>
      <c r="P392">
        <f>IFERROR(Full_Data!G392/Full_Data!H392,"Check data")</f>
        <v>1.3571428571428572</v>
      </c>
      <c r="Q392" t="str">
        <f t="shared" si="59"/>
        <v>Match</v>
      </c>
      <c r="R392" t="str">
        <f t="shared" si="60"/>
        <v>Match</v>
      </c>
      <c r="S392" t="str">
        <f t="shared" si="61"/>
        <v>Match</v>
      </c>
    </row>
    <row r="393" spans="1:19" x14ac:dyDescent="0.25">
      <c r="A393" t="s">
        <v>376</v>
      </c>
      <c r="B393">
        <v>24000</v>
      </c>
      <c r="C393">
        <f t="shared" si="62"/>
        <v>240</v>
      </c>
      <c r="D393">
        <v>6</v>
      </c>
      <c r="E393">
        <v>4</v>
      </c>
      <c r="F393">
        <v>22500</v>
      </c>
      <c r="G393">
        <f t="shared" si="54"/>
        <v>225</v>
      </c>
      <c r="H393">
        <v>500</v>
      </c>
      <c r="I393" s="4">
        <f>Full_Data[[#This Row],[Selling Price]]/Full_Data[[#This Row],[Weight (g)]]</f>
        <v>0.45</v>
      </c>
      <c r="J393" t="b">
        <v>0</v>
      </c>
      <c r="K393">
        <v>500</v>
      </c>
      <c r="L393">
        <f t="shared" si="55"/>
        <v>15</v>
      </c>
      <c r="M393" t="str">
        <f t="shared" si="56"/>
        <v>High</v>
      </c>
      <c r="N393" t="str">
        <f t="shared" si="57"/>
        <v>6-10%</v>
      </c>
      <c r="O393" t="str">
        <f t="shared" si="58"/>
        <v>OK</v>
      </c>
      <c r="P393">
        <f>IFERROR(Full_Data!G393/Full_Data!H393,"Check data")</f>
        <v>0.45</v>
      </c>
      <c r="Q393" t="str">
        <f t="shared" si="59"/>
        <v>Match</v>
      </c>
      <c r="R393" t="str">
        <f t="shared" si="60"/>
        <v>Mismatch</v>
      </c>
      <c r="S393" t="str">
        <f t="shared" si="61"/>
        <v>Match</v>
      </c>
    </row>
    <row r="394" spans="1:19" x14ac:dyDescent="0.25">
      <c r="A394" t="s">
        <v>377</v>
      </c>
      <c r="B394">
        <v>11000</v>
      </c>
      <c r="C394">
        <f t="shared" si="62"/>
        <v>110</v>
      </c>
      <c r="D394">
        <v>10</v>
      </c>
      <c r="E394">
        <v>6</v>
      </c>
      <c r="F394">
        <v>9900</v>
      </c>
      <c r="G394">
        <f t="shared" si="54"/>
        <v>99</v>
      </c>
      <c r="H394">
        <v>265</v>
      </c>
      <c r="I394" s="4">
        <f>Full_Data[[#This Row],[Selling Price]]/Full_Data[[#This Row],[Weight (g)]]</f>
        <v>0.37358490566037733</v>
      </c>
      <c r="J394" t="b">
        <v>0</v>
      </c>
      <c r="K394">
        <v>265</v>
      </c>
      <c r="L394">
        <f t="shared" si="55"/>
        <v>11</v>
      </c>
      <c r="M394" t="str">
        <f t="shared" si="56"/>
        <v>Medium</v>
      </c>
      <c r="N394" t="str">
        <f t="shared" si="57"/>
        <v>6-10%</v>
      </c>
      <c r="O394" t="str">
        <f t="shared" si="58"/>
        <v>OK</v>
      </c>
      <c r="P394">
        <f>IFERROR(Full_Data!G394/Full_Data!H394,"Check data")</f>
        <v>0.37358490566037733</v>
      </c>
      <c r="Q394" t="str">
        <f t="shared" si="59"/>
        <v>Match</v>
      </c>
      <c r="R394" t="str">
        <f t="shared" si="60"/>
        <v>Match</v>
      </c>
      <c r="S394" t="str">
        <f t="shared" si="61"/>
        <v>Match</v>
      </c>
    </row>
    <row r="395" spans="1:19" x14ac:dyDescent="0.25">
      <c r="A395" t="s">
        <v>378</v>
      </c>
      <c r="B395">
        <v>29900</v>
      </c>
      <c r="C395">
        <f t="shared" si="62"/>
        <v>299</v>
      </c>
      <c r="D395">
        <v>20</v>
      </c>
      <c r="E395">
        <v>6</v>
      </c>
      <c r="F395">
        <v>23900</v>
      </c>
      <c r="G395">
        <f t="shared" si="54"/>
        <v>239</v>
      </c>
      <c r="H395">
        <v>200</v>
      </c>
      <c r="I395" s="4">
        <f>Full_Data[[#This Row],[Selling Price]]/Full_Data[[#This Row],[Weight (g)]]</f>
        <v>1.1950000000000001</v>
      </c>
      <c r="J395" t="b">
        <v>0</v>
      </c>
      <c r="K395">
        <v>200</v>
      </c>
      <c r="L395">
        <f t="shared" si="55"/>
        <v>60</v>
      </c>
      <c r="M395" t="str">
        <f t="shared" si="56"/>
        <v>High</v>
      </c>
      <c r="N395" t="str">
        <f t="shared" si="57"/>
        <v>16-20%</v>
      </c>
      <c r="O395" t="str">
        <f t="shared" si="58"/>
        <v>OK</v>
      </c>
      <c r="P395">
        <f>IFERROR(Full_Data!G395/Full_Data!H395,"Check data")</f>
        <v>1.1950000000000001</v>
      </c>
      <c r="Q395" t="str">
        <f t="shared" si="59"/>
        <v>Match</v>
      </c>
      <c r="R395" t="str">
        <f t="shared" si="60"/>
        <v>Mismatch</v>
      </c>
      <c r="S395" t="str">
        <f t="shared" si="61"/>
        <v>Match</v>
      </c>
    </row>
    <row r="396" spans="1:19" x14ac:dyDescent="0.25">
      <c r="A396" t="s">
        <v>379</v>
      </c>
      <c r="B396">
        <v>25000</v>
      </c>
      <c r="C396">
        <f t="shared" si="62"/>
        <v>250</v>
      </c>
      <c r="D396">
        <v>40</v>
      </c>
      <c r="E396">
        <v>6</v>
      </c>
      <c r="F396">
        <v>14900</v>
      </c>
      <c r="G396">
        <f t="shared" si="54"/>
        <v>149</v>
      </c>
      <c r="H396">
        <v>500</v>
      </c>
      <c r="I396" s="4">
        <f>Full_Data[[#This Row],[Selling Price]]/Full_Data[[#This Row],[Weight (g)]]</f>
        <v>0.29799999999999999</v>
      </c>
      <c r="J396" t="b">
        <v>0</v>
      </c>
      <c r="K396">
        <v>500</v>
      </c>
      <c r="L396">
        <f t="shared" si="55"/>
        <v>101</v>
      </c>
      <c r="M396" t="str">
        <f t="shared" si="56"/>
        <v>Medium</v>
      </c>
      <c r="N396" t="str">
        <f t="shared" si="57"/>
        <v>21%+</v>
      </c>
      <c r="O396" t="str">
        <f t="shared" si="58"/>
        <v>OK</v>
      </c>
      <c r="P396">
        <f>IFERROR(Full_Data!G396/Full_Data!H396,"Check data")</f>
        <v>0.29799999999999999</v>
      </c>
      <c r="Q396" t="str">
        <f t="shared" si="59"/>
        <v>Match</v>
      </c>
      <c r="R396" t="str">
        <f t="shared" si="60"/>
        <v>Mismatch</v>
      </c>
      <c r="S396" t="str">
        <f t="shared" si="61"/>
        <v>Match</v>
      </c>
    </row>
    <row r="397" spans="1:19" x14ac:dyDescent="0.25">
      <c r="A397" t="s">
        <v>380</v>
      </c>
      <c r="B397">
        <v>22000</v>
      </c>
      <c r="C397">
        <f t="shared" si="62"/>
        <v>220</v>
      </c>
      <c r="D397">
        <v>50</v>
      </c>
      <c r="E397">
        <v>5</v>
      </c>
      <c r="F397">
        <v>11000</v>
      </c>
      <c r="G397">
        <f t="shared" si="54"/>
        <v>110</v>
      </c>
      <c r="H397">
        <v>200</v>
      </c>
      <c r="I397" s="4">
        <f>Full_Data[[#This Row],[Selling Price]]/Full_Data[[#This Row],[Weight (g)]]</f>
        <v>0.55000000000000004</v>
      </c>
      <c r="J397" t="b">
        <v>0</v>
      </c>
      <c r="K397">
        <v>200</v>
      </c>
      <c r="L397">
        <f t="shared" si="55"/>
        <v>110</v>
      </c>
      <c r="M397" t="str">
        <f t="shared" si="56"/>
        <v>Medium</v>
      </c>
      <c r="N397" t="str">
        <f t="shared" si="57"/>
        <v>21%+</v>
      </c>
      <c r="O397" t="str">
        <f t="shared" si="58"/>
        <v>OK</v>
      </c>
      <c r="P397">
        <f>IFERROR(Full_Data!G397/Full_Data!H397,"Check data")</f>
        <v>0.55000000000000004</v>
      </c>
      <c r="Q397" t="str">
        <f t="shared" si="59"/>
        <v>Match</v>
      </c>
      <c r="R397" t="str">
        <f t="shared" si="60"/>
        <v>Match</v>
      </c>
      <c r="S397" t="str">
        <f t="shared" si="61"/>
        <v>Match</v>
      </c>
    </row>
    <row r="398" spans="1:19" x14ac:dyDescent="0.25">
      <c r="A398" t="s">
        <v>381</v>
      </c>
      <c r="B398">
        <v>9000</v>
      </c>
      <c r="C398">
        <f t="shared" si="62"/>
        <v>90</v>
      </c>
      <c r="D398">
        <v>12</v>
      </c>
      <c r="E398">
        <v>3</v>
      </c>
      <c r="F398">
        <v>7900</v>
      </c>
      <c r="G398">
        <f t="shared" si="54"/>
        <v>79</v>
      </c>
      <c r="H398">
        <v>500</v>
      </c>
      <c r="I398" s="4">
        <f>Full_Data[[#This Row],[Selling Price]]/Full_Data[[#This Row],[Weight (g)]]</f>
        <v>0.158</v>
      </c>
      <c r="J398" t="b">
        <v>0</v>
      </c>
      <c r="K398">
        <v>500</v>
      </c>
      <c r="L398">
        <f t="shared" si="55"/>
        <v>11</v>
      </c>
      <c r="M398" t="str">
        <f t="shared" si="56"/>
        <v>Medium</v>
      </c>
      <c r="N398" t="str">
        <f t="shared" si="57"/>
        <v>11-15%</v>
      </c>
      <c r="O398" t="str">
        <f t="shared" si="58"/>
        <v>OK</v>
      </c>
      <c r="P398">
        <f>IFERROR(Full_Data!G398/Full_Data!H398,"Check data")</f>
        <v>0.158</v>
      </c>
      <c r="Q398" t="str">
        <f t="shared" si="59"/>
        <v>Match</v>
      </c>
      <c r="R398" t="str">
        <f t="shared" si="60"/>
        <v>Mismatch</v>
      </c>
      <c r="S398" t="str">
        <f t="shared" si="61"/>
        <v>Match</v>
      </c>
    </row>
    <row r="399" spans="1:19" x14ac:dyDescent="0.25">
      <c r="A399" t="s">
        <v>382</v>
      </c>
      <c r="B399">
        <v>2500</v>
      </c>
      <c r="C399">
        <f t="shared" si="62"/>
        <v>25</v>
      </c>
      <c r="D399">
        <v>0</v>
      </c>
      <c r="E399">
        <v>5</v>
      </c>
      <c r="F399">
        <v>2500</v>
      </c>
      <c r="G399">
        <f t="shared" si="54"/>
        <v>25</v>
      </c>
      <c r="H399">
        <v>100</v>
      </c>
      <c r="I399" s="4">
        <f>Full_Data[[#This Row],[Selling Price]]/Full_Data[[#This Row],[Weight (g)]]</f>
        <v>0.25</v>
      </c>
      <c r="J399" t="b">
        <v>0</v>
      </c>
      <c r="K399">
        <v>100</v>
      </c>
      <c r="L399">
        <f t="shared" si="55"/>
        <v>0</v>
      </c>
      <c r="M399" t="str">
        <f t="shared" si="56"/>
        <v>Low</v>
      </c>
      <c r="N399" t="str">
        <f t="shared" si="57"/>
        <v>0-5%</v>
      </c>
      <c r="O399" t="str">
        <f t="shared" si="58"/>
        <v>OK</v>
      </c>
      <c r="P399">
        <f>IFERROR(Full_Data!G399/Full_Data!H399,"Check data")</f>
        <v>0.25</v>
      </c>
      <c r="Q399" t="str">
        <f t="shared" si="59"/>
        <v>Match</v>
      </c>
      <c r="R399" t="str">
        <f t="shared" si="60"/>
        <v>Match</v>
      </c>
      <c r="S399" t="str">
        <f t="shared" si="61"/>
        <v>Match</v>
      </c>
    </row>
    <row r="400" spans="1:19" x14ac:dyDescent="0.25">
      <c r="A400" t="s">
        <v>383</v>
      </c>
      <c r="B400">
        <v>15000</v>
      </c>
      <c r="C400">
        <f t="shared" si="62"/>
        <v>150</v>
      </c>
      <c r="D400">
        <v>10</v>
      </c>
      <c r="E400">
        <v>5</v>
      </c>
      <c r="F400">
        <v>13400</v>
      </c>
      <c r="G400">
        <f t="shared" si="54"/>
        <v>134</v>
      </c>
      <c r="H400">
        <v>100</v>
      </c>
      <c r="I400" s="4">
        <f>Full_Data[[#This Row],[Selling Price]]/Full_Data[[#This Row],[Weight (g)]]</f>
        <v>1.34</v>
      </c>
      <c r="J400" t="b">
        <v>0</v>
      </c>
      <c r="K400">
        <v>100</v>
      </c>
      <c r="L400">
        <f t="shared" si="55"/>
        <v>16</v>
      </c>
      <c r="M400" t="str">
        <f t="shared" si="56"/>
        <v>Medium</v>
      </c>
      <c r="N400" t="str">
        <f t="shared" si="57"/>
        <v>6-10%</v>
      </c>
      <c r="O400" t="str">
        <f t="shared" si="58"/>
        <v>OK</v>
      </c>
      <c r="P400">
        <f>IFERROR(Full_Data!G400/Full_Data!H400,"Check data")</f>
        <v>1.34</v>
      </c>
      <c r="Q400" t="str">
        <f t="shared" si="59"/>
        <v>Match</v>
      </c>
      <c r="R400" t="str">
        <f t="shared" si="60"/>
        <v>Mismatch</v>
      </c>
      <c r="S400" t="str">
        <f t="shared" si="61"/>
        <v>Mismatch</v>
      </c>
    </row>
    <row r="401" spans="1:19" x14ac:dyDescent="0.25">
      <c r="A401" t="s">
        <v>384</v>
      </c>
      <c r="B401">
        <v>11000</v>
      </c>
      <c r="C401">
        <f t="shared" si="62"/>
        <v>110</v>
      </c>
      <c r="D401">
        <v>1</v>
      </c>
      <c r="E401">
        <v>5</v>
      </c>
      <c r="F401">
        <v>10800</v>
      </c>
      <c r="G401">
        <f t="shared" si="54"/>
        <v>108</v>
      </c>
      <c r="H401">
        <v>100</v>
      </c>
      <c r="I401" s="4">
        <f>Full_Data[[#This Row],[Selling Price]]/Full_Data[[#This Row],[Weight (g)]]</f>
        <v>1.08</v>
      </c>
      <c r="J401" t="b">
        <v>0</v>
      </c>
      <c r="K401">
        <v>100</v>
      </c>
      <c r="L401">
        <f t="shared" si="55"/>
        <v>2</v>
      </c>
      <c r="M401" t="str">
        <f t="shared" si="56"/>
        <v>Medium</v>
      </c>
      <c r="N401" t="str">
        <f t="shared" si="57"/>
        <v>0-5%</v>
      </c>
      <c r="O401" t="str">
        <f t="shared" si="58"/>
        <v>OK</v>
      </c>
      <c r="P401">
        <f>IFERROR(Full_Data!G401/Full_Data!H401,"Check data")</f>
        <v>1.08</v>
      </c>
      <c r="Q401" t="str">
        <f t="shared" si="59"/>
        <v>Match</v>
      </c>
      <c r="R401" t="str">
        <f t="shared" si="60"/>
        <v>Mismatch</v>
      </c>
      <c r="S401" t="str">
        <f t="shared" si="61"/>
        <v>Mismatch</v>
      </c>
    </row>
    <row r="402" spans="1:19" x14ac:dyDescent="0.25">
      <c r="A402" t="s">
        <v>385</v>
      </c>
      <c r="B402">
        <v>12500</v>
      </c>
      <c r="C402">
        <f t="shared" si="62"/>
        <v>125</v>
      </c>
      <c r="D402">
        <v>5</v>
      </c>
      <c r="E402">
        <v>6</v>
      </c>
      <c r="F402">
        <v>11800</v>
      </c>
      <c r="G402">
        <f t="shared" si="54"/>
        <v>118</v>
      </c>
      <c r="H402">
        <v>100</v>
      </c>
      <c r="I402" s="4">
        <f>Full_Data[[#This Row],[Selling Price]]/Full_Data[[#This Row],[Weight (g)]]</f>
        <v>1.18</v>
      </c>
      <c r="J402" t="b">
        <v>0</v>
      </c>
      <c r="K402">
        <v>100</v>
      </c>
      <c r="L402">
        <f t="shared" si="55"/>
        <v>7</v>
      </c>
      <c r="M402" t="str">
        <f t="shared" si="56"/>
        <v>Medium</v>
      </c>
      <c r="N402" t="str">
        <f t="shared" si="57"/>
        <v>0-5%</v>
      </c>
      <c r="O402" t="str">
        <f t="shared" si="58"/>
        <v>OK</v>
      </c>
      <c r="P402">
        <f>IFERROR(Full_Data!G402/Full_Data!H402,"Check data")</f>
        <v>1.18</v>
      </c>
      <c r="Q402" t="str">
        <f t="shared" si="59"/>
        <v>Match</v>
      </c>
      <c r="R402" t="str">
        <f t="shared" si="60"/>
        <v>Mismatch</v>
      </c>
      <c r="S402" t="str">
        <f t="shared" si="61"/>
        <v>Mismatch</v>
      </c>
    </row>
    <row r="403" spans="1:19" x14ac:dyDescent="0.25">
      <c r="A403" t="s">
        <v>386</v>
      </c>
      <c r="B403">
        <v>7500</v>
      </c>
      <c r="C403">
        <f t="shared" si="62"/>
        <v>75</v>
      </c>
      <c r="D403">
        <v>30</v>
      </c>
      <c r="E403">
        <v>6</v>
      </c>
      <c r="F403">
        <v>5200</v>
      </c>
      <c r="G403">
        <f t="shared" si="54"/>
        <v>52</v>
      </c>
      <c r="H403">
        <v>200</v>
      </c>
      <c r="I403" s="4">
        <f>Full_Data[[#This Row],[Selling Price]]/Full_Data[[#This Row],[Weight (g)]]</f>
        <v>0.26</v>
      </c>
      <c r="J403" t="b">
        <v>0</v>
      </c>
      <c r="K403">
        <v>200</v>
      </c>
      <c r="L403">
        <f t="shared" si="55"/>
        <v>23</v>
      </c>
      <c r="M403" t="str">
        <f t="shared" si="56"/>
        <v>Medium</v>
      </c>
      <c r="N403" t="str">
        <f t="shared" si="57"/>
        <v>21%+</v>
      </c>
      <c r="O403" t="str">
        <f t="shared" si="58"/>
        <v>OK</v>
      </c>
      <c r="P403">
        <f>IFERROR(Full_Data!G403/Full_Data!H403,"Check data")</f>
        <v>0.26</v>
      </c>
      <c r="Q403" t="str">
        <f t="shared" si="59"/>
        <v>Match</v>
      </c>
      <c r="R403" t="str">
        <f t="shared" si="60"/>
        <v>Mismatch</v>
      </c>
      <c r="S403" t="str">
        <f t="shared" si="61"/>
        <v>Mismatch</v>
      </c>
    </row>
    <row r="404" spans="1:19" x14ac:dyDescent="0.25">
      <c r="A404" t="s">
        <v>387</v>
      </c>
      <c r="B404">
        <v>13000</v>
      </c>
      <c r="C404">
        <f t="shared" si="62"/>
        <v>130</v>
      </c>
      <c r="D404">
        <v>4</v>
      </c>
      <c r="E404">
        <v>6</v>
      </c>
      <c r="F404">
        <v>12400</v>
      </c>
      <c r="G404">
        <f t="shared" si="54"/>
        <v>124</v>
      </c>
      <c r="H404">
        <v>285</v>
      </c>
      <c r="I404" s="4">
        <f>Full_Data[[#This Row],[Selling Price]]/Full_Data[[#This Row],[Weight (g)]]</f>
        <v>0.43508771929824563</v>
      </c>
      <c r="J404" t="b">
        <v>0</v>
      </c>
      <c r="K404">
        <v>285</v>
      </c>
      <c r="L404">
        <f t="shared" si="55"/>
        <v>6</v>
      </c>
      <c r="M404" t="str">
        <f t="shared" si="56"/>
        <v>Medium</v>
      </c>
      <c r="N404" t="str">
        <f t="shared" si="57"/>
        <v>0-5%</v>
      </c>
      <c r="O404" t="str">
        <f t="shared" si="58"/>
        <v>OK</v>
      </c>
      <c r="P404">
        <f>IFERROR(Full_Data!G404/Full_Data!H404,"Check data")</f>
        <v>0.43508771929824563</v>
      </c>
      <c r="Q404" t="str">
        <f t="shared" si="59"/>
        <v>Match</v>
      </c>
      <c r="R404" t="str">
        <f t="shared" si="60"/>
        <v>Mismatch</v>
      </c>
      <c r="S404" t="str">
        <f t="shared" si="61"/>
        <v>Mismatch</v>
      </c>
    </row>
    <row r="405" spans="1:19" x14ac:dyDescent="0.25">
      <c r="A405" t="s">
        <v>388</v>
      </c>
      <c r="B405">
        <v>4400</v>
      </c>
      <c r="C405">
        <f t="shared" si="62"/>
        <v>44</v>
      </c>
      <c r="D405">
        <v>0</v>
      </c>
      <c r="E405">
        <v>6</v>
      </c>
      <c r="F405">
        <v>4400</v>
      </c>
      <c r="G405">
        <f t="shared" si="54"/>
        <v>44</v>
      </c>
      <c r="H405">
        <v>60</v>
      </c>
      <c r="I405" s="4">
        <f>Full_Data[[#This Row],[Selling Price]]/Full_Data[[#This Row],[Weight (g)]]</f>
        <v>0.73333333333333328</v>
      </c>
      <c r="J405" t="b">
        <v>0</v>
      </c>
      <c r="K405">
        <v>60</v>
      </c>
      <c r="L405">
        <f t="shared" si="55"/>
        <v>0</v>
      </c>
      <c r="M405" t="str">
        <f t="shared" si="56"/>
        <v>Low</v>
      </c>
      <c r="N405" t="str">
        <f t="shared" si="57"/>
        <v>0-5%</v>
      </c>
      <c r="O405" t="str">
        <f t="shared" si="58"/>
        <v>OK</v>
      </c>
      <c r="P405">
        <f>IFERROR(Full_Data!G405/Full_Data!H405,"Check data")</f>
        <v>0.73333333333333328</v>
      </c>
      <c r="Q405" t="str">
        <f t="shared" si="59"/>
        <v>Match</v>
      </c>
      <c r="R405" t="str">
        <f t="shared" si="60"/>
        <v>Match</v>
      </c>
      <c r="S405" t="str">
        <f t="shared" si="61"/>
        <v>Match</v>
      </c>
    </row>
    <row r="406" spans="1:19" x14ac:dyDescent="0.25">
      <c r="A406" t="s">
        <v>389</v>
      </c>
      <c r="B406">
        <v>5000</v>
      </c>
      <c r="C406">
        <f t="shared" si="62"/>
        <v>50</v>
      </c>
      <c r="D406">
        <v>2</v>
      </c>
      <c r="E406">
        <v>5</v>
      </c>
      <c r="F406">
        <v>4900</v>
      </c>
      <c r="G406">
        <f t="shared" si="54"/>
        <v>49</v>
      </c>
      <c r="H406">
        <v>500</v>
      </c>
      <c r="I406" s="4">
        <f>Full_Data[[#This Row],[Selling Price]]/Full_Data[[#This Row],[Weight (g)]]</f>
        <v>9.8000000000000004E-2</v>
      </c>
      <c r="J406" t="b">
        <v>0</v>
      </c>
      <c r="K406">
        <v>500</v>
      </c>
      <c r="L406">
        <f t="shared" si="55"/>
        <v>1</v>
      </c>
      <c r="M406" t="str">
        <f t="shared" si="56"/>
        <v>Low</v>
      </c>
      <c r="N406" t="str">
        <f t="shared" si="57"/>
        <v>0-5%</v>
      </c>
      <c r="O406" t="str">
        <f t="shared" si="58"/>
        <v>OK</v>
      </c>
      <c r="P406">
        <f>IFERROR(Full_Data!G406/Full_Data!H406,"Check data")</f>
        <v>9.8000000000000004E-2</v>
      </c>
      <c r="Q406" t="str">
        <f t="shared" si="59"/>
        <v>Match</v>
      </c>
      <c r="R406" t="str">
        <f t="shared" si="60"/>
        <v>Match</v>
      </c>
      <c r="S406" t="str">
        <f t="shared" si="61"/>
        <v>Match</v>
      </c>
    </row>
    <row r="407" spans="1:19" x14ac:dyDescent="0.25">
      <c r="A407" t="s">
        <v>164</v>
      </c>
      <c r="B407">
        <v>24500</v>
      </c>
      <c r="C407">
        <f t="shared" si="62"/>
        <v>245</v>
      </c>
      <c r="D407">
        <v>0</v>
      </c>
      <c r="E407">
        <v>6</v>
      </c>
      <c r="F407">
        <v>24500</v>
      </c>
      <c r="G407">
        <f t="shared" si="54"/>
        <v>245</v>
      </c>
      <c r="H407">
        <v>200</v>
      </c>
      <c r="I407" s="4">
        <f>Full_Data[[#This Row],[Selling Price]]/Full_Data[[#This Row],[Weight (g)]]</f>
        <v>1.2250000000000001</v>
      </c>
      <c r="J407" t="b">
        <v>0</v>
      </c>
      <c r="K407">
        <v>200</v>
      </c>
      <c r="L407">
        <f t="shared" si="55"/>
        <v>0</v>
      </c>
      <c r="M407" t="str">
        <f t="shared" si="56"/>
        <v>High</v>
      </c>
      <c r="N407" t="str">
        <f t="shared" si="57"/>
        <v>0-5%</v>
      </c>
      <c r="O407" t="str">
        <f t="shared" si="58"/>
        <v>OK</v>
      </c>
      <c r="P407">
        <f>IFERROR(Full_Data!G407/Full_Data!H407,"Check data")</f>
        <v>1.2250000000000001</v>
      </c>
      <c r="Q407" t="str">
        <f t="shared" si="59"/>
        <v>Match</v>
      </c>
      <c r="R407" t="str">
        <f t="shared" si="60"/>
        <v>Match</v>
      </c>
      <c r="S407" t="str">
        <f t="shared" si="61"/>
        <v>Match</v>
      </c>
    </row>
    <row r="408" spans="1:19" x14ac:dyDescent="0.25">
      <c r="A408" t="s">
        <v>390</v>
      </c>
      <c r="B408">
        <v>5000</v>
      </c>
      <c r="C408">
        <f t="shared" si="62"/>
        <v>50</v>
      </c>
      <c r="D408">
        <v>6</v>
      </c>
      <c r="E408">
        <v>4</v>
      </c>
      <c r="F408">
        <v>4700</v>
      </c>
      <c r="G408">
        <f t="shared" si="54"/>
        <v>47</v>
      </c>
      <c r="H408">
        <v>100</v>
      </c>
      <c r="I408" s="4">
        <f>Full_Data[[#This Row],[Selling Price]]/Full_Data[[#This Row],[Weight (g)]]</f>
        <v>0.47</v>
      </c>
      <c r="J408" t="b">
        <v>0</v>
      </c>
      <c r="K408">
        <v>100</v>
      </c>
      <c r="L408">
        <f t="shared" si="55"/>
        <v>3</v>
      </c>
      <c r="M408" t="str">
        <f t="shared" si="56"/>
        <v>Low</v>
      </c>
      <c r="N408" t="str">
        <f t="shared" si="57"/>
        <v>6-10%</v>
      </c>
      <c r="O408" t="str">
        <f t="shared" si="58"/>
        <v>OK</v>
      </c>
      <c r="P408">
        <f>IFERROR(Full_Data!G408/Full_Data!H408,"Check data")</f>
        <v>0.47</v>
      </c>
      <c r="Q408" t="str">
        <f t="shared" si="59"/>
        <v>Match</v>
      </c>
      <c r="R408" t="str">
        <f t="shared" si="60"/>
        <v>Match</v>
      </c>
      <c r="S408" t="str">
        <f t="shared" si="61"/>
        <v>Match</v>
      </c>
    </row>
    <row r="409" spans="1:19" x14ac:dyDescent="0.25">
      <c r="A409" t="s">
        <v>391</v>
      </c>
      <c r="B409">
        <v>8000</v>
      </c>
      <c r="C409">
        <f t="shared" si="62"/>
        <v>80</v>
      </c>
      <c r="D409">
        <v>10</v>
      </c>
      <c r="E409">
        <v>6</v>
      </c>
      <c r="F409">
        <v>7200</v>
      </c>
      <c r="G409">
        <f t="shared" si="54"/>
        <v>72</v>
      </c>
      <c r="H409">
        <v>500</v>
      </c>
      <c r="I409" s="4">
        <f>Full_Data[[#This Row],[Selling Price]]/Full_Data[[#This Row],[Weight (g)]]</f>
        <v>0.14399999999999999</v>
      </c>
      <c r="J409" t="b">
        <v>0</v>
      </c>
      <c r="K409">
        <v>500</v>
      </c>
      <c r="L409">
        <f t="shared" si="55"/>
        <v>8</v>
      </c>
      <c r="M409" t="str">
        <f t="shared" si="56"/>
        <v>Medium</v>
      </c>
      <c r="N409" t="str">
        <f t="shared" si="57"/>
        <v>6-10%</v>
      </c>
      <c r="O409" t="str">
        <f t="shared" si="58"/>
        <v>OK</v>
      </c>
      <c r="P409">
        <f>IFERROR(Full_Data!G409/Full_Data!H409,"Check data")</f>
        <v>0.14399999999999999</v>
      </c>
      <c r="Q409" t="str">
        <f t="shared" si="59"/>
        <v>Match</v>
      </c>
      <c r="R409" t="str">
        <f t="shared" si="60"/>
        <v>Match</v>
      </c>
      <c r="S409" t="str">
        <f t="shared" si="61"/>
        <v>Match</v>
      </c>
    </row>
    <row r="410" spans="1:19" x14ac:dyDescent="0.25">
      <c r="A410" t="s">
        <v>392</v>
      </c>
      <c r="B410">
        <v>47500</v>
      </c>
      <c r="C410">
        <f t="shared" si="62"/>
        <v>475</v>
      </c>
      <c r="D410">
        <v>8</v>
      </c>
      <c r="E410">
        <v>2</v>
      </c>
      <c r="F410">
        <v>43700</v>
      </c>
      <c r="G410">
        <f t="shared" si="54"/>
        <v>437</v>
      </c>
      <c r="H410">
        <v>1000</v>
      </c>
      <c r="I410" s="4">
        <f>Full_Data[[#This Row],[Selling Price]]/Full_Data[[#This Row],[Weight (g)]]</f>
        <v>0.437</v>
      </c>
      <c r="J410" t="b">
        <v>0</v>
      </c>
      <c r="K410">
        <v>750</v>
      </c>
      <c r="L410">
        <f t="shared" si="55"/>
        <v>38</v>
      </c>
      <c r="M410" t="str">
        <f t="shared" si="56"/>
        <v>High</v>
      </c>
      <c r="N410" t="str">
        <f t="shared" si="57"/>
        <v>6-10%</v>
      </c>
      <c r="O410" t="str">
        <f t="shared" si="58"/>
        <v>OK</v>
      </c>
      <c r="P410">
        <f>IFERROR(Full_Data!G410/Full_Data!H410,"Check data")</f>
        <v>0.437</v>
      </c>
      <c r="Q410" t="str">
        <f t="shared" si="59"/>
        <v>Match</v>
      </c>
      <c r="R410" t="str">
        <f t="shared" si="60"/>
        <v>Match</v>
      </c>
      <c r="S410" t="str">
        <f t="shared" si="61"/>
        <v>Match</v>
      </c>
    </row>
    <row r="411" spans="1:19" x14ac:dyDescent="0.25">
      <c r="A411" t="s">
        <v>393</v>
      </c>
      <c r="B411">
        <v>15000</v>
      </c>
      <c r="C411">
        <f t="shared" si="62"/>
        <v>150</v>
      </c>
      <c r="D411">
        <v>14</v>
      </c>
      <c r="E411">
        <v>6</v>
      </c>
      <c r="F411">
        <v>12800</v>
      </c>
      <c r="G411">
        <f t="shared" si="54"/>
        <v>128</v>
      </c>
      <c r="H411">
        <v>500</v>
      </c>
      <c r="I411" s="4">
        <f>Full_Data[[#This Row],[Selling Price]]/Full_Data[[#This Row],[Weight (g)]]</f>
        <v>0.25600000000000001</v>
      </c>
      <c r="J411" t="b">
        <v>0</v>
      </c>
      <c r="K411">
        <v>500</v>
      </c>
      <c r="L411">
        <f t="shared" si="55"/>
        <v>22</v>
      </c>
      <c r="M411" t="str">
        <f t="shared" si="56"/>
        <v>Medium</v>
      </c>
      <c r="N411" t="str">
        <f t="shared" si="57"/>
        <v>11-15%</v>
      </c>
      <c r="O411" t="str">
        <f t="shared" si="58"/>
        <v>OK</v>
      </c>
      <c r="P411">
        <f>IFERROR(Full_Data!G411/Full_Data!H411,"Check data")</f>
        <v>0.25600000000000001</v>
      </c>
      <c r="Q411" t="str">
        <f t="shared" si="59"/>
        <v>Match</v>
      </c>
      <c r="R411" t="str">
        <f t="shared" si="60"/>
        <v>Mismatch</v>
      </c>
      <c r="S411" t="str">
        <f t="shared" si="61"/>
        <v>Mismatch</v>
      </c>
    </row>
    <row r="412" spans="1:19" x14ac:dyDescent="0.25">
      <c r="A412" t="s">
        <v>394</v>
      </c>
      <c r="B412">
        <v>6000</v>
      </c>
      <c r="C412">
        <f t="shared" si="62"/>
        <v>60</v>
      </c>
      <c r="D412">
        <v>5</v>
      </c>
      <c r="E412">
        <v>5</v>
      </c>
      <c r="F412">
        <v>5700</v>
      </c>
      <c r="G412">
        <f t="shared" si="54"/>
        <v>57</v>
      </c>
      <c r="H412">
        <v>200</v>
      </c>
      <c r="I412" s="4">
        <f>Full_Data[[#This Row],[Selling Price]]/Full_Data[[#This Row],[Weight (g)]]</f>
        <v>0.28499999999999998</v>
      </c>
      <c r="J412" t="b">
        <v>0</v>
      </c>
      <c r="K412">
        <v>200</v>
      </c>
      <c r="L412">
        <f t="shared" si="55"/>
        <v>3</v>
      </c>
      <c r="M412" t="str">
        <f t="shared" si="56"/>
        <v>Medium</v>
      </c>
      <c r="N412" t="str">
        <f t="shared" si="57"/>
        <v>0-5%</v>
      </c>
      <c r="O412" t="str">
        <f t="shared" si="58"/>
        <v>OK</v>
      </c>
      <c r="P412">
        <f>IFERROR(Full_Data!G412/Full_Data!H412,"Check data")</f>
        <v>0.28499999999999998</v>
      </c>
      <c r="Q412" t="str">
        <f t="shared" si="59"/>
        <v>Match</v>
      </c>
      <c r="R412" t="str">
        <f t="shared" si="60"/>
        <v>Match</v>
      </c>
      <c r="S412" t="str">
        <f t="shared" si="61"/>
        <v>Match</v>
      </c>
    </row>
    <row r="413" spans="1:19" x14ac:dyDescent="0.25">
      <c r="A413" t="s">
        <v>395</v>
      </c>
      <c r="B413">
        <v>28000</v>
      </c>
      <c r="C413">
        <f t="shared" si="62"/>
        <v>280</v>
      </c>
      <c r="D413">
        <v>7</v>
      </c>
      <c r="E413">
        <v>6</v>
      </c>
      <c r="F413">
        <v>26000</v>
      </c>
      <c r="G413">
        <f t="shared" si="54"/>
        <v>260</v>
      </c>
      <c r="H413">
        <v>100</v>
      </c>
      <c r="I413" s="4">
        <f>Full_Data[[#This Row],[Selling Price]]/Full_Data[[#This Row],[Weight (g)]]</f>
        <v>2.6</v>
      </c>
      <c r="J413" t="b">
        <v>0</v>
      </c>
      <c r="K413">
        <v>100</v>
      </c>
      <c r="L413">
        <f t="shared" si="55"/>
        <v>20</v>
      </c>
      <c r="M413" t="str">
        <f t="shared" si="56"/>
        <v>High</v>
      </c>
      <c r="N413" t="str">
        <f t="shared" si="57"/>
        <v>6-10%</v>
      </c>
      <c r="O413" t="str">
        <f t="shared" si="58"/>
        <v>OK</v>
      </c>
      <c r="P413">
        <f>IFERROR(Full_Data!G413/Full_Data!H413,"Check data")</f>
        <v>2.6</v>
      </c>
      <c r="Q413" t="str">
        <f t="shared" si="59"/>
        <v>Match</v>
      </c>
      <c r="R413" t="str">
        <f t="shared" si="60"/>
        <v>Mismatch</v>
      </c>
      <c r="S413" t="str">
        <f t="shared" si="61"/>
        <v>Match</v>
      </c>
    </row>
    <row r="414" spans="1:19" x14ac:dyDescent="0.25">
      <c r="A414" t="s">
        <v>396</v>
      </c>
      <c r="B414">
        <v>21000</v>
      </c>
      <c r="C414">
        <f t="shared" si="62"/>
        <v>210</v>
      </c>
      <c r="D414">
        <v>0</v>
      </c>
      <c r="E414">
        <v>4</v>
      </c>
      <c r="F414">
        <v>21000</v>
      </c>
      <c r="G414">
        <f t="shared" si="54"/>
        <v>210</v>
      </c>
      <c r="H414">
        <v>250</v>
      </c>
      <c r="I414" s="4">
        <f>Full_Data[[#This Row],[Selling Price]]/Full_Data[[#This Row],[Weight (g)]]</f>
        <v>0.84</v>
      </c>
      <c r="J414" t="b">
        <v>0</v>
      </c>
      <c r="K414">
        <v>250</v>
      </c>
      <c r="L414">
        <f t="shared" si="55"/>
        <v>0</v>
      </c>
      <c r="M414" t="str">
        <f t="shared" si="56"/>
        <v>High</v>
      </c>
      <c r="N414" t="str">
        <f t="shared" si="57"/>
        <v>0-5%</v>
      </c>
      <c r="O414" t="str">
        <f t="shared" si="58"/>
        <v>OK</v>
      </c>
      <c r="P414">
        <f>IFERROR(Full_Data!G414/Full_Data!H414,"Check data")</f>
        <v>0.84</v>
      </c>
      <c r="Q414" t="str">
        <f t="shared" si="59"/>
        <v>Match</v>
      </c>
      <c r="R414" t="str">
        <f t="shared" si="60"/>
        <v>Match</v>
      </c>
      <c r="S414" t="str">
        <f t="shared" si="61"/>
        <v>Match</v>
      </c>
    </row>
    <row r="415" spans="1:19" x14ac:dyDescent="0.25">
      <c r="A415" t="s">
        <v>397</v>
      </c>
      <c r="B415">
        <v>25000</v>
      </c>
      <c r="C415">
        <f t="shared" si="62"/>
        <v>250</v>
      </c>
      <c r="D415">
        <v>0</v>
      </c>
      <c r="E415">
        <v>5</v>
      </c>
      <c r="F415">
        <v>25000</v>
      </c>
      <c r="G415">
        <f t="shared" si="54"/>
        <v>250</v>
      </c>
      <c r="H415">
        <v>500</v>
      </c>
      <c r="I415" s="4">
        <f>Full_Data[[#This Row],[Selling Price]]/Full_Data[[#This Row],[Weight (g)]]</f>
        <v>0.5</v>
      </c>
      <c r="J415" t="b">
        <v>0</v>
      </c>
      <c r="K415">
        <v>500</v>
      </c>
      <c r="L415">
        <f t="shared" si="55"/>
        <v>0</v>
      </c>
      <c r="M415" t="str">
        <f t="shared" si="56"/>
        <v>High</v>
      </c>
      <c r="N415" t="str">
        <f t="shared" si="57"/>
        <v>0-5%</v>
      </c>
      <c r="O415" t="str">
        <f t="shared" si="58"/>
        <v>OK</v>
      </c>
      <c r="P415">
        <f>IFERROR(Full_Data!G415/Full_Data!H415,"Check data")</f>
        <v>0.5</v>
      </c>
      <c r="Q415" t="str">
        <f t="shared" si="59"/>
        <v>Match</v>
      </c>
      <c r="R415" t="str">
        <f t="shared" si="60"/>
        <v>Match</v>
      </c>
      <c r="S415" t="str">
        <f t="shared" si="61"/>
        <v>Match</v>
      </c>
    </row>
    <row r="416" spans="1:19" x14ac:dyDescent="0.25">
      <c r="A416" t="s">
        <v>398</v>
      </c>
      <c r="B416">
        <v>8200</v>
      </c>
      <c r="C416">
        <f t="shared" si="62"/>
        <v>82</v>
      </c>
      <c r="D416">
        <v>10</v>
      </c>
      <c r="E416">
        <v>5</v>
      </c>
      <c r="F416">
        <v>7300</v>
      </c>
      <c r="G416">
        <f t="shared" si="54"/>
        <v>73</v>
      </c>
      <c r="H416">
        <v>100</v>
      </c>
      <c r="I416" s="4">
        <f>Full_Data[[#This Row],[Selling Price]]/Full_Data[[#This Row],[Weight (g)]]</f>
        <v>0.73</v>
      </c>
      <c r="J416" t="b">
        <v>0</v>
      </c>
      <c r="K416">
        <v>100</v>
      </c>
      <c r="L416">
        <f t="shared" si="55"/>
        <v>9</v>
      </c>
      <c r="M416" t="str">
        <f t="shared" si="56"/>
        <v>Medium</v>
      </c>
      <c r="N416" t="str">
        <f t="shared" si="57"/>
        <v>6-10%</v>
      </c>
      <c r="O416" t="str">
        <f t="shared" si="58"/>
        <v>OK</v>
      </c>
      <c r="P416">
        <f>IFERROR(Full_Data!G416/Full_Data!H416,"Check data")</f>
        <v>0.73</v>
      </c>
      <c r="Q416" t="str">
        <f t="shared" si="59"/>
        <v>Match</v>
      </c>
      <c r="R416" t="str">
        <f t="shared" si="60"/>
        <v>Mismatch</v>
      </c>
      <c r="S416" t="str">
        <f t="shared" si="61"/>
        <v>Mismatch</v>
      </c>
    </row>
    <row r="417" spans="1:19" x14ac:dyDescent="0.25">
      <c r="A417" t="s">
        <v>399</v>
      </c>
      <c r="B417">
        <v>7500</v>
      </c>
      <c r="C417">
        <f t="shared" si="62"/>
        <v>75</v>
      </c>
      <c r="D417">
        <v>30</v>
      </c>
      <c r="E417">
        <v>6</v>
      </c>
      <c r="F417">
        <v>5200</v>
      </c>
      <c r="G417">
        <f t="shared" si="54"/>
        <v>52</v>
      </c>
      <c r="H417">
        <v>200</v>
      </c>
      <c r="I417" s="4">
        <f>Full_Data[[#This Row],[Selling Price]]/Full_Data[[#This Row],[Weight (g)]]</f>
        <v>0.26</v>
      </c>
      <c r="J417" t="b">
        <v>0</v>
      </c>
      <c r="K417">
        <v>200</v>
      </c>
      <c r="L417">
        <f t="shared" si="55"/>
        <v>23</v>
      </c>
      <c r="M417" t="str">
        <f t="shared" si="56"/>
        <v>Medium</v>
      </c>
      <c r="N417" t="str">
        <f t="shared" si="57"/>
        <v>21%+</v>
      </c>
      <c r="O417" t="str">
        <f t="shared" si="58"/>
        <v>OK</v>
      </c>
      <c r="P417">
        <f>IFERROR(Full_Data!G417/Full_Data!H417,"Check data")</f>
        <v>0.26</v>
      </c>
      <c r="Q417" t="str">
        <f t="shared" si="59"/>
        <v>Match</v>
      </c>
      <c r="R417" t="str">
        <f t="shared" si="60"/>
        <v>Mismatch</v>
      </c>
      <c r="S417" t="str">
        <f t="shared" si="61"/>
        <v>Mismatch</v>
      </c>
    </row>
    <row r="418" spans="1:19" x14ac:dyDescent="0.25">
      <c r="A418" t="s">
        <v>400</v>
      </c>
      <c r="B418">
        <v>27000</v>
      </c>
      <c r="C418">
        <f t="shared" si="62"/>
        <v>270</v>
      </c>
      <c r="D418">
        <v>10</v>
      </c>
      <c r="E418">
        <v>4</v>
      </c>
      <c r="F418">
        <v>24300</v>
      </c>
      <c r="G418">
        <f t="shared" si="54"/>
        <v>243</v>
      </c>
      <c r="H418">
        <v>225</v>
      </c>
      <c r="I418" s="4">
        <f>Full_Data[[#This Row],[Selling Price]]/Full_Data[[#This Row],[Weight (g)]]</f>
        <v>1.08</v>
      </c>
      <c r="J418" t="b">
        <v>0</v>
      </c>
      <c r="K418">
        <v>225</v>
      </c>
      <c r="L418">
        <f t="shared" si="55"/>
        <v>27</v>
      </c>
      <c r="M418" t="str">
        <f t="shared" si="56"/>
        <v>High</v>
      </c>
      <c r="N418" t="str">
        <f t="shared" si="57"/>
        <v>6-10%</v>
      </c>
      <c r="O418" t="str">
        <f t="shared" si="58"/>
        <v>OK</v>
      </c>
      <c r="P418">
        <f>IFERROR(Full_Data!G418/Full_Data!H418,"Check data")</f>
        <v>1.08</v>
      </c>
      <c r="Q418" t="str">
        <f t="shared" si="59"/>
        <v>Match</v>
      </c>
      <c r="R418" t="str">
        <f t="shared" si="60"/>
        <v>Match</v>
      </c>
      <c r="S418" t="str">
        <f t="shared" si="61"/>
        <v>Match</v>
      </c>
    </row>
    <row r="419" spans="1:19" x14ac:dyDescent="0.25">
      <c r="A419" t="s">
        <v>401</v>
      </c>
      <c r="B419">
        <v>4500</v>
      </c>
      <c r="C419">
        <f t="shared" si="62"/>
        <v>45</v>
      </c>
      <c r="D419">
        <v>2</v>
      </c>
      <c r="E419">
        <v>6</v>
      </c>
      <c r="F419">
        <v>4400</v>
      </c>
      <c r="G419">
        <f t="shared" si="54"/>
        <v>44</v>
      </c>
      <c r="H419">
        <v>90</v>
      </c>
      <c r="I419" s="4">
        <f>Full_Data[[#This Row],[Selling Price]]/Full_Data[[#This Row],[Weight (g)]]</f>
        <v>0.48888888888888887</v>
      </c>
      <c r="J419" t="b">
        <v>0</v>
      </c>
      <c r="K419">
        <v>90</v>
      </c>
      <c r="L419">
        <f t="shared" si="55"/>
        <v>1</v>
      </c>
      <c r="M419" t="str">
        <f t="shared" si="56"/>
        <v>Low</v>
      </c>
      <c r="N419" t="str">
        <f t="shared" si="57"/>
        <v>0-5%</v>
      </c>
      <c r="O419" t="str">
        <f t="shared" si="58"/>
        <v>OK</v>
      </c>
      <c r="P419">
        <f>IFERROR(Full_Data!G419/Full_Data!H419,"Check data")</f>
        <v>0.48888888888888887</v>
      </c>
      <c r="Q419" t="str">
        <f t="shared" si="59"/>
        <v>Match</v>
      </c>
      <c r="R419" t="str">
        <f t="shared" si="60"/>
        <v>Mismatch</v>
      </c>
      <c r="S419" t="str">
        <f t="shared" si="61"/>
        <v>Match</v>
      </c>
    </row>
    <row r="420" spans="1:19" x14ac:dyDescent="0.25">
      <c r="A420" t="s">
        <v>402</v>
      </c>
      <c r="B420">
        <v>13000</v>
      </c>
      <c r="C420">
        <f t="shared" si="62"/>
        <v>130</v>
      </c>
      <c r="D420">
        <v>10</v>
      </c>
      <c r="E420">
        <v>5</v>
      </c>
      <c r="F420">
        <v>11700</v>
      </c>
      <c r="G420">
        <f t="shared" si="54"/>
        <v>117</v>
      </c>
      <c r="H420">
        <v>100</v>
      </c>
      <c r="I420" s="4">
        <f>Full_Data[[#This Row],[Selling Price]]/Full_Data[[#This Row],[Weight (g)]]</f>
        <v>1.17</v>
      </c>
      <c r="J420" t="b">
        <v>0</v>
      </c>
      <c r="K420">
        <v>100</v>
      </c>
      <c r="L420">
        <f t="shared" si="55"/>
        <v>13</v>
      </c>
      <c r="M420" t="str">
        <f t="shared" si="56"/>
        <v>Medium</v>
      </c>
      <c r="N420" t="str">
        <f t="shared" si="57"/>
        <v>6-10%</v>
      </c>
      <c r="O420" t="str">
        <f t="shared" si="58"/>
        <v>OK</v>
      </c>
      <c r="P420">
        <f>IFERROR(Full_Data!G420/Full_Data!H420,"Check data")</f>
        <v>1.17</v>
      </c>
      <c r="Q420" t="str">
        <f t="shared" si="59"/>
        <v>Match</v>
      </c>
      <c r="R420" t="str">
        <f t="shared" si="60"/>
        <v>Match</v>
      </c>
      <c r="S420" t="str">
        <f t="shared" si="61"/>
        <v>Match</v>
      </c>
    </row>
    <row r="421" spans="1:19" x14ac:dyDescent="0.25">
      <c r="A421" t="s">
        <v>403</v>
      </c>
      <c r="B421">
        <v>38000</v>
      </c>
      <c r="C421">
        <f t="shared" si="62"/>
        <v>380</v>
      </c>
      <c r="D421">
        <v>2</v>
      </c>
      <c r="E421">
        <v>4</v>
      </c>
      <c r="F421">
        <v>37200</v>
      </c>
      <c r="G421">
        <f t="shared" si="54"/>
        <v>372</v>
      </c>
      <c r="H421">
        <v>1000</v>
      </c>
      <c r="I421" s="4">
        <f>Full_Data[[#This Row],[Selling Price]]/Full_Data[[#This Row],[Weight (g)]]</f>
        <v>0.372</v>
      </c>
      <c r="J421" t="b">
        <v>0</v>
      </c>
      <c r="K421">
        <v>1</v>
      </c>
      <c r="L421">
        <f t="shared" si="55"/>
        <v>8</v>
      </c>
      <c r="M421" t="str">
        <f t="shared" si="56"/>
        <v>High</v>
      </c>
      <c r="N421" t="str">
        <f t="shared" si="57"/>
        <v>0-5%</v>
      </c>
      <c r="O421" t="str">
        <f t="shared" si="58"/>
        <v>OK</v>
      </c>
      <c r="P421">
        <f>IFERROR(Full_Data!G421/Full_Data!H421,"Check data")</f>
        <v>0.372</v>
      </c>
      <c r="Q421" t="str">
        <f t="shared" si="59"/>
        <v>Match</v>
      </c>
      <c r="R421" t="str">
        <f t="shared" si="60"/>
        <v>Mismatch</v>
      </c>
      <c r="S421" t="str">
        <f t="shared" si="61"/>
        <v>Match</v>
      </c>
    </row>
    <row r="422" spans="1:19" x14ac:dyDescent="0.25">
      <c r="A422" t="s">
        <v>404</v>
      </c>
      <c r="B422">
        <v>7500</v>
      </c>
      <c r="C422">
        <f t="shared" si="62"/>
        <v>75</v>
      </c>
      <c r="D422">
        <v>30</v>
      </c>
      <c r="E422">
        <v>5</v>
      </c>
      <c r="F422">
        <v>5200</v>
      </c>
      <c r="G422">
        <f t="shared" si="54"/>
        <v>52</v>
      </c>
      <c r="H422">
        <v>80</v>
      </c>
      <c r="I422" s="4">
        <f>Full_Data[[#This Row],[Selling Price]]/Full_Data[[#This Row],[Weight (g)]]</f>
        <v>0.65</v>
      </c>
      <c r="J422" t="b">
        <v>0</v>
      </c>
      <c r="K422">
        <v>80</v>
      </c>
      <c r="L422">
        <f t="shared" si="55"/>
        <v>23</v>
      </c>
      <c r="M422" t="str">
        <f t="shared" si="56"/>
        <v>Medium</v>
      </c>
      <c r="N422" t="str">
        <f t="shared" si="57"/>
        <v>21%+</v>
      </c>
      <c r="O422" t="str">
        <f t="shared" si="58"/>
        <v>OK</v>
      </c>
      <c r="P422">
        <f>IFERROR(Full_Data!G422/Full_Data!H422,"Check data")</f>
        <v>0.65</v>
      </c>
      <c r="Q422" t="str">
        <f t="shared" si="59"/>
        <v>Match</v>
      </c>
      <c r="R422" t="str">
        <f t="shared" si="60"/>
        <v>Mismatch</v>
      </c>
      <c r="S422" t="str">
        <f t="shared" si="61"/>
        <v>Mismatch</v>
      </c>
    </row>
    <row r="423" spans="1:19" x14ac:dyDescent="0.25">
      <c r="A423" t="s">
        <v>405</v>
      </c>
      <c r="B423">
        <v>5000</v>
      </c>
      <c r="C423">
        <f t="shared" si="62"/>
        <v>50</v>
      </c>
      <c r="D423">
        <v>2</v>
      </c>
      <c r="E423">
        <v>6</v>
      </c>
      <c r="F423">
        <v>4900</v>
      </c>
      <c r="G423">
        <f t="shared" si="54"/>
        <v>49</v>
      </c>
      <c r="H423">
        <v>20</v>
      </c>
      <c r="I423" s="4">
        <f>Full_Data[[#This Row],[Selling Price]]/Full_Data[[#This Row],[Weight (g)]]</f>
        <v>2.4500000000000002</v>
      </c>
      <c r="J423" t="b">
        <v>0</v>
      </c>
      <c r="K423">
        <v>20</v>
      </c>
      <c r="L423">
        <f t="shared" si="55"/>
        <v>1</v>
      </c>
      <c r="M423" t="str">
        <f t="shared" si="56"/>
        <v>Low</v>
      </c>
      <c r="N423" t="str">
        <f t="shared" si="57"/>
        <v>0-5%</v>
      </c>
      <c r="O423" t="str">
        <f t="shared" si="58"/>
        <v>OK</v>
      </c>
      <c r="P423">
        <f>IFERROR(Full_Data!G423/Full_Data!H423,"Check data")</f>
        <v>2.4500000000000002</v>
      </c>
      <c r="Q423" t="str">
        <f t="shared" si="59"/>
        <v>Match</v>
      </c>
      <c r="R423" t="str">
        <f t="shared" si="60"/>
        <v>Match</v>
      </c>
      <c r="S423" t="str">
        <f t="shared" si="61"/>
        <v>Match</v>
      </c>
    </row>
    <row r="424" spans="1:19" x14ac:dyDescent="0.25">
      <c r="A424" t="s">
        <v>406</v>
      </c>
      <c r="B424">
        <v>5000</v>
      </c>
      <c r="C424">
        <f t="shared" si="62"/>
        <v>50</v>
      </c>
      <c r="D424">
        <v>6</v>
      </c>
      <c r="E424">
        <v>6</v>
      </c>
      <c r="F424">
        <v>4700</v>
      </c>
      <c r="G424">
        <f t="shared" si="54"/>
        <v>47</v>
      </c>
      <c r="H424">
        <v>200</v>
      </c>
      <c r="I424" s="4">
        <f>Full_Data[[#This Row],[Selling Price]]/Full_Data[[#This Row],[Weight (g)]]</f>
        <v>0.23499999999999999</v>
      </c>
      <c r="J424" t="b">
        <v>0</v>
      </c>
      <c r="K424">
        <v>200</v>
      </c>
      <c r="L424">
        <f t="shared" si="55"/>
        <v>3</v>
      </c>
      <c r="M424" t="str">
        <f t="shared" si="56"/>
        <v>Low</v>
      </c>
      <c r="N424" t="str">
        <f t="shared" si="57"/>
        <v>6-10%</v>
      </c>
      <c r="O424" t="str">
        <f t="shared" si="58"/>
        <v>OK</v>
      </c>
      <c r="P424">
        <f>IFERROR(Full_Data!G424/Full_Data!H424,"Check data")</f>
        <v>0.23499999999999999</v>
      </c>
      <c r="Q424" t="str">
        <f t="shared" si="59"/>
        <v>Match</v>
      </c>
      <c r="R424" t="str">
        <f t="shared" si="60"/>
        <v>Match</v>
      </c>
      <c r="S424" t="str">
        <f t="shared" si="61"/>
        <v>Match</v>
      </c>
    </row>
    <row r="425" spans="1:19" x14ac:dyDescent="0.25">
      <c r="A425" t="s">
        <v>407</v>
      </c>
      <c r="B425">
        <v>12000</v>
      </c>
      <c r="C425">
        <f t="shared" si="62"/>
        <v>120</v>
      </c>
      <c r="D425">
        <v>10</v>
      </c>
      <c r="E425">
        <v>5</v>
      </c>
      <c r="F425">
        <v>10800</v>
      </c>
      <c r="G425">
        <f t="shared" si="54"/>
        <v>108</v>
      </c>
      <c r="H425">
        <v>500</v>
      </c>
      <c r="I425" s="4">
        <f>Full_Data[[#This Row],[Selling Price]]/Full_Data[[#This Row],[Weight (g)]]</f>
        <v>0.216</v>
      </c>
      <c r="J425" t="b">
        <v>0</v>
      </c>
      <c r="K425">
        <v>500</v>
      </c>
      <c r="L425">
        <f t="shared" si="55"/>
        <v>12</v>
      </c>
      <c r="M425" t="str">
        <f t="shared" si="56"/>
        <v>Medium</v>
      </c>
      <c r="N425" t="str">
        <f t="shared" si="57"/>
        <v>6-10%</v>
      </c>
      <c r="O425" t="str">
        <f t="shared" si="58"/>
        <v>OK</v>
      </c>
      <c r="P425">
        <f>IFERROR(Full_Data!G425/Full_Data!H425,"Check data")</f>
        <v>0.216</v>
      </c>
      <c r="Q425" t="str">
        <f t="shared" si="59"/>
        <v>Match</v>
      </c>
      <c r="R425" t="str">
        <f t="shared" si="60"/>
        <v>Match</v>
      </c>
      <c r="S425" t="str">
        <f t="shared" si="61"/>
        <v>Match</v>
      </c>
    </row>
    <row r="426" spans="1:19" x14ac:dyDescent="0.25">
      <c r="A426" t="s">
        <v>408</v>
      </c>
      <c r="B426">
        <v>27600</v>
      </c>
      <c r="C426">
        <f t="shared" si="62"/>
        <v>276</v>
      </c>
      <c r="D426">
        <v>10</v>
      </c>
      <c r="E426">
        <v>6</v>
      </c>
      <c r="F426">
        <v>24800</v>
      </c>
      <c r="G426">
        <f t="shared" si="54"/>
        <v>248</v>
      </c>
      <c r="H426">
        <v>1500</v>
      </c>
      <c r="I426" s="4">
        <f>Full_Data[[#This Row],[Selling Price]]/Full_Data[[#This Row],[Weight (g)]]</f>
        <v>0.16533333333333333</v>
      </c>
      <c r="J426" t="b">
        <v>0</v>
      </c>
      <c r="K426">
        <v>1</v>
      </c>
      <c r="L426">
        <f t="shared" si="55"/>
        <v>28</v>
      </c>
      <c r="M426" t="str">
        <f t="shared" si="56"/>
        <v>High</v>
      </c>
      <c r="N426" t="str">
        <f t="shared" si="57"/>
        <v>6-10%</v>
      </c>
      <c r="O426" t="str">
        <f t="shared" si="58"/>
        <v>OK</v>
      </c>
      <c r="P426">
        <f>IFERROR(Full_Data!G426/Full_Data!H426,"Check data")</f>
        <v>0.16533333333333333</v>
      </c>
      <c r="Q426" t="str">
        <f t="shared" si="59"/>
        <v>Match</v>
      </c>
      <c r="R426" t="str">
        <f t="shared" si="60"/>
        <v>Mismatch</v>
      </c>
      <c r="S426" t="str">
        <f t="shared" si="61"/>
        <v>Match</v>
      </c>
    </row>
    <row r="427" spans="1:19" x14ac:dyDescent="0.25">
      <c r="A427" t="s">
        <v>409</v>
      </c>
      <c r="B427">
        <v>14500</v>
      </c>
      <c r="C427">
        <f t="shared" si="62"/>
        <v>145</v>
      </c>
      <c r="D427">
        <v>15</v>
      </c>
      <c r="E427">
        <v>4</v>
      </c>
      <c r="F427">
        <v>12200</v>
      </c>
      <c r="G427">
        <f t="shared" si="54"/>
        <v>122</v>
      </c>
      <c r="H427">
        <v>500</v>
      </c>
      <c r="I427" s="4">
        <f>Full_Data[[#This Row],[Selling Price]]/Full_Data[[#This Row],[Weight (g)]]</f>
        <v>0.24399999999999999</v>
      </c>
      <c r="J427" t="b">
        <v>0</v>
      </c>
      <c r="K427">
        <v>500</v>
      </c>
      <c r="L427">
        <f t="shared" si="55"/>
        <v>23</v>
      </c>
      <c r="M427" t="str">
        <f t="shared" si="56"/>
        <v>Medium</v>
      </c>
      <c r="N427" t="str">
        <f t="shared" si="57"/>
        <v>11-15%</v>
      </c>
      <c r="O427" t="str">
        <f t="shared" si="58"/>
        <v>OK</v>
      </c>
      <c r="P427">
        <f>IFERROR(Full_Data!G427/Full_Data!H427,"Check data")</f>
        <v>0.24399999999999999</v>
      </c>
      <c r="Q427" t="str">
        <f t="shared" si="59"/>
        <v>Match</v>
      </c>
      <c r="R427" t="str">
        <f t="shared" si="60"/>
        <v>Mismatch</v>
      </c>
      <c r="S427" t="str">
        <f t="shared" si="61"/>
        <v>Mismatch</v>
      </c>
    </row>
    <row r="428" spans="1:19" x14ac:dyDescent="0.25">
      <c r="A428" t="s">
        <v>410</v>
      </c>
      <c r="B428">
        <v>4000</v>
      </c>
      <c r="C428">
        <f t="shared" si="62"/>
        <v>40</v>
      </c>
      <c r="D428">
        <v>2</v>
      </c>
      <c r="E428">
        <v>2</v>
      </c>
      <c r="F428">
        <v>3900</v>
      </c>
      <c r="G428">
        <f t="shared" si="54"/>
        <v>39</v>
      </c>
      <c r="H428">
        <v>100</v>
      </c>
      <c r="I428" s="4">
        <f>Full_Data[[#This Row],[Selling Price]]/Full_Data[[#This Row],[Weight (g)]]</f>
        <v>0.39</v>
      </c>
      <c r="J428" t="b">
        <v>0</v>
      </c>
      <c r="K428">
        <v>100</v>
      </c>
      <c r="L428">
        <f t="shared" si="55"/>
        <v>1</v>
      </c>
      <c r="M428" t="str">
        <f t="shared" si="56"/>
        <v>Low</v>
      </c>
      <c r="N428" t="str">
        <f t="shared" si="57"/>
        <v>0-5%</v>
      </c>
      <c r="O428" t="str">
        <f t="shared" si="58"/>
        <v>OK</v>
      </c>
      <c r="P428">
        <f>IFERROR(Full_Data!G428/Full_Data!H428,"Check data")</f>
        <v>0.39</v>
      </c>
      <c r="Q428" t="str">
        <f t="shared" si="59"/>
        <v>Match</v>
      </c>
      <c r="R428" t="str">
        <f t="shared" si="60"/>
        <v>Mismatch</v>
      </c>
      <c r="S428" t="str">
        <f t="shared" si="61"/>
        <v>Mismatch</v>
      </c>
    </row>
    <row r="429" spans="1:19" x14ac:dyDescent="0.25">
      <c r="A429" t="s">
        <v>411</v>
      </c>
      <c r="B429">
        <v>9000</v>
      </c>
      <c r="C429">
        <f t="shared" si="62"/>
        <v>90</v>
      </c>
      <c r="D429">
        <v>10</v>
      </c>
      <c r="E429">
        <v>6</v>
      </c>
      <c r="F429">
        <v>8100</v>
      </c>
      <c r="G429">
        <f t="shared" si="54"/>
        <v>81</v>
      </c>
      <c r="H429">
        <v>500</v>
      </c>
      <c r="I429" s="4">
        <f>Full_Data[[#This Row],[Selling Price]]/Full_Data[[#This Row],[Weight (g)]]</f>
        <v>0.16200000000000001</v>
      </c>
      <c r="J429" t="b">
        <v>0</v>
      </c>
      <c r="K429">
        <v>500</v>
      </c>
      <c r="L429">
        <f t="shared" si="55"/>
        <v>9</v>
      </c>
      <c r="M429" t="str">
        <f t="shared" si="56"/>
        <v>Medium</v>
      </c>
      <c r="N429" t="str">
        <f t="shared" si="57"/>
        <v>6-10%</v>
      </c>
      <c r="O429" t="str">
        <f t="shared" si="58"/>
        <v>OK</v>
      </c>
      <c r="P429">
        <f>IFERROR(Full_Data!G429/Full_Data!H429,"Check data")</f>
        <v>0.16200000000000001</v>
      </c>
      <c r="Q429" t="str">
        <f t="shared" si="59"/>
        <v>Match</v>
      </c>
      <c r="R429" t="str">
        <f t="shared" si="60"/>
        <v>Match</v>
      </c>
      <c r="S429" t="str">
        <f t="shared" si="61"/>
        <v>Match</v>
      </c>
    </row>
    <row r="430" spans="1:19" x14ac:dyDescent="0.25">
      <c r="A430" t="s">
        <v>412</v>
      </c>
      <c r="B430">
        <v>10900</v>
      </c>
      <c r="C430">
        <f t="shared" si="62"/>
        <v>109</v>
      </c>
      <c r="D430">
        <v>17</v>
      </c>
      <c r="E430">
        <v>6</v>
      </c>
      <c r="F430">
        <v>9000</v>
      </c>
      <c r="G430">
        <f t="shared" si="54"/>
        <v>90</v>
      </c>
      <c r="H430">
        <v>45</v>
      </c>
      <c r="I430" s="4">
        <f>Full_Data[[#This Row],[Selling Price]]/Full_Data[[#This Row],[Weight (g)]]</f>
        <v>2</v>
      </c>
      <c r="J430" t="b">
        <v>0</v>
      </c>
      <c r="K430">
        <v>45</v>
      </c>
      <c r="L430">
        <f t="shared" si="55"/>
        <v>19</v>
      </c>
      <c r="M430" t="str">
        <f t="shared" si="56"/>
        <v>Medium</v>
      </c>
      <c r="N430" t="str">
        <f t="shared" si="57"/>
        <v>16-20%</v>
      </c>
      <c r="O430" t="str">
        <f t="shared" si="58"/>
        <v>OK</v>
      </c>
      <c r="P430">
        <f>IFERROR(Full_Data!G430/Full_Data!H430,"Check data")</f>
        <v>2</v>
      </c>
      <c r="Q430" t="str">
        <f t="shared" si="59"/>
        <v>Match</v>
      </c>
      <c r="R430" t="str">
        <f t="shared" si="60"/>
        <v>Mismatch</v>
      </c>
      <c r="S430" t="str">
        <f t="shared" si="61"/>
        <v>Match</v>
      </c>
    </row>
    <row r="431" spans="1:19" x14ac:dyDescent="0.25">
      <c r="A431" t="s">
        <v>413</v>
      </c>
      <c r="B431">
        <v>10900</v>
      </c>
      <c r="C431">
        <f t="shared" si="62"/>
        <v>109</v>
      </c>
      <c r="D431">
        <v>20</v>
      </c>
      <c r="E431">
        <v>6</v>
      </c>
      <c r="F431">
        <v>8700</v>
      </c>
      <c r="G431">
        <f t="shared" si="54"/>
        <v>87</v>
      </c>
      <c r="H431">
        <v>80</v>
      </c>
      <c r="I431" s="4">
        <f>Full_Data[[#This Row],[Selling Price]]/Full_Data[[#This Row],[Weight (g)]]</f>
        <v>1.0874999999999999</v>
      </c>
      <c r="J431" t="b">
        <v>0</v>
      </c>
      <c r="K431">
        <v>80</v>
      </c>
      <c r="L431">
        <f t="shared" si="55"/>
        <v>22</v>
      </c>
      <c r="M431" t="str">
        <f t="shared" si="56"/>
        <v>Medium</v>
      </c>
      <c r="N431" t="str">
        <f t="shared" si="57"/>
        <v>16-20%</v>
      </c>
      <c r="O431" t="str">
        <f t="shared" si="58"/>
        <v>OK</v>
      </c>
      <c r="P431">
        <f>IFERROR(Full_Data!G431/Full_Data!H431,"Check data")</f>
        <v>1.0874999999999999</v>
      </c>
      <c r="Q431" t="str">
        <f t="shared" si="59"/>
        <v>Match</v>
      </c>
      <c r="R431" t="str">
        <f t="shared" si="60"/>
        <v>Mismatch</v>
      </c>
      <c r="S431" t="str">
        <f t="shared" si="61"/>
        <v>Match</v>
      </c>
    </row>
    <row r="432" spans="1:19" x14ac:dyDescent="0.25">
      <c r="A432" t="s">
        <v>414</v>
      </c>
      <c r="B432">
        <v>13500</v>
      </c>
      <c r="C432">
        <f t="shared" si="62"/>
        <v>135</v>
      </c>
      <c r="D432">
        <v>7</v>
      </c>
      <c r="E432">
        <v>6</v>
      </c>
      <c r="F432">
        <v>12500</v>
      </c>
      <c r="G432">
        <f t="shared" si="54"/>
        <v>125</v>
      </c>
      <c r="H432">
        <v>500</v>
      </c>
      <c r="I432" s="4">
        <f>Full_Data[[#This Row],[Selling Price]]/Full_Data[[#This Row],[Weight (g)]]</f>
        <v>0.25</v>
      </c>
      <c r="J432" t="b">
        <v>0</v>
      </c>
      <c r="K432">
        <v>500</v>
      </c>
      <c r="L432">
        <f t="shared" si="55"/>
        <v>10</v>
      </c>
      <c r="M432" t="str">
        <f t="shared" si="56"/>
        <v>Medium</v>
      </c>
      <c r="N432" t="str">
        <f t="shared" si="57"/>
        <v>6-10%</v>
      </c>
      <c r="O432" t="str">
        <f t="shared" si="58"/>
        <v>OK</v>
      </c>
      <c r="P432">
        <f>IFERROR(Full_Data!G432/Full_Data!H432,"Check data")</f>
        <v>0.25</v>
      </c>
      <c r="Q432" t="str">
        <f t="shared" si="59"/>
        <v>Match</v>
      </c>
      <c r="R432" t="str">
        <f t="shared" si="60"/>
        <v>Mismatch</v>
      </c>
      <c r="S432" t="str">
        <f t="shared" si="61"/>
        <v>Match</v>
      </c>
    </row>
    <row r="433" spans="1:19" x14ac:dyDescent="0.25">
      <c r="A433" t="s">
        <v>415</v>
      </c>
      <c r="B433">
        <v>31000</v>
      </c>
      <c r="C433">
        <f t="shared" si="62"/>
        <v>310</v>
      </c>
      <c r="D433">
        <v>10</v>
      </c>
      <c r="E433">
        <v>6</v>
      </c>
      <c r="F433">
        <v>27600</v>
      </c>
      <c r="G433">
        <f t="shared" si="54"/>
        <v>276</v>
      </c>
      <c r="H433">
        <v>520</v>
      </c>
      <c r="I433" s="4">
        <f>Full_Data[[#This Row],[Selling Price]]/Full_Data[[#This Row],[Weight (g)]]</f>
        <v>0.53076923076923077</v>
      </c>
      <c r="J433" t="b">
        <v>0</v>
      </c>
      <c r="K433">
        <v>520</v>
      </c>
      <c r="L433">
        <f t="shared" si="55"/>
        <v>34</v>
      </c>
      <c r="M433" t="str">
        <f t="shared" si="56"/>
        <v>High</v>
      </c>
      <c r="N433" t="str">
        <f t="shared" si="57"/>
        <v>6-10%</v>
      </c>
      <c r="O433" t="str">
        <f t="shared" si="58"/>
        <v>OK</v>
      </c>
      <c r="P433">
        <f>IFERROR(Full_Data!G433/Full_Data!H433,"Check data")</f>
        <v>0.53076923076923077</v>
      </c>
      <c r="Q433" t="str">
        <f t="shared" si="59"/>
        <v>Match</v>
      </c>
      <c r="R433" t="str">
        <f t="shared" si="60"/>
        <v>Mismatch</v>
      </c>
      <c r="S433" t="str">
        <f t="shared" si="61"/>
        <v>Mismatch</v>
      </c>
    </row>
    <row r="434" spans="1:19" x14ac:dyDescent="0.25">
      <c r="A434" t="s">
        <v>416</v>
      </c>
      <c r="B434">
        <v>34000</v>
      </c>
      <c r="C434">
        <f t="shared" si="62"/>
        <v>340</v>
      </c>
      <c r="D434">
        <v>20</v>
      </c>
      <c r="E434">
        <v>6</v>
      </c>
      <c r="F434">
        <v>27200</v>
      </c>
      <c r="G434">
        <f t="shared" si="54"/>
        <v>272</v>
      </c>
      <c r="H434">
        <v>200</v>
      </c>
      <c r="I434" s="4">
        <f>Full_Data[[#This Row],[Selling Price]]/Full_Data[[#This Row],[Weight (g)]]</f>
        <v>1.36</v>
      </c>
      <c r="J434" t="b">
        <v>0</v>
      </c>
      <c r="K434">
        <v>200</v>
      </c>
      <c r="L434">
        <f t="shared" si="55"/>
        <v>68</v>
      </c>
      <c r="M434" t="str">
        <f t="shared" si="56"/>
        <v>High</v>
      </c>
      <c r="N434" t="str">
        <f t="shared" si="57"/>
        <v>16-20%</v>
      </c>
      <c r="O434" t="str">
        <f t="shared" si="58"/>
        <v>OK</v>
      </c>
      <c r="P434">
        <f>IFERROR(Full_Data!G434/Full_Data!H434,"Check data")</f>
        <v>1.36</v>
      </c>
      <c r="Q434" t="str">
        <f t="shared" si="59"/>
        <v>Match</v>
      </c>
      <c r="R434" t="str">
        <f t="shared" si="60"/>
        <v>Match</v>
      </c>
      <c r="S434" t="str">
        <f t="shared" si="61"/>
        <v>Match</v>
      </c>
    </row>
    <row r="435" spans="1:19" x14ac:dyDescent="0.25">
      <c r="A435" t="s">
        <v>417</v>
      </c>
      <c r="B435">
        <v>20500</v>
      </c>
      <c r="C435">
        <f t="shared" si="62"/>
        <v>205</v>
      </c>
      <c r="D435">
        <v>0</v>
      </c>
      <c r="E435">
        <v>2</v>
      </c>
      <c r="F435">
        <v>20500</v>
      </c>
      <c r="G435">
        <f t="shared" si="54"/>
        <v>205</v>
      </c>
      <c r="H435">
        <v>50</v>
      </c>
      <c r="I435" s="4">
        <f>Full_Data[[#This Row],[Selling Price]]/Full_Data[[#This Row],[Weight (g)]]</f>
        <v>4.0999999999999996</v>
      </c>
      <c r="J435" t="b">
        <v>0</v>
      </c>
      <c r="K435">
        <v>50</v>
      </c>
      <c r="L435">
        <f t="shared" si="55"/>
        <v>0</v>
      </c>
      <c r="M435" t="str">
        <f t="shared" si="56"/>
        <v>High</v>
      </c>
      <c r="N435" t="str">
        <f t="shared" si="57"/>
        <v>0-5%</v>
      </c>
      <c r="O435" t="str">
        <f t="shared" si="58"/>
        <v>OK</v>
      </c>
      <c r="P435">
        <f>IFERROR(Full_Data!G435/Full_Data!H435,"Check data")</f>
        <v>4.0999999999999996</v>
      </c>
      <c r="Q435" t="str">
        <f t="shared" si="59"/>
        <v>Match</v>
      </c>
      <c r="R435" t="str">
        <f t="shared" si="60"/>
        <v>Match</v>
      </c>
      <c r="S435" t="str">
        <f t="shared" si="61"/>
        <v>Match</v>
      </c>
    </row>
    <row r="436" spans="1:19" x14ac:dyDescent="0.25">
      <c r="A436" t="s">
        <v>418</v>
      </c>
      <c r="B436">
        <v>29500</v>
      </c>
      <c r="C436">
        <f t="shared" si="62"/>
        <v>295</v>
      </c>
      <c r="D436">
        <v>9</v>
      </c>
      <c r="E436">
        <v>5</v>
      </c>
      <c r="F436">
        <v>26600</v>
      </c>
      <c r="G436">
        <f t="shared" si="54"/>
        <v>266</v>
      </c>
      <c r="H436">
        <v>160</v>
      </c>
      <c r="I436" s="4">
        <f>Full_Data[[#This Row],[Selling Price]]/Full_Data[[#This Row],[Weight (g)]]</f>
        <v>1.6625000000000001</v>
      </c>
      <c r="J436" t="b">
        <v>0</v>
      </c>
      <c r="K436">
        <v>160</v>
      </c>
      <c r="L436">
        <f t="shared" si="55"/>
        <v>29</v>
      </c>
      <c r="M436" t="str">
        <f t="shared" si="56"/>
        <v>High</v>
      </c>
      <c r="N436" t="str">
        <f t="shared" si="57"/>
        <v>6-10%</v>
      </c>
      <c r="O436" t="str">
        <f t="shared" si="58"/>
        <v>OK</v>
      </c>
      <c r="P436">
        <f>IFERROR(Full_Data!G436/Full_Data!H436,"Check data")</f>
        <v>1.6625000000000001</v>
      </c>
      <c r="Q436" t="str">
        <f t="shared" si="59"/>
        <v>Match</v>
      </c>
      <c r="R436" t="str">
        <f t="shared" si="60"/>
        <v>Mismatch</v>
      </c>
      <c r="S436" t="str">
        <f t="shared" si="61"/>
        <v>Mismatch</v>
      </c>
    </row>
    <row r="437" spans="1:19" x14ac:dyDescent="0.25">
      <c r="A437" t="s">
        <v>419</v>
      </c>
      <c r="B437">
        <v>16500</v>
      </c>
      <c r="C437">
        <f t="shared" si="62"/>
        <v>165</v>
      </c>
      <c r="D437">
        <v>5</v>
      </c>
      <c r="E437">
        <v>6</v>
      </c>
      <c r="F437">
        <v>15600</v>
      </c>
      <c r="G437">
        <f t="shared" si="54"/>
        <v>156</v>
      </c>
      <c r="H437">
        <v>500</v>
      </c>
      <c r="I437" s="4">
        <f>Full_Data[[#This Row],[Selling Price]]/Full_Data[[#This Row],[Weight (g)]]</f>
        <v>0.312</v>
      </c>
      <c r="J437" t="b">
        <v>0</v>
      </c>
      <c r="K437">
        <v>500</v>
      </c>
      <c r="L437">
        <f t="shared" si="55"/>
        <v>9</v>
      </c>
      <c r="M437" t="str">
        <f t="shared" si="56"/>
        <v>Medium</v>
      </c>
      <c r="N437" t="str">
        <f t="shared" si="57"/>
        <v>0-5%</v>
      </c>
      <c r="O437" t="str">
        <f t="shared" si="58"/>
        <v>OK</v>
      </c>
      <c r="P437">
        <f>IFERROR(Full_Data!G437/Full_Data!H437,"Check data")</f>
        <v>0.312</v>
      </c>
      <c r="Q437" t="str">
        <f t="shared" si="59"/>
        <v>Match</v>
      </c>
      <c r="R437" t="str">
        <f t="shared" si="60"/>
        <v>Mismatch</v>
      </c>
      <c r="S437" t="str">
        <f t="shared" si="61"/>
        <v>Match</v>
      </c>
    </row>
    <row r="438" spans="1:19" x14ac:dyDescent="0.25">
      <c r="A438" t="s">
        <v>420</v>
      </c>
      <c r="B438">
        <v>6500</v>
      </c>
      <c r="C438">
        <f t="shared" si="62"/>
        <v>65</v>
      </c>
      <c r="D438">
        <v>6</v>
      </c>
      <c r="E438">
        <v>6</v>
      </c>
      <c r="F438">
        <v>6100</v>
      </c>
      <c r="G438">
        <f t="shared" si="54"/>
        <v>61</v>
      </c>
      <c r="H438">
        <v>180</v>
      </c>
      <c r="I438" s="4">
        <f>Full_Data[[#This Row],[Selling Price]]/Full_Data[[#This Row],[Weight (g)]]</f>
        <v>0.33888888888888891</v>
      </c>
      <c r="J438" t="b">
        <v>0</v>
      </c>
      <c r="K438">
        <v>180</v>
      </c>
      <c r="L438">
        <f t="shared" si="55"/>
        <v>4</v>
      </c>
      <c r="M438" t="str">
        <f t="shared" si="56"/>
        <v>Medium</v>
      </c>
      <c r="N438" t="str">
        <f t="shared" si="57"/>
        <v>6-10%</v>
      </c>
      <c r="O438" t="str">
        <f t="shared" si="58"/>
        <v>OK</v>
      </c>
      <c r="P438">
        <f>IFERROR(Full_Data!G438/Full_Data!H438,"Check data")</f>
        <v>0.33888888888888891</v>
      </c>
      <c r="Q438" t="str">
        <f t="shared" si="59"/>
        <v>Match</v>
      </c>
      <c r="R438" t="str">
        <f t="shared" si="60"/>
        <v>Mismatch</v>
      </c>
      <c r="S438" t="str">
        <f t="shared" si="61"/>
        <v>Match</v>
      </c>
    </row>
    <row r="439" spans="1:19" x14ac:dyDescent="0.25">
      <c r="A439" t="s">
        <v>421</v>
      </c>
      <c r="B439">
        <v>33500</v>
      </c>
      <c r="C439">
        <f t="shared" si="62"/>
        <v>335</v>
      </c>
      <c r="D439">
        <v>29</v>
      </c>
      <c r="E439">
        <v>6</v>
      </c>
      <c r="F439">
        <v>23500</v>
      </c>
      <c r="G439">
        <f t="shared" si="54"/>
        <v>235</v>
      </c>
      <c r="H439">
        <v>200</v>
      </c>
      <c r="I439" s="4">
        <f>Full_Data[[#This Row],[Selling Price]]/Full_Data[[#This Row],[Weight (g)]]</f>
        <v>1.175</v>
      </c>
      <c r="J439" t="b">
        <v>0</v>
      </c>
      <c r="K439">
        <v>200</v>
      </c>
      <c r="L439">
        <f t="shared" si="55"/>
        <v>100</v>
      </c>
      <c r="M439" t="str">
        <f t="shared" si="56"/>
        <v>High</v>
      </c>
      <c r="N439" t="str">
        <f t="shared" si="57"/>
        <v>21%+</v>
      </c>
      <c r="O439" t="str">
        <f t="shared" si="58"/>
        <v>OK</v>
      </c>
      <c r="P439">
        <f>IFERROR(Full_Data!G439/Full_Data!H439,"Check data")</f>
        <v>1.175</v>
      </c>
      <c r="Q439" t="str">
        <f t="shared" si="59"/>
        <v>Match</v>
      </c>
      <c r="R439" t="str">
        <f t="shared" si="60"/>
        <v>Mismatch</v>
      </c>
      <c r="S439" t="str">
        <f t="shared" si="61"/>
        <v>Mismatch</v>
      </c>
    </row>
    <row r="440" spans="1:19" x14ac:dyDescent="0.25">
      <c r="A440" t="s">
        <v>422</v>
      </c>
      <c r="B440">
        <v>8000</v>
      </c>
      <c r="C440">
        <f t="shared" si="62"/>
        <v>80</v>
      </c>
      <c r="D440">
        <v>0</v>
      </c>
      <c r="E440">
        <v>5</v>
      </c>
      <c r="F440">
        <v>8000</v>
      </c>
      <c r="G440">
        <f t="shared" si="54"/>
        <v>80</v>
      </c>
      <c r="H440">
        <v>100</v>
      </c>
      <c r="I440" s="4">
        <f>Full_Data[[#This Row],[Selling Price]]/Full_Data[[#This Row],[Weight (g)]]</f>
        <v>0.8</v>
      </c>
      <c r="J440" t="b">
        <v>0</v>
      </c>
      <c r="K440">
        <v>100</v>
      </c>
      <c r="L440">
        <f t="shared" si="55"/>
        <v>0</v>
      </c>
      <c r="M440" t="str">
        <f t="shared" si="56"/>
        <v>Medium</v>
      </c>
      <c r="N440" t="str">
        <f t="shared" si="57"/>
        <v>0-5%</v>
      </c>
      <c r="O440" t="str">
        <f t="shared" si="58"/>
        <v>OK</v>
      </c>
      <c r="P440">
        <f>IFERROR(Full_Data!G440/Full_Data!H440,"Check data")</f>
        <v>0.8</v>
      </c>
      <c r="Q440" t="str">
        <f t="shared" si="59"/>
        <v>Match</v>
      </c>
      <c r="R440" t="str">
        <f t="shared" si="60"/>
        <v>Match</v>
      </c>
      <c r="S440" t="str">
        <f t="shared" si="61"/>
        <v>Match</v>
      </c>
    </row>
    <row r="441" spans="1:19" x14ac:dyDescent="0.25">
      <c r="A441" t="s">
        <v>423</v>
      </c>
      <c r="B441">
        <v>11000</v>
      </c>
      <c r="C441">
        <f t="shared" si="62"/>
        <v>110</v>
      </c>
      <c r="D441">
        <v>5</v>
      </c>
      <c r="E441">
        <v>6</v>
      </c>
      <c r="F441">
        <v>10400</v>
      </c>
      <c r="G441">
        <f t="shared" si="54"/>
        <v>104</v>
      </c>
      <c r="H441">
        <v>400</v>
      </c>
      <c r="I441" s="4">
        <f>Full_Data[[#This Row],[Selling Price]]/Full_Data[[#This Row],[Weight (g)]]</f>
        <v>0.26</v>
      </c>
      <c r="J441" t="b">
        <v>0</v>
      </c>
      <c r="K441">
        <v>400</v>
      </c>
      <c r="L441">
        <f t="shared" si="55"/>
        <v>6</v>
      </c>
      <c r="M441" t="str">
        <f t="shared" si="56"/>
        <v>Medium</v>
      </c>
      <c r="N441" t="str">
        <f t="shared" si="57"/>
        <v>0-5%</v>
      </c>
      <c r="O441" t="str">
        <f t="shared" si="58"/>
        <v>OK</v>
      </c>
      <c r="P441">
        <f>IFERROR(Full_Data!G441/Full_Data!H441,"Check data")</f>
        <v>0.26</v>
      </c>
      <c r="Q441" t="str">
        <f t="shared" si="59"/>
        <v>Match</v>
      </c>
      <c r="R441" t="str">
        <f t="shared" si="60"/>
        <v>Mismatch</v>
      </c>
      <c r="S441" t="str">
        <f t="shared" si="61"/>
        <v>Match</v>
      </c>
    </row>
    <row r="442" spans="1:19" x14ac:dyDescent="0.25">
      <c r="A442" t="s">
        <v>161</v>
      </c>
      <c r="B442">
        <v>14700</v>
      </c>
      <c r="C442">
        <f t="shared" si="62"/>
        <v>147</v>
      </c>
      <c r="D442">
        <v>10</v>
      </c>
      <c r="E442">
        <v>6</v>
      </c>
      <c r="F442">
        <v>13200</v>
      </c>
      <c r="G442">
        <f t="shared" si="54"/>
        <v>132</v>
      </c>
      <c r="H442">
        <v>200</v>
      </c>
      <c r="I442" s="4">
        <f>Full_Data[[#This Row],[Selling Price]]/Full_Data[[#This Row],[Weight (g)]]</f>
        <v>0.66</v>
      </c>
      <c r="J442" t="b">
        <v>0</v>
      </c>
      <c r="K442">
        <v>200</v>
      </c>
      <c r="L442">
        <f t="shared" si="55"/>
        <v>15</v>
      </c>
      <c r="M442" t="str">
        <f t="shared" si="56"/>
        <v>Medium</v>
      </c>
      <c r="N442" t="str">
        <f t="shared" si="57"/>
        <v>6-10%</v>
      </c>
      <c r="O442" t="str">
        <f t="shared" si="58"/>
        <v>OK</v>
      </c>
      <c r="P442">
        <f>IFERROR(Full_Data!G442/Full_Data!H442,"Check data")</f>
        <v>0.66</v>
      </c>
      <c r="Q442" t="str">
        <f t="shared" si="59"/>
        <v>Match</v>
      </c>
      <c r="R442" t="str">
        <f t="shared" si="60"/>
        <v>Mismatch</v>
      </c>
      <c r="S442" t="str">
        <f t="shared" si="61"/>
        <v>Match</v>
      </c>
    </row>
    <row r="443" spans="1:19" x14ac:dyDescent="0.25">
      <c r="A443" t="s">
        <v>424</v>
      </c>
      <c r="B443">
        <v>9000</v>
      </c>
      <c r="C443">
        <f t="shared" si="62"/>
        <v>90</v>
      </c>
      <c r="D443">
        <v>4</v>
      </c>
      <c r="E443">
        <v>6</v>
      </c>
      <c r="F443">
        <v>8600</v>
      </c>
      <c r="G443">
        <f t="shared" si="54"/>
        <v>86</v>
      </c>
      <c r="H443">
        <v>200</v>
      </c>
      <c r="I443" s="4">
        <f>Full_Data[[#This Row],[Selling Price]]/Full_Data[[#This Row],[Weight (g)]]</f>
        <v>0.43</v>
      </c>
      <c r="J443" t="b">
        <v>0</v>
      </c>
      <c r="K443">
        <v>200</v>
      </c>
      <c r="L443">
        <f t="shared" si="55"/>
        <v>4</v>
      </c>
      <c r="M443" t="str">
        <f t="shared" si="56"/>
        <v>Medium</v>
      </c>
      <c r="N443" t="str">
        <f t="shared" si="57"/>
        <v>0-5%</v>
      </c>
      <c r="O443" t="str">
        <f t="shared" si="58"/>
        <v>OK</v>
      </c>
      <c r="P443">
        <f>IFERROR(Full_Data!G443/Full_Data!H443,"Check data")</f>
        <v>0.43</v>
      </c>
      <c r="Q443" t="str">
        <f t="shared" si="59"/>
        <v>Match</v>
      </c>
      <c r="R443" t="str">
        <f t="shared" si="60"/>
        <v>Mismatch</v>
      </c>
      <c r="S443" t="str">
        <f t="shared" si="61"/>
        <v>Match</v>
      </c>
    </row>
    <row r="444" spans="1:19" x14ac:dyDescent="0.25">
      <c r="A444" t="s">
        <v>425</v>
      </c>
      <c r="B444">
        <v>6500</v>
      </c>
      <c r="C444">
        <f t="shared" si="62"/>
        <v>65</v>
      </c>
      <c r="D444">
        <v>10</v>
      </c>
      <c r="E444">
        <v>6</v>
      </c>
      <c r="F444">
        <v>5800</v>
      </c>
      <c r="G444">
        <f t="shared" si="54"/>
        <v>58</v>
      </c>
      <c r="H444">
        <v>100</v>
      </c>
      <c r="I444" s="4">
        <f>Full_Data[[#This Row],[Selling Price]]/Full_Data[[#This Row],[Weight (g)]]</f>
        <v>0.57999999999999996</v>
      </c>
      <c r="J444" t="b">
        <v>0</v>
      </c>
      <c r="K444">
        <v>100</v>
      </c>
      <c r="L444">
        <f t="shared" si="55"/>
        <v>7</v>
      </c>
      <c r="M444" t="str">
        <f t="shared" si="56"/>
        <v>Medium</v>
      </c>
      <c r="N444" t="str">
        <f t="shared" si="57"/>
        <v>6-10%</v>
      </c>
      <c r="O444" t="str">
        <f t="shared" si="58"/>
        <v>OK</v>
      </c>
      <c r="P444">
        <f>IFERROR(Full_Data!G444/Full_Data!H444,"Check data")</f>
        <v>0.57999999999999996</v>
      </c>
      <c r="Q444" t="str">
        <f t="shared" si="59"/>
        <v>Match</v>
      </c>
      <c r="R444" t="str">
        <f t="shared" si="60"/>
        <v>Mismatch</v>
      </c>
      <c r="S444" t="str">
        <f t="shared" si="61"/>
        <v>Mismatch</v>
      </c>
    </row>
    <row r="445" spans="1:19" x14ac:dyDescent="0.25">
      <c r="A445" t="s">
        <v>426</v>
      </c>
      <c r="B445">
        <v>7000</v>
      </c>
      <c r="C445">
        <f t="shared" si="62"/>
        <v>70</v>
      </c>
      <c r="D445">
        <v>10</v>
      </c>
      <c r="E445">
        <v>6</v>
      </c>
      <c r="F445">
        <v>6300</v>
      </c>
      <c r="G445">
        <f t="shared" si="54"/>
        <v>63</v>
      </c>
      <c r="H445">
        <v>500</v>
      </c>
      <c r="I445" s="4">
        <f>Full_Data[[#This Row],[Selling Price]]/Full_Data[[#This Row],[Weight (g)]]</f>
        <v>0.126</v>
      </c>
      <c r="J445" t="b">
        <v>0</v>
      </c>
      <c r="K445">
        <v>500</v>
      </c>
      <c r="L445">
        <f t="shared" si="55"/>
        <v>7</v>
      </c>
      <c r="M445" t="str">
        <f t="shared" si="56"/>
        <v>Medium</v>
      </c>
      <c r="N445" t="str">
        <f t="shared" si="57"/>
        <v>6-10%</v>
      </c>
      <c r="O445" t="str">
        <f t="shared" si="58"/>
        <v>OK</v>
      </c>
      <c r="P445">
        <f>IFERROR(Full_Data!G445/Full_Data!H445,"Check data")</f>
        <v>0.126</v>
      </c>
      <c r="Q445" t="str">
        <f t="shared" si="59"/>
        <v>Match</v>
      </c>
      <c r="R445" t="str">
        <f t="shared" si="60"/>
        <v>Match</v>
      </c>
      <c r="S445" t="str">
        <f t="shared" si="61"/>
        <v>Match</v>
      </c>
    </row>
    <row r="446" spans="1:19" x14ac:dyDescent="0.25">
      <c r="A446" t="s">
        <v>427</v>
      </c>
      <c r="B446">
        <v>13500</v>
      </c>
      <c r="C446">
        <f t="shared" si="62"/>
        <v>135</v>
      </c>
      <c r="D446">
        <v>7</v>
      </c>
      <c r="E446">
        <v>6</v>
      </c>
      <c r="F446">
        <v>12500</v>
      </c>
      <c r="G446">
        <f t="shared" si="54"/>
        <v>125</v>
      </c>
      <c r="H446">
        <v>1000</v>
      </c>
      <c r="I446" s="4">
        <f>Full_Data[[#This Row],[Selling Price]]/Full_Data[[#This Row],[Weight (g)]]</f>
        <v>0.125</v>
      </c>
      <c r="J446" t="b">
        <v>0</v>
      </c>
      <c r="K446">
        <v>1</v>
      </c>
      <c r="L446">
        <f t="shared" si="55"/>
        <v>10</v>
      </c>
      <c r="M446" t="str">
        <f t="shared" si="56"/>
        <v>Medium</v>
      </c>
      <c r="N446" t="str">
        <f t="shared" si="57"/>
        <v>6-10%</v>
      </c>
      <c r="O446" t="str">
        <f t="shared" si="58"/>
        <v>OK</v>
      </c>
      <c r="P446">
        <f>IFERROR(Full_Data!G446/Full_Data!H446,"Check data")</f>
        <v>0.125</v>
      </c>
      <c r="Q446" t="str">
        <f t="shared" si="59"/>
        <v>Match</v>
      </c>
      <c r="R446" t="str">
        <f t="shared" si="60"/>
        <v>Mismatch</v>
      </c>
      <c r="S446" t="str">
        <f t="shared" si="61"/>
        <v>Match</v>
      </c>
    </row>
    <row r="447" spans="1:19" x14ac:dyDescent="0.25">
      <c r="A447" t="s">
        <v>428</v>
      </c>
      <c r="B447">
        <v>14000</v>
      </c>
      <c r="C447">
        <f t="shared" si="62"/>
        <v>140</v>
      </c>
      <c r="D447">
        <v>0</v>
      </c>
      <c r="E447">
        <v>5</v>
      </c>
      <c r="F447">
        <v>14000</v>
      </c>
      <c r="G447">
        <f t="shared" si="54"/>
        <v>140</v>
      </c>
      <c r="H447">
        <v>1000</v>
      </c>
      <c r="I447" s="4">
        <f>Full_Data[[#This Row],[Selling Price]]/Full_Data[[#This Row],[Weight (g)]]</f>
        <v>0.14000000000000001</v>
      </c>
      <c r="J447" t="b">
        <v>0</v>
      </c>
      <c r="K447">
        <v>1</v>
      </c>
      <c r="L447">
        <f t="shared" si="55"/>
        <v>0</v>
      </c>
      <c r="M447" t="str">
        <f t="shared" si="56"/>
        <v>Medium</v>
      </c>
      <c r="N447" t="str">
        <f t="shared" si="57"/>
        <v>0-5%</v>
      </c>
      <c r="O447" t="str">
        <f t="shared" si="58"/>
        <v>OK</v>
      </c>
      <c r="P447">
        <f>IFERROR(Full_Data!G447/Full_Data!H447,"Check data")</f>
        <v>0.14000000000000001</v>
      </c>
      <c r="Q447" t="str">
        <f t="shared" si="59"/>
        <v>Match</v>
      </c>
      <c r="R447" t="str">
        <f t="shared" si="60"/>
        <v>Match</v>
      </c>
      <c r="S447" t="str">
        <f t="shared" si="61"/>
        <v>Match</v>
      </c>
    </row>
    <row r="448" spans="1:19" x14ac:dyDescent="0.25">
      <c r="A448" t="s">
        <v>429</v>
      </c>
      <c r="B448">
        <v>4400</v>
      </c>
      <c r="C448">
        <f t="shared" si="62"/>
        <v>44</v>
      </c>
      <c r="D448">
        <v>0</v>
      </c>
      <c r="E448">
        <v>6</v>
      </c>
      <c r="F448">
        <v>4400</v>
      </c>
      <c r="G448">
        <f t="shared" si="54"/>
        <v>44</v>
      </c>
      <c r="H448">
        <v>60</v>
      </c>
      <c r="I448" s="4">
        <f>Full_Data[[#This Row],[Selling Price]]/Full_Data[[#This Row],[Weight (g)]]</f>
        <v>0.73333333333333328</v>
      </c>
      <c r="J448" t="b">
        <v>0</v>
      </c>
      <c r="K448">
        <v>60</v>
      </c>
      <c r="L448">
        <f t="shared" si="55"/>
        <v>0</v>
      </c>
      <c r="M448" t="str">
        <f t="shared" si="56"/>
        <v>Low</v>
      </c>
      <c r="N448" t="str">
        <f t="shared" si="57"/>
        <v>0-5%</v>
      </c>
      <c r="O448" t="str">
        <f t="shared" si="58"/>
        <v>OK</v>
      </c>
      <c r="P448">
        <f>IFERROR(Full_Data!G448/Full_Data!H448,"Check data")</f>
        <v>0.73333333333333328</v>
      </c>
      <c r="Q448" t="str">
        <f t="shared" si="59"/>
        <v>Match</v>
      </c>
      <c r="R448" t="str">
        <f t="shared" si="60"/>
        <v>Match</v>
      </c>
      <c r="S448" t="str">
        <f t="shared" si="61"/>
        <v>Match</v>
      </c>
    </row>
    <row r="449" spans="1:19" x14ac:dyDescent="0.25">
      <c r="A449" t="s">
        <v>430</v>
      </c>
      <c r="B449">
        <v>20000</v>
      </c>
      <c r="C449">
        <f t="shared" si="62"/>
        <v>200</v>
      </c>
      <c r="D449">
        <v>11</v>
      </c>
      <c r="E449">
        <v>6</v>
      </c>
      <c r="F449">
        <v>17800</v>
      </c>
      <c r="G449">
        <f t="shared" si="54"/>
        <v>178</v>
      </c>
      <c r="H449">
        <v>264</v>
      </c>
      <c r="I449" s="4">
        <f>Full_Data[[#This Row],[Selling Price]]/Full_Data[[#This Row],[Weight (g)]]</f>
        <v>0.6742424242424242</v>
      </c>
      <c r="J449" t="b">
        <v>0</v>
      </c>
      <c r="K449">
        <v>264</v>
      </c>
      <c r="L449">
        <f t="shared" si="55"/>
        <v>22</v>
      </c>
      <c r="M449" t="str">
        <f t="shared" si="56"/>
        <v>Medium</v>
      </c>
      <c r="N449" t="str">
        <f t="shared" si="57"/>
        <v>11-15%</v>
      </c>
      <c r="O449" t="str">
        <f t="shared" si="58"/>
        <v>OK</v>
      </c>
      <c r="P449">
        <f>IFERROR(Full_Data!G449/Full_Data!H449,"Check data")</f>
        <v>0.6742424242424242</v>
      </c>
      <c r="Q449" t="str">
        <f t="shared" si="59"/>
        <v>Match</v>
      </c>
      <c r="R449" t="str">
        <f t="shared" si="60"/>
        <v>Match</v>
      </c>
      <c r="S449" t="str">
        <f t="shared" si="61"/>
        <v>Match</v>
      </c>
    </row>
    <row r="450" spans="1:19" x14ac:dyDescent="0.25">
      <c r="A450" t="s">
        <v>303</v>
      </c>
      <c r="B450">
        <v>6000</v>
      </c>
      <c r="C450">
        <f t="shared" si="62"/>
        <v>60</v>
      </c>
      <c r="D450">
        <v>10</v>
      </c>
      <c r="E450">
        <v>5</v>
      </c>
      <c r="F450">
        <v>5400</v>
      </c>
      <c r="G450">
        <f t="shared" ref="G450:G513" si="63">F450/100</f>
        <v>54</v>
      </c>
      <c r="H450">
        <v>108</v>
      </c>
      <c r="I450" s="4">
        <f>Full_Data[[#This Row],[Selling Price]]/Full_Data[[#This Row],[Weight (g)]]</f>
        <v>0.5</v>
      </c>
      <c r="J450" t="b">
        <v>0</v>
      </c>
      <c r="K450">
        <v>108</v>
      </c>
      <c r="L450">
        <f t="shared" ref="L450:L513" si="64">C450-G450</f>
        <v>6</v>
      </c>
      <c r="M450" t="str">
        <f t="shared" ref="M450:M513" si="65">IF(G450&lt;50,"Low",IF(G450&lt;200,"Medium","High"))</f>
        <v>Medium</v>
      </c>
      <c r="N450" t="str">
        <f t="shared" ref="N450:N513" si="66">IF(D450&lt;=5,"0-5%",
IF(D450&lt;=10,"6-10%",
IF(D450&lt;=15,"11-15%",
IF(D450&lt;=20,"16-20%","21%+"))))</f>
        <v>6-10%</v>
      </c>
      <c r="O450" t="str">
        <f t="shared" ref="O450:O513" si="67">IF(AND(C450=0,G450=0),"Review: Zero MRP and selling price",IF(C450&lt;=0,"Review: Invalid MRP",IF(G450&lt;0,"Review: Negative selling price",IF(G450=0,"Review: Zero selling price",IF(H450&lt;=0,"Review: Invalid weight","OK")))))</f>
        <v>OK</v>
      </c>
      <c r="P450">
        <f>IFERROR(Full_Data!G450/Full_Data!H450,"Check data")</f>
        <v>0.5</v>
      </c>
      <c r="Q450" t="str">
        <f t="shared" ref="Q450:Q513" si="68">IF(OR(H450="",H450&lt;=0),"Invalid weight",IF(G450="","Missing selling price",IF(ROUND(G450/H450,2)=ROUND(I450,2),"Match","Mismatch")))</f>
        <v>Match</v>
      </c>
      <c r="R450" t="str">
        <f t="shared" ref="R450:R513" si="69">IF(OR(C450&lt;=0,G450=""),"Check data",IF(ROUND((C450-G450)/C450*100,2)=ROUND(D450,2),"Match","Mismatch"))</f>
        <v>Match</v>
      </c>
      <c r="S450" t="str">
        <f t="shared" ref="S450:S513" si="70">IF(OR(C450&lt;=0,G450=""),"Check data",IF(ROUND((C450-G450)/C450*100,0)=D450,"Match","Mismatch"))</f>
        <v>Match</v>
      </c>
    </row>
    <row r="451" spans="1:19" x14ac:dyDescent="0.25">
      <c r="A451" t="s">
        <v>431</v>
      </c>
      <c r="B451">
        <v>10000</v>
      </c>
      <c r="C451">
        <f t="shared" ref="C451:C514" si="71">B451/100</f>
        <v>100</v>
      </c>
      <c r="D451">
        <v>0</v>
      </c>
      <c r="E451">
        <v>1</v>
      </c>
      <c r="F451">
        <v>10000</v>
      </c>
      <c r="G451">
        <f t="shared" si="63"/>
        <v>100</v>
      </c>
      <c r="H451">
        <v>50</v>
      </c>
      <c r="I451" s="4">
        <f>Full_Data[[#This Row],[Selling Price]]/Full_Data[[#This Row],[Weight (g)]]</f>
        <v>2</v>
      </c>
      <c r="J451" t="b">
        <v>0</v>
      </c>
      <c r="K451">
        <v>50</v>
      </c>
      <c r="L451">
        <f t="shared" si="64"/>
        <v>0</v>
      </c>
      <c r="M451" t="str">
        <f t="shared" si="65"/>
        <v>Medium</v>
      </c>
      <c r="N451" t="str">
        <f t="shared" si="66"/>
        <v>0-5%</v>
      </c>
      <c r="O451" t="str">
        <f t="shared" si="67"/>
        <v>OK</v>
      </c>
      <c r="P451">
        <f>IFERROR(Full_Data!G451/Full_Data!H451,"Check data")</f>
        <v>2</v>
      </c>
      <c r="Q451" t="str">
        <f t="shared" si="68"/>
        <v>Match</v>
      </c>
      <c r="R451" t="str">
        <f t="shared" si="69"/>
        <v>Match</v>
      </c>
      <c r="S451" t="str">
        <f t="shared" si="70"/>
        <v>Match</v>
      </c>
    </row>
    <row r="452" spans="1:19" x14ac:dyDescent="0.25">
      <c r="A452" t="s">
        <v>432</v>
      </c>
      <c r="B452">
        <v>9500</v>
      </c>
      <c r="C452">
        <f t="shared" si="71"/>
        <v>95</v>
      </c>
      <c r="D452">
        <v>6</v>
      </c>
      <c r="E452">
        <v>6</v>
      </c>
      <c r="F452">
        <v>8900</v>
      </c>
      <c r="G452">
        <f t="shared" si="63"/>
        <v>89</v>
      </c>
      <c r="H452">
        <v>150</v>
      </c>
      <c r="I452" s="4">
        <f>Full_Data[[#This Row],[Selling Price]]/Full_Data[[#This Row],[Weight (g)]]</f>
        <v>0.59333333333333338</v>
      </c>
      <c r="J452" t="b">
        <v>0</v>
      </c>
      <c r="K452">
        <v>150</v>
      </c>
      <c r="L452">
        <f t="shared" si="64"/>
        <v>6</v>
      </c>
      <c r="M452" t="str">
        <f t="shared" si="65"/>
        <v>Medium</v>
      </c>
      <c r="N452" t="str">
        <f t="shared" si="66"/>
        <v>6-10%</v>
      </c>
      <c r="O452" t="str">
        <f t="shared" si="67"/>
        <v>OK</v>
      </c>
      <c r="P452">
        <f>IFERROR(Full_Data!G452/Full_Data!H452,"Check data")</f>
        <v>0.59333333333333338</v>
      </c>
      <c r="Q452" t="str">
        <f t="shared" si="68"/>
        <v>Match</v>
      </c>
      <c r="R452" t="str">
        <f t="shared" si="69"/>
        <v>Mismatch</v>
      </c>
      <c r="S452" t="str">
        <f t="shared" si="70"/>
        <v>Match</v>
      </c>
    </row>
    <row r="453" spans="1:19" x14ac:dyDescent="0.25">
      <c r="A453" t="s">
        <v>433</v>
      </c>
      <c r="B453">
        <v>7500</v>
      </c>
      <c r="C453">
        <f t="shared" si="71"/>
        <v>75</v>
      </c>
      <c r="D453">
        <v>30</v>
      </c>
      <c r="E453">
        <v>6</v>
      </c>
      <c r="F453">
        <v>5200</v>
      </c>
      <c r="G453">
        <f t="shared" si="63"/>
        <v>52</v>
      </c>
      <c r="H453">
        <v>80</v>
      </c>
      <c r="I453" s="4">
        <f>Full_Data[[#This Row],[Selling Price]]/Full_Data[[#This Row],[Weight (g)]]</f>
        <v>0.65</v>
      </c>
      <c r="J453" t="b">
        <v>0</v>
      </c>
      <c r="K453">
        <v>80</v>
      </c>
      <c r="L453">
        <f t="shared" si="64"/>
        <v>23</v>
      </c>
      <c r="M453" t="str">
        <f t="shared" si="65"/>
        <v>Medium</v>
      </c>
      <c r="N453" t="str">
        <f t="shared" si="66"/>
        <v>21%+</v>
      </c>
      <c r="O453" t="str">
        <f t="shared" si="67"/>
        <v>OK</v>
      </c>
      <c r="P453">
        <f>IFERROR(Full_Data!G453/Full_Data!H453,"Check data")</f>
        <v>0.65</v>
      </c>
      <c r="Q453" t="str">
        <f t="shared" si="68"/>
        <v>Match</v>
      </c>
      <c r="R453" t="str">
        <f t="shared" si="69"/>
        <v>Mismatch</v>
      </c>
      <c r="S453" t="str">
        <f t="shared" si="70"/>
        <v>Mismatch</v>
      </c>
    </row>
    <row r="454" spans="1:19" x14ac:dyDescent="0.25">
      <c r="A454" t="s">
        <v>434</v>
      </c>
      <c r="B454">
        <v>19500</v>
      </c>
      <c r="C454">
        <f t="shared" si="71"/>
        <v>195</v>
      </c>
      <c r="D454">
        <v>9</v>
      </c>
      <c r="E454">
        <v>5</v>
      </c>
      <c r="F454">
        <v>17600</v>
      </c>
      <c r="G454">
        <f t="shared" si="63"/>
        <v>176</v>
      </c>
      <c r="H454">
        <v>500</v>
      </c>
      <c r="I454" s="4">
        <f>Full_Data[[#This Row],[Selling Price]]/Full_Data[[#This Row],[Weight (g)]]</f>
        <v>0.35199999999999998</v>
      </c>
      <c r="J454" t="b">
        <v>0</v>
      </c>
      <c r="K454">
        <v>500</v>
      </c>
      <c r="L454">
        <f t="shared" si="64"/>
        <v>19</v>
      </c>
      <c r="M454" t="str">
        <f t="shared" si="65"/>
        <v>Medium</v>
      </c>
      <c r="N454" t="str">
        <f t="shared" si="66"/>
        <v>6-10%</v>
      </c>
      <c r="O454" t="str">
        <f t="shared" si="67"/>
        <v>OK</v>
      </c>
      <c r="P454">
        <f>IFERROR(Full_Data!G454/Full_Data!H454,"Check data")</f>
        <v>0.35199999999999998</v>
      </c>
      <c r="Q454" t="str">
        <f t="shared" si="68"/>
        <v>Match</v>
      </c>
      <c r="R454" t="str">
        <f t="shared" si="69"/>
        <v>Mismatch</v>
      </c>
      <c r="S454" t="str">
        <f t="shared" si="70"/>
        <v>Mismatch</v>
      </c>
    </row>
    <row r="455" spans="1:19" x14ac:dyDescent="0.25">
      <c r="A455" t="s">
        <v>435</v>
      </c>
      <c r="B455">
        <v>4200</v>
      </c>
      <c r="C455">
        <f t="shared" si="71"/>
        <v>42</v>
      </c>
      <c r="D455">
        <v>0</v>
      </c>
      <c r="E455">
        <v>6</v>
      </c>
      <c r="F455">
        <v>4200</v>
      </c>
      <c r="G455">
        <f t="shared" si="63"/>
        <v>42</v>
      </c>
      <c r="H455">
        <v>60</v>
      </c>
      <c r="I455" s="4">
        <f>Full_Data[[#This Row],[Selling Price]]/Full_Data[[#This Row],[Weight (g)]]</f>
        <v>0.7</v>
      </c>
      <c r="J455" t="b">
        <v>0</v>
      </c>
      <c r="K455">
        <v>60</v>
      </c>
      <c r="L455">
        <f t="shared" si="64"/>
        <v>0</v>
      </c>
      <c r="M455" t="str">
        <f t="shared" si="65"/>
        <v>Low</v>
      </c>
      <c r="N455" t="str">
        <f t="shared" si="66"/>
        <v>0-5%</v>
      </c>
      <c r="O455" t="str">
        <f t="shared" si="67"/>
        <v>OK</v>
      </c>
      <c r="P455">
        <f>IFERROR(Full_Data!G455/Full_Data!H455,"Check data")</f>
        <v>0.7</v>
      </c>
      <c r="Q455" t="str">
        <f t="shared" si="68"/>
        <v>Match</v>
      </c>
      <c r="R455" t="str">
        <f t="shared" si="69"/>
        <v>Match</v>
      </c>
      <c r="S455" t="str">
        <f t="shared" si="70"/>
        <v>Match</v>
      </c>
    </row>
    <row r="456" spans="1:19" x14ac:dyDescent="0.25">
      <c r="A456" t="s">
        <v>436</v>
      </c>
      <c r="B456">
        <v>11000</v>
      </c>
      <c r="C456">
        <f t="shared" si="71"/>
        <v>110</v>
      </c>
      <c r="D456">
        <v>30</v>
      </c>
      <c r="E456">
        <v>6</v>
      </c>
      <c r="F456">
        <v>7700</v>
      </c>
      <c r="G456">
        <f t="shared" si="63"/>
        <v>77</v>
      </c>
      <c r="H456">
        <v>285</v>
      </c>
      <c r="I456" s="4">
        <f>Full_Data[[#This Row],[Selling Price]]/Full_Data[[#This Row],[Weight (g)]]</f>
        <v>0.27017543859649124</v>
      </c>
      <c r="J456" t="b">
        <v>0</v>
      </c>
      <c r="K456">
        <v>285</v>
      </c>
      <c r="L456">
        <f t="shared" si="64"/>
        <v>33</v>
      </c>
      <c r="M456" t="str">
        <f t="shared" si="65"/>
        <v>Medium</v>
      </c>
      <c r="N456" t="str">
        <f t="shared" si="66"/>
        <v>21%+</v>
      </c>
      <c r="O456" t="str">
        <f t="shared" si="67"/>
        <v>OK</v>
      </c>
      <c r="P456">
        <f>IFERROR(Full_Data!G456/Full_Data!H456,"Check data")</f>
        <v>0.27017543859649124</v>
      </c>
      <c r="Q456" t="str">
        <f t="shared" si="68"/>
        <v>Match</v>
      </c>
      <c r="R456" t="str">
        <f t="shared" si="69"/>
        <v>Match</v>
      </c>
      <c r="S456" t="str">
        <f t="shared" si="70"/>
        <v>Match</v>
      </c>
    </row>
    <row r="457" spans="1:19" x14ac:dyDescent="0.25">
      <c r="A457" t="s">
        <v>437</v>
      </c>
      <c r="B457">
        <v>7000</v>
      </c>
      <c r="C457">
        <f t="shared" si="71"/>
        <v>70</v>
      </c>
      <c r="D457">
        <v>10</v>
      </c>
      <c r="E457">
        <v>6</v>
      </c>
      <c r="F457">
        <v>6300</v>
      </c>
      <c r="G457">
        <f t="shared" si="63"/>
        <v>63</v>
      </c>
      <c r="H457">
        <v>500</v>
      </c>
      <c r="I457" s="4">
        <f>Full_Data[[#This Row],[Selling Price]]/Full_Data[[#This Row],[Weight (g)]]</f>
        <v>0.126</v>
      </c>
      <c r="J457" t="b">
        <v>0</v>
      </c>
      <c r="K457">
        <v>500</v>
      </c>
      <c r="L457">
        <f t="shared" si="64"/>
        <v>7</v>
      </c>
      <c r="M457" t="str">
        <f t="shared" si="65"/>
        <v>Medium</v>
      </c>
      <c r="N457" t="str">
        <f t="shared" si="66"/>
        <v>6-10%</v>
      </c>
      <c r="O457" t="str">
        <f t="shared" si="67"/>
        <v>OK</v>
      </c>
      <c r="P457">
        <f>IFERROR(Full_Data!G457/Full_Data!H457,"Check data")</f>
        <v>0.126</v>
      </c>
      <c r="Q457" t="str">
        <f t="shared" si="68"/>
        <v>Match</v>
      </c>
      <c r="R457" t="str">
        <f t="shared" si="69"/>
        <v>Match</v>
      </c>
      <c r="S457" t="str">
        <f t="shared" si="70"/>
        <v>Match</v>
      </c>
    </row>
    <row r="458" spans="1:19" x14ac:dyDescent="0.25">
      <c r="A458" t="s">
        <v>438</v>
      </c>
      <c r="B458">
        <v>7500</v>
      </c>
      <c r="C458">
        <f t="shared" si="71"/>
        <v>75</v>
      </c>
      <c r="D458">
        <v>16</v>
      </c>
      <c r="E458">
        <v>6</v>
      </c>
      <c r="F458">
        <v>6300</v>
      </c>
      <c r="G458">
        <f t="shared" si="63"/>
        <v>63</v>
      </c>
      <c r="H458">
        <v>100</v>
      </c>
      <c r="I458" s="4">
        <f>Full_Data[[#This Row],[Selling Price]]/Full_Data[[#This Row],[Weight (g)]]</f>
        <v>0.63</v>
      </c>
      <c r="J458" t="b">
        <v>0</v>
      </c>
      <c r="K458">
        <v>100</v>
      </c>
      <c r="L458">
        <f t="shared" si="64"/>
        <v>12</v>
      </c>
      <c r="M458" t="str">
        <f t="shared" si="65"/>
        <v>Medium</v>
      </c>
      <c r="N458" t="str">
        <f t="shared" si="66"/>
        <v>16-20%</v>
      </c>
      <c r="O458" t="str">
        <f t="shared" si="67"/>
        <v>OK</v>
      </c>
      <c r="P458">
        <f>IFERROR(Full_Data!G458/Full_Data!H458,"Check data")</f>
        <v>0.63</v>
      </c>
      <c r="Q458" t="str">
        <f t="shared" si="68"/>
        <v>Match</v>
      </c>
      <c r="R458" t="str">
        <f t="shared" si="69"/>
        <v>Match</v>
      </c>
      <c r="S458" t="str">
        <f t="shared" si="70"/>
        <v>Match</v>
      </c>
    </row>
    <row r="459" spans="1:19" x14ac:dyDescent="0.25">
      <c r="A459" t="s">
        <v>439</v>
      </c>
      <c r="B459">
        <v>8000</v>
      </c>
      <c r="C459">
        <f t="shared" si="71"/>
        <v>80</v>
      </c>
      <c r="D459">
        <v>6</v>
      </c>
      <c r="E459">
        <v>6</v>
      </c>
      <c r="F459">
        <v>7500</v>
      </c>
      <c r="G459">
        <f t="shared" si="63"/>
        <v>75</v>
      </c>
      <c r="H459">
        <v>500</v>
      </c>
      <c r="I459" s="4">
        <f>Full_Data[[#This Row],[Selling Price]]/Full_Data[[#This Row],[Weight (g)]]</f>
        <v>0.15</v>
      </c>
      <c r="J459" t="b">
        <v>0</v>
      </c>
      <c r="K459">
        <v>500</v>
      </c>
      <c r="L459">
        <f t="shared" si="64"/>
        <v>5</v>
      </c>
      <c r="M459" t="str">
        <f t="shared" si="65"/>
        <v>Medium</v>
      </c>
      <c r="N459" t="str">
        <f t="shared" si="66"/>
        <v>6-10%</v>
      </c>
      <c r="O459" t="str">
        <f t="shared" si="67"/>
        <v>OK</v>
      </c>
      <c r="P459">
        <f>IFERROR(Full_Data!G459/Full_Data!H459,"Check data")</f>
        <v>0.15</v>
      </c>
      <c r="Q459" t="str">
        <f t="shared" si="68"/>
        <v>Match</v>
      </c>
      <c r="R459" t="str">
        <f t="shared" si="69"/>
        <v>Mismatch</v>
      </c>
      <c r="S459" t="str">
        <f t="shared" si="70"/>
        <v>Match</v>
      </c>
    </row>
    <row r="460" spans="1:19" x14ac:dyDescent="0.25">
      <c r="A460" t="s">
        <v>440</v>
      </c>
      <c r="B460">
        <v>10500</v>
      </c>
      <c r="C460">
        <f t="shared" si="71"/>
        <v>105</v>
      </c>
      <c r="D460">
        <v>7</v>
      </c>
      <c r="E460">
        <v>6</v>
      </c>
      <c r="F460">
        <v>9700</v>
      </c>
      <c r="G460">
        <f t="shared" si="63"/>
        <v>97</v>
      </c>
      <c r="H460">
        <v>500</v>
      </c>
      <c r="I460" s="4">
        <f>Full_Data[[#This Row],[Selling Price]]/Full_Data[[#This Row],[Weight (g)]]</f>
        <v>0.19400000000000001</v>
      </c>
      <c r="J460" t="b">
        <v>0</v>
      </c>
      <c r="K460">
        <v>500</v>
      </c>
      <c r="L460">
        <f t="shared" si="64"/>
        <v>8</v>
      </c>
      <c r="M460" t="str">
        <f t="shared" si="65"/>
        <v>Medium</v>
      </c>
      <c r="N460" t="str">
        <f t="shared" si="66"/>
        <v>6-10%</v>
      </c>
      <c r="O460" t="str">
        <f t="shared" si="67"/>
        <v>OK</v>
      </c>
      <c r="P460">
        <f>IFERROR(Full_Data!G460/Full_Data!H460,"Check data")</f>
        <v>0.19400000000000001</v>
      </c>
      <c r="Q460" t="str">
        <f t="shared" si="68"/>
        <v>Match</v>
      </c>
      <c r="R460" t="str">
        <f t="shared" si="69"/>
        <v>Mismatch</v>
      </c>
      <c r="S460" t="str">
        <f t="shared" si="70"/>
        <v>Mismatch</v>
      </c>
    </row>
    <row r="461" spans="1:19" x14ac:dyDescent="0.25">
      <c r="A461" t="s">
        <v>441</v>
      </c>
      <c r="B461">
        <v>10900</v>
      </c>
      <c r="C461">
        <f t="shared" si="71"/>
        <v>109</v>
      </c>
      <c r="D461">
        <v>10</v>
      </c>
      <c r="E461">
        <v>6</v>
      </c>
      <c r="F461">
        <v>9800</v>
      </c>
      <c r="G461">
        <f t="shared" si="63"/>
        <v>98</v>
      </c>
      <c r="H461">
        <v>35</v>
      </c>
      <c r="I461" s="4">
        <f>Full_Data[[#This Row],[Selling Price]]/Full_Data[[#This Row],[Weight (g)]]</f>
        <v>2.8</v>
      </c>
      <c r="J461" t="b">
        <v>0</v>
      </c>
      <c r="K461">
        <v>35</v>
      </c>
      <c r="L461">
        <f t="shared" si="64"/>
        <v>11</v>
      </c>
      <c r="M461" t="str">
        <f t="shared" si="65"/>
        <v>Medium</v>
      </c>
      <c r="N461" t="str">
        <f t="shared" si="66"/>
        <v>6-10%</v>
      </c>
      <c r="O461" t="str">
        <f t="shared" si="67"/>
        <v>OK</v>
      </c>
      <c r="P461">
        <f>IFERROR(Full_Data!G461/Full_Data!H461,"Check data")</f>
        <v>2.8</v>
      </c>
      <c r="Q461" t="str">
        <f t="shared" si="68"/>
        <v>Match</v>
      </c>
      <c r="R461" t="str">
        <f t="shared" si="69"/>
        <v>Mismatch</v>
      </c>
      <c r="S461" t="str">
        <f t="shared" si="70"/>
        <v>Match</v>
      </c>
    </row>
    <row r="462" spans="1:19" x14ac:dyDescent="0.25">
      <c r="A462" t="s">
        <v>442</v>
      </c>
      <c r="B462">
        <v>11500</v>
      </c>
      <c r="C462">
        <f t="shared" si="71"/>
        <v>115</v>
      </c>
      <c r="D462">
        <v>0</v>
      </c>
      <c r="E462">
        <v>3</v>
      </c>
      <c r="F462">
        <v>11500</v>
      </c>
      <c r="G462">
        <f t="shared" si="63"/>
        <v>115</v>
      </c>
      <c r="H462">
        <v>200</v>
      </c>
      <c r="I462" s="4">
        <f>Full_Data[[#This Row],[Selling Price]]/Full_Data[[#This Row],[Weight (g)]]</f>
        <v>0.57499999999999996</v>
      </c>
      <c r="J462" t="b">
        <v>0</v>
      </c>
      <c r="K462">
        <v>200</v>
      </c>
      <c r="L462">
        <f t="shared" si="64"/>
        <v>0</v>
      </c>
      <c r="M462" t="str">
        <f t="shared" si="65"/>
        <v>Medium</v>
      </c>
      <c r="N462" t="str">
        <f t="shared" si="66"/>
        <v>0-5%</v>
      </c>
      <c r="O462" t="str">
        <f t="shared" si="67"/>
        <v>OK</v>
      </c>
      <c r="P462">
        <f>IFERROR(Full_Data!G462/Full_Data!H462,"Check data")</f>
        <v>0.57499999999999996</v>
      </c>
      <c r="Q462" t="str">
        <f t="shared" si="68"/>
        <v>Match</v>
      </c>
      <c r="R462" t="str">
        <f t="shared" si="69"/>
        <v>Match</v>
      </c>
      <c r="S462" t="str">
        <f t="shared" si="70"/>
        <v>Match</v>
      </c>
    </row>
    <row r="463" spans="1:19" x14ac:dyDescent="0.25">
      <c r="A463" t="s">
        <v>443</v>
      </c>
      <c r="B463">
        <v>39900</v>
      </c>
      <c r="C463">
        <f t="shared" si="71"/>
        <v>399</v>
      </c>
      <c r="D463">
        <v>25</v>
      </c>
      <c r="E463">
        <v>6</v>
      </c>
      <c r="F463">
        <v>29900</v>
      </c>
      <c r="G463">
        <f t="shared" si="63"/>
        <v>299</v>
      </c>
      <c r="H463">
        <v>200</v>
      </c>
      <c r="I463" s="4">
        <f>Full_Data[[#This Row],[Selling Price]]/Full_Data[[#This Row],[Weight (g)]]</f>
        <v>1.4950000000000001</v>
      </c>
      <c r="J463" t="b">
        <v>0</v>
      </c>
      <c r="K463">
        <v>200</v>
      </c>
      <c r="L463">
        <f t="shared" si="64"/>
        <v>100</v>
      </c>
      <c r="M463" t="str">
        <f t="shared" si="65"/>
        <v>High</v>
      </c>
      <c r="N463" t="str">
        <f t="shared" si="66"/>
        <v>21%+</v>
      </c>
      <c r="O463" t="str">
        <f t="shared" si="67"/>
        <v>OK</v>
      </c>
      <c r="P463">
        <f>IFERROR(Full_Data!G463/Full_Data!H463,"Check data")</f>
        <v>1.4950000000000001</v>
      </c>
      <c r="Q463" t="str">
        <f t="shared" si="68"/>
        <v>Match</v>
      </c>
      <c r="R463" t="str">
        <f t="shared" si="69"/>
        <v>Mismatch</v>
      </c>
      <c r="S463" t="str">
        <f t="shared" si="70"/>
        <v>Match</v>
      </c>
    </row>
    <row r="464" spans="1:19" x14ac:dyDescent="0.25">
      <c r="A464" t="s">
        <v>444</v>
      </c>
      <c r="B464">
        <v>12000</v>
      </c>
      <c r="C464">
        <f t="shared" si="71"/>
        <v>120</v>
      </c>
      <c r="D464">
        <v>10</v>
      </c>
      <c r="E464">
        <v>6</v>
      </c>
      <c r="F464">
        <v>10800</v>
      </c>
      <c r="G464">
        <f t="shared" si="63"/>
        <v>108</v>
      </c>
      <c r="H464">
        <v>500</v>
      </c>
      <c r="I464" s="4">
        <f>Full_Data[[#This Row],[Selling Price]]/Full_Data[[#This Row],[Weight (g)]]</f>
        <v>0.216</v>
      </c>
      <c r="J464" t="b">
        <v>0</v>
      </c>
      <c r="K464">
        <v>500</v>
      </c>
      <c r="L464">
        <f t="shared" si="64"/>
        <v>12</v>
      </c>
      <c r="M464" t="str">
        <f t="shared" si="65"/>
        <v>Medium</v>
      </c>
      <c r="N464" t="str">
        <f t="shared" si="66"/>
        <v>6-10%</v>
      </c>
      <c r="O464" t="str">
        <f t="shared" si="67"/>
        <v>OK</v>
      </c>
      <c r="P464">
        <f>IFERROR(Full_Data!G464/Full_Data!H464,"Check data")</f>
        <v>0.216</v>
      </c>
      <c r="Q464" t="str">
        <f t="shared" si="68"/>
        <v>Match</v>
      </c>
      <c r="R464" t="str">
        <f t="shared" si="69"/>
        <v>Match</v>
      </c>
      <c r="S464" t="str">
        <f t="shared" si="70"/>
        <v>Match</v>
      </c>
    </row>
    <row r="465" spans="1:19" x14ac:dyDescent="0.25">
      <c r="A465" t="s">
        <v>445</v>
      </c>
      <c r="B465">
        <v>9900</v>
      </c>
      <c r="C465">
        <f t="shared" si="71"/>
        <v>99</v>
      </c>
      <c r="D465">
        <v>0</v>
      </c>
      <c r="E465">
        <v>6</v>
      </c>
      <c r="F465">
        <v>9900</v>
      </c>
      <c r="G465">
        <f t="shared" si="63"/>
        <v>99</v>
      </c>
      <c r="H465">
        <v>75</v>
      </c>
      <c r="I465" s="4">
        <f>Full_Data[[#This Row],[Selling Price]]/Full_Data[[#This Row],[Weight (g)]]</f>
        <v>1.32</v>
      </c>
      <c r="J465" t="b">
        <v>0</v>
      </c>
      <c r="K465">
        <v>75</v>
      </c>
      <c r="L465">
        <f t="shared" si="64"/>
        <v>0</v>
      </c>
      <c r="M465" t="str">
        <f t="shared" si="65"/>
        <v>Medium</v>
      </c>
      <c r="N465" t="str">
        <f t="shared" si="66"/>
        <v>0-5%</v>
      </c>
      <c r="O465" t="str">
        <f t="shared" si="67"/>
        <v>OK</v>
      </c>
      <c r="P465">
        <f>IFERROR(Full_Data!G465/Full_Data!H465,"Check data")</f>
        <v>1.32</v>
      </c>
      <c r="Q465" t="str">
        <f t="shared" si="68"/>
        <v>Match</v>
      </c>
      <c r="R465" t="str">
        <f t="shared" si="69"/>
        <v>Match</v>
      </c>
      <c r="S465" t="str">
        <f t="shared" si="70"/>
        <v>Match</v>
      </c>
    </row>
    <row r="466" spans="1:19" x14ac:dyDescent="0.25">
      <c r="A466" t="s">
        <v>446</v>
      </c>
      <c r="B466">
        <v>6300</v>
      </c>
      <c r="C466">
        <f t="shared" si="71"/>
        <v>63</v>
      </c>
      <c r="D466">
        <v>0</v>
      </c>
      <c r="E466">
        <v>6</v>
      </c>
      <c r="F466">
        <v>6300</v>
      </c>
      <c r="G466">
        <f t="shared" si="63"/>
        <v>63</v>
      </c>
      <c r="H466">
        <v>200</v>
      </c>
      <c r="I466" s="4">
        <f>Full_Data[[#This Row],[Selling Price]]/Full_Data[[#This Row],[Weight (g)]]</f>
        <v>0.315</v>
      </c>
      <c r="J466" t="b">
        <v>0</v>
      </c>
      <c r="K466">
        <v>200</v>
      </c>
      <c r="L466">
        <f t="shared" si="64"/>
        <v>0</v>
      </c>
      <c r="M466" t="str">
        <f t="shared" si="65"/>
        <v>Medium</v>
      </c>
      <c r="N466" t="str">
        <f t="shared" si="66"/>
        <v>0-5%</v>
      </c>
      <c r="O466" t="str">
        <f t="shared" si="67"/>
        <v>OK</v>
      </c>
      <c r="P466">
        <f>IFERROR(Full_Data!G466/Full_Data!H466,"Check data")</f>
        <v>0.315</v>
      </c>
      <c r="Q466" t="str">
        <f t="shared" si="68"/>
        <v>Match</v>
      </c>
      <c r="R466" t="str">
        <f t="shared" si="69"/>
        <v>Match</v>
      </c>
      <c r="S466" t="str">
        <f t="shared" si="70"/>
        <v>Match</v>
      </c>
    </row>
    <row r="467" spans="1:19" x14ac:dyDescent="0.25">
      <c r="A467" t="s">
        <v>447</v>
      </c>
      <c r="B467">
        <v>20000</v>
      </c>
      <c r="C467">
        <f t="shared" si="71"/>
        <v>200</v>
      </c>
      <c r="D467">
        <v>11</v>
      </c>
      <c r="E467">
        <v>6</v>
      </c>
      <c r="F467">
        <v>17800</v>
      </c>
      <c r="G467">
        <f t="shared" si="63"/>
        <v>178</v>
      </c>
      <c r="H467">
        <v>180</v>
      </c>
      <c r="I467" s="4">
        <f>Full_Data[[#This Row],[Selling Price]]/Full_Data[[#This Row],[Weight (g)]]</f>
        <v>0.98888888888888893</v>
      </c>
      <c r="J467" t="b">
        <v>0</v>
      </c>
      <c r="K467">
        <v>180</v>
      </c>
      <c r="L467">
        <f t="shared" si="64"/>
        <v>22</v>
      </c>
      <c r="M467" t="str">
        <f t="shared" si="65"/>
        <v>Medium</v>
      </c>
      <c r="N467" t="str">
        <f t="shared" si="66"/>
        <v>11-15%</v>
      </c>
      <c r="O467" t="str">
        <f t="shared" si="67"/>
        <v>OK</v>
      </c>
      <c r="P467">
        <f>IFERROR(Full_Data!G467/Full_Data!H467,"Check data")</f>
        <v>0.98888888888888893</v>
      </c>
      <c r="Q467" t="str">
        <f t="shared" si="68"/>
        <v>Match</v>
      </c>
      <c r="R467" t="str">
        <f t="shared" si="69"/>
        <v>Match</v>
      </c>
      <c r="S467" t="str">
        <f t="shared" si="70"/>
        <v>Match</v>
      </c>
    </row>
    <row r="468" spans="1:19" x14ac:dyDescent="0.25">
      <c r="A468" t="s">
        <v>448</v>
      </c>
      <c r="B468">
        <v>5000</v>
      </c>
      <c r="C468">
        <f t="shared" si="71"/>
        <v>50</v>
      </c>
      <c r="D468">
        <v>2</v>
      </c>
      <c r="E468">
        <v>6</v>
      </c>
      <c r="F468">
        <v>4900</v>
      </c>
      <c r="G468">
        <f t="shared" si="63"/>
        <v>49</v>
      </c>
      <c r="H468">
        <v>20</v>
      </c>
      <c r="I468" s="4">
        <f>Full_Data[[#This Row],[Selling Price]]/Full_Data[[#This Row],[Weight (g)]]</f>
        <v>2.4500000000000002</v>
      </c>
      <c r="J468" t="b">
        <v>0</v>
      </c>
      <c r="K468">
        <v>20</v>
      </c>
      <c r="L468">
        <f t="shared" si="64"/>
        <v>1</v>
      </c>
      <c r="M468" t="str">
        <f t="shared" si="65"/>
        <v>Low</v>
      </c>
      <c r="N468" t="str">
        <f t="shared" si="66"/>
        <v>0-5%</v>
      </c>
      <c r="O468" t="str">
        <f t="shared" si="67"/>
        <v>OK</v>
      </c>
      <c r="P468">
        <f>IFERROR(Full_Data!G468/Full_Data!H468,"Check data")</f>
        <v>2.4500000000000002</v>
      </c>
      <c r="Q468" t="str">
        <f t="shared" si="68"/>
        <v>Match</v>
      </c>
      <c r="R468" t="str">
        <f t="shared" si="69"/>
        <v>Match</v>
      </c>
      <c r="S468" t="str">
        <f t="shared" si="70"/>
        <v>Match</v>
      </c>
    </row>
    <row r="469" spans="1:19" x14ac:dyDescent="0.25">
      <c r="A469" t="s">
        <v>293</v>
      </c>
      <c r="B469">
        <v>5000</v>
      </c>
      <c r="C469">
        <f t="shared" si="71"/>
        <v>50</v>
      </c>
      <c r="D469">
        <v>2</v>
      </c>
      <c r="E469">
        <v>2</v>
      </c>
      <c r="F469">
        <v>4900</v>
      </c>
      <c r="G469">
        <f t="shared" si="63"/>
        <v>49</v>
      </c>
      <c r="H469">
        <v>200</v>
      </c>
      <c r="I469" s="4">
        <f>Full_Data[[#This Row],[Selling Price]]/Full_Data[[#This Row],[Weight (g)]]</f>
        <v>0.245</v>
      </c>
      <c r="J469" t="b">
        <v>0</v>
      </c>
      <c r="K469">
        <v>200</v>
      </c>
      <c r="L469">
        <f t="shared" si="64"/>
        <v>1</v>
      </c>
      <c r="M469" t="str">
        <f t="shared" si="65"/>
        <v>Low</v>
      </c>
      <c r="N469" t="str">
        <f t="shared" si="66"/>
        <v>0-5%</v>
      </c>
      <c r="O469" t="str">
        <f t="shared" si="67"/>
        <v>OK</v>
      </c>
      <c r="P469">
        <f>IFERROR(Full_Data!G469/Full_Data!H469,"Check data")</f>
        <v>0.245</v>
      </c>
      <c r="Q469" t="str">
        <f t="shared" si="68"/>
        <v>Match</v>
      </c>
      <c r="R469" t="str">
        <f t="shared" si="69"/>
        <v>Match</v>
      </c>
      <c r="S469" t="str">
        <f t="shared" si="70"/>
        <v>Match</v>
      </c>
    </row>
    <row r="470" spans="1:19" x14ac:dyDescent="0.25">
      <c r="A470" t="s">
        <v>449</v>
      </c>
      <c r="B470">
        <v>29500</v>
      </c>
      <c r="C470">
        <f t="shared" si="71"/>
        <v>295</v>
      </c>
      <c r="D470">
        <v>9</v>
      </c>
      <c r="E470">
        <v>6</v>
      </c>
      <c r="F470">
        <v>26600</v>
      </c>
      <c r="G470">
        <f t="shared" si="63"/>
        <v>266</v>
      </c>
      <c r="H470">
        <v>250</v>
      </c>
      <c r="I470" s="4">
        <f>Full_Data[[#This Row],[Selling Price]]/Full_Data[[#This Row],[Weight (g)]]</f>
        <v>1.0640000000000001</v>
      </c>
      <c r="J470" t="b">
        <v>0</v>
      </c>
      <c r="K470">
        <v>250</v>
      </c>
      <c r="L470">
        <f t="shared" si="64"/>
        <v>29</v>
      </c>
      <c r="M470" t="str">
        <f t="shared" si="65"/>
        <v>High</v>
      </c>
      <c r="N470" t="str">
        <f t="shared" si="66"/>
        <v>6-10%</v>
      </c>
      <c r="O470" t="str">
        <f t="shared" si="67"/>
        <v>OK</v>
      </c>
      <c r="P470">
        <f>IFERROR(Full_Data!G470/Full_Data!H470,"Check data")</f>
        <v>1.0640000000000001</v>
      </c>
      <c r="Q470" t="str">
        <f t="shared" si="68"/>
        <v>Match</v>
      </c>
      <c r="R470" t="str">
        <f t="shared" si="69"/>
        <v>Mismatch</v>
      </c>
      <c r="S470" t="str">
        <f t="shared" si="70"/>
        <v>Mismatch</v>
      </c>
    </row>
    <row r="471" spans="1:19" x14ac:dyDescent="0.25">
      <c r="A471" t="s">
        <v>450</v>
      </c>
      <c r="B471">
        <v>15000</v>
      </c>
      <c r="C471">
        <f t="shared" si="71"/>
        <v>150</v>
      </c>
      <c r="D471">
        <v>0</v>
      </c>
      <c r="E471">
        <v>4</v>
      </c>
      <c r="F471">
        <v>15000</v>
      </c>
      <c r="G471">
        <f t="shared" si="63"/>
        <v>150</v>
      </c>
      <c r="H471">
        <v>400</v>
      </c>
      <c r="I471" s="4">
        <f>Full_Data[[#This Row],[Selling Price]]/Full_Data[[#This Row],[Weight (g)]]</f>
        <v>0.375</v>
      </c>
      <c r="J471" t="b">
        <v>0</v>
      </c>
      <c r="K471">
        <v>400</v>
      </c>
      <c r="L471">
        <f t="shared" si="64"/>
        <v>0</v>
      </c>
      <c r="M471" t="str">
        <f t="shared" si="65"/>
        <v>Medium</v>
      </c>
      <c r="N471" t="str">
        <f t="shared" si="66"/>
        <v>0-5%</v>
      </c>
      <c r="O471" t="str">
        <f t="shared" si="67"/>
        <v>OK</v>
      </c>
      <c r="P471">
        <f>IFERROR(Full_Data!G471/Full_Data!H471,"Check data")</f>
        <v>0.375</v>
      </c>
      <c r="Q471" t="str">
        <f t="shared" si="68"/>
        <v>Match</v>
      </c>
      <c r="R471" t="str">
        <f t="shared" si="69"/>
        <v>Match</v>
      </c>
      <c r="S471" t="str">
        <f t="shared" si="70"/>
        <v>Match</v>
      </c>
    </row>
    <row r="472" spans="1:19" x14ac:dyDescent="0.25">
      <c r="A472" t="s">
        <v>451</v>
      </c>
      <c r="B472">
        <v>13000</v>
      </c>
      <c r="C472">
        <f t="shared" si="71"/>
        <v>130</v>
      </c>
      <c r="D472">
        <v>10</v>
      </c>
      <c r="E472">
        <v>6</v>
      </c>
      <c r="F472">
        <v>11600</v>
      </c>
      <c r="G472">
        <f t="shared" si="63"/>
        <v>116</v>
      </c>
      <c r="H472">
        <v>500</v>
      </c>
      <c r="I472" s="4">
        <f>Full_Data[[#This Row],[Selling Price]]/Full_Data[[#This Row],[Weight (g)]]</f>
        <v>0.23200000000000001</v>
      </c>
      <c r="J472" t="b">
        <v>0</v>
      </c>
      <c r="K472">
        <v>500</v>
      </c>
      <c r="L472">
        <f t="shared" si="64"/>
        <v>14</v>
      </c>
      <c r="M472" t="str">
        <f t="shared" si="65"/>
        <v>Medium</v>
      </c>
      <c r="N472" t="str">
        <f t="shared" si="66"/>
        <v>6-10%</v>
      </c>
      <c r="O472" t="str">
        <f t="shared" si="67"/>
        <v>OK</v>
      </c>
      <c r="P472">
        <f>IFERROR(Full_Data!G472/Full_Data!H472,"Check data")</f>
        <v>0.23200000000000001</v>
      </c>
      <c r="Q472" t="str">
        <f t="shared" si="68"/>
        <v>Match</v>
      </c>
      <c r="R472" t="str">
        <f t="shared" si="69"/>
        <v>Mismatch</v>
      </c>
      <c r="S472" t="str">
        <f t="shared" si="70"/>
        <v>Mismatch</v>
      </c>
    </row>
    <row r="473" spans="1:19" x14ac:dyDescent="0.25">
      <c r="A473" t="s">
        <v>452</v>
      </c>
      <c r="B473">
        <v>43000</v>
      </c>
      <c r="C473">
        <f t="shared" si="71"/>
        <v>430</v>
      </c>
      <c r="D473">
        <v>10</v>
      </c>
      <c r="E473">
        <v>6</v>
      </c>
      <c r="F473">
        <v>38700</v>
      </c>
      <c r="G473">
        <f t="shared" si="63"/>
        <v>387</v>
      </c>
      <c r="H473">
        <v>5000</v>
      </c>
      <c r="I473" s="4">
        <f>Full_Data[[#This Row],[Selling Price]]/Full_Data[[#This Row],[Weight (g)]]</f>
        <v>7.7399999999999997E-2</v>
      </c>
      <c r="J473" t="b">
        <v>0</v>
      </c>
      <c r="K473">
        <v>5</v>
      </c>
      <c r="L473">
        <f t="shared" si="64"/>
        <v>43</v>
      </c>
      <c r="M473" t="str">
        <f t="shared" si="65"/>
        <v>High</v>
      </c>
      <c r="N473" t="str">
        <f t="shared" si="66"/>
        <v>6-10%</v>
      </c>
      <c r="O473" t="str">
        <f t="shared" si="67"/>
        <v>OK</v>
      </c>
      <c r="P473">
        <f>IFERROR(Full_Data!G473/Full_Data!H473,"Check data")</f>
        <v>7.7399999999999997E-2</v>
      </c>
      <c r="Q473" t="str">
        <f t="shared" si="68"/>
        <v>Match</v>
      </c>
      <c r="R473" t="str">
        <f t="shared" si="69"/>
        <v>Match</v>
      </c>
      <c r="S473" t="str">
        <f t="shared" si="70"/>
        <v>Match</v>
      </c>
    </row>
    <row r="474" spans="1:19" x14ac:dyDescent="0.25">
      <c r="A474" t="s">
        <v>453</v>
      </c>
      <c r="B474">
        <v>7000</v>
      </c>
      <c r="C474">
        <f t="shared" si="71"/>
        <v>70</v>
      </c>
      <c r="D474">
        <v>18</v>
      </c>
      <c r="E474">
        <v>6</v>
      </c>
      <c r="F474">
        <v>5700</v>
      </c>
      <c r="G474">
        <f t="shared" si="63"/>
        <v>57</v>
      </c>
      <c r="H474">
        <v>400</v>
      </c>
      <c r="I474" s="4">
        <f>Full_Data[[#This Row],[Selling Price]]/Full_Data[[#This Row],[Weight (g)]]</f>
        <v>0.14249999999999999</v>
      </c>
      <c r="J474" t="b">
        <v>0</v>
      </c>
      <c r="K474">
        <v>400</v>
      </c>
      <c r="L474">
        <f t="shared" si="64"/>
        <v>13</v>
      </c>
      <c r="M474" t="str">
        <f t="shared" si="65"/>
        <v>Medium</v>
      </c>
      <c r="N474" t="str">
        <f t="shared" si="66"/>
        <v>16-20%</v>
      </c>
      <c r="O474" t="str">
        <f t="shared" si="67"/>
        <v>OK</v>
      </c>
      <c r="P474">
        <f>IFERROR(Full_Data!G474/Full_Data!H474,"Check data")</f>
        <v>0.14249999999999999</v>
      </c>
      <c r="Q474" t="str">
        <f t="shared" si="68"/>
        <v>Match</v>
      </c>
      <c r="R474" t="str">
        <f t="shared" si="69"/>
        <v>Mismatch</v>
      </c>
      <c r="S474" t="str">
        <f t="shared" si="70"/>
        <v>Mismatch</v>
      </c>
    </row>
    <row r="475" spans="1:19" x14ac:dyDescent="0.25">
      <c r="A475" t="s">
        <v>454</v>
      </c>
      <c r="B475">
        <v>26500</v>
      </c>
      <c r="C475">
        <f t="shared" si="71"/>
        <v>265</v>
      </c>
      <c r="D475">
        <v>9</v>
      </c>
      <c r="E475">
        <v>6</v>
      </c>
      <c r="F475">
        <v>23900</v>
      </c>
      <c r="G475">
        <f t="shared" si="63"/>
        <v>239</v>
      </c>
      <c r="H475">
        <v>1000</v>
      </c>
      <c r="I475" s="4">
        <f>Full_Data[[#This Row],[Selling Price]]/Full_Data[[#This Row],[Weight (g)]]</f>
        <v>0.23899999999999999</v>
      </c>
      <c r="J475" t="b">
        <v>0</v>
      </c>
      <c r="K475">
        <v>1</v>
      </c>
      <c r="L475">
        <f t="shared" si="64"/>
        <v>26</v>
      </c>
      <c r="M475" t="str">
        <f t="shared" si="65"/>
        <v>High</v>
      </c>
      <c r="N475" t="str">
        <f t="shared" si="66"/>
        <v>6-10%</v>
      </c>
      <c r="O475" t="str">
        <f t="shared" si="67"/>
        <v>OK</v>
      </c>
      <c r="P475">
        <f>IFERROR(Full_Data!G475/Full_Data!H475,"Check data")</f>
        <v>0.23899999999999999</v>
      </c>
      <c r="Q475" t="str">
        <f t="shared" si="68"/>
        <v>Match</v>
      </c>
      <c r="R475" t="str">
        <f t="shared" si="69"/>
        <v>Mismatch</v>
      </c>
      <c r="S475" t="str">
        <f t="shared" si="70"/>
        <v>Mismatch</v>
      </c>
    </row>
    <row r="476" spans="1:19" x14ac:dyDescent="0.25">
      <c r="A476" t="s">
        <v>455</v>
      </c>
      <c r="B476">
        <v>54000</v>
      </c>
      <c r="C476">
        <f t="shared" si="71"/>
        <v>540</v>
      </c>
      <c r="D476">
        <v>20</v>
      </c>
      <c r="E476">
        <v>6</v>
      </c>
      <c r="F476">
        <v>43200</v>
      </c>
      <c r="G476">
        <f t="shared" si="63"/>
        <v>432</v>
      </c>
      <c r="H476">
        <v>150</v>
      </c>
      <c r="I476" s="4">
        <f>Full_Data[[#This Row],[Selling Price]]/Full_Data[[#This Row],[Weight (g)]]</f>
        <v>2.88</v>
      </c>
      <c r="J476" t="b">
        <v>0</v>
      </c>
      <c r="K476">
        <v>150</v>
      </c>
      <c r="L476">
        <f t="shared" si="64"/>
        <v>108</v>
      </c>
      <c r="M476" t="str">
        <f t="shared" si="65"/>
        <v>High</v>
      </c>
      <c r="N476" t="str">
        <f t="shared" si="66"/>
        <v>16-20%</v>
      </c>
      <c r="O476" t="str">
        <f t="shared" si="67"/>
        <v>OK</v>
      </c>
      <c r="P476">
        <f>IFERROR(Full_Data!G476/Full_Data!H476,"Check data")</f>
        <v>2.88</v>
      </c>
      <c r="Q476" t="str">
        <f t="shared" si="68"/>
        <v>Match</v>
      </c>
      <c r="R476" t="str">
        <f t="shared" si="69"/>
        <v>Match</v>
      </c>
      <c r="S476" t="str">
        <f t="shared" si="70"/>
        <v>Match</v>
      </c>
    </row>
    <row r="477" spans="1:19" x14ac:dyDescent="0.25">
      <c r="A477" t="s">
        <v>456</v>
      </c>
      <c r="B477">
        <v>6000</v>
      </c>
      <c r="C477">
        <f t="shared" si="71"/>
        <v>60</v>
      </c>
      <c r="D477">
        <v>10</v>
      </c>
      <c r="E477">
        <v>6</v>
      </c>
      <c r="F477">
        <v>5400</v>
      </c>
      <c r="G477">
        <f t="shared" si="63"/>
        <v>54</v>
      </c>
      <c r="H477">
        <v>250</v>
      </c>
      <c r="I477" s="4">
        <f>Full_Data[[#This Row],[Selling Price]]/Full_Data[[#This Row],[Weight (g)]]</f>
        <v>0.216</v>
      </c>
      <c r="J477" t="b">
        <v>0</v>
      </c>
      <c r="K477">
        <v>250</v>
      </c>
      <c r="L477">
        <f t="shared" si="64"/>
        <v>6</v>
      </c>
      <c r="M477" t="str">
        <f t="shared" si="65"/>
        <v>Medium</v>
      </c>
      <c r="N477" t="str">
        <f t="shared" si="66"/>
        <v>6-10%</v>
      </c>
      <c r="O477" t="str">
        <f t="shared" si="67"/>
        <v>OK</v>
      </c>
      <c r="P477">
        <f>IFERROR(Full_Data!G477/Full_Data!H477,"Check data")</f>
        <v>0.216</v>
      </c>
      <c r="Q477" t="str">
        <f t="shared" si="68"/>
        <v>Match</v>
      </c>
      <c r="R477" t="str">
        <f t="shared" si="69"/>
        <v>Match</v>
      </c>
      <c r="S477" t="str">
        <f t="shared" si="70"/>
        <v>Match</v>
      </c>
    </row>
    <row r="478" spans="1:19" x14ac:dyDescent="0.25">
      <c r="A478" t="s">
        <v>457</v>
      </c>
      <c r="B478">
        <v>34900</v>
      </c>
      <c r="C478">
        <f t="shared" si="71"/>
        <v>349</v>
      </c>
      <c r="D478">
        <v>20</v>
      </c>
      <c r="E478">
        <v>6</v>
      </c>
      <c r="F478">
        <v>27900</v>
      </c>
      <c r="G478">
        <f t="shared" si="63"/>
        <v>279</v>
      </c>
      <c r="H478">
        <v>200</v>
      </c>
      <c r="I478" s="4">
        <f>Full_Data[[#This Row],[Selling Price]]/Full_Data[[#This Row],[Weight (g)]]</f>
        <v>1.395</v>
      </c>
      <c r="J478" t="b">
        <v>0</v>
      </c>
      <c r="K478">
        <v>200</v>
      </c>
      <c r="L478">
        <f t="shared" si="64"/>
        <v>70</v>
      </c>
      <c r="M478" t="str">
        <f t="shared" si="65"/>
        <v>High</v>
      </c>
      <c r="N478" t="str">
        <f t="shared" si="66"/>
        <v>16-20%</v>
      </c>
      <c r="O478" t="str">
        <f t="shared" si="67"/>
        <v>OK</v>
      </c>
      <c r="P478">
        <f>IFERROR(Full_Data!G478/Full_Data!H478,"Check data")</f>
        <v>1.395</v>
      </c>
      <c r="Q478" t="str">
        <f t="shared" si="68"/>
        <v>Match</v>
      </c>
      <c r="R478" t="str">
        <f t="shared" si="69"/>
        <v>Mismatch</v>
      </c>
      <c r="S478" t="str">
        <f t="shared" si="70"/>
        <v>Match</v>
      </c>
    </row>
    <row r="479" spans="1:19" x14ac:dyDescent="0.25">
      <c r="A479" t="s">
        <v>458</v>
      </c>
      <c r="B479">
        <v>16000</v>
      </c>
      <c r="C479">
        <f t="shared" si="71"/>
        <v>160</v>
      </c>
      <c r="D479">
        <v>6</v>
      </c>
      <c r="E479">
        <v>6</v>
      </c>
      <c r="F479">
        <v>15000</v>
      </c>
      <c r="G479">
        <f t="shared" si="63"/>
        <v>150</v>
      </c>
      <c r="H479">
        <v>900</v>
      </c>
      <c r="I479" s="4">
        <f>Full_Data[[#This Row],[Selling Price]]/Full_Data[[#This Row],[Weight (g)]]</f>
        <v>0.16666666666666666</v>
      </c>
      <c r="J479" t="b">
        <v>0</v>
      </c>
      <c r="K479">
        <v>900</v>
      </c>
      <c r="L479">
        <f t="shared" si="64"/>
        <v>10</v>
      </c>
      <c r="M479" t="str">
        <f t="shared" si="65"/>
        <v>Medium</v>
      </c>
      <c r="N479" t="str">
        <f t="shared" si="66"/>
        <v>6-10%</v>
      </c>
      <c r="O479" t="str">
        <f t="shared" si="67"/>
        <v>OK</v>
      </c>
      <c r="P479">
        <f>IFERROR(Full_Data!G479/Full_Data!H479,"Check data")</f>
        <v>0.16666666666666666</v>
      </c>
      <c r="Q479" t="str">
        <f t="shared" si="68"/>
        <v>Match</v>
      </c>
      <c r="R479" t="str">
        <f t="shared" si="69"/>
        <v>Mismatch</v>
      </c>
      <c r="S479" t="str">
        <f t="shared" si="70"/>
        <v>Match</v>
      </c>
    </row>
    <row r="480" spans="1:19" x14ac:dyDescent="0.25">
      <c r="A480" t="s">
        <v>459</v>
      </c>
      <c r="B480">
        <v>9000</v>
      </c>
      <c r="C480">
        <f t="shared" si="71"/>
        <v>90</v>
      </c>
      <c r="D480">
        <v>6</v>
      </c>
      <c r="E480">
        <v>6</v>
      </c>
      <c r="F480">
        <v>8400</v>
      </c>
      <c r="G480">
        <f t="shared" si="63"/>
        <v>84</v>
      </c>
      <c r="H480">
        <v>500</v>
      </c>
      <c r="I480" s="4">
        <f>Full_Data[[#This Row],[Selling Price]]/Full_Data[[#This Row],[Weight (g)]]</f>
        <v>0.16800000000000001</v>
      </c>
      <c r="J480" t="b">
        <v>0</v>
      </c>
      <c r="K480">
        <v>500</v>
      </c>
      <c r="L480">
        <f t="shared" si="64"/>
        <v>6</v>
      </c>
      <c r="M480" t="str">
        <f t="shared" si="65"/>
        <v>Medium</v>
      </c>
      <c r="N480" t="str">
        <f t="shared" si="66"/>
        <v>6-10%</v>
      </c>
      <c r="O480" t="str">
        <f t="shared" si="67"/>
        <v>OK</v>
      </c>
      <c r="P480">
        <f>IFERROR(Full_Data!G480/Full_Data!H480,"Check data")</f>
        <v>0.16800000000000001</v>
      </c>
      <c r="Q480" t="str">
        <f t="shared" si="68"/>
        <v>Match</v>
      </c>
      <c r="R480" t="str">
        <f t="shared" si="69"/>
        <v>Mismatch</v>
      </c>
      <c r="S480" t="str">
        <f t="shared" si="70"/>
        <v>Mismatch</v>
      </c>
    </row>
    <row r="481" spans="1:19" x14ac:dyDescent="0.25">
      <c r="A481" t="s">
        <v>460</v>
      </c>
      <c r="B481">
        <v>11500</v>
      </c>
      <c r="C481">
        <f t="shared" si="71"/>
        <v>115</v>
      </c>
      <c r="D481">
        <v>0</v>
      </c>
      <c r="E481">
        <v>4</v>
      </c>
      <c r="F481">
        <v>11500</v>
      </c>
      <c r="G481">
        <f t="shared" si="63"/>
        <v>115</v>
      </c>
      <c r="H481">
        <v>200</v>
      </c>
      <c r="I481" s="4">
        <f>Full_Data[[#This Row],[Selling Price]]/Full_Data[[#This Row],[Weight (g)]]</f>
        <v>0.57499999999999996</v>
      </c>
      <c r="J481" t="b">
        <v>0</v>
      </c>
      <c r="K481">
        <v>200</v>
      </c>
      <c r="L481">
        <f t="shared" si="64"/>
        <v>0</v>
      </c>
      <c r="M481" t="str">
        <f t="shared" si="65"/>
        <v>Medium</v>
      </c>
      <c r="N481" t="str">
        <f t="shared" si="66"/>
        <v>0-5%</v>
      </c>
      <c r="O481" t="str">
        <f t="shared" si="67"/>
        <v>OK</v>
      </c>
      <c r="P481">
        <f>IFERROR(Full_Data!G481/Full_Data!H481,"Check data")</f>
        <v>0.57499999999999996</v>
      </c>
      <c r="Q481" t="str">
        <f t="shared" si="68"/>
        <v>Match</v>
      </c>
      <c r="R481" t="str">
        <f t="shared" si="69"/>
        <v>Match</v>
      </c>
      <c r="S481" t="str">
        <f t="shared" si="70"/>
        <v>Match</v>
      </c>
    </row>
    <row r="482" spans="1:19" x14ac:dyDescent="0.25">
      <c r="A482" t="s">
        <v>280</v>
      </c>
      <c r="B482">
        <v>17300</v>
      </c>
      <c r="C482">
        <f t="shared" si="71"/>
        <v>173</v>
      </c>
      <c r="D482">
        <v>6</v>
      </c>
      <c r="E482">
        <v>6</v>
      </c>
      <c r="F482">
        <v>16200</v>
      </c>
      <c r="G482">
        <f t="shared" si="63"/>
        <v>162</v>
      </c>
      <c r="H482">
        <v>500</v>
      </c>
      <c r="I482" s="4">
        <f>Full_Data[[#This Row],[Selling Price]]/Full_Data[[#This Row],[Weight (g)]]</f>
        <v>0.32400000000000001</v>
      </c>
      <c r="J482" t="b">
        <v>0</v>
      </c>
      <c r="K482">
        <v>500</v>
      </c>
      <c r="L482">
        <f t="shared" si="64"/>
        <v>11</v>
      </c>
      <c r="M482" t="str">
        <f t="shared" si="65"/>
        <v>Medium</v>
      </c>
      <c r="N482" t="str">
        <f t="shared" si="66"/>
        <v>6-10%</v>
      </c>
      <c r="O482" t="str">
        <f t="shared" si="67"/>
        <v>OK</v>
      </c>
      <c r="P482">
        <f>IFERROR(Full_Data!G482/Full_Data!H482,"Check data")</f>
        <v>0.32400000000000001</v>
      </c>
      <c r="Q482" t="str">
        <f t="shared" si="68"/>
        <v>Match</v>
      </c>
      <c r="R482" t="str">
        <f t="shared" si="69"/>
        <v>Mismatch</v>
      </c>
      <c r="S482" t="str">
        <f t="shared" si="70"/>
        <v>Match</v>
      </c>
    </row>
    <row r="483" spans="1:19" x14ac:dyDescent="0.25">
      <c r="A483" t="s">
        <v>461</v>
      </c>
      <c r="B483">
        <v>7500</v>
      </c>
      <c r="C483">
        <f t="shared" si="71"/>
        <v>75</v>
      </c>
      <c r="D483">
        <v>30</v>
      </c>
      <c r="E483">
        <v>5</v>
      </c>
      <c r="F483">
        <v>5200</v>
      </c>
      <c r="G483">
        <f t="shared" si="63"/>
        <v>52</v>
      </c>
      <c r="H483">
        <v>80</v>
      </c>
      <c r="I483" s="4">
        <f>Full_Data[[#This Row],[Selling Price]]/Full_Data[[#This Row],[Weight (g)]]</f>
        <v>0.65</v>
      </c>
      <c r="J483" t="b">
        <v>0</v>
      </c>
      <c r="K483">
        <v>80</v>
      </c>
      <c r="L483">
        <f t="shared" si="64"/>
        <v>23</v>
      </c>
      <c r="M483" t="str">
        <f t="shared" si="65"/>
        <v>Medium</v>
      </c>
      <c r="N483" t="str">
        <f t="shared" si="66"/>
        <v>21%+</v>
      </c>
      <c r="O483" t="str">
        <f t="shared" si="67"/>
        <v>OK</v>
      </c>
      <c r="P483">
        <f>IFERROR(Full_Data!G483/Full_Data!H483,"Check data")</f>
        <v>0.65</v>
      </c>
      <c r="Q483" t="str">
        <f t="shared" si="68"/>
        <v>Match</v>
      </c>
      <c r="R483" t="str">
        <f t="shared" si="69"/>
        <v>Mismatch</v>
      </c>
      <c r="S483" t="str">
        <f t="shared" si="70"/>
        <v>Mismatch</v>
      </c>
    </row>
    <row r="484" spans="1:19" x14ac:dyDescent="0.25">
      <c r="A484" t="s">
        <v>462</v>
      </c>
      <c r="B484">
        <v>10000</v>
      </c>
      <c r="C484">
        <f t="shared" si="71"/>
        <v>100</v>
      </c>
      <c r="D484">
        <v>0</v>
      </c>
      <c r="E484">
        <v>2</v>
      </c>
      <c r="F484">
        <v>10000</v>
      </c>
      <c r="G484">
        <f t="shared" si="63"/>
        <v>100</v>
      </c>
      <c r="H484">
        <v>950</v>
      </c>
      <c r="I484" s="4">
        <f>Full_Data[[#This Row],[Selling Price]]/Full_Data[[#This Row],[Weight (g)]]</f>
        <v>0.10526315789473684</v>
      </c>
      <c r="J484" t="b">
        <v>0</v>
      </c>
      <c r="K484">
        <v>950</v>
      </c>
      <c r="L484">
        <f t="shared" si="64"/>
        <v>0</v>
      </c>
      <c r="M484" t="str">
        <f t="shared" si="65"/>
        <v>Medium</v>
      </c>
      <c r="N484" t="str">
        <f t="shared" si="66"/>
        <v>0-5%</v>
      </c>
      <c r="O484" t="str">
        <f t="shared" si="67"/>
        <v>OK</v>
      </c>
      <c r="P484">
        <f>IFERROR(Full_Data!G484/Full_Data!H484,"Check data")</f>
        <v>0.10526315789473684</v>
      </c>
      <c r="Q484" t="str">
        <f t="shared" si="68"/>
        <v>Match</v>
      </c>
      <c r="R484" t="str">
        <f t="shared" si="69"/>
        <v>Match</v>
      </c>
      <c r="S484" t="str">
        <f t="shared" si="70"/>
        <v>Match</v>
      </c>
    </row>
    <row r="485" spans="1:19" x14ac:dyDescent="0.25">
      <c r="A485" t="s">
        <v>463</v>
      </c>
      <c r="B485">
        <v>17000</v>
      </c>
      <c r="C485">
        <f t="shared" si="71"/>
        <v>170</v>
      </c>
      <c r="D485">
        <v>6</v>
      </c>
      <c r="E485">
        <v>6</v>
      </c>
      <c r="F485">
        <v>15900</v>
      </c>
      <c r="G485">
        <f t="shared" si="63"/>
        <v>159</v>
      </c>
      <c r="H485">
        <v>500</v>
      </c>
      <c r="I485" s="4">
        <f>Full_Data[[#This Row],[Selling Price]]/Full_Data[[#This Row],[Weight (g)]]</f>
        <v>0.318</v>
      </c>
      <c r="J485" t="b">
        <v>0</v>
      </c>
      <c r="K485">
        <v>500</v>
      </c>
      <c r="L485">
        <f t="shared" si="64"/>
        <v>11</v>
      </c>
      <c r="M485" t="str">
        <f t="shared" si="65"/>
        <v>Medium</v>
      </c>
      <c r="N485" t="str">
        <f t="shared" si="66"/>
        <v>6-10%</v>
      </c>
      <c r="O485" t="str">
        <f t="shared" si="67"/>
        <v>OK</v>
      </c>
      <c r="P485">
        <f>IFERROR(Full_Data!G485/Full_Data!H485,"Check data")</f>
        <v>0.318</v>
      </c>
      <c r="Q485" t="str">
        <f t="shared" si="68"/>
        <v>Match</v>
      </c>
      <c r="R485" t="str">
        <f t="shared" si="69"/>
        <v>Mismatch</v>
      </c>
      <c r="S485" t="str">
        <f t="shared" si="70"/>
        <v>Match</v>
      </c>
    </row>
    <row r="486" spans="1:19" x14ac:dyDescent="0.25">
      <c r="A486" t="s">
        <v>464</v>
      </c>
      <c r="B486">
        <v>19500</v>
      </c>
      <c r="C486">
        <f t="shared" si="71"/>
        <v>195</v>
      </c>
      <c r="D486">
        <v>9</v>
      </c>
      <c r="E486">
        <v>6</v>
      </c>
      <c r="F486">
        <v>17600</v>
      </c>
      <c r="G486">
        <f t="shared" si="63"/>
        <v>176</v>
      </c>
      <c r="H486">
        <v>500</v>
      </c>
      <c r="I486" s="4">
        <f>Full_Data[[#This Row],[Selling Price]]/Full_Data[[#This Row],[Weight (g)]]</f>
        <v>0.35199999999999998</v>
      </c>
      <c r="J486" t="b">
        <v>0</v>
      </c>
      <c r="K486">
        <v>500</v>
      </c>
      <c r="L486">
        <f t="shared" si="64"/>
        <v>19</v>
      </c>
      <c r="M486" t="str">
        <f t="shared" si="65"/>
        <v>Medium</v>
      </c>
      <c r="N486" t="str">
        <f t="shared" si="66"/>
        <v>6-10%</v>
      </c>
      <c r="O486" t="str">
        <f t="shared" si="67"/>
        <v>OK</v>
      </c>
      <c r="P486">
        <f>IFERROR(Full_Data!G486/Full_Data!H486,"Check data")</f>
        <v>0.35199999999999998</v>
      </c>
      <c r="Q486" t="str">
        <f t="shared" si="68"/>
        <v>Match</v>
      </c>
      <c r="R486" t="str">
        <f t="shared" si="69"/>
        <v>Mismatch</v>
      </c>
      <c r="S486" t="str">
        <f t="shared" si="70"/>
        <v>Mismatch</v>
      </c>
    </row>
    <row r="487" spans="1:19" x14ac:dyDescent="0.25">
      <c r="A487" t="s">
        <v>362</v>
      </c>
      <c r="B487">
        <v>19900</v>
      </c>
      <c r="C487">
        <f t="shared" si="71"/>
        <v>199</v>
      </c>
      <c r="D487">
        <v>0</v>
      </c>
      <c r="E487">
        <v>2</v>
      </c>
      <c r="F487">
        <v>19900</v>
      </c>
      <c r="G487">
        <f t="shared" si="63"/>
        <v>199</v>
      </c>
      <c r="H487">
        <v>240</v>
      </c>
      <c r="I487" s="4">
        <f>Full_Data[[#This Row],[Selling Price]]/Full_Data[[#This Row],[Weight (g)]]</f>
        <v>0.82916666666666672</v>
      </c>
      <c r="J487" t="b">
        <v>0</v>
      </c>
      <c r="K487">
        <v>240</v>
      </c>
      <c r="L487">
        <f t="shared" si="64"/>
        <v>0</v>
      </c>
      <c r="M487" t="str">
        <f t="shared" si="65"/>
        <v>Medium</v>
      </c>
      <c r="N487" t="str">
        <f t="shared" si="66"/>
        <v>0-5%</v>
      </c>
      <c r="O487" t="str">
        <f t="shared" si="67"/>
        <v>OK</v>
      </c>
      <c r="P487">
        <f>IFERROR(Full_Data!G487/Full_Data!H487,"Check data")</f>
        <v>0.82916666666666672</v>
      </c>
      <c r="Q487" t="str">
        <f t="shared" si="68"/>
        <v>Match</v>
      </c>
      <c r="R487" t="str">
        <f t="shared" si="69"/>
        <v>Match</v>
      </c>
      <c r="S487" t="str">
        <f t="shared" si="70"/>
        <v>Match</v>
      </c>
    </row>
    <row r="488" spans="1:19" x14ac:dyDescent="0.25">
      <c r="A488" t="s">
        <v>465</v>
      </c>
      <c r="B488">
        <v>9900</v>
      </c>
      <c r="C488">
        <f t="shared" si="71"/>
        <v>99</v>
      </c>
      <c r="D488">
        <v>0</v>
      </c>
      <c r="E488">
        <v>6</v>
      </c>
      <c r="F488">
        <v>9900</v>
      </c>
      <c r="G488">
        <f t="shared" si="63"/>
        <v>99</v>
      </c>
      <c r="H488">
        <v>14</v>
      </c>
      <c r="I488" s="4">
        <f>Full_Data[[#This Row],[Selling Price]]/Full_Data[[#This Row],[Weight (g)]]</f>
        <v>7.0714285714285712</v>
      </c>
      <c r="J488" t="b">
        <v>0</v>
      </c>
      <c r="K488">
        <v>14</v>
      </c>
      <c r="L488">
        <f t="shared" si="64"/>
        <v>0</v>
      </c>
      <c r="M488" t="str">
        <f t="shared" si="65"/>
        <v>Medium</v>
      </c>
      <c r="N488" t="str">
        <f t="shared" si="66"/>
        <v>0-5%</v>
      </c>
      <c r="O488" t="str">
        <f t="shared" si="67"/>
        <v>OK</v>
      </c>
      <c r="P488">
        <f>IFERROR(Full_Data!G488/Full_Data!H488,"Check data")</f>
        <v>7.0714285714285712</v>
      </c>
      <c r="Q488" t="str">
        <f t="shared" si="68"/>
        <v>Match</v>
      </c>
      <c r="R488" t="str">
        <f t="shared" si="69"/>
        <v>Match</v>
      </c>
      <c r="S488" t="str">
        <f t="shared" si="70"/>
        <v>Match</v>
      </c>
    </row>
    <row r="489" spans="1:19" x14ac:dyDescent="0.25">
      <c r="A489" t="s">
        <v>466</v>
      </c>
      <c r="B489">
        <v>8000</v>
      </c>
      <c r="C489">
        <f t="shared" si="71"/>
        <v>80</v>
      </c>
      <c r="D489">
        <v>10</v>
      </c>
      <c r="E489">
        <v>6</v>
      </c>
      <c r="F489">
        <v>7200</v>
      </c>
      <c r="G489">
        <f t="shared" si="63"/>
        <v>72</v>
      </c>
      <c r="H489">
        <v>500</v>
      </c>
      <c r="I489" s="4">
        <f>Full_Data[[#This Row],[Selling Price]]/Full_Data[[#This Row],[Weight (g)]]</f>
        <v>0.14399999999999999</v>
      </c>
      <c r="J489" t="b">
        <v>0</v>
      </c>
      <c r="K489">
        <v>500</v>
      </c>
      <c r="L489">
        <f t="shared" si="64"/>
        <v>8</v>
      </c>
      <c r="M489" t="str">
        <f t="shared" si="65"/>
        <v>Medium</v>
      </c>
      <c r="N489" t="str">
        <f t="shared" si="66"/>
        <v>6-10%</v>
      </c>
      <c r="O489" t="str">
        <f t="shared" si="67"/>
        <v>OK</v>
      </c>
      <c r="P489">
        <f>IFERROR(Full_Data!G489/Full_Data!H489,"Check data")</f>
        <v>0.14399999999999999</v>
      </c>
      <c r="Q489" t="str">
        <f t="shared" si="68"/>
        <v>Match</v>
      </c>
      <c r="R489" t="str">
        <f t="shared" si="69"/>
        <v>Match</v>
      </c>
      <c r="S489" t="str">
        <f t="shared" si="70"/>
        <v>Match</v>
      </c>
    </row>
    <row r="490" spans="1:19" x14ac:dyDescent="0.25">
      <c r="A490" t="s">
        <v>467</v>
      </c>
      <c r="B490">
        <v>5500</v>
      </c>
      <c r="C490">
        <f t="shared" si="71"/>
        <v>55</v>
      </c>
      <c r="D490">
        <v>0</v>
      </c>
      <c r="E490">
        <v>4</v>
      </c>
      <c r="F490">
        <v>5500</v>
      </c>
      <c r="G490">
        <f t="shared" si="63"/>
        <v>55</v>
      </c>
      <c r="H490">
        <v>80</v>
      </c>
      <c r="I490" s="4">
        <f>Full_Data[[#This Row],[Selling Price]]/Full_Data[[#This Row],[Weight (g)]]</f>
        <v>0.6875</v>
      </c>
      <c r="J490" t="b">
        <v>0</v>
      </c>
      <c r="K490">
        <v>80</v>
      </c>
      <c r="L490">
        <f t="shared" si="64"/>
        <v>0</v>
      </c>
      <c r="M490" t="str">
        <f t="shared" si="65"/>
        <v>Medium</v>
      </c>
      <c r="N490" t="str">
        <f t="shared" si="66"/>
        <v>0-5%</v>
      </c>
      <c r="O490" t="str">
        <f t="shared" si="67"/>
        <v>OK</v>
      </c>
      <c r="P490">
        <f>IFERROR(Full_Data!G490/Full_Data!H490,"Check data")</f>
        <v>0.6875</v>
      </c>
      <c r="Q490" t="str">
        <f t="shared" si="68"/>
        <v>Match</v>
      </c>
      <c r="R490" t="str">
        <f t="shared" si="69"/>
        <v>Match</v>
      </c>
      <c r="S490" t="str">
        <f t="shared" si="70"/>
        <v>Match</v>
      </c>
    </row>
    <row r="491" spans="1:19" x14ac:dyDescent="0.25">
      <c r="A491" t="s">
        <v>468</v>
      </c>
      <c r="B491">
        <v>17000</v>
      </c>
      <c r="C491">
        <f t="shared" si="71"/>
        <v>170</v>
      </c>
      <c r="D491">
        <v>0</v>
      </c>
      <c r="E491">
        <v>5</v>
      </c>
      <c r="F491">
        <v>17000</v>
      </c>
      <c r="G491">
        <f t="shared" si="63"/>
        <v>170</v>
      </c>
      <c r="H491">
        <v>500</v>
      </c>
      <c r="I491" s="4">
        <f>Full_Data[[#This Row],[Selling Price]]/Full_Data[[#This Row],[Weight (g)]]</f>
        <v>0.34</v>
      </c>
      <c r="J491" t="b">
        <v>0</v>
      </c>
      <c r="K491">
        <v>500</v>
      </c>
      <c r="L491">
        <f t="shared" si="64"/>
        <v>0</v>
      </c>
      <c r="M491" t="str">
        <f t="shared" si="65"/>
        <v>Medium</v>
      </c>
      <c r="N491" t="str">
        <f t="shared" si="66"/>
        <v>0-5%</v>
      </c>
      <c r="O491" t="str">
        <f t="shared" si="67"/>
        <v>OK</v>
      </c>
      <c r="P491">
        <f>IFERROR(Full_Data!G491/Full_Data!H491,"Check data")</f>
        <v>0.34</v>
      </c>
      <c r="Q491" t="str">
        <f t="shared" si="68"/>
        <v>Match</v>
      </c>
      <c r="R491" t="str">
        <f t="shared" si="69"/>
        <v>Match</v>
      </c>
      <c r="S491" t="str">
        <f t="shared" si="70"/>
        <v>Match</v>
      </c>
    </row>
    <row r="492" spans="1:19" x14ac:dyDescent="0.25">
      <c r="A492" t="s">
        <v>469</v>
      </c>
      <c r="B492">
        <v>22000</v>
      </c>
      <c r="C492">
        <f t="shared" si="71"/>
        <v>220</v>
      </c>
      <c r="D492">
        <v>50</v>
      </c>
      <c r="E492">
        <v>6</v>
      </c>
      <c r="F492">
        <v>11000</v>
      </c>
      <c r="G492">
        <f t="shared" si="63"/>
        <v>110</v>
      </c>
      <c r="H492">
        <v>200</v>
      </c>
      <c r="I492" s="4">
        <f>Full_Data[[#This Row],[Selling Price]]/Full_Data[[#This Row],[Weight (g)]]</f>
        <v>0.55000000000000004</v>
      </c>
      <c r="J492" t="b">
        <v>0</v>
      </c>
      <c r="K492">
        <v>200</v>
      </c>
      <c r="L492">
        <f t="shared" si="64"/>
        <v>110</v>
      </c>
      <c r="M492" t="str">
        <f t="shared" si="65"/>
        <v>Medium</v>
      </c>
      <c r="N492" t="str">
        <f t="shared" si="66"/>
        <v>21%+</v>
      </c>
      <c r="O492" t="str">
        <f t="shared" si="67"/>
        <v>OK</v>
      </c>
      <c r="P492">
        <f>IFERROR(Full_Data!G492/Full_Data!H492,"Check data")</f>
        <v>0.55000000000000004</v>
      </c>
      <c r="Q492" t="str">
        <f t="shared" si="68"/>
        <v>Match</v>
      </c>
      <c r="R492" t="str">
        <f t="shared" si="69"/>
        <v>Match</v>
      </c>
      <c r="S492" t="str">
        <f t="shared" si="70"/>
        <v>Match</v>
      </c>
    </row>
    <row r="493" spans="1:19" x14ac:dyDescent="0.25">
      <c r="A493" t="s">
        <v>470</v>
      </c>
      <c r="B493">
        <v>39900</v>
      </c>
      <c r="C493">
        <f t="shared" si="71"/>
        <v>399</v>
      </c>
      <c r="D493">
        <v>0</v>
      </c>
      <c r="E493">
        <v>6</v>
      </c>
      <c r="F493">
        <v>39900</v>
      </c>
      <c r="G493">
        <f t="shared" si="63"/>
        <v>399</v>
      </c>
      <c r="H493">
        <v>1000</v>
      </c>
      <c r="I493" s="4">
        <f>Full_Data[[#This Row],[Selling Price]]/Full_Data[[#This Row],[Weight (g)]]</f>
        <v>0.39900000000000002</v>
      </c>
      <c r="J493" t="b">
        <v>0</v>
      </c>
      <c r="K493">
        <v>1</v>
      </c>
      <c r="L493">
        <f t="shared" si="64"/>
        <v>0</v>
      </c>
      <c r="M493" t="str">
        <f t="shared" si="65"/>
        <v>High</v>
      </c>
      <c r="N493" t="str">
        <f t="shared" si="66"/>
        <v>0-5%</v>
      </c>
      <c r="O493" t="str">
        <f t="shared" si="67"/>
        <v>OK</v>
      </c>
      <c r="P493">
        <f>IFERROR(Full_Data!G493/Full_Data!H493,"Check data")</f>
        <v>0.39900000000000002</v>
      </c>
      <c r="Q493" t="str">
        <f t="shared" si="68"/>
        <v>Match</v>
      </c>
      <c r="R493" t="str">
        <f t="shared" si="69"/>
        <v>Match</v>
      </c>
      <c r="S493" t="str">
        <f t="shared" si="70"/>
        <v>Match</v>
      </c>
    </row>
    <row r="494" spans="1:19" x14ac:dyDescent="0.25">
      <c r="A494" t="s">
        <v>471</v>
      </c>
      <c r="B494">
        <v>6600</v>
      </c>
      <c r="C494">
        <f t="shared" si="71"/>
        <v>66</v>
      </c>
      <c r="D494">
        <v>0</v>
      </c>
      <c r="E494">
        <v>6</v>
      </c>
      <c r="F494">
        <v>6600</v>
      </c>
      <c r="G494">
        <f t="shared" si="63"/>
        <v>66</v>
      </c>
      <c r="H494">
        <v>50</v>
      </c>
      <c r="I494" s="4">
        <f>Full_Data[[#This Row],[Selling Price]]/Full_Data[[#This Row],[Weight (g)]]</f>
        <v>1.32</v>
      </c>
      <c r="J494" t="b">
        <v>0</v>
      </c>
      <c r="K494">
        <v>50</v>
      </c>
      <c r="L494">
        <f t="shared" si="64"/>
        <v>0</v>
      </c>
      <c r="M494" t="str">
        <f t="shared" si="65"/>
        <v>Medium</v>
      </c>
      <c r="N494" t="str">
        <f t="shared" si="66"/>
        <v>0-5%</v>
      </c>
      <c r="O494" t="str">
        <f t="shared" si="67"/>
        <v>OK</v>
      </c>
      <c r="P494">
        <f>IFERROR(Full_Data!G494/Full_Data!H494,"Check data")</f>
        <v>1.32</v>
      </c>
      <c r="Q494" t="str">
        <f t="shared" si="68"/>
        <v>Match</v>
      </c>
      <c r="R494" t="str">
        <f t="shared" si="69"/>
        <v>Match</v>
      </c>
      <c r="S494" t="str">
        <f t="shared" si="70"/>
        <v>Match</v>
      </c>
    </row>
    <row r="495" spans="1:19" x14ac:dyDescent="0.25">
      <c r="A495" t="s">
        <v>472</v>
      </c>
      <c r="B495">
        <v>9900</v>
      </c>
      <c r="C495">
        <f t="shared" si="71"/>
        <v>99</v>
      </c>
      <c r="D495">
        <v>0</v>
      </c>
      <c r="E495">
        <v>6</v>
      </c>
      <c r="F495">
        <v>9900</v>
      </c>
      <c r="G495">
        <f t="shared" si="63"/>
        <v>99</v>
      </c>
      <c r="H495">
        <v>100</v>
      </c>
      <c r="I495" s="4">
        <f>Full_Data[[#This Row],[Selling Price]]/Full_Data[[#This Row],[Weight (g)]]</f>
        <v>0.99</v>
      </c>
      <c r="J495" t="b">
        <v>0</v>
      </c>
      <c r="K495">
        <v>100</v>
      </c>
      <c r="L495">
        <f t="shared" si="64"/>
        <v>0</v>
      </c>
      <c r="M495" t="str">
        <f t="shared" si="65"/>
        <v>Medium</v>
      </c>
      <c r="N495" t="str">
        <f t="shared" si="66"/>
        <v>0-5%</v>
      </c>
      <c r="O495" t="str">
        <f t="shared" si="67"/>
        <v>OK</v>
      </c>
      <c r="P495">
        <f>IFERROR(Full_Data!G495/Full_Data!H495,"Check data")</f>
        <v>0.99</v>
      </c>
      <c r="Q495" t="str">
        <f t="shared" si="68"/>
        <v>Match</v>
      </c>
      <c r="R495" t="str">
        <f t="shared" si="69"/>
        <v>Match</v>
      </c>
      <c r="S495" t="str">
        <f t="shared" si="70"/>
        <v>Match</v>
      </c>
    </row>
    <row r="496" spans="1:19" x14ac:dyDescent="0.25">
      <c r="A496" t="s">
        <v>473</v>
      </c>
      <c r="B496">
        <v>4000</v>
      </c>
      <c r="C496">
        <f t="shared" si="71"/>
        <v>40</v>
      </c>
      <c r="D496">
        <v>2</v>
      </c>
      <c r="E496">
        <v>6</v>
      </c>
      <c r="F496">
        <v>3900</v>
      </c>
      <c r="G496">
        <f t="shared" si="63"/>
        <v>39</v>
      </c>
      <c r="H496">
        <v>100</v>
      </c>
      <c r="I496" s="4">
        <f>Full_Data[[#This Row],[Selling Price]]/Full_Data[[#This Row],[Weight (g)]]</f>
        <v>0.39</v>
      </c>
      <c r="J496" t="b">
        <v>0</v>
      </c>
      <c r="K496">
        <v>100</v>
      </c>
      <c r="L496">
        <f t="shared" si="64"/>
        <v>1</v>
      </c>
      <c r="M496" t="str">
        <f t="shared" si="65"/>
        <v>Low</v>
      </c>
      <c r="N496" t="str">
        <f t="shared" si="66"/>
        <v>0-5%</v>
      </c>
      <c r="O496" t="str">
        <f t="shared" si="67"/>
        <v>OK</v>
      </c>
      <c r="P496">
        <f>IFERROR(Full_Data!G496/Full_Data!H496,"Check data")</f>
        <v>0.39</v>
      </c>
      <c r="Q496" t="str">
        <f t="shared" si="68"/>
        <v>Match</v>
      </c>
      <c r="R496" t="str">
        <f t="shared" si="69"/>
        <v>Mismatch</v>
      </c>
      <c r="S496" t="str">
        <f t="shared" si="70"/>
        <v>Mismatch</v>
      </c>
    </row>
    <row r="497" spans="1:19" x14ac:dyDescent="0.25">
      <c r="A497" t="s">
        <v>474</v>
      </c>
      <c r="B497">
        <v>17000</v>
      </c>
      <c r="C497">
        <f t="shared" si="71"/>
        <v>170</v>
      </c>
      <c r="D497">
        <v>6</v>
      </c>
      <c r="E497">
        <v>6</v>
      </c>
      <c r="F497">
        <v>15900</v>
      </c>
      <c r="G497">
        <f t="shared" si="63"/>
        <v>159</v>
      </c>
      <c r="H497">
        <v>270</v>
      </c>
      <c r="I497" s="4">
        <f>Full_Data[[#This Row],[Selling Price]]/Full_Data[[#This Row],[Weight (g)]]</f>
        <v>0.58888888888888891</v>
      </c>
      <c r="J497" t="b">
        <v>0</v>
      </c>
      <c r="K497">
        <v>270</v>
      </c>
      <c r="L497">
        <f t="shared" si="64"/>
        <v>11</v>
      </c>
      <c r="M497" t="str">
        <f t="shared" si="65"/>
        <v>Medium</v>
      </c>
      <c r="N497" t="str">
        <f t="shared" si="66"/>
        <v>6-10%</v>
      </c>
      <c r="O497" t="str">
        <f t="shared" si="67"/>
        <v>OK</v>
      </c>
      <c r="P497">
        <f>IFERROR(Full_Data!G497/Full_Data!H497,"Check data")</f>
        <v>0.58888888888888891</v>
      </c>
      <c r="Q497" t="str">
        <f t="shared" si="68"/>
        <v>Match</v>
      </c>
      <c r="R497" t="str">
        <f t="shared" si="69"/>
        <v>Mismatch</v>
      </c>
      <c r="S497" t="str">
        <f t="shared" si="70"/>
        <v>Match</v>
      </c>
    </row>
    <row r="498" spans="1:19" x14ac:dyDescent="0.25">
      <c r="A498" t="s">
        <v>475</v>
      </c>
      <c r="B498">
        <v>2500</v>
      </c>
      <c r="C498">
        <f t="shared" si="71"/>
        <v>25</v>
      </c>
      <c r="D498">
        <v>0</v>
      </c>
      <c r="E498">
        <v>1</v>
      </c>
      <c r="F498">
        <v>2500</v>
      </c>
      <c r="G498">
        <f t="shared" si="63"/>
        <v>25</v>
      </c>
      <c r="H498">
        <v>77</v>
      </c>
      <c r="I498" s="4">
        <f>Full_Data[[#This Row],[Selling Price]]/Full_Data[[#This Row],[Weight (g)]]</f>
        <v>0.32467532467532467</v>
      </c>
      <c r="J498" t="b">
        <v>0</v>
      </c>
      <c r="K498">
        <v>77</v>
      </c>
      <c r="L498">
        <f t="shared" si="64"/>
        <v>0</v>
      </c>
      <c r="M498" t="str">
        <f t="shared" si="65"/>
        <v>Low</v>
      </c>
      <c r="N498" t="str">
        <f t="shared" si="66"/>
        <v>0-5%</v>
      </c>
      <c r="O498" t="str">
        <f t="shared" si="67"/>
        <v>OK</v>
      </c>
      <c r="P498">
        <f>IFERROR(Full_Data!G498/Full_Data!H498,"Check data")</f>
        <v>0.32467532467532467</v>
      </c>
      <c r="Q498" t="str">
        <f t="shared" si="68"/>
        <v>Match</v>
      </c>
      <c r="R498" t="str">
        <f t="shared" si="69"/>
        <v>Match</v>
      </c>
      <c r="S498" t="str">
        <f t="shared" si="70"/>
        <v>Match</v>
      </c>
    </row>
    <row r="499" spans="1:19" x14ac:dyDescent="0.25">
      <c r="A499" t="s">
        <v>476</v>
      </c>
      <c r="B499">
        <v>11000</v>
      </c>
      <c r="C499">
        <f t="shared" si="71"/>
        <v>110</v>
      </c>
      <c r="D499">
        <v>6</v>
      </c>
      <c r="E499">
        <v>6</v>
      </c>
      <c r="F499">
        <v>10300</v>
      </c>
      <c r="G499">
        <f t="shared" si="63"/>
        <v>103</v>
      </c>
      <c r="H499">
        <v>500</v>
      </c>
      <c r="I499" s="4">
        <f>Full_Data[[#This Row],[Selling Price]]/Full_Data[[#This Row],[Weight (g)]]</f>
        <v>0.20599999999999999</v>
      </c>
      <c r="J499" t="b">
        <v>0</v>
      </c>
      <c r="K499">
        <v>500</v>
      </c>
      <c r="L499">
        <f t="shared" si="64"/>
        <v>7</v>
      </c>
      <c r="M499" t="str">
        <f t="shared" si="65"/>
        <v>Medium</v>
      </c>
      <c r="N499" t="str">
        <f t="shared" si="66"/>
        <v>6-10%</v>
      </c>
      <c r="O499" t="str">
        <f t="shared" si="67"/>
        <v>OK</v>
      </c>
      <c r="P499">
        <f>IFERROR(Full_Data!G499/Full_Data!H499,"Check data")</f>
        <v>0.20599999999999999</v>
      </c>
      <c r="Q499" t="str">
        <f t="shared" si="68"/>
        <v>Match</v>
      </c>
      <c r="R499" t="str">
        <f t="shared" si="69"/>
        <v>Mismatch</v>
      </c>
      <c r="S499" t="str">
        <f t="shared" si="70"/>
        <v>Match</v>
      </c>
    </row>
    <row r="500" spans="1:19" x14ac:dyDescent="0.25">
      <c r="A500" t="s">
        <v>385</v>
      </c>
      <c r="B500">
        <v>27000</v>
      </c>
      <c r="C500">
        <f t="shared" si="71"/>
        <v>270</v>
      </c>
      <c r="D500">
        <v>7</v>
      </c>
      <c r="E500">
        <v>6</v>
      </c>
      <c r="F500">
        <v>25100</v>
      </c>
      <c r="G500">
        <f t="shared" si="63"/>
        <v>251</v>
      </c>
      <c r="H500">
        <v>50</v>
      </c>
      <c r="I500" s="4">
        <f>Full_Data[[#This Row],[Selling Price]]/Full_Data[[#This Row],[Weight (g)]]</f>
        <v>5.0199999999999996</v>
      </c>
      <c r="J500" t="b">
        <v>0</v>
      </c>
      <c r="K500">
        <v>50</v>
      </c>
      <c r="L500">
        <f t="shared" si="64"/>
        <v>19</v>
      </c>
      <c r="M500" t="str">
        <f t="shared" si="65"/>
        <v>High</v>
      </c>
      <c r="N500" t="str">
        <f t="shared" si="66"/>
        <v>6-10%</v>
      </c>
      <c r="O500" t="str">
        <f t="shared" si="67"/>
        <v>OK</v>
      </c>
      <c r="P500">
        <f>IFERROR(Full_Data!G500/Full_Data!H500,"Check data")</f>
        <v>5.0199999999999996</v>
      </c>
      <c r="Q500" t="str">
        <f t="shared" si="68"/>
        <v>Match</v>
      </c>
      <c r="R500" t="str">
        <f t="shared" si="69"/>
        <v>Mismatch</v>
      </c>
      <c r="S500" t="str">
        <f t="shared" si="70"/>
        <v>Match</v>
      </c>
    </row>
    <row r="501" spans="1:19" x14ac:dyDescent="0.25">
      <c r="A501" t="s">
        <v>477</v>
      </c>
      <c r="B501">
        <v>29500</v>
      </c>
      <c r="C501">
        <f t="shared" si="71"/>
        <v>295</v>
      </c>
      <c r="D501">
        <v>0</v>
      </c>
      <c r="E501">
        <v>4</v>
      </c>
      <c r="F501">
        <v>29500</v>
      </c>
      <c r="G501">
        <f t="shared" si="63"/>
        <v>295</v>
      </c>
      <c r="H501">
        <v>500</v>
      </c>
      <c r="I501" s="4">
        <f>Full_Data[[#This Row],[Selling Price]]/Full_Data[[#This Row],[Weight (g)]]</f>
        <v>0.59</v>
      </c>
      <c r="J501" t="b">
        <v>0</v>
      </c>
      <c r="K501">
        <v>500</v>
      </c>
      <c r="L501">
        <f t="shared" si="64"/>
        <v>0</v>
      </c>
      <c r="M501" t="str">
        <f t="shared" si="65"/>
        <v>High</v>
      </c>
      <c r="N501" t="str">
        <f t="shared" si="66"/>
        <v>0-5%</v>
      </c>
      <c r="O501" t="str">
        <f t="shared" si="67"/>
        <v>OK</v>
      </c>
      <c r="P501">
        <f>IFERROR(Full_Data!G501/Full_Data!H501,"Check data")</f>
        <v>0.59</v>
      </c>
      <c r="Q501" t="str">
        <f t="shared" si="68"/>
        <v>Match</v>
      </c>
      <c r="R501" t="str">
        <f t="shared" si="69"/>
        <v>Match</v>
      </c>
      <c r="S501" t="str">
        <f t="shared" si="70"/>
        <v>Match</v>
      </c>
    </row>
    <row r="502" spans="1:19" x14ac:dyDescent="0.25">
      <c r="A502" t="s">
        <v>478</v>
      </c>
      <c r="B502">
        <v>25000</v>
      </c>
      <c r="C502">
        <f t="shared" si="71"/>
        <v>250</v>
      </c>
      <c r="D502">
        <v>0</v>
      </c>
      <c r="E502">
        <v>5</v>
      </c>
      <c r="F502">
        <v>25000</v>
      </c>
      <c r="G502">
        <f t="shared" si="63"/>
        <v>250</v>
      </c>
      <c r="H502">
        <v>400</v>
      </c>
      <c r="I502" s="4">
        <f>Full_Data[[#This Row],[Selling Price]]/Full_Data[[#This Row],[Weight (g)]]</f>
        <v>0.625</v>
      </c>
      <c r="J502" t="b">
        <v>0</v>
      </c>
      <c r="K502">
        <v>400</v>
      </c>
      <c r="L502">
        <f t="shared" si="64"/>
        <v>0</v>
      </c>
      <c r="M502" t="str">
        <f t="shared" si="65"/>
        <v>High</v>
      </c>
      <c r="N502" t="str">
        <f t="shared" si="66"/>
        <v>0-5%</v>
      </c>
      <c r="O502" t="str">
        <f t="shared" si="67"/>
        <v>OK</v>
      </c>
      <c r="P502">
        <f>IFERROR(Full_Data!G502/Full_Data!H502,"Check data")</f>
        <v>0.625</v>
      </c>
      <c r="Q502" t="str">
        <f t="shared" si="68"/>
        <v>Match</v>
      </c>
      <c r="R502" t="str">
        <f t="shared" si="69"/>
        <v>Match</v>
      </c>
      <c r="S502" t="str">
        <f t="shared" si="70"/>
        <v>Match</v>
      </c>
    </row>
    <row r="503" spans="1:19" x14ac:dyDescent="0.25">
      <c r="A503" t="s">
        <v>479</v>
      </c>
      <c r="B503">
        <v>49000</v>
      </c>
      <c r="C503">
        <f t="shared" si="71"/>
        <v>490</v>
      </c>
      <c r="D503">
        <v>11</v>
      </c>
      <c r="E503">
        <v>6</v>
      </c>
      <c r="F503">
        <v>43600</v>
      </c>
      <c r="G503">
        <f t="shared" si="63"/>
        <v>436</v>
      </c>
      <c r="H503">
        <v>2000</v>
      </c>
      <c r="I503" s="4">
        <f>Full_Data[[#This Row],[Selling Price]]/Full_Data[[#This Row],[Weight (g)]]</f>
        <v>0.218</v>
      </c>
      <c r="J503" t="b">
        <v>0</v>
      </c>
      <c r="K503">
        <v>2</v>
      </c>
      <c r="L503">
        <f t="shared" si="64"/>
        <v>54</v>
      </c>
      <c r="M503" t="str">
        <f t="shared" si="65"/>
        <v>High</v>
      </c>
      <c r="N503" t="str">
        <f t="shared" si="66"/>
        <v>11-15%</v>
      </c>
      <c r="O503" t="str">
        <f t="shared" si="67"/>
        <v>OK</v>
      </c>
      <c r="P503">
        <f>IFERROR(Full_Data!G503/Full_Data!H503,"Check data")</f>
        <v>0.218</v>
      </c>
      <c r="Q503" t="str">
        <f t="shared" si="68"/>
        <v>Match</v>
      </c>
      <c r="R503" t="str">
        <f t="shared" si="69"/>
        <v>Mismatch</v>
      </c>
      <c r="S503" t="str">
        <f t="shared" si="70"/>
        <v>Match</v>
      </c>
    </row>
    <row r="504" spans="1:19" x14ac:dyDescent="0.25">
      <c r="A504" t="s">
        <v>480</v>
      </c>
      <c r="B504">
        <v>14000</v>
      </c>
      <c r="C504">
        <f t="shared" si="71"/>
        <v>140</v>
      </c>
      <c r="D504">
        <v>0</v>
      </c>
      <c r="E504">
        <v>6</v>
      </c>
      <c r="F504">
        <v>14000</v>
      </c>
      <c r="G504">
        <f t="shared" si="63"/>
        <v>140</v>
      </c>
      <c r="H504">
        <v>500</v>
      </c>
      <c r="I504" s="4">
        <f>Full_Data[[#This Row],[Selling Price]]/Full_Data[[#This Row],[Weight (g)]]</f>
        <v>0.28000000000000003</v>
      </c>
      <c r="J504" t="b">
        <v>0</v>
      </c>
      <c r="K504">
        <v>500</v>
      </c>
      <c r="L504">
        <f t="shared" si="64"/>
        <v>0</v>
      </c>
      <c r="M504" t="str">
        <f t="shared" si="65"/>
        <v>Medium</v>
      </c>
      <c r="N504" t="str">
        <f t="shared" si="66"/>
        <v>0-5%</v>
      </c>
      <c r="O504" t="str">
        <f t="shared" si="67"/>
        <v>OK</v>
      </c>
      <c r="P504">
        <f>IFERROR(Full_Data!G504/Full_Data!H504,"Check data")</f>
        <v>0.28000000000000003</v>
      </c>
      <c r="Q504" t="str">
        <f t="shared" si="68"/>
        <v>Match</v>
      </c>
      <c r="R504" t="str">
        <f t="shared" si="69"/>
        <v>Match</v>
      </c>
      <c r="S504" t="str">
        <f t="shared" si="70"/>
        <v>Match</v>
      </c>
    </row>
    <row r="505" spans="1:19" x14ac:dyDescent="0.25">
      <c r="A505" t="s">
        <v>285</v>
      </c>
      <c r="B505">
        <v>18500</v>
      </c>
      <c r="C505">
        <f t="shared" si="71"/>
        <v>185</v>
      </c>
      <c r="D505">
        <v>5</v>
      </c>
      <c r="E505">
        <v>3</v>
      </c>
      <c r="F505">
        <v>17500</v>
      </c>
      <c r="G505">
        <f t="shared" si="63"/>
        <v>175</v>
      </c>
      <c r="H505">
        <v>300</v>
      </c>
      <c r="I505" s="4">
        <f>Full_Data[[#This Row],[Selling Price]]/Full_Data[[#This Row],[Weight (g)]]</f>
        <v>0.58333333333333337</v>
      </c>
      <c r="J505" t="b">
        <v>0</v>
      </c>
      <c r="K505">
        <v>300</v>
      </c>
      <c r="L505">
        <f t="shared" si="64"/>
        <v>10</v>
      </c>
      <c r="M505" t="str">
        <f t="shared" si="65"/>
        <v>Medium</v>
      </c>
      <c r="N505" t="str">
        <f t="shared" si="66"/>
        <v>0-5%</v>
      </c>
      <c r="O505" t="str">
        <f t="shared" si="67"/>
        <v>OK</v>
      </c>
      <c r="P505">
        <f>IFERROR(Full_Data!G505/Full_Data!H505,"Check data")</f>
        <v>0.58333333333333337</v>
      </c>
      <c r="Q505" t="str">
        <f t="shared" si="68"/>
        <v>Match</v>
      </c>
      <c r="R505" t="str">
        <f t="shared" si="69"/>
        <v>Mismatch</v>
      </c>
      <c r="S505" t="str">
        <f t="shared" si="70"/>
        <v>Match</v>
      </c>
    </row>
    <row r="506" spans="1:19" x14ac:dyDescent="0.25">
      <c r="A506" t="s">
        <v>481</v>
      </c>
      <c r="B506">
        <v>25000</v>
      </c>
      <c r="C506">
        <f t="shared" si="71"/>
        <v>250</v>
      </c>
      <c r="D506">
        <v>14</v>
      </c>
      <c r="E506">
        <v>6</v>
      </c>
      <c r="F506">
        <v>21300</v>
      </c>
      <c r="G506">
        <f t="shared" si="63"/>
        <v>213</v>
      </c>
      <c r="H506">
        <v>410</v>
      </c>
      <c r="I506" s="4">
        <f>Full_Data[[#This Row],[Selling Price]]/Full_Data[[#This Row],[Weight (g)]]</f>
        <v>0.51951219512195124</v>
      </c>
      <c r="J506" t="b">
        <v>0</v>
      </c>
      <c r="K506">
        <v>410</v>
      </c>
      <c r="L506">
        <f t="shared" si="64"/>
        <v>37</v>
      </c>
      <c r="M506" t="str">
        <f t="shared" si="65"/>
        <v>High</v>
      </c>
      <c r="N506" t="str">
        <f t="shared" si="66"/>
        <v>11-15%</v>
      </c>
      <c r="O506" t="str">
        <f t="shared" si="67"/>
        <v>OK</v>
      </c>
      <c r="P506">
        <f>IFERROR(Full_Data!G506/Full_Data!H506,"Check data")</f>
        <v>0.51951219512195124</v>
      </c>
      <c r="Q506" t="str">
        <f t="shared" si="68"/>
        <v>Match</v>
      </c>
      <c r="R506" t="str">
        <f t="shared" si="69"/>
        <v>Mismatch</v>
      </c>
      <c r="S506" t="str">
        <f t="shared" si="70"/>
        <v>Mismatch</v>
      </c>
    </row>
    <row r="507" spans="1:19" x14ac:dyDescent="0.25">
      <c r="A507" t="s">
        <v>482</v>
      </c>
      <c r="B507">
        <v>17500</v>
      </c>
      <c r="C507">
        <f t="shared" si="71"/>
        <v>175</v>
      </c>
      <c r="D507">
        <v>10</v>
      </c>
      <c r="E507">
        <v>6</v>
      </c>
      <c r="F507">
        <v>15600</v>
      </c>
      <c r="G507">
        <f t="shared" si="63"/>
        <v>156</v>
      </c>
      <c r="H507">
        <v>225</v>
      </c>
      <c r="I507" s="4">
        <f>Full_Data[[#This Row],[Selling Price]]/Full_Data[[#This Row],[Weight (g)]]</f>
        <v>0.69333333333333336</v>
      </c>
      <c r="J507" t="b">
        <v>0</v>
      </c>
      <c r="K507">
        <v>225</v>
      </c>
      <c r="L507">
        <f t="shared" si="64"/>
        <v>19</v>
      </c>
      <c r="M507" t="str">
        <f t="shared" si="65"/>
        <v>Medium</v>
      </c>
      <c r="N507" t="str">
        <f t="shared" si="66"/>
        <v>6-10%</v>
      </c>
      <c r="O507" t="str">
        <f t="shared" si="67"/>
        <v>OK</v>
      </c>
      <c r="P507">
        <f>IFERROR(Full_Data!G507/Full_Data!H507,"Check data")</f>
        <v>0.69333333333333336</v>
      </c>
      <c r="Q507" t="str">
        <f t="shared" si="68"/>
        <v>Match</v>
      </c>
      <c r="R507" t="str">
        <f t="shared" si="69"/>
        <v>Mismatch</v>
      </c>
      <c r="S507" t="str">
        <f t="shared" si="70"/>
        <v>Mismatch</v>
      </c>
    </row>
    <row r="508" spans="1:19" x14ac:dyDescent="0.25">
      <c r="A508" t="s">
        <v>483</v>
      </c>
      <c r="B508">
        <v>20000</v>
      </c>
      <c r="C508">
        <f t="shared" si="71"/>
        <v>200</v>
      </c>
      <c r="D508">
        <v>0</v>
      </c>
      <c r="E508">
        <v>6</v>
      </c>
      <c r="F508">
        <v>20000</v>
      </c>
      <c r="G508">
        <f t="shared" si="63"/>
        <v>200</v>
      </c>
      <c r="H508">
        <v>450</v>
      </c>
      <c r="I508" s="4">
        <f>Full_Data[[#This Row],[Selling Price]]/Full_Data[[#This Row],[Weight (g)]]</f>
        <v>0.44444444444444442</v>
      </c>
      <c r="J508" t="b">
        <v>0</v>
      </c>
      <c r="K508">
        <v>450</v>
      </c>
      <c r="L508">
        <f t="shared" si="64"/>
        <v>0</v>
      </c>
      <c r="M508" t="str">
        <f t="shared" si="65"/>
        <v>High</v>
      </c>
      <c r="N508" t="str">
        <f t="shared" si="66"/>
        <v>0-5%</v>
      </c>
      <c r="O508" t="str">
        <f t="shared" si="67"/>
        <v>OK</v>
      </c>
      <c r="P508">
        <f>IFERROR(Full_Data!G508/Full_Data!H508,"Check data")</f>
        <v>0.44444444444444442</v>
      </c>
      <c r="Q508" t="str">
        <f t="shared" si="68"/>
        <v>Match</v>
      </c>
      <c r="R508" t="str">
        <f t="shared" si="69"/>
        <v>Match</v>
      </c>
      <c r="S508" t="str">
        <f t="shared" si="70"/>
        <v>Match</v>
      </c>
    </row>
    <row r="509" spans="1:19" x14ac:dyDescent="0.25">
      <c r="A509" t="s">
        <v>484</v>
      </c>
      <c r="B509">
        <v>8000</v>
      </c>
      <c r="C509">
        <f t="shared" si="71"/>
        <v>80</v>
      </c>
      <c r="D509">
        <v>0</v>
      </c>
      <c r="E509">
        <v>6</v>
      </c>
      <c r="F509">
        <v>8000</v>
      </c>
      <c r="G509">
        <f t="shared" si="63"/>
        <v>80</v>
      </c>
      <c r="H509">
        <v>100</v>
      </c>
      <c r="I509" s="4">
        <f>Full_Data[[#This Row],[Selling Price]]/Full_Data[[#This Row],[Weight (g)]]</f>
        <v>0.8</v>
      </c>
      <c r="J509" t="b">
        <v>0</v>
      </c>
      <c r="K509">
        <v>100</v>
      </c>
      <c r="L509">
        <f t="shared" si="64"/>
        <v>0</v>
      </c>
      <c r="M509" t="str">
        <f t="shared" si="65"/>
        <v>Medium</v>
      </c>
      <c r="N509" t="str">
        <f t="shared" si="66"/>
        <v>0-5%</v>
      </c>
      <c r="O509" t="str">
        <f t="shared" si="67"/>
        <v>OK</v>
      </c>
      <c r="P509">
        <f>IFERROR(Full_Data!G509/Full_Data!H509,"Check data")</f>
        <v>0.8</v>
      </c>
      <c r="Q509" t="str">
        <f t="shared" si="68"/>
        <v>Match</v>
      </c>
      <c r="R509" t="str">
        <f t="shared" si="69"/>
        <v>Match</v>
      </c>
      <c r="S509" t="str">
        <f t="shared" si="70"/>
        <v>Match</v>
      </c>
    </row>
    <row r="510" spans="1:19" x14ac:dyDescent="0.25">
      <c r="A510" t="s">
        <v>485</v>
      </c>
      <c r="B510">
        <v>6600</v>
      </c>
      <c r="C510">
        <f t="shared" si="71"/>
        <v>66</v>
      </c>
      <c r="D510">
        <v>0</v>
      </c>
      <c r="E510">
        <v>6</v>
      </c>
      <c r="F510">
        <v>6600</v>
      </c>
      <c r="G510">
        <f t="shared" si="63"/>
        <v>66</v>
      </c>
      <c r="H510">
        <v>50</v>
      </c>
      <c r="I510" s="4">
        <f>Full_Data[[#This Row],[Selling Price]]/Full_Data[[#This Row],[Weight (g)]]</f>
        <v>1.32</v>
      </c>
      <c r="J510" t="b">
        <v>0</v>
      </c>
      <c r="K510">
        <v>50</v>
      </c>
      <c r="L510">
        <f t="shared" si="64"/>
        <v>0</v>
      </c>
      <c r="M510" t="str">
        <f t="shared" si="65"/>
        <v>Medium</v>
      </c>
      <c r="N510" t="str">
        <f t="shared" si="66"/>
        <v>0-5%</v>
      </c>
      <c r="O510" t="str">
        <f t="shared" si="67"/>
        <v>OK</v>
      </c>
      <c r="P510">
        <f>IFERROR(Full_Data!G510/Full_Data!H510,"Check data")</f>
        <v>1.32</v>
      </c>
      <c r="Q510" t="str">
        <f t="shared" si="68"/>
        <v>Match</v>
      </c>
      <c r="R510" t="str">
        <f t="shared" si="69"/>
        <v>Match</v>
      </c>
      <c r="S510" t="str">
        <f t="shared" si="70"/>
        <v>Match</v>
      </c>
    </row>
    <row r="511" spans="1:19" x14ac:dyDescent="0.25">
      <c r="A511" t="s">
        <v>486</v>
      </c>
      <c r="B511">
        <v>13500</v>
      </c>
      <c r="C511">
        <f t="shared" si="71"/>
        <v>135</v>
      </c>
      <c r="D511">
        <v>0</v>
      </c>
      <c r="E511">
        <v>6</v>
      </c>
      <c r="F511">
        <v>13500</v>
      </c>
      <c r="G511">
        <f t="shared" si="63"/>
        <v>135</v>
      </c>
      <c r="H511">
        <v>500</v>
      </c>
      <c r="I511" s="4">
        <f>Full_Data[[#This Row],[Selling Price]]/Full_Data[[#This Row],[Weight (g)]]</f>
        <v>0.27</v>
      </c>
      <c r="J511" t="b">
        <v>0</v>
      </c>
      <c r="K511">
        <v>500</v>
      </c>
      <c r="L511">
        <f t="shared" si="64"/>
        <v>0</v>
      </c>
      <c r="M511" t="str">
        <f t="shared" si="65"/>
        <v>Medium</v>
      </c>
      <c r="N511" t="str">
        <f t="shared" si="66"/>
        <v>0-5%</v>
      </c>
      <c r="O511" t="str">
        <f t="shared" si="67"/>
        <v>OK</v>
      </c>
      <c r="P511">
        <f>IFERROR(Full_Data!G511/Full_Data!H511,"Check data")</f>
        <v>0.27</v>
      </c>
      <c r="Q511" t="str">
        <f t="shared" si="68"/>
        <v>Match</v>
      </c>
      <c r="R511" t="str">
        <f t="shared" si="69"/>
        <v>Match</v>
      </c>
      <c r="S511" t="str">
        <f t="shared" si="70"/>
        <v>Match</v>
      </c>
    </row>
    <row r="512" spans="1:19" x14ac:dyDescent="0.25">
      <c r="A512" t="s">
        <v>362</v>
      </c>
      <c r="B512">
        <v>19900</v>
      </c>
      <c r="C512">
        <f t="shared" si="71"/>
        <v>199</v>
      </c>
      <c r="D512">
        <v>10</v>
      </c>
      <c r="E512">
        <v>6</v>
      </c>
      <c r="F512">
        <v>17900</v>
      </c>
      <c r="G512">
        <f t="shared" si="63"/>
        <v>179</v>
      </c>
      <c r="H512">
        <v>240</v>
      </c>
      <c r="I512" s="4">
        <f>Full_Data[[#This Row],[Selling Price]]/Full_Data[[#This Row],[Weight (g)]]</f>
        <v>0.74583333333333335</v>
      </c>
      <c r="J512" t="b">
        <v>0</v>
      </c>
      <c r="K512">
        <v>240</v>
      </c>
      <c r="L512">
        <f t="shared" si="64"/>
        <v>20</v>
      </c>
      <c r="M512" t="str">
        <f t="shared" si="65"/>
        <v>Medium</v>
      </c>
      <c r="N512" t="str">
        <f t="shared" si="66"/>
        <v>6-10%</v>
      </c>
      <c r="O512" t="str">
        <f t="shared" si="67"/>
        <v>OK</v>
      </c>
      <c r="P512">
        <f>IFERROR(Full_Data!G512/Full_Data!H512,"Check data")</f>
        <v>0.74583333333333335</v>
      </c>
      <c r="Q512" t="str">
        <f t="shared" si="68"/>
        <v>Match</v>
      </c>
      <c r="R512" t="str">
        <f t="shared" si="69"/>
        <v>Mismatch</v>
      </c>
      <c r="S512" t="str">
        <f t="shared" si="70"/>
        <v>Match</v>
      </c>
    </row>
    <row r="513" spans="1:19" x14ac:dyDescent="0.25">
      <c r="A513" t="s">
        <v>221</v>
      </c>
      <c r="B513">
        <v>105000</v>
      </c>
      <c r="C513">
        <f t="shared" si="71"/>
        <v>1050</v>
      </c>
      <c r="D513">
        <v>0</v>
      </c>
      <c r="E513">
        <v>2</v>
      </c>
      <c r="F513">
        <v>105000</v>
      </c>
      <c r="G513">
        <f t="shared" si="63"/>
        <v>1050</v>
      </c>
      <c r="H513">
        <v>5000</v>
      </c>
      <c r="I513" s="4">
        <f>Full_Data[[#This Row],[Selling Price]]/Full_Data[[#This Row],[Weight (g)]]</f>
        <v>0.21</v>
      </c>
      <c r="J513" t="b">
        <v>0</v>
      </c>
      <c r="K513">
        <v>5</v>
      </c>
      <c r="L513">
        <f t="shared" si="64"/>
        <v>0</v>
      </c>
      <c r="M513" t="str">
        <f t="shared" si="65"/>
        <v>High</v>
      </c>
      <c r="N513" t="str">
        <f t="shared" si="66"/>
        <v>0-5%</v>
      </c>
      <c r="O513" t="str">
        <f t="shared" si="67"/>
        <v>OK</v>
      </c>
      <c r="P513">
        <f>IFERROR(Full_Data!G513/Full_Data!H513,"Check data")</f>
        <v>0.21</v>
      </c>
      <c r="Q513" t="str">
        <f t="shared" si="68"/>
        <v>Match</v>
      </c>
      <c r="R513" t="str">
        <f t="shared" si="69"/>
        <v>Match</v>
      </c>
      <c r="S513" t="str">
        <f t="shared" si="70"/>
        <v>Match</v>
      </c>
    </row>
    <row r="514" spans="1:19" x14ac:dyDescent="0.25">
      <c r="A514" t="s">
        <v>487</v>
      </c>
      <c r="B514">
        <v>47500</v>
      </c>
      <c r="C514">
        <f t="shared" si="71"/>
        <v>475</v>
      </c>
      <c r="D514">
        <v>10</v>
      </c>
      <c r="E514">
        <v>6</v>
      </c>
      <c r="F514">
        <v>42300</v>
      </c>
      <c r="G514">
        <f t="shared" ref="G514:G577" si="72">F514/100</f>
        <v>423</v>
      </c>
      <c r="H514">
        <v>5000</v>
      </c>
      <c r="I514" s="4">
        <f>Full_Data[[#This Row],[Selling Price]]/Full_Data[[#This Row],[Weight (g)]]</f>
        <v>8.4599999999999995E-2</v>
      </c>
      <c r="J514" t="b">
        <v>0</v>
      </c>
      <c r="K514">
        <v>5</v>
      </c>
      <c r="L514">
        <f t="shared" ref="L514:L577" si="73">C514-G514</f>
        <v>52</v>
      </c>
      <c r="M514" t="str">
        <f t="shared" ref="M514:M577" si="74">IF(G514&lt;50,"Low",IF(G514&lt;200,"Medium","High"))</f>
        <v>High</v>
      </c>
      <c r="N514" t="str">
        <f t="shared" ref="N514:N577" si="75">IF(D514&lt;=5,"0-5%",
IF(D514&lt;=10,"6-10%",
IF(D514&lt;=15,"11-15%",
IF(D514&lt;=20,"16-20%","21%+"))))</f>
        <v>6-10%</v>
      </c>
      <c r="O514" t="str">
        <f t="shared" ref="O514:O577" si="76">IF(AND(C514=0,G514=0),"Review: Zero MRP and selling price",IF(C514&lt;=0,"Review: Invalid MRP",IF(G514&lt;0,"Review: Negative selling price",IF(G514=0,"Review: Zero selling price",IF(H514&lt;=0,"Review: Invalid weight","OK")))))</f>
        <v>OK</v>
      </c>
      <c r="P514">
        <f>IFERROR(Full_Data!G514/Full_Data!H514,"Check data")</f>
        <v>8.4599999999999995E-2</v>
      </c>
      <c r="Q514" t="str">
        <f t="shared" ref="Q514:Q577" si="77">IF(OR(H514="",H514&lt;=0),"Invalid weight",IF(G514="","Missing selling price",IF(ROUND(G514/H514,2)=ROUND(I514,2),"Match","Mismatch")))</f>
        <v>Match</v>
      </c>
      <c r="R514" t="str">
        <f t="shared" ref="R514:R577" si="78">IF(OR(C514&lt;=0,G514=""),"Check data",IF(ROUND((C514-G514)/C514*100,2)=ROUND(D514,2),"Match","Mismatch"))</f>
        <v>Mismatch</v>
      </c>
      <c r="S514" t="str">
        <f t="shared" ref="S514:S577" si="79">IF(OR(C514&lt;=0,G514=""),"Check data",IF(ROUND((C514-G514)/C514*100,0)=D514,"Match","Mismatch"))</f>
        <v>Mismatch</v>
      </c>
    </row>
    <row r="515" spans="1:19" x14ac:dyDescent="0.25">
      <c r="A515" t="s">
        <v>488</v>
      </c>
      <c r="B515">
        <v>13000</v>
      </c>
      <c r="C515">
        <f t="shared" ref="C515:C578" si="80">B515/100</f>
        <v>130</v>
      </c>
      <c r="D515">
        <v>7</v>
      </c>
      <c r="E515">
        <v>6</v>
      </c>
      <c r="F515">
        <v>12000</v>
      </c>
      <c r="G515">
        <f t="shared" si="72"/>
        <v>120</v>
      </c>
      <c r="H515">
        <v>500</v>
      </c>
      <c r="I515" s="4">
        <f>Full_Data[[#This Row],[Selling Price]]/Full_Data[[#This Row],[Weight (g)]]</f>
        <v>0.24</v>
      </c>
      <c r="J515" t="b">
        <v>0</v>
      </c>
      <c r="K515">
        <v>500</v>
      </c>
      <c r="L515">
        <f t="shared" si="73"/>
        <v>10</v>
      </c>
      <c r="M515" t="str">
        <f t="shared" si="74"/>
        <v>Medium</v>
      </c>
      <c r="N515" t="str">
        <f t="shared" si="75"/>
        <v>6-10%</v>
      </c>
      <c r="O515" t="str">
        <f t="shared" si="76"/>
        <v>OK</v>
      </c>
      <c r="P515">
        <f>IFERROR(Full_Data!G515/Full_Data!H515,"Check data")</f>
        <v>0.24</v>
      </c>
      <c r="Q515" t="str">
        <f t="shared" si="77"/>
        <v>Match</v>
      </c>
      <c r="R515" t="str">
        <f t="shared" si="78"/>
        <v>Mismatch</v>
      </c>
      <c r="S515" t="str">
        <f t="shared" si="79"/>
        <v>Mismatch</v>
      </c>
    </row>
    <row r="516" spans="1:19" x14ac:dyDescent="0.25">
      <c r="A516" t="s">
        <v>489</v>
      </c>
      <c r="B516">
        <v>7000</v>
      </c>
      <c r="C516">
        <f t="shared" si="80"/>
        <v>70</v>
      </c>
      <c r="D516">
        <v>0</v>
      </c>
      <c r="E516">
        <v>6</v>
      </c>
      <c r="F516">
        <v>7000</v>
      </c>
      <c r="G516">
        <f t="shared" si="72"/>
        <v>70</v>
      </c>
      <c r="H516">
        <v>100</v>
      </c>
      <c r="I516" s="4">
        <f>Full_Data[[#This Row],[Selling Price]]/Full_Data[[#This Row],[Weight (g)]]</f>
        <v>0.7</v>
      </c>
      <c r="J516" t="b">
        <v>0</v>
      </c>
      <c r="K516">
        <v>100</v>
      </c>
      <c r="L516">
        <f t="shared" si="73"/>
        <v>0</v>
      </c>
      <c r="M516" t="str">
        <f t="shared" si="74"/>
        <v>Medium</v>
      </c>
      <c r="N516" t="str">
        <f t="shared" si="75"/>
        <v>0-5%</v>
      </c>
      <c r="O516" t="str">
        <f t="shared" si="76"/>
        <v>OK</v>
      </c>
      <c r="P516">
        <f>IFERROR(Full_Data!G516/Full_Data!H516,"Check data")</f>
        <v>0.7</v>
      </c>
      <c r="Q516" t="str">
        <f t="shared" si="77"/>
        <v>Match</v>
      </c>
      <c r="R516" t="str">
        <f t="shared" si="78"/>
        <v>Match</v>
      </c>
      <c r="S516" t="str">
        <f t="shared" si="79"/>
        <v>Match</v>
      </c>
    </row>
    <row r="517" spans="1:19" x14ac:dyDescent="0.25">
      <c r="A517" t="s">
        <v>490</v>
      </c>
      <c r="B517">
        <v>10000</v>
      </c>
      <c r="C517">
        <f t="shared" si="80"/>
        <v>100</v>
      </c>
      <c r="D517">
        <v>11</v>
      </c>
      <c r="E517">
        <v>6</v>
      </c>
      <c r="F517">
        <v>8900</v>
      </c>
      <c r="G517">
        <f t="shared" si="72"/>
        <v>89</v>
      </c>
      <c r="H517">
        <v>500</v>
      </c>
      <c r="I517" s="4">
        <f>Full_Data[[#This Row],[Selling Price]]/Full_Data[[#This Row],[Weight (g)]]</f>
        <v>0.17799999999999999</v>
      </c>
      <c r="J517" t="b">
        <v>0</v>
      </c>
      <c r="K517">
        <v>500</v>
      </c>
      <c r="L517">
        <f t="shared" si="73"/>
        <v>11</v>
      </c>
      <c r="M517" t="str">
        <f t="shared" si="74"/>
        <v>Medium</v>
      </c>
      <c r="N517" t="str">
        <f t="shared" si="75"/>
        <v>11-15%</v>
      </c>
      <c r="O517" t="str">
        <f t="shared" si="76"/>
        <v>OK</v>
      </c>
      <c r="P517">
        <f>IFERROR(Full_Data!G517/Full_Data!H517,"Check data")</f>
        <v>0.17799999999999999</v>
      </c>
      <c r="Q517" t="str">
        <f t="shared" si="77"/>
        <v>Match</v>
      </c>
      <c r="R517" t="str">
        <f t="shared" si="78"/>
        <v>Match</v>
      </c>
      <c r="S517" t="str">
        <f t="shared" si="79"/>
        <v>Match</v>
      </c>
    </row>
    <row r="518" spans="1:19" x14ac:dyDescent="0.25">
      <c r="A518" t="s">
        <v>491</v>
      </c>
      <c r="B518">
        <v>29500</v>
      </c>
      <c r="C518">
        <f t="shared" si="80"/>
        <v>295</v>
      </c>
      <c r="D518">
        <v>0</v>
      </c>
      <c r="E518">
        <v>6</v>
      </c>
      <c r="F518">
        <v>29500</v>
      </c>
      <c r="G518">
        <f t="shared" si="72"/>
        <v>295</v>
      </c>
      <c r="H518">
        <v>475</v>
      </c>
      <c r="I518" s="4">
        <f>Full_Data[[#This Row],[Selling Price]]/Full_Data[[#This Row],[Weight (g)]]</f>
        <v>0.62105263157894741</v>
      </c>
      <c r="J518" t="b">
        <v>0</v>
      </c>
      <c r="K518">
        <v>475</v>
      </c>
      <c r="L518">
        <f t="shared" si="73"/>
        <v>0</v>
      </c>
      <c r="M518" t="str">
        <f t="shared" si="74"/>
        <v>High</v>
      </c>
      <c r="N518" t="str">
        <f t="shared" si="75"/>
        <v>0-5%</v>
      </c>
      <c r="O518" t="str">
        <f t="shared" si="76"/>
        <v>OK</v>
      </c>
      <c r="P518">
        <f>IFERROR(Full_Data!G518/Full_Data!H518,"Check data")</f>
        <v>0.62105263157894741</v>
      </c>
      <c r="Q518" t="str">
        <f t="shared" si="77"/>
        <v>Match</v>
      </c>
      <c r="R518" t="str">
        <f t="shared" si="78"/>
        <v>Match</v>
      </c>
      <c r="S518" t="str">
        <f t="shared" si="79"/>
        <v>Match</v>
      </c>
    </row>
    <row r="519" spans="1:19" x14ac:dyDescent="0.25">
      <c r="A519" t="s">
        <v>492</v>
      </c>
      <c r="B519">
        <v>260000</v>
      </c>
      <c r="C519">
        <f t="shared" si="80"/>
        <v>2600</v>
      </c>
      <c r="D519">
        <v>46</v>
      </c>
      <c r="E519">
        <v>6</v>
      </c>
      <c r="F519">
        <v>139900</v>
      </c>
      <c r="G519">
        <f t="shared" si="72"/>
        <v>1399</v>
      </c>
      <c r="H519">
        <v>2000</v>
      </c>
      <c r="I519" s="4">
        <f>Full_Data[[#This Row],[Selling Price]]/Full_Data[[#This Row],[Weight (g)]]</f>
        <v>0.69950000000000001</v>
      </c>
      <c r="J519" t="b">
        <v>0</v>
      </c>
      <c r="K519">
        <v>2</v>
      </c>
      <c r="L519">
        <f t="shared" si="73"/>
        <v>1201</v>
      </c>
      <c r="M519" t="str">
        <f t="shared" si="74"/>
        <v>High</v>
      </c>
      <c r="N519" t="str">
        <f t="shared" si="75"/>
        <v>21%+</v>
      </c>
      <c r="O519" t="str">
        <f t="shared" si="76"/>
        <v>OK</v>
      </c>
      <c r="P519">
        <f>IFERROR(Full_Data!G519/Full_Data!H519,"Check data")</f>
        <v>0.69950000000000001</v>
      </c>
      <c r="Q519" t="str">
        <f t="shared" si="77"/>
        <v>Match</v>
      </c>
      <c r="R519" t="str">
        <f t="shared" si="78"/>
        <v>Mismatch</v>
      </c>
      <c r="S519" t="str">
        <f t="shared" si="79"/>
        <v>Match</v>
      </c>
    </row>
    <row r="520" spans="1:19" x14ac:dyDescent="0.25">
      <c r="A520" t="s">
        <v>493</v>
      </c>
      <c r="B520">
        <v>6000</v>
      </c>
      <c r="C520">
        <f t="shared" si="80"/>
        <v>60</v>
      </c>
      <c r="D520">
        <v>0</v>
      </c>
      <c r="E520">
        <v>6</v>
      </c>
      <c r="F520">
        <v>6000</v>
      </c>
      <c r="G520">
        <f t="shared" si="72"/>
        <v>60</v>
      </c>
      <c r="H520">
        <v>20</v>
      </c>
      <c r="I520" s="4">
        <f>Full_Data[[#This Row],[Selling Price]]/Full_Data[[#This Row],[Weight (g)]]</f>
        <v>3</v>
      </c>
      <c r="J520" t="b">
        <v>0</v>
      </c>
      <c r="K520">
        <v>20</v>
      </c>
      <c r="L520">
        <f t="shared" si="73"/>
        <v>0</v>
      </c>
      <c r="M520" t="str">
        <f t="shared" si="74"/>
        <v>Medium</v>
      </c>
      <c r="N520" t="str">
        <f t="shared" si="75"/>
        <v>0-5%</v>
      </c>
      <c r="O520" t="str">
        <f t="shared" si="76"/>
        <v>OK</v>
      </c>
      <c r="P520">
        <f>IFERROR(Full_Data!G520/Full_Data!H520,"Check data")</f>
        <v>3</v>
      </c>
      <c r="Q520" t="str">
        <f t="shared" si="77"/>
        <v>Match</v>
      </c>
      <c r="R520" t="str">
        <f t="shared" si="78"/>
        <v>Match</v>
      </c>
      <c r="S520" t="str">
        <f t="shared" si="79"/>
        <v>Match</v>
      </c>
    </row>
    <row r="521" spans="1:19" x14ac:dyDescent="0.25">
      <c r="A521" t="s">
        <v>494</v>
      </c>
      <c r="B521">
        <v>9500</v>
      </c>
      <c r="C521">
        <f t="shared" si="80"/>
        <v>95</v>
      </c>
      <c r="D521">
        <v>0</v>
      </c>
      <c r="E521">
        <v>6</v>
      </c>
      <c r="F521">
        <v>9500</v>
      </c>
      <c r="G521">
        <f t="shared" si="72"/>
        <v>95</v>
      </c>
      <c r="H521">
        <v>100</v>
      </c>
      <c r="I521" s="4">
        <f>Full_Data[[#This Row],[Selling Price]]/Full_Data[[#This Row],[Weight (g)]]</f>
        <v>0.95</v>
      </c>
      <c r="J521" t="b">
        <v>0</v>
      </c>
      <c r="K521">
        <v>100</v>
      </c>
      <c r="L521">
        <f t="shared" si="73"/>
        <v>0</v>
      </c>
      <c r="M521" t="str">
        <f t="shared" si="74"/>
        <v>Medium</v>
      </c>
      <c r="N521" t="str">
        <f t="shared" si="75"/>
        <v>0-5%</v>
      </c>
      <c r="O521" t="str">
        <f t="shared" si="76"/>
        <v>OK</v>
      </c>
      <c r="P521">
        <f>IFERROR(Full_Data!G521/Full_Data!H521,"Check data")</f>
        <v>0.95</v>
      </c>
      <c r="Q521" t="str">
        <f t="shared" si="77"/>
        <v>Match</v>
      </c>
      <c r="R521" t="str">
        <f t="shared" si="78"/>
        <v>Match</v>
      </c>
      <c r="S521" t="str">
        <f t="shared" si="79"/>
        <v>Match</v>
      </c>
    </row>
    <row r="522" spans="1:19" x14ac:dyDescent="0.25">
      <c r="A522" t="s">
        <v>495</v>
      </c>
      <c r="B522">
        <v>70000</v>
      </c>
      <c r="C522">
        <f t="shared" si="80"/>
        <v>700</v>
      </c>
      <c r="D522">
        <v>10</v>
      </c>
      <c r="E522">
        <v>3</v>
      </c>
      <c r="F522">
        <v>63000</v>
      </c>
      <c r="G522">
        <f t="shared" si="72"/>
        <v>630</v>
      </c>
      <c r="H522">
        <v>5000</v>
      </c>
      <c r="I522" s="4">
        <f>Full_Data[[#This Row],[Selling Price]]/Full_Data[[#This Row],[Weight (g)]]</f>
        <v>0.126</v>
      </c>
      <c r="J522" t="b">
        <v>0</v>
      </c>
      <c r="K522">
        <v>5</v>
      </c>
      <c r="L522">
        <f t="shared" si="73"/>
        <v>70</v>
      </c>
      <c r="M522" t="str">
        <f t="shared" si="74"/>
        <v>High</v>
      </c>
      <c r="N522" t="str">
        <f t="shared" si="75"/>
        <v>6-10%</v>
      </c>
      <c r="O522" t="str">
        <f t="shared" si="76"/>
        <v>OK</v>
      </c>
      <c r="P522">
        <f>IFERROR(Full_Data!G522/Full_Data!H522,"Check data")</f>
        <v>0.126</v>
      </c>
      <c r="Q522" t="str">
        <f t="shared" si="77"/>
        <v>Match</v>
      </c>
      <c r="R522" t="str">
        <f t="shared" si="78"/>
        <v>Match</v>
      </c>
      <c r="S522" t="str">
        <f t="shared" si="79"/>
        <v>Match</v>
      </c>
    </row>
    <row r="523" spans="1:19" x14ac:dyDescent="0.25">
      <c r="A523" t="s">
        <v>496</v>
      </c>
      <c r="B523">
        <v>5000</v>
      </c>
      <c r="C523">
        <f t="shared" si="80"/>
        <v>50</v>
      </c>
      <c r="D523">
        <v>0</v>
      </c>
      <c r="E523">
        <v>6</v>
      </c>
      <c r="F523">
        <v>5000</v>
      </c>
      <c r="G523">
        <f t="shared" si="72"/>
        <v>50</v>
      </c>
      <c r="H523">
        <v>20</v>
      </c>
      <c r="I523" s="4">
        <f>Full_Data[[#This Row],[Selling Price]]/Full_Data[[#This Row],[Weight (g)]]</f>
        <v>2.5</v>
      </c>
      <c r="J523" t="b">
        <v>0</v>
      </c>
      <c r="K523">
        <v>20</v>
      </c>
      <c r="L523">
        <f t="shared" si="73"/>
        <v>0</v>
      </c>
      <c r="M523" t="str">
        <f t="shared" si="74"/>
        <v>Medium</v>
      </c>
      <c r="N523" t="str">
        <f t="shared" si="75"/>
        <v>0-5%</v>
      </c>
      <c r="O523" t="str">
        <f t="shared" si="76"/>
        <v>OK</v>
      </c>
      <c r="P523">
        <f>IFERROR(Full_Data!G523/Full_Data!H523,"Check data")</f>
        <v>2.5</v>
      </c>
      <c r="Q523" t="str">
        <f t="shared" si="77"/>
        <v>Match</v>
      </c>
      <c r="R523" t="str">
        <f t="shared" si="78"/>
        <v>Match</v>
      </c>
      <c r="S523" t="str">
        <f t="shared" si="79"/>
        <v>Match</v>
      </c>
    </row>
    <row r="524" spans="1:19" x14ac:dyDescent="0.25">
      <c r="A524" t="s">
        <v>497</v>
      </c>
      <c r="B524">
        <v>20000</v>
      </c>
      <c r="C524">
        <f t="shared" si="80"/>
        <v>200</v>
      </c>
      <c r="D524">
        <v>0</v>
      </c>
      <c r="E524">
        <v>1</v>
      </c>
      <c r="F524">
        <v>20000</v>
      </c>
      <c r="G524">
        <f t="shared" si="72"/>
        <v>200</v>
      </c>
      <c r="H524">
        <v>500</v>
      </c>
      <c r="I524" s="4">
        <f>Full_Data[[#This Row],[Selling Price]]/Full_Data[[#This Row],[Weight (g)]]</f>
        <v>0.4</v>
      </c>
      <c r="J524" t="b">
        <v>0</v>
      </c>
      <c r="K524">
        <v>500</v>
      </c>
      <c r="L524">
        <f t="shared" si="73"/>
        <v>0</v>
      </c>
      <c r="M524" t="str">
        <f t="shared" si="74"/>
        <v>High</v>
      </c>
      <c r="N524" t="str">
        <f t="shared" si="75"/>
        <v>0-5%</v>
      </c>
      <c r="O524" t="str">
        <f t="shared" si="76"/>
        <v>OK</v>
      </c>
      <c r="P524">
        <f>IFERROR(Full_Data!G524/Full_Data!H524,"Check data")</f>
        <v>0.4</v>
      </c>
      <c r="Q524" t="str">
        <f t="shared" si="77"/>
        <v>Match</v>
      </c>
      <c r="R524" t="str">
        <f t="shared" si="78"/>
        <v>Match</v>
      </c>
      <c r="S524" t="str">
        <f t="shared" si="79"/>
        <v>Match</v>
      </c>
    </row>
    <row r="525" spans="1:19" x14ac:dyDescent="0.25">
      <c r="A525" t="s">
        <v>498</v>
      </c>
      <c r="B525">
        <v>9900</v>
      </c>
      <c r="C525">
        <f t="shared" si="80"/>
        <v>99</v>
      </c>
      <c r="D525">
        <v>0</v>
      </c>
      <c r="E525">
        <v>6</v>
      </c>
      <c r="F525">
        <v>9900</v>
      </c>
      <c r="G525">
        <f t="shared" si="72"/>
        <v>99</v>
      </c>
      <c r="H525">
        <v>30</v>
      </c>
      <c r="I525" s="4">
        <f>Full_Data[[#This Row],[Selling Price]]/Full_Data[[#This Row],[Weight (g)]]</f>
        <v>3.3</v>
      </c>
      <c r="J525" t="b">
        <v>0</v>
      </c>
      <c r="K525">
        <v>30</v>
      </c>
      <c r="L525">
        <f t="shared" si="73"/>
        <v>0</v>
      </c>
      <c r="M525" t="str">
        <f t="shared" si="74"/>
        <v>Medium</v>
      </c>
      <c r="N525" t="str">
        <f t="shared" si="75"/>
        <v>0-5%</v>
      </c>
      <c r="O525" t="str">
        <f t="shared" si="76"/>
        <v>OK</v>
      </c>
      <c r="P525">
        <f>IFERROR(Full_Data!G525/Full_Data!H525,"Check data")</f>
        <v>3.3</v>
      </c>
      <c r="Q525" t="str">
        <f t="shared" si="77"/>
        <v>Match</v>
      </c>
      <c r="R525" t="str">
        <f t="shared" si="78"/>
        <v>Match</v>
      </c>
      <c r="S525" t="str">
        <f t="shared" si="79"/>
        <v>Match</v>
      </c>
    </row>
    <row r="526" spans="1:19" x14ac:dyDescent="0.25">
      <c r="A526" t="s">
        <v>499</v>
      </c>
      <c r="B526">
        <v>7000</v>
      </c>
      <c r="C526">
        <f t="shared" si="80"/>
        <v>70</v>
      </c>
      <c r="D526">
        <v>0</v>
      </c>
      <c r="E526">
        <v>6</v>
      </c>
      <c r="F526">
        <v>7000</v>
      </c>
      <c r="G526">
        <f t="shared" si="72"/>
        <v>70</v>
      </c>
      <c r="H526">
        <v>500</v>
      </c>
      <c r="I526" s="4">
        <f>Full_Data[[#This Row],[Selling Price]]/Full_Data[[#This Row],[Weight (g)]]</f>
        <v>0.14000000000000001</v>
      </c>
      <c r="J526" t="b">
        <v>0</v>
      </c>
      <c r="K526">
        <v>500</v>
      </c>
      <c r="L526">
        <f t="shared" si="73"/>
        <v>0</v>
      </c>
      <c r="M526" t="str">
        <f t="shared" si="74"/>
        <v>Medium</v>
      </c>
      <c r="N526" t="str">
        <f t="shared" si="75"/>
        <v>0-5%</v>
      </c>
      <c r="O526" t="str">
        <f t="shared" si="76"/>
        <v>OK</v>
      </c>
      <c r="P526">
        <f>IFERROR(Full_Data!G526/Full_Data!H526,"Check data")</f>
        <v>0.14000000000000001</v>
      </c>
      <c r="Q526" t="str">
        <f t="shared" si="77"/>
        <v>Match</v>
      </c>
      <c r="R526" t="str">
        <f t="shared" si="78"/>
        <v>Match</v>
      </c>
      <c r="S526" t="str">
        <f t="shared" si="79"/>
        <v>Match</v>
      </c>
    </row>
    <row r="527" spans="1:19" x14ac:dyDescent="0.25">
      <c r="A527" t="s">
        <v>500</v>
      </c>
      <c r="B527">
        <v>9900</v>
      </c>
      <c r="C527">
        <f t="shared" si="80"/>
        <v>99</v>
      </c>
      <c r="D527">
        <v>0</v>
      </c>
      <c r="E527">
        <v>6</v>
      </c>
      <c r="F527">
        <v>9900</v>
      </c>
      <c r="G527">
        <f t="shared" si="72"/>
        <v>99</v>
      </c>
      <c r="H527">
        <v>28</v>
      </c>
      <c r="I527" s="4">
        <f>Full_Data[[#This Row],[Selling Price]]/Full_Data[[#This Row],[Weight (g)]]</f>
        <v>3.5357142857142856</v>
      </c>
      <c r="J527" t="b">
        <v>0</v>
      </c>
      <c r="K527">
        <v>28</v>
      </c>
      <c r="L527">
        <f t="shared" si="73"/>
        <v>0</v>
      </c>
      <c r="M527" t="str">
        <f t="shared" si="74"/>
        <v>Medium</v>
      </c>
      <c r="N527" t="str">
        <f t="shared" si="75"/>
        <v>0-5%</v>
      </c>
      <c r="O527" t="str">
        <f t="shared" si="76"/>
        <v>OK</v>
      </c>
      <c r="P527">
        <f>IFERROR(Full_Data!G527/Full_Data!H527,"Check data")</f>
        <v>3.5357142857142856</v>
      </c>
      <c r="Q527" t="str">
        <f t="shared" si="77"/>
        <v>Match</v>
      </c>
      <c r="R527" t="str">
        <f t="shared" si="78"/>
        <v>Match</v>
      </c>
      <c r="S527" t="str">
        <f t="shared" si="79"/>
        <v>Match</v>
      </c>
    </row>
    <row r="528" spans="1:19" x14ac:dyDescent="0.25">
      <c r="A528" t="s">
        <v>501</v>
      </c>
      <c r="B528">
        <v>12000</v>
      </c>
      <c r="C528">
        <f t="shared" si="80"/>
        <v>120</v>
      </c>
      <c r="D528">
        <v>30</v>
      </c>
      <c r="E528">
        <v>4</v>
      </c>
      <c r="F528">
        <v>8400</v>
      </c>
      <c r="G528">
        <f t="shared" si="72"/>
        <v>84</v>
      </c>
      <c r="H528">
        <v>285</v>
      </c>
      <c r="I528" s="4">
        <f>Full_Data[[#This Row],[Selling Price]]/Full_Data[[#This Row],[Weight (g)]]</f>
        <v>0.29473684210526313</v>
      </c>
      <c r="J528" t="b">
        <v>0</v>
      </c>
      <c r="K528">
        <v>285</v>
      </c>
      <c r="L528">
        <f t="shared" si="73"/>
        <v>36</v>
      </c>
      <c r="M528" t="str">
        <f t="shared" si="74"/>
        <v>Medium</v>
      </c>
      <c r="N528" t="str">
        <f t="shared" si="75"/>
        <v>21%+</v>
      </c>
      <c r="O528" t="str">
        <f t="shared" si="76"/>
        <v>OK</v>
      </c>
      <c r="P528">
        <f>IFERROR(Full_Data!G528/Full_Data!H528,"Check data")</f>
        <v>0.29473684210526313</v>
      </c>
      <c r="Q528" t="str">
        <f t="shared" si="77"/>
        <v>Match</v>
      </c>
      <c r="R528" t="str">
        <f t="shared" si="78"/>
        <v>Match</v>
      </c>
      <c r="S528" t="str">
        <f t="shared" si="79"/>
        <v>Match</v>
      </c>
    </row>
    <row r="529" spans="1:19" x14ac:dyDescent="0.25">
      <c r="A529" t="s">
        <v>502</v>
      </c>
      <c r="B529">
        <v>29500</v>
      </c>
      <c r="C529">
        <f t="shared" si="80"/>
        <v>295</v>
      </c>
      <c r="D529">
        <v>0</v>
      </c>
      <c r="E529">
        <v>6</v>
      </c>
      <c r="F529">
        <v>29500</v>
      </c>
      <c r="G529">
        <f t="shared" si="72"/>
        <v>295</v>
      </c>
      <c r="H529">
        <v>500</v>
      </c>
      <c r="I529" s="4">
        <f>Full_Data[[#This Row],[Selling Price]]/Full_Data[[#This Row],[Weight (g)]]</f>
        <v>0.59</v>
      </c>
      <c r="J529" t="b">
        <v>0</v>
      </c>
      <c r="K529">
        <v>500</v>
      </c>
      <c r="L529">
        <f t="shared" si="73"/>
        <v>0</v>
      </c>
      <c r="M529" t="str">
        <f t="shared" si="74"/>
        <v>High</v>
      </c>
      <c r="N529" t="str">
        <f t="shared" si="75"/>
        <v>0-5%</v>
      </c>
      <c r="O529" t="str">
        <f t="shared" si="76"/>
        <v>OK</v>
      </c>
      <c r="P529">
        <f>IFERROR(Full_Data!G529/Full_Data!H529,"Check data")</f>
        <v>0.59</v>
      </c>
      <c r="Q529" t="str">
        <f t="shared" si="77"/>
        <v>Match</v>
      </c>
      <c r="R529" t="str">
        <f t="shared" si="78"/>
        <v>Match</v>
      </c>
      <c r="S529" t="str">
        <f t="shared" si="79"/>
        <v>Match</v>
      </c>
    </row>
    <row r="530" spans="1:19" x14ac:dyDescent="0.25">
      <c r="A530" t="s">
        <v>503</v>
      </c>
      <c r="B530">
        <v>9500</v>
      </c>
      <c r="C530">
        <f t="shared" si="80"/>
        <v>95</v>
      </c>
      <c r="D530">
        <v>0</v>
      </c>
      <c r="E530">
        <v>6</v>
      </c>
      <c r="F530">
        <v>9500</v>
      </c>
      <c r="G530">
        <f t="shared" si="72"/>
        <v>95</v>
      </c>
      <c r="H530">
        <v>150</v>
      </c>
      <c r="I530" s="4">
        <f>Full_Data[[#This Row],[Selling Price]]/Full_Data[[#This Row],[Weight (g)]]</f>
        <v>0.6333333333333333</v>
      </c>
      <c r="J530" t="b">
        <v>0</v>
      </c>
      <c r="K530">
        <v>150</v>
      </c>
      <c r="L530">
        <f t="shared" si="73"/>
        <v>0</v>
      </c>
      <c r="M530" t="str">
        <f t="shared" si="74"/>
        <v>Medium</v>
      </c>
      <c r="N530" t="str">
        <f t="shared" si="75"/>
        <v>0-5%</v>
      </c>
      <c r="O530" t="str">
        <f t="shared" si="76"/>
        <v>OK</v>
      </c>
      <c r="P530">
        <f>IFERROR(Full_Data!G530/Full_Data!H530,"Check data")</f>
        <v>0.6333333333333333</v>
      </c>
      <c r="Q530" t="str">
        <f t="shared" si="77"/>
        <v>Match</v>
      </c>
      <c r="R530" t="str">
        <f t="shared" si="78"/>
        <v>Match</v>
      </c>
      <c r="S530" t="str">
        <f t="shared" si="79"/>
        <v>Match</v>
      </c>
    </row>
    <row r="531" spans="1:19" x14ac:dyDescent="0.25">
      <c r="A531" t="s">
        <v>504</v>
      </c>
      <c r="B531">
        <v>16500</v>
      </c>
      <c r="C531">
        <f t="shared" si="80"/>
        <v>165</v>
      </c>
      <c r="D531">
        <v>10</v>
      </c>
      <c r="E531">
        <v>6</v>
      </c>
      <c r="F531">
        <v>14700</v>
      </c>
      <c r="G531">
        <f t="shared" si="72"/>
        <v>147</v>
      </c>
      <c r="H531">
        <v>1000</v>
      </c>
      <c r="I531" s="4">
        <f>Full_Data[[#This Row],[Selling Price]]/Full_Data[[#This Row],[Weight (g)]]</f>
        <v>0.14699999999999999</v>
      </c>
      <c r="J531" t="b">
        <v>0</v>
      </c>
      <c r="K531">
        <v>1</v>
      </c>
      <c r="L531">
        <f t="shared" si="73"/>
        <v>18</v>
      </c>
      <c r="M531" t="str">
        <f t="shared" si="74"/>
        <v>Medium</v>
      </c>
      <c r="N531" t="str">
        <f t="shared" si="75"/>
        <v>6-10%</v>
      </c>
      <c r="O531" t="str">
        <f t="shared" si="76"/>
        <v>OK</v>
      </c>
      <c r="P531">
        <f>IFERROR(Full_Data!G531/Full_Data!H531,"Check data")</f>
        <v>0.14699999999999999</v>
      </c>
      <c r="Q531" t="str">
        <f t="shared" si="77"/>
        <v>Match</v>
      </c>
      <c r="R531" t="str">
        <f t="shared" si="78"/>
        <v>Mismatch</v>
      </c>
      <c r="S531" t="str">
        <f t="shared" si="79"/>
        <v>Mismatch</v>
      </c>
    </row>
    <row r="532" spans="1:19" x14ac:dyDescent="0.25">
      <c r="A532" t="s">
        <v>505</v>
      </c>
      <c r="B532">
        <v>29500</v>
      </c>
      <c r="C532">
        <f t="shared" si="80"/>
        <v>295</v>
      </c>
      <c r="D532">
        <v>0</v>
      </c>
      <c r="E532">
        <v>6</v>
      </c>
      <c r="F532">
        <v>29500</v>
      </c>
      <c r="G532">
        <f t="shared" si="72"/>
        <v>295</v>
      </c>
      <c r="H532">
        <v>500</v>
      </c>
      <c r="I532" s="4">
        <f>Full_Data[[#This Row],[Selling Price]]/Full_Data[[#This Row],[Weight (g)]]</f>
        <v>0.59</v>
      </c>
      <c r="J532" t="b">
        <v>0</v>
      </c>
      <c r="K532">
        <v>500</v>
      </c>
      <c r="L532">
        <f t="shared" si="73"/>
        <v>0</v>
      </c>
      <c r="M532" t="str">
        <f t="shared" si="74"/>
        <v>High</v>
      </c>
      <c r="N532" t="str">
        <f t="shared" si="75"/>
        <v>0-5%</v>
      </c>
      <c r="O532" t="str">
        <f t="shared" si="76"/>
        <v>OK</v>
      </c>
      <c r="P532">
        <f>IFERROR(Full_Data!G532/Full_Data!H532,"Check data")</f>
        <v>0.59</v>
      </c>
      <c r="Q532" t="str">
        <f t="shared" si="77"/>
        <v>Match</v>
      </c>
      <c r="R532" t="str">
        <f t="shared" si="78"/>
        <v>Match</v>
      </c>
      <c r="S532" t="str">
        <f t="shared" si="79"/>
        <v>Match</v>
      </c>
    </row>
    <row r="533" spans="1:19" x14ac:dyDescent="0.25">
      <c r="A533" t="s">
        <v>506</v>
      </c>
      <c r="B533">
        <v>7500</v>
      </c>
      <c r="C533">
        <f t="shared" si="80"/>
        <v>75</v>
      </c>
      <c r="D533">
        <v>0</v>
      </c>
      <c r="E533">
        <v>2</v>
      </c>
      <c r="F533">
        <v>7500</v>
      </c>
      <c r="G533">
        <f t="shared" si="72"/>
        <v>75</v>
      </c>
      <c r="H533">
        <v>100</v>
      </c>
      <c r="I533" s="4">
        <f>Full_Data[[#This Row],[Selling Price]]/Full_Data[[#This Row],[Weight (g)]]</f>
        <v>0.75</v>
      </c>
      <c r="J533" t="b">
        <v>0</v>
      </c>
      <c r="K533">
        <v>100</v>
      </c>
      <c r="L533">
        <f t="shared" si="73"/>
        <v>0</v>
      </c>
      <c r="M533" t="str">
        <f t="shared" si="74"/>
        <v>Medium</v>
      </c>
      <c r="N533" t="str">
        <f t="shared" si="75"/>
        <v>0-5%</v>
      </c>
      <c r="O533" t="str">
        <f t="shared" si="76"/>
        <v>OK</v>
      </c>
      <c r="P533">
        <f>IFERROR(Full_Data!G533/Full_Data!H533,"Check data")</f>
        <v>0.75</v>
      </c>
      <c r="Q533" t="str">
        <f t="shared" si="77"/>
        <v>Match</v>
      </c>
      <c r="R533" t="str">
        <f t="shared" si="78"/>
        <v>Match</v>
      </c>
      <c r="S533" t="str">
        <f t="shared" si="79"/>
        <v>Match</v>
      </c>
    </row>
    <row r="534" spans="1:19" x14ac:dyDescent="0.25">
      <c r="A534" t="s">
        <v>507</v>
      </c>
      <c r="B534">
        <v>9900</v>
      </c>
      <c r="C534">
        <f t="shared" si="80"/>
        <v>99</v>
      </c>
      <c r="D534">
        <v>0</v>
      </c>
      <c r="E534">
        <v>6</v>
      </c>
      <c r="F534">
        <v>9900</v>
      </c>
      <c r="G534">
        <f t="shared" si="72"/>
        <v>99</v>
      </c>
      <c r="H534">
        <v>75</v>
      </c>
      <c r="I534" s="4">
        <f>Full_Data[[#This Row],[Selling Price]]/Full_Data[[#This Row],[Weight (g)]]</f>
        <v>1.32</v>
      </c>
      <c r="J534" t="b">
        <v>0</v>
      </c>
      <c r="K534">
        <v>75</v>
      </c>
      <c r="L534">
        <f t="shared" si="73"/>
        <v>0</v>
      </c>
      <c r="M534" t="str">
        <f t="shared" si="74"/>
        <v>Medium</v>
      </c>
      <c r="N534" t="str">
        <f t="shared" si="75"/>
        <v>0-5%</v>
      </c>
      <c r="O534" t="str">
        <f t="shared" si="76"/>
        <v>OK</v>
      </c>
      <c r="P534">
        <f>IFERROR(Full_Data!G534/Full_Data!H534,"Check data")</f>
        <v>1.32</v>
      </c>
      <c r="Q534" t="str">
        <f t="shared" si="77"/>
        <v>Match</v>
      </c>
      <c r="R534" t="str">
        <f t="shared" si="78"/>
        <v>Match</v>
      </c>
      <c r="S534" t="str">
        <f t="shared" si="79"/>
        <v>Match</v>
      </c>
    </row>
    <row r="535" spans="1:19" x14ac:dyDescent="0.25">
      <c r="A535" t="s">
        <v>508</v>
      </c>
      <c r="B535">
        <v>8900</v>
      </c>
      <c r="C535">
        <f t="shared" si="80"/>
        <v>89</v>
      </c>
      <c r="D535">
        <v>10</v>
      </c>
      <c r="E535">
        <v>6</v>
      </c>
      <c r="F535">
        <v>8000</v>
      </c>
      <c r="G535">
        <f t="shared" si="72"/>
        <v>80</v>
      </c>
      <c r="H535">
        <v>100</v>
      </c>
      <c r="I535" s="4">
        <f>Full_Data[[#This Row],[Selling Price]]/Full_Data[[#This Row],[Weight (g)]]</f>
        <v>0.8</v>
      </c>
      <c r="J535" t="b">
        <v>0</v>
      </c>
      <c r="K535">
        <v>100</v>
      </c>
      <c r="L535">
        <f t="shared" si="73"/>
        <v>9</v>
      </c>
      <c r="M535" t="str">
        <f t="shared" si="74"/>
        <v>Medium</v>
      </c>
      <c r="N535" t="str">
        <f t="shared" si="75"/>
        <v>6-10%</v>
      </c>
      <c r="O535" t="str">
        <f t="shared" si="76"/>
        <v>OK</v>
      </c>
      <c r="P535">
        <f>IFERROR(Full_Data!G535/Full_Data!H535,"Check data")</f>
        <v>0.8</v>
      </c>
      <c r="Q535" t="str">
        <f t="shared" si="77"/>
        <v>Match</v>
      </c>
      <c r="R535" t="str">
        <f t="shared" si="78"/>
        <v>Mismatch</v>
      </c>
      <c r="S535" t="str">
        <f t="shared" si="79"/>
        <v>Match</v>
      </c>
    </row>
    <row r="536" spans="1:19" x14ac:dyDescent="0.25">
      <c r="A536" t="s">
        <v>509</v>
      </c>
      <c r="B536">
        <v>4500</v>
      </c>
      <c r="C536">
        <f t="shared" si="80"/>
        <v>45</v>
      </c>
      <c r="D536">
        <v>2</v>
      </c>
      <c r="E536">
        <v>6</v>
      </c>
      <c r="F536">
        <v>4400</v>
      </c>
      <c r="G536">
        <f t="shared" si="72"/>
        <v>44</v>
      </c>
      <c r="H536">
        <v>90</v>
      </c>
      <c r="I536" s="4">
        <f>Full_Data[[#This Row],[Selling Price]]/Full_Data[[#This Row],[Weight (g)]]</f>
        <v>0.48888888888888887</v>
      </c>
      <c r="J536" t="b">
        <v>0</v>
      </c>
      <c r="K536">
        <v>90</v>
      </c>
      <c r="L536">
        <f t="shared" si="73"/>
        <v>1</v>
      </c>
      <c r="M536" t="str">
        <f t="shared" si="74"/>
        <v>Low</v>
      </c>
      <c r="N536" t="str">
        <f t="shared" si="75"/>
        <v>0-5%</v>
      </c>
      <c r="O536" t="str">
        <f t="shared" si="76"/>
        <v>OK</v>
      </c>
      <c r="P536">
        <f>IFERROR(Full_Data!G536/Full_Data!H536,"Check data")</f>
        <v>0.48888888888888887</v>
      </c>
      <c r="Q536" t="str">
        <f t="shared" si="77"/>
        <v>Match</v>
      </c>
      <c r="R536" t="str">
        <f t="shared" si="78"/>
        <v>Mismatch</v>
      </c>
      <c r="S536" t="str">
        <f t="shared" si="79"/>
        <v>Match</v>
      </c>
    </row>
    <row r="537" spans="1:19" x14ac:dyDescent="0.25">
      <c r="A537" t="s">
        <v>510</v>
      </c>
      <c r="B537">
        <v>19000</v>
      </c>
      <c r="C537">
        <f t="shared" si="80"/>
        <v>190</v>
      </c>
      <c r="D537">
        <v>11</v>
      </c>
      <c r="E537">
        <v>6</v>
      </c>
      <c r="F537">
        <v>16900</v>
      </c>
      <c r="G537">
        <f t="shared" si="72"/>
        <v>169</v>
      </c>
      <c r="H537">
        <v>500</v>
      </c>
      <c r="I537" s="4">
        <f>Full_Data[[#This Row],[Selling Price]]/Full_Data[[#This Row],[Weight (g)]]</f>
        <v>0.33800000000000002</v>
      </c>
      <c r="J537" t="b">
        <v>0</v>
      </c>
      <c r="K537">
        <v>500</v>
      </c>
      <c r="L537">
        <f t="shared" si="73"/>
        <v>21</v>
      </c>
      <c r="M537" t="str">
        <f t="shared" si="74"/>
        <v>Medium</v>
      </c>
      <c r="N537" t="str">
        <f t="shared" si="75"/>
        <v>11-15%</v>
      </c>
      <c r="O537" t="str">
        <f t="shared" si="76"/>
        <v>OK</v>
      </c>
      <c r="P537">
        <f>IFERROR(Full_Data!G537/Full_Data!H537,"Check data")</f>
        <v>0.33800000000000002</v>
      </c>
      <c r="Q537" t="str">
        <f t="shared" si="77"/>
        <v>Match</v>
      </c>
      <c r="R537" t="str">
        <f t="shared" si="78"/>
        <v>Mismatch</v>
      </c>
      <c r="S537" t="str">
        <f t="shared" si="79"/>
        <v>Match</v>
      </c>
    </row>
    <row r="538" spans="1:19" x14ac:dyDescent="0.25">
      <c r="A538" t="s">
        <v>511</v>
      </c>
      <c r="B538">
        <v>8900</v>
      </c>
      <c r="C538">
        <f t="shared" si="80"/>
        <v>89</v>
      </c>
      <c r="D538">
        <v>0</v>
      </c>
      <c r="E538">
        <v>6</v>
      </c>
      <c r="F538">
        <v>8900</v>
      </c>
      <c r="G538">
        <f t="shared" si="72"/>
        <v>89</v>
      </c>
      <c r="H538">
        <v>100</v>
      </c>
      <c r="I538" s="4">
        <f>Full_Data[[#This Row],[Selling Price]]/Full_Data[[#This Row],[Weight (g)]]</f>
        <v>0.89</v>
      </c>
      <c r="J538" t="b">
        <v>0</v>
      </c>
      <c r="K538">
        <v>100</v>
      </c>
      <c r="L538">
        <f t="shared" si="73"/>
        <v>0</v>
      </c>
      <c r="M538" t="str">
        <f t="shared" si="74"/>
        <v>Medium</v>
      </c>
      <c r="N538" t="str">
        <f t="shared" si="75"/>
        <v>0-5%</v>
      </c>
      <c r="O538" t="str">
        <f t="shared" si="76"/>
        <v>OK</v>
      </c>
      <c r="P538">
        <f>IFERROR(Full_Data!G538/Full_Data!H538,"Check data")</f>
        <v>0.89</v>
      </c>
      <c r="Q538" t="str">
        <f t="shared" si="77"/>
        <v>Match</v>
      </c>
      <c r="R538" t="str">
        <f t="shared" si="78"/>
        <v>Match</v>
      </c>
      <c r="S538" t="str">
        <f t="shared" si="79"/>
        <v>Match</v>
      </c>
    </row>
    <row r="539" spans="1:19" x14ac:dyDescent="0.25">
      <c r="A539" t="s">
        <v>512</v>
      </c>
      <c r="B539">
        <v>39900</v>
      </c>
      <c r="C539">
        <f t="shared" si="80"/>
        <v>399</v>
      </c>
      <c r="D539">
        <v>20</v>
      </c>
      <c r="E539">
        <v>6</v>
      </c>
      <c r="F539">
        <v>31900</v>
      </c>
      <c r="G539">
        <f t="shared" si="72"/>
        <v>319</v>
      </c>
      <c r="H539">
        <v>200</v>
      </c>
      <c r="I539" s="4">
        <f>Full_Data[[#This Row],[Selling Price]]/Full_Data[[#This Row],[Weight (g)]]</f>
        <v>1.595</v>
      </c>
      <c r="J539" t="b">
        <v>0</v>
      </c>
      <c r="K539">
        <v>200</v>
      </c>
      <c r="L539">
        <f t="shared" si="73"/>
        <v>80</v>
      </c>
      <c r="M539" t="str">
        <f t="shared" si="74"/>
        <v>High</v>
      </c>
      <c r="N539" t="str">
        <f t="shared" si="75"/>
        <v>16-20%</v>
      </c>
      <c r="O539" t="str">
        <f t="shared" si="76"/>
        <v>OK</v>
      </c>
      <c r="P539">
        <f>IFERROR(Full_Data!G539/Full_Data!H539,"Check data")</f>
        <v>1.595</v>
      </c>
      <c r="Q539" t="str">
        <f t="shared" si="77"/>
        <v>Match</v>
      </c>
      <c r="R539" t="str">
        <f t="shared" si="78"/>
        <v>Mismatch</v>
      </c>
      <c r="S539" t="str">
        <f t="shared" si="79"/>
        <v>Match</v>
      </c>
    </row>
    <row r="540" spans="1:19" x14ac:dyDescent="0.25">
      <c r="A540" t="s">
        <v>417</v>
      </c>
      <c r="B540">
        <v>20500</v>
      </c>
      <c r="C540">
        <f t="shared" si="80"/>
        <v>205</v>
      </c>
      <c r="D540">
        <v>0</v>
      </c>
      <c r="E540">
        <v>6</v>
      </c>
      <c r="F540">
        <v>20500</v>
      </c>
      <c r="G540">
        <f t="shared" si="72"/>
        <v>205</v>
      </c>
      <c r="H540">
        <v>50</v>
      </c>
      <c r="I540" s="4">
        <f>Full_Data[[#This Row],[Selling Price]]/Full_Data[[#This Row],[Weight (g)]]</f>
        <v>4.0999999999999996</v>
      </c>
      <c r="J540" t="b">
        <v>0</v>
      </c>
      <c r="K540">
        <v>20</v>
      </c>
      <c r="L540">
        <f t="shared" si="73"/>
        <v>0</v>
      </c>
      <c r="M540" t="str">
        <f t="shared" si="74"/>
        <v>High</v>
      </c>
      <c r="N540" t="str">
        <f t="shared" si="75"/>
        <v>0-5%</v>
      </c>
      <c r="O540" t="str">
        <f t="shared" si="76"/>
        <v>OK</v>
      </c>
      <c r="P540">
        <f>IFERROR(Full_Data!G540/Full_Data!H540,"Check data")</f>
        <v>4.0999999999999996</v>
      </c>
      <c r="Q540" t="str">
        <f t="shared" si="77"/>
        <v>Match</v>
      </c>
      <c r="R540" t="str">
        <f t="shared" si="78"/>
        <v>Match</v>
      </c>
      <c r="S540" t="str">
        <f t="shared" si="79"/>
        <v>Match</v>
      </c>
    </row>
    <row r="541" spans="1:19" x14ac:dyDescent="0.25">
      <c r="A541" t="s">
        <v>513</v>
      </c>
      <c r="B541">
        <v>13900</v>
      </c>
      <c r="C541">
        <f t="shared" si="80"/>
        <v>139</v>
      </c>
      <c r="D541">
        <v>10</v>
      </c>
      <c r="E541">
        <v>6</v>
      </c>
      <c r="F541">
        <v>12500</v>
      </c>
      <c r="G541">
        <f t="shared" si="72"/>
        <v>125</v>
      </c>
      <c r="H541">
        <v>100</v>
      </c>
      <c r="I541" s="4">
        <f>Full_Data[[#This Row],[Selling Price]]/Full_Data[[#This Row],[Weight (g)]]</f>
        <v>1.25</v>
      </c>
      <c r="J541" t="b">
        <v>0</v>
      </c>
      <c r="K541">
        <v>100</v>
      </c>
      <c r="L541">
        <f t="shared" si="73"/>
        <v>14</v>
      </c>
      <c r="M541" t="str">
        <f t="shared" si="74"/>
        <v>Medium</v>
      </c>
      <c r="N541" t="str">
        <f t="shared" si="75"/>
        <v>6-10%</v>
      </c>
      <c r="O541" t="str">
        <f t="shared" si="76"/>
        <v>OK</v>
      </c>
      <c r="P541">
        <f>IFERROR(Full_Data!G541/Full_Data!H541,"Check data")</f>
        <v>1.25</v>
      </c>
      <c r="Q541" t="str">
        <f t="shared" si="77"/>
        <v>Match</v>
      </c>
      <c r="R541" t="str">
        <f t="shared" si="78"/>
        <v>Mismatch</v>
      </c>
      <c r="S541" t="str">
        <f t="shared" si="79"/>
        <v>Match</v>
      </c>
    </row>
    <row r="542" spans="1:19" x14ac:dyDescent="0.25">
      <c r="A542" t="s">
        <v>514</v>
      </c>
      <c r="B542">
        <v>4500</v>
      </c>
      <c r="C542">
        <f t="shared" si="80"/>
        <v>45</v>
      </c>
      <c r="D542">
        <v>0</v>
      </c>
      <c r="E542">
        <v>4</v>
      </c>
      <c r="F542">
        <v>4500</v>
      </c>
      <c r="G542">
        <f t="shared" si="72"/>
        <v>45</v>
      </c>
      <c r="H542">
        <v>80</v>
      </c>
      <c r="I542" s="4">
        <f>Full_Data[[#This Row],[Selling Price]]/Full_Data[[#This Row],[Weight (g)]]</f>
        <v>0.5625</v>
      </c>
      <c r="J542" t="b">
        <v>0</v>
      </c>
      <c r="K542">
        <v>80</v>
      </c>
      <c r="L542">
        <f t="shared" si="73"/>
        <v>0</v>
      </c>
      <c r="M542" t="str">
        <f t="shared" si="74"/>
        <v>Low</v>
      </c>
      <c r="N542" t="str">
        <f t="shared" si="75"/>
        <v>0-5%</v>
      </c>
      <c r="O542" t="str">
        <f t="shared" si="76"/>
        <v>OK</v>
      </c>
      <c r="P542">
        <f>IFERROR(Full_Data!G542/Full_Data!H542,"Check data")</f>
        <v>0.5625</v>
      </c>
      <c r="Q542" t="str">
        <f t="shared" si="77"/>
        <v>Match</v>
      </c>
      <c r="R542" t="str">
        <f t="shared" si="78"/>
        <v>Match</v>
      </c>
      <c r="S542" t="str">
        <f t="shared" si="79"/>
        <v>Match</v>
      </c>
    </row>
    <row r="543" spans="1:19" x14ac:dyDescent="0.25">
      <c r="A543" t="s">
        <v>515</v>
      </c>
      <c r="B543">
        <v>13900</v>
      </c>
      <c r="C543">
        <f t="shared" si="80"/>
        <v>139</v>
      </c>
      <c r="D543">
        <v>0</v>
      </c>
      <c r="E543">
        <v>6</v>
      </c>
      <c r="F543">
        <v>13900</v>
      </c>
      <c r="G543">
        <f t="shared" si="72"/>
        <v>139</v>
      </c>
      <c r="H543">
        <v>45</v>
      </c>
      <c r="I543" s="4">
        <f>Full_Data[[#This Row],[Selling Price]]/Full_Data[[#This Row],[Weight (g)]]</f>
        <v>3.088888888888889</v>
      </c>
      <c r="J543" t="b">
        <v>0</v>
      </c>
      <c r="K543">
        <v>45</v>
      </c>
      <c r="L543">
        <f t="shared" si="73"/>
        <v>0</v>
      </c>
      <c r="M543" t="str">
        <f t="shared" si="74"/>
        <v>Medium</v>
      </c>
      <c r="N543" t="str">
        <f t="shared" si="75"/>
        <v>0-5%</v>
      </c>
      <c r="O543" t="str">
        <f t="shared" si="76"/>
        <v>OK</v>
      </c>
      <c r="P543">
        <f>IFERROR(Full_Data!G543/Full_Data!H543,"Check data")</f>
        <v>3.088888888888889</v>
      </c>
      <c r="Q543" t="str">
        <f t="shared" si="77"/>
        <v>Match</v>
      </c>
      <c r="R543" t="str">
        <f t="shared" si="78"/>
        <v>Match</v>
      </c>
      <c r="S543" t="str">
        <f t="shared" si="79"/>
        <v>Match</v>
      </c>
    </row>
    <row r="544" spans="1:19" x14ac:dyDescent="0.25">
      <c r="A544" t="s">
        <v>516</v>
      </c>
      <c r="B544">
        <v>32500</v>
      </c>
      <c r="C544">
        <f t="shared" si="80"/>
        <v>325</v>
      </c>
      <c r="D544">
        <v>8</v>
      </c>
      <c r="E544">
        <v>1</v>
      </c>
      <c r="F544">
        <v>29900</v>
      </c>
      <c r="G544">
        <f t="shared" si="72"/>
        <v>299</v>
      </c>
      <c r="H544">
        <v>200</v>
      </c>
      <c r="I544" s="4">
        <f>Full_Data[[#This Row],[Selling Price]]/Full_Data[[#This Row],[Weight (g)]]</f>
        <v>1.4950000000000001</v>
      </c>
      <c r="J544" t="b">
        <v>0</v>
      </c>
      <c r="K544">
        <v>200</v>
      </c>
      <c r="L544">
        <f t="shared" si="73"/>
        <v>26</v>
      </c>
      <c r="M544" t="str">
        <f t="shared" si="74"/>
        <v>High</v>
      </c>
      <c r="N544" t="str">
        <f t="shared" si="75"/>
        <v>6-10%</v>
      </c>
      <c r="O544" t="str">
        <f t="shared" si="76"/>
        <v>OK</v>
      </c>
      <c r="P544">
        <f>IFERROR(Full_Data!G544/Full_Data!H544,"Check data")</f>
        <v>1.4950000000000001</v>
      </c>
      <c r="Q544" t="str">
        <f t="shared" si="77"/>
        <v>Match</v>
      </c>
      <c r="R544" t="str">
        <f t="shared" si="78"/>
        <v>Match</v>
      </c>
      <c r="S544" t="str">
        <f t="shared" si="79"/>
        <v>Match</v>
      </c>
    </row>
    <row r="545" spans="1:19" x14ac:dyDescent="0.25">
      <c r="A545" t="s">
        <v>517</v>
      </c>
      <c r="B545">
        <v>6000</v>
      </c>
      <c r="C545">
        <f t="shared" si="80"/>
        <v>60</v>
      </c>
      <c r="D545">
        <v>6</v>
      </c>
      <c r="E545">
        <v>0</v>
      </c>
      <c r="F545">
        <v>5600</v>
      </c>
      <c r="G545">
        <f t="shared" si="72"/>
        <v>56</v>
      </c>
      <c r="H545">
        <v>1000</v>
      </c>
      <c r="I545" s="4">
        <f>Full_Data[[#This Row],[Selling Price]]/Full_Data[[#This Row],[Weight (g)]]</f>
        <v>5.6000000000000001E-2</v>
      </c>
      <c r="J545" t="b">
        <v>1</v>
      </c>
      <c r="K545">
        <v>1</v>
      </c>
      <c r="L545">
        <f t="shared" si="73"/>
        <v>4</v>
      </c>
      <c r="M545" t="str">
        <f t="shared" si="74"/>
        <v>Medium</v>
      </c>
      <c r="N545" t="str">
        <f t="shared" si="75"/>
        <v>6-10%</v>
      </c>
      <c r="O545" t="str">
        <f t="shared" si="76"/>
        <v>OK</v>
      </c>
      <c r="P545">
        <f>IFERROR(Full_Data!G545/Full_Data!H545,"Check data")</f>
        <v>5.6000000000000001E-2</v>
      </c>
      <c r="Q545" t="str">
        <f t="shared" si="77"/>
        <v>Match</v>
      </c>
      <c r="R545" t="str">
        <f t="shared" si="78"/>
        <v>Mismatch</v>
      </c>
      <c r="S545" t="str">
        <f t="shared" si="79"/>
        <v>Mismatch</v>
      </c>
    </row>
    <row r="546" spans="1:19" x14ac:dyDescent="0.25">
      <c r="A546" t="s">
        <v>113</v>
      </c>
      <c r="B546">
        <v>6300</v>
      </c>
      <c r="C546">
        <f t="shared" si="80"/>
        <v>63</v>
      </c>
      <c r="D546">
        <v>0</v>
      </c>
      <c r="E546">
        <v>0</v>
      </c>
      <c r="F546">
        <v>6300</v>
      </c>
      <c r="G546">
        <f t="shared" si="72"/>
        <v>63</v>
      </c>
      <c r="H546">
        <v>250</v>
      </c>
      <c r="I546" s="4">
        <f>Full_Data[[#This Row],[Selling Price]]/Full_Data[[#This Row],[Weight (g)]]</f>
        <v>0.252</v>
      </c>
      <c r="J546" t="b">
        <v>1</v>
      </c>
      <c r="K546">
        <v>250</v>
      </c>
      <c r="L546">
        <f t="shared" si="73"/>
        <v>0</v>
      </c>
      <c r="M546" t="str">
        <f t="shared" si="74"/>
        <v>Medium</v>
      </c>
      <c r="N546" t="str">
        <f t="shared" si="75"/>
        <v>0-5%</v>
      </c>
      <c r="O546" t="str">
        <f t="shared" si="76"/>
        <v>OK</v>
      </c>
      <c r="P546">
        <f>IFERROR(Full_Data!G546/Full_Data!H546,"Check data")</f>
        <v>0.252</v>
      </c>
      <c r="Q546" t="str">
        <f t="shared" si="77"/>
        <v>Match</v>
      </c>
      <c r="R546" t="str">
        <f t="shared" si="78"/>
        <v>Match</v>
      </c>
      <c r="S546" t="str">
        <f t="shared" si="79"/>
        <v>Match</v>
      </c>
    </row>
    <row r="547" spans="1:19" x14ac:dyDescent="0.25">
      <c r="A547" t="s">
        <v>518</v>
      </c>
      <c r="B547">
        <v>29500</v>
      </c>
      <c r="C547">
        <f t="shared" si="80"/>
        <v>295</v>
      </c>
      <c r="D547">
        <v>9</v>
      </c>
      <c r="E547">
        <v>0</v>
      </c>
      <c r="F547">
        <v>26600</v>
      </c>
      <c r="G547">
        <f t="shared" si="72"/>
        <v>266</v>
      </c>
      <c r="H547">
        <v>5000</v>
      </c>
      <c r="I547" s="4">
        <f>Full_Data[[#This Row],[Selling Price]]/Full_Data[[#This Row],[Weight (g)]]</f>
        <v>5.3199999999999997E-2</v>
      </c>
      <c r="J547" t="b">
        <v>1</v>
      </c>
      <c r="K547">
        <v>5</v>
      </c>
      <c r="L547">
        <f t="shared" si="73"/>
        <v>29</v>
      </c>
      <c r="M547" t="str">
        <f t="shared" si="74"/>
        <v>High</v>
      </c>
      <c r="N547" t="str">
        <f t="shared" si="75"/>
        <v>6-10%</v>
      </c>
      <c r="O547" t="str">
        <f t="shared" si="76"/>
        <v>OK</v>
      </c>
      <c r="P547">
        <f>IFERROR(Full_Data!G547/Full_Data!H547,"Check data")</f>
        <v>5.3199999999999997E-2</v>
      </c>
      <c r="Q547" t="str">
        <f t="shared" si="77"/>
        <v>Match</v>
      </c>
      <c r="R547" t="str">
        <f t="shared" si="78"/>
        <v>Mismatch</v>
      </c>
      <c r="S547" t="str">
        <f t="shared" si="79"/>
        <v>Mismatch</v>
      </c>
    </row>
    <row r="548" spans="1:19" x14ac:dyDescent="0.25">
      <c r="A548" t="s">
        <v>519</v>
      </c>
      <c r="B548">
        <v>3500</v>
      </c>
      <c r="C548">
        <f t="shared" si="80"/>
        <v>35</v>
      </c>
      <c r="D548">
        <v>8</v>
      </c>
      <c r="E548">
        <v>0</v>
      </c>
      <c r="F548">
        <v>3200</v>
      </c>
      <c r="G548">
        <f t="shared" si="72"/>
        <v>32</v>
      </c>
      <c r="H548">
        <v>500</v>
      </c>
      <c r="I548" s="4">
        <f>Full_Data[[#This Row],[Selling Price]]/Full_Data[[#This Row],[Weight (g)]]</f>
        <v>6.4000000000000001E-2</v>
      </c>
      <c r="J548" t="b">
        <v>1</v>
      </c>
      <c r="K548">
        <v>500</v>
      </c>
      <c r="L548">
        <f t="shared" si="73"/>
        <v>3</v>
      </c>
      <c r="M548" t="str">
        <f t="shared" si="74"/>
        <v>Low</v>
      </c>
      <c r="N548" t="str">
        <f t="shared" si="75"/>
        <v>6-10%</v>
      </c>
      <c r="O548" t="str">
        <f t="shared" si="76"/>
        <v>OK</v>
      </c>
      <c r="P548">
        <f>IFERROR(Full_Data!G548/Full_Data!H548,"Check data")</f>
        <v>6.4000000000000001E-2</v>
      </c>
      <c r="Q548" t="str">
        <f t="shared" si="77"/>
        <v>Match</v>
      </c>
      <c r="R548" t="str">
        <f t="shared" si="78"/>
        <v>Mismatch</v>
      </c>
      <c r="S548" t="str">
        <f t="shared" si="79"/>
        <v>Mismatch</v>
      </c>
    </row>
    <row r="549" spans="1:19" x14ac:dyDescent="0.25">
      <c r="A549" t="s">
        <v>520</v>
      </c>
      <c r="B549">
        <v>5300</v>
      </c>
      <c r="C549">
        <f t="shared" si="80"/>
        <v>53</v>
      </c>
      <c r="D549">
        <v>1</v>
      </c>
      <c r="E549">
        <v>0</v>
      </c>
      <c r="F549">
        <v>5200</v>
      </c>
      <c r="G549">
        <f t="shared" si="72"/>
        <v>52</v>
      </c>
      <c r="H549">
        <v>1000</v>
      </c>
      <c r="I549" s="4">
        <f>Full_Data[[#This Row],[Selling Price]]/Full_Data[[#This Row],[Weight (g)]]</f>
        <v>5.1999999999999998E-2</v>
      </c>
      <c r="J549" t="b">
        <v>1</v>
      </c>
      <c r="K549">
        <v>1</v>
      </c>
      <c r="L549">
        <f t="shared" si="73"/>
        <v>1</v>
      </c>
      <c r="M549" t="str">
        <f t="shared" si="74"/>
        <v>Medium</v>
      </c>
      <c r="N549" t="str">
        <f t="shared" si="75"/>
        <v>0-5%</v>
      </c>
      <c r="O549" t="str">
        <f t="shared" si="76"/>
        <v>OK</v>
      </c>
      <c r="P549">
        <f>IFERROR(Full_Data!G549/Full_Data!H549,"Check data")</f>
        <v>5.1999999999999998E-2</v>
      </c>
      <c r="Q549" t="str">
        <f t="shared" si="77"/>
        <v>Match</v>
      </c>
      <c r="R549" t="str">
        <f t="shared" si="78"/>
        <v>Mismatch</v>
      </c>
      <c r="S549" t="str">
        <f t="shared" si="79"/>
        <v>Mismatch</v>
      </c>
    </row>
    <row r="550" spans="1:19" x14ac:dyDescent="0.25">
      <c r="A550" t="s">
        <v>116</v>
      </c>
      <c r="B550">
        <v>21000</v>
      </c>
      <c r="C550">
        <f t="shared" si="80"/>
        <v>210</v>
      </c>
      <c r="D550">
        <v>13</v>
      </c>
      <c r="E550">
        <v>0</v>
      </c>
      <c r="F550">
        <v>18100</v>
      </c>
      <c r="G550">
        <f t="shared" si="72"/>
        <v>181</v>
      </c>
      <c r="H550">
        <v>1000</v>
      </c>
      <c r="I550" s="4">
        <f>Full_Data[[#This Row],[Selling Price]]/Full_Data[[#This Row],[Weight (g)]]</f>
        <v>0.18099999999999999</v>
      </c>
      <c r="J550" t="b">
        <v>1</v>
      </c>
      <c r="K550">
        <v>1</v>
      </c>
      <c r="L550">
        <f t="shared" si="73"/>
        <v>29</v>
      </c>
      <c r="M550" t="str">
        <f t="shared" si="74"/>
        <v>Medium</v>
      </c>
      <c r="N550" t="str">
        <f t="shared" si="75"/>
        <v>11-15%</v>
      </c>
      <c r="O550" t="str">
        <f t="shared" si="76"/>
        <v>OK</v>
      </c>
      <c r="P550">
        <f>IFERROR(Full_Data!G550/Full_Data!H550,"Check data")</f>
        <v>0.18099999999999999</v>
      </c>
      <c r="Q550" t="str">
        <f t="shared" si="77"/>
        <v>Match</v>
      </c>
      <c r="R550" t="str">
        <f t="shared" si="78"/>
        <v>Mismatch</v>
      </c>
      <c r="S550" t="str">
        <f t="shared" si="79"/>
        <v>Mismatch</v>
      </c>
    </row>
    <row r="551" spans="1:19" x14ac:dyDescent="0.25">
      <c r="A551" t="s">
        <v>521</v>
      </c>
      <c r="B551">
        <v>5800</v>
      </c>
      <c r="C551">
        <f t="shared" si="80"/>
        <v>58</v>
      </c>
      <c r="D551">
        <v>6</v>
      </c>
      <c r="E551">
        <v>0</v>
      </c>
      <c r="F551">
        <v>5400</v>
      </c>
      <c r="G551">
        <f t="shared" si="72"/>
        <v>54</v>
      </c>
      <c r="H551">
        <v>72</v>
      </c>
      <c r="I551" s="4">
        <f>Full_Data[[#This Row],[Selling Price]]/Full_Data[[#This Row],[Weight (g)]]</f>
        <v>0.75</v>
      </c>
      <c r="J551" t="b">
        <v>1</v>
      </c>
      <c r="K551">
        <v>72</v>
      </c>
      <c r="L551">
        <f t="shared" si="73"/>
        <v>4</v>
      </c>
      <c r="M551" t="str">
        <f t="shared" si="74"/>
        <v>Medium</v>
      </c>
      <c r="N551" t="str">
        <f t="shared" si="75"/>
        <v>6-10%</v>
      </c>
      <c r="O551" t="str">
        <f t="shared" si="76"/>
        <v>OK</v>
      </c>
      <c r="P551">
        <f>IFERROR(Full_Data!G551/Full_Data!H551,"Check data")</f>
        <v>0.75</v>
      </c>
      <c r="Q551" t="str">
        <f t="shared" si="77"/>
        <v>Match</v>
      </c>
      <c r="R551" t="str">
        <f t="shared" si="78"/>
        <v>Mismatch</v>
      </c>
      <c r="S551" t="str">
        <f t="shared" si="79"/>
        <v>Mismatch</v>
      </c>
    </row>
    <row r="552" spans="1:19" x14ac:dyDescent="0.25">
      <c r="A552" t="s">
        <v>522</v>
      </c>
      <c r="B552">
        <v>2200</v>
      </c>
      <c r="C552">
        <f t="shared" si="80"/>
        <v>22</v>
      </c>
      <c r="D552">
        <v>13</v>
      </c>
      <c r="E552">
        <v>0</v>
      </c>
      <c r="F552">
        <v>1900</v>
      </c>
      <c r="G552">
        <f t="shared" si="72"/>
        <v>19</v>
      </c>
      <c r="H552">
        <v>1000</v>
      </c>
      <c r="I552" s="4">
        <f>Full_Data[[#This Row],[Selling Price]]/Full_Data[[#This Row],[Weight (g)]]</f>
        <v>1.9E-2</v>
      </c>
      <c r="J552" t="b">
        <v>1</v>
      </c>
      <c r="K552">
        <v>1</v>
      </c>
      <c r="L552">
        <f t="shared" si="73"/>
        <v>3</v>
      </c>
      <c r="M552" t="str">
        <f t="shared" si="74"/>
        <v>Low</v>
      </c>
      <c r="N552" t="str">
        <f t="shared" si="75"/>
        <v>11-15%</v>
      </c>
      <c r="O552" t="str">
        <f t="shared" si="76"/>
        <v>OK</v>
      </c>
      <c r="P552">
        <f>IFERROR(Full_Data!G552/Full_Data!H552,"Check data")</f>
        <v>1.9E-2</v>
      </c>
      <c r="Q552" t="str">
        <f t="shared" si="77"/>
        <v>Match</v>
      </c>
      <c r="R552" t="str">
        <f t="shared" si="78"/>
        <v>Mismatch</v>
      </c>
      <c r="S552" t="str">
        <f t="shared" si="79"/>
        <v>Mismatch</v>
      </c>
    </row>
    <row r="553" spans="1:19" x14ac:dyDescent="0.25">
      <c r="A553" t="s">
        <v>523</v>
      </c>
      <c r="B553">
        <v>4400</v>
      </c>
      <c r="C553">
        <f t="shared" si="80"/>
        <v>44</v>
      </c>
      <c r="D553">
        <v>0</v>
      </c>
      <c r="E553">
        <v>0</v>
      </c>
      <c r="F553">
        <v>4400</v>
      </c>
      <c r="G553">
        <f t="shared" si="72"/>
        <v>44</v>
      </c>
      <c r="H553">
        <v>280</v>
      </c>
      <c r="I553" s="4">
        <f>Full_Data[[#This Row],[Selling Price]]/Full_Data[[#This Row],[Weight (g)]]</f>
        <v>0.15714285714285714</v>
      </c>
      <c r="J553" t="b">
        <v>1</v>
      </c>
      <c r="K553">
        <v>280</v>
      </c>
      <c r="L553">
        <f t="shared" si="73"/>
        <v>0</v>
      </c>
      <c r="M553" t="str">
        <f t="shared" si="74"/>
        <v>Low</v>
      </c>
      <c r="N553" t="str">
        <f t="shared" si="75"/>
        <v>0-5%</v>
      </c>
      <c r="O553" t="str">
        <f t="shared" si="76"/>
        <v>OK</v>
      </c>
      <c r="P553">
        <f>IFERROR(Full_Data!G553/Full_Data!H553,"Check data")</f>
        <v>0.15714285714285714</v>
      </c>
      <c r="Q553" t="str">
        <f t="shared" si="77"/>
        <v>Match</v>
      </c>
      <c r="R553" t="str">
        <f t="shared" si="78"/>
        <v>Match</v>
      </c>
      <c r="S553" t="str">
        <f t="shared" si="79"/>
        <v>Match</v>
      </c>
    </row>
    <row r="554" spans="1:19" x14ac:dyDescent="0.25">
      <c r="A554" t="s">
        <v>524</v>
      </c>
      <c r="B554">
        <v>15000</v>
      </c>
      <c r="C554">
        <f t="shared" si="80"/>
        <v>150</v>
      </c>
      <c r="D554">
        <v>14</v>
      </c>
      <c r="E554">
        <v>0</v>
      </c>
      <c r="F554">
        <v>12800</v>
      </c>
      <c r="G554">
        <f t="shared" si="72"/>
        <v>128</v>
      </c>
      <c r="H554">
        <v>100</v>
      </c>
      <c r="I554" s="4">
        <f>Full_Data[[#This Row],[Selling Price]]/Full_Data[[#This Row],[Weight (g)]]</f>
        <v>1.28</v>
      </c>
      <c r="J554" t="b">
        <v>1</v>
      </c>
      <c r="K554">
        <v>100</v>
      </c>
      <c r="L554">
        <f t="shared" si="73"/>
        <v>22</v>
      </c>
      <c r="M554" t="str">
        <f t="shared" si="74"/>
        <v>Medium</v>
      </c>
      <c r="N554" t="str">
        <f t="shared" si="75"/>
        <v>11-15%</v>
      </c>
      <c r="O554" t="str">
        <f t="shared" si="76"/>
        <v>OK</v>
      </c>
      <c r="P554">
        <f>IFERROR(Full_Data!G554/Full_Data!H554,"Check data")</f>
        <v>1.28</v>
      </c>
      <c r="Q554" t="str">
        <f t="shared" si="77"/>
        <v>Match</v>
      </c>
      <c r="R554" t="str">
        <f t="shared" si="78"/>
        <v>Mismatch</v>
      </c>
      <c r="S554" t="str">
        <f t="shared" si="79"/>
        <v>Mismatch</v>
      </c>
    </row>
    <row r="555" spans="1:19" x14ac:dyDescent="0.25">
      <c r="A555" t="s">
        <v>525</v>
      </c>
      <c r="B555">
        <v>31500</v>
      </c>
      <c r="C555">
        <f t="shared" si="80"/>
        <v>315</v>
      </c>
      <c r="D555">
        <v>8</v>
      </c>
      <c r="E555">
        <v>0</v>
      </c>
      <c r="F555">
        <v>28700</v>
      </c>
      <c r="G555">
        <f t="shared" si="72"/>
        <v>287</v>
      </c>
      <c r="H555">
        <v>5000</v>
      </c>
      <c r="I555" s="4">
        <f>Full_Data[[#This Row],[Selling Price]]/Full_Data[[#This Row],[Weight (g)]]</f>
        <v>5.74E-2</v>
      </c>
      <c r="J555" t="b">
        <v>1</v>
      </c>
      <c r="K555">
        <v>5</v>
      </c>
      <c r="L555">
        <f t="shared" si="73"/>
        <v>28</v>
      </c>
      <c r="M555" t="str">
        <f t="shared" si="74"/>
        <v>High</v>
      </c>
      <c r="N555" t="str">
        <f t="shared" si="75"/>
        <v>6-10%</v>
      </c>
      <c r="O555" t="str">
        <f t="shared" si="76"/>
        <v>OK</v>
      </c>
      <c r="P555">
        <f>IFERROR(Full_Data!G555/Full_Data!H555,"Check data")</f>
        <v>5.74E-2</v>
      </c>
      <c r="Q555" t="str">
        <f t="shared" si="77"/>
        <v>Match</v>
      </c>
      <c r="R555" t="str">
        <f t="shared" si="78"/>
        <v>Mismatch</v>
      </c>
      <c r="S555" t="str">
        <f t="shared" si="79"/>
        <v>Mismatch</v>
      </c>
    </row>
    <row r="556" spans="1:19" x14ac:dyDescent="0.25">
      <c r="A556" t="s">
        <v>526</v>
      </c>
      <c r="B556">
        <v>4400</v>
      </c>
      <c r="C556">
        <f t="shared" si="80"/>
        <v>44</v>
      </c>
      <c r="D556">
        <v>6</v>
      </c>
      <c r="E556">
        <v>0</v>
      </c>
      <c r="F556">
        <v>4100</v>
      </c>
      <c r="G556">
        <f t="shared" si="72"/>
        <v>41</v>
      </c>
      <c r="H556">
        <v>500</v>
      </c>
      <c r="I556" s="4">
        <f>Full_Data[[#This Row],[Selling Price]]/Full_Data[[#This Row],[Weight (g)]]</f>
        <v>8.2000000000000003E-2</v>
      </c>
      <c r="J556" t="b">
        <v>1</v>
      </c>
      <c r="K556">
        <v>500</v>
      </c>
      <c r="L556">
        <f t="shared" si="73"/>
        <v>3</v>
      </c>
      <c r="M556" t="str">
        <f t="shared" si="74"/>
        <v>Low</v>
      </c>
      <c r="N556" t="str">
        <f t="shared" si="75"/>
        <v>6-10%</v>
      </c>
      <c r="O556" t="str">
        <f t="shared" si="76"/>
        <v>OK</v>
      </c>
      <c r="P556">
        <f>IFERROR(Full_Data!G556/Full_Data!H556,"Check data")</f>
        <v>8.2000000000000003E-2</v>
      </c>
      <c r="Q556" t="str">
        <f t="shared" si="77"/>
        <v>Match</v>
      </c>
      <c r="R556" t="str">
        <f t="shared" si="78"/>
        <v>Mismatch</v>
      </c>
      <c r="S556" t="str">
        <f t="shared" si="79"/>
        <v>Mismatch</v>
      </c>
    </row>
    <row r="557" spans="1:19" x14ac:dyDescent="0.25">
      <c r="A557" t="s">
        <v>527</v>
      </c>
      <c r="B557">
        <v>12000</v>
      </c>
      <c r="C557">
        <f t="shared" si="80"/>
        <v>120</v>
      </c>
      <c r="D557">
        <v>0</v>
      </c>
      <c r="E557">
        <v>0</v>
      </c>
      <c r="F557">
        <v>12000</v>
      </c>
      <c r="G557">
        <f t="shared" si="72"/>
        <v>120</v>
      </c>
      <c r="H557">
        <v>1000</v>
      </c>
      <c r="I557" s="4">
        <f>Full_Data[[#This Row],[Selling Price]]/Full_Data[[#This Row],[Weight (g)]]</f>
        <v>0.12</v>
      </c>
      <c r="J557" t="b">
        <v>1</v>
      </c>
      <c r="K557">
        <v>1</v>
      </c>
      <c r="L557">
        <f t="shared" si="73"/>
        <v>0</v>
      </c>
      <c r="M557" t="str">
        <f t="shared" si="74"/>
        <v>Medium</v>
      </c>
      <c r="N557" t="str">
        <f t="shared" si="75"/>
        <v>0-5%</v>
      </c>
      <c r="O557" t="str">
        <f t="shared" si="76"/>
        <v>OK</v>
      </c>
      <c r="P557">
        <f>IFERROR(Full_Data!G557/Full_Data!H557,"Check data")</f>
        <v>0.12</v>
      </c>
      <c r="Q557" t="str">
        <f t="shared" si="77"/>
        <v>Match</v>
      </c>
      <c r="R557" t="str">
        <f t="shared" si="78"/>
        <v>Match</v>
      </c>
      <c r="S557" t="str">
        <f t="shared" si="79"/>
        <v>Match</v>
      </c>
    </row>
    <row r="558" spans="1:19" x14ac:dyDescent="0.25">
      <c r="A558" t="s">
        <v>111</v>
      </c>
      <c r="B558">
        <v>8000</v>
      </c>
      <c r="C558">
        <f t="shared" si="80"/>
        <v>80</v>
      </c>
      <c r="D558">
        <v>7</v>
      </c>
      <c r="E558">
        <v>0</v>
      </c>
      <c r="F558">
        <v>7400</v>
      </c>
      <c r="G558">
        <f t="shared" si="72"/>
        <v>74</v>
      </c>
      <c r="H558">
        <v>500</v>
      </c>
      <c r="I558" s="4">
        <f>Full_Data[[#This Row],[Selling Price]]/Full_Data[[#This Row],[Weight (g)]]</f>
        <v>0.14799999999999999</v>
      </c>
      <c r="J558" t="b">
        <v>1</v>
      </c>
      <c r="K558">
        <v>500</v>
      </c>
      <c r="L558">
        <f t="shared" si="73"/>
        <v>6</v>
      </c>
      <c r="M558" t="str">
        <f t="shared" si="74"/>
        <v>Medium</v>
      </c>
      <c r="N558" t="str">
        <f t="shared" si="75"/>
        <v>6-10%</v>
      </c>
      <c r="O558" t="str">
        <f t="shared" si="76"/>
        <v>OK</v>
      </c>
      <c r="P558">
        <f>IFERROR(Full_Data!G558/Full_Data!H558,"Check data")</f>
        <v>0.14799999999999999</v>
      </c>
      <c r="Q558" t="str">
        <f t="shared" si="77"/>
        <v>Match</v>
      </c>
      <c r="R558" t="str">
        <f t="shared" si="78"/>
        <v>Mismatch</v>
      </c>
      <c r="S558" t="str">
        <f t="shared" si="79"/>
        <v>Mismatch</v>
      </c>
    </row>
    <row r="559" spans="1:19" x14ac:dyDescent="0.25">
      <c r="A559" t="s">
        <v>528</v>
      </c>
      <c r="B559">
        <v>4700</v>
      </c>
      <c r="C559">
        <f t="shared" si="80"/>
        <v>47</v>
      </c>
      <c r="D559">
        <v>2</v>
      </c>
      <c r="E559">
        <v>0</v>
      </c>
      <c r="F559">
        <v>4600</v>
      </c>
      <c r="G559">
        <f t="shared" si="72"/>
        <v>46</v>
      </c>
      <c r="H559">
        <v>100</v>
      </c>
      <c r="I559" s="4">
        <f>Full_Data[[#This Row],[Selling Price]]/Full_Data[[#This Row],[Weight (g)]]</f>
        <v>0.46</v>
      </c>
      <c r="J559" t="b">
        <v>1</v>
      </c>
      <c r="K559">
        <v>100</v>
      </c>
      <c r="L559">
        <f t="shared" si="73"/>
        <v>1</v>
      </c>
      <c r="M559" t="str">
        <f t="shared" si="74"/>
        <v>Low</v>
      </c>
      <c r="N559" t="str">
        <f t="shared" si="75"/>
        <v>0-5%</v>
      </c>
      <c r="O559" t="str">
        <f t="shared" si="76"/>
        <v>OK</v>
      </c>
      <c r="P559">
        <f>IFERROR(Full_Data!G559/Full_Data!H559,"Check data")</f>
        <v>0.46</v>
      </c>
      <c r="Q559" t="str">
        <f t="shared" si="77"/>
        <v>Match</v>
      </c>
      <c r="R559" t="str">
        <f t="shared" si="78"/>
        <v>Mismatch</v>
      </c>
      <c r="S559" t="str">
        <f t="shared" si="79"/>
        <v>Match</v>
      </c>
    </row>
    <row r="560" spans="1:19" x14ac:dyDescent="0.25">
      <c r="A560" t="s">
        <v>529</v>
      </c>
      <c r="B560">
        <v>5000</v>
      </c>
      <c r="C560">
        <f t="shared" si="80"/>
        <v>50</v>
      </c>
      <c r="D560">
        <v>2</v>
      </c>
      <c r="E560">
        <v>0</v>
      </c>
      <c r="F560">
        <v>4900</v>
      </c>
      <c r="G560">
        <f t="shared" si="72"/>
        <v>49</v>
      </c>
      <c r="H560">
        <v>100</v>
      </c>
      <c r="I560" s="4">
        <f>Full_Data[[#This Row],[Selling Price]]/Full_Data[[#This Row],[Weight (g)]]</f>
        <v>0.49</v>
      </c>
      <c r="J560" t="b">
        <v>1</v>
      </c>
      <c r="K560">
        <v>100</v>
      </c>
      <c r="L560">
        <f t="shared" si="73"/>
        <v>1</v>
      </c>
      <c r="M560" t="str">
        <f t="shared" si="74"/>
        <v>Low</v>
      </c>
      <c r="N560" t="str">
        <f t="shared" si="75"/>
        <v>0-5%</v>
      </c>
      <c r="O560" t="str">
        <f t="shared" si="76"/>
        <v>OK</v>
      </c>
      <c r="P560">
        <f>IFERROR(Full_Data!G560/Full_Data!H560,"Check data")</f>
        <v>0.49</v>
      </c>
      <c r="Q560" t="str">
        <f t="shared" si="77"/>
        <v>Match</v>
      </c>
      <c r="R560" t="str">
        <f t="shared" si="78"/>
        <v>Match</v>
      </c>
      <c r="S560" t="str">
        <f t="shared" si="79"/>
        <v>Match</v>
      </c>
    </row>
    <row r="561" spans="1:19" x14ac:dyDescent="0.25">
      <c r="A561" t="s">
        <v>530</v>
      </c>
      <c r="B561">
        <v>17900</v>
      </c>
      <c r="C561">
        <f t="shared" si="80"/>
        <v>179</v>
      </c>
      <c r="D561">
        <v>1</v>
      </c>
      <c r="E561">
        <v>0</v>
      </c>
      <c r="F561">
        <v>17700</v>
      </c>
      <c r="G561">
        <f t="shared" si="72"/>
        <v>177</v>
      </c>
      <c r="H561">
        <v>1000</v>
      </c>
      <c r="I561" s="4">
        <f>Full_Data[[#This Row],[Selling Price]]/Full_Data[[#This Row],[Weight (g)]]</f>
        <v>0.17699999999999999</v>
      </c>
      <c r="J561" t="b">
        <v>1</v>
      </c>
      <c r="K561">
        <v>200</v>
      </c>
      <c r="L561">
        <f t="shared" si="73"/>
        <v>2</v>
      </c>
      <c r="M561" t="str">
        <f t="shared" si="74"/>
        <v>Medium</v>
      </c>
      <c r="N561" t="str">
        <f t="shared" si="75"/>
        <v>0-5%</v>
      </c>
      <c r="O561" t="str">
        <f t="shared" si="76"/>
        <v>OK</v>
      </c>
      <c r="P561">
        <f>IFERROR(Full_Data!G561/Full_Data!H561,"Check data")</f>
        <v>0.17699999999999999</v>
      </c>
      <c r="Q561" t="str">
        <f t="shared" si="77"/>
        <v>Match</v>
      </c>
      <c r="R561" t="str">
        <f t="shared" si="78"/>
        <v>Mismatch</v>
      </c>
      <c r="S561" t="str">
        <f t="shared" si="79"/>
        <v>Match</v>
      </c>
    </row>
    <row r="562" spans="1:19" x14ac:dyDescent="0.25">
      <c r="A562" t="s">
        <v>531</v>
      </c>
      <c r="B562">
        <v>3200</v>
      </c>
      <c r="C562">
        <f t="shared" si="80"/>
        <v>32</v>
      </c>
      <c r="D562">
        <v>3</v>
      </c>
      <c r="E562">
        <v>0</v>
      </c>
      <c r="F562">
        <v>3100</v>
      </c>
      <c r="G562">
        <f t="shared" si="72"/>
        <v>31</v>
      </c>
      <c r="H562">
        <v>100</v>
      </c>
      <c r="I562" s="4">
        <f>Full_Data[[#This Row],[Selling Price]]/Full_Data[[#This Row],[Weight (g)]]</f>
        <v>0.31</v>
      </c>
      <c r="J562" t="b">
        <v>1</v>
      </c>
      <c r="K562">
        <v>100</v>
      </c>
      <c r="L562">
        <f t="shared" si="73"/>
        <v>1</v>
      </c>
      <c r="M562" t="str">
        <f t="shared" si="74"/>
        <v>Low</v>
      </c>
      <c r="N562" t="str">
        <f t="shared" si="75"/>
        <v>0-5%</v>
      </c>
      <c r="O562" t="str">
        <f t="shared" si="76"/>
        <v>OK</v>
      </c>
      <c r="P562">
        <f>IFERROR(Full_Data!G562/Full_Data!H562,"Check data")</f>
        <v>0.31</v>
      </c>
      <c r="Q562" t="str">
        <f t="shared" si="77"/>
        <v>Match</v>
      </c>
      <c r="R562" t="str">
        <f t="shared" si="78"/>
        <v>Mismatch</v>
      </c>
      <c r="S562" t="str">
        <f t="shared" si="79"/>
        <v>Match</v>
      </c>
    </row>
    <row r="563" spans="1:19" x14ac:dyDescent="0.25">
      <c r="A563" t="s">
        <v>532</v>
      </c>
      <c r="B563">
        <v>3800</v>
      </c>
      <c r="C563">
        <f t="shared" si="80"/>
        <v>38</v>
      </c>
      <c r="D563">
        <v>7</v>
      </c>
      <c r="E563">
        <v>0</v>
      </c>
      <c r="F563">
        <v>3500</v>
      </c>
      <c r="G563">
        <f t="shared" si="72"/>
        <v>35</v>
      </c>
      <c r="H563">
        <v>500</v>
      </c>
      <c r="I563" s="4">
        <f>Full_Data[[#This Row],[Selling Price]]/Full_Data[[#This Row],[Weight (g)]]</f>
        <v>7.0000000000000007E-2</v>
      </c>
      <c r="J563" t="b">
        <v>1</v>
      </c>
      <c r="K563">
        <v>500</v>
      </c>
      <c r="L563">
        <f t="shared" si="73"/>
        <v>3</v>
      </c>
      <c r="M563" t="str">
        <f t="shared" si="74"/>
        <v>Low</v>
      </c>
      <c r="N563" t="str">
        <f t="shared" si="75"/>
        <v>6-10%</v>
      </c>
      <c r="O563" t="str">
        <f t="shared" si="76"/>
        <v>OK</v>
      </c>
      <c r="P563">
        <f>IFERROR(Full_Data!G563/Full_Data!H563,"Check data")</f>
        <v>7.0000000000000007E-2</v>
      </c>
      <c r="Q563" t="str">
        <f t="shared" si="77"/>
        <v>Match</v>
      </c>
      <c r="R563" t="str">
        <f t="shared" si="78"/>
        <v>Mismatch</v>
      </c>
      <c r="S563" t="str">
        <f t="shared" si="79"/>
        <v>Mismatch</v>
      </c>
    </row>
    <row r="564" spans="1:19" x14ac:dyDescent="0.25">
      <c r="A564" t="s">
        <v>533</v>
      </c>
      <c r="B564">
        <v>7500</v>
      </c>
      <c r="C564">
        <f t="shared" si="80"/>
        <v>75</v>
      </c>
      <c r="D564">
        <v>0</v>
      </c>
      <c r="E564">
        <v>0</v>
      </c>
      <c r="F564">
        <v>7500</v>
      </c>
      <c r="G564">
        <f t="shared" si="72"/>
        <v>75</v>
      </c>
      <c r="H564">
        <v>1000</v>
      </c>
      <c r="I564" s="4">
        <f>Full_Data[[#This Row],[Selling Price]]/Full_Data[[#This Row],[Weight (g)]]</f>
        <v>7.4999999999999997E-2</v>
      </c>
      <c r="J564" t="b">
        <v>1</v>
      </c>
      <c r="K564">
        <v>1</v>
      </c>
      <c r="L564">
        <f t="shared" si="73"/>
        <v>0</v>
      </c>
      <c r="M564" t="str">
        <f t="shared" si="74"/>
        <v>Medium</v>
      </c>
      <c r="N564" t="str">
        <f t="shared" si="75"/>
        <v>0-5%</v>
      </c>
      <c r="O564" t="str">
        <f t="shared" si="76"/>
        <v>OK</v>
      </c>
      <c r="P564">
        <f>IFERROR(Full_Data!G564/Full_Data!H564,"Check data")</f>
        <v>7.4999999999999997E-2</v>
      </c>
      <c r="Q564" t="str">
        <f t="shared" si="77"/>
        <v>Match</v>
      </c>
      <c r="R564" t="str">
        <f t="shared" si="78"/>
        <v>Match</v>
      </c>
      <c r="S564" t="str">
        <f t="shared" si="79"/>
        <v>Match</v>
      </c>
    </row>
    <row r="565" spans="1:19" x14ac:dyDescent="0.25">
      <c r="A565" t="s">
        <v>534</v>
      </c>
      <c r="B565">
        <v>6400</v>
      </c>
      <c r="C565">
        <f t="shared" si="80"/>
        <v>64</v>
      </c>
      <c r="D565">
        <v>0</v>
      </c>
      <c r="E565">
        <v>0</v>
      </c>
      <c r="F565">
        <v>6400</v>
      </c>
      <c r="G565">
        <f t="shared" si="72"/>
        <v>64</v>
      </c>
      <c r="H565">
        <v>500</v>
      </c>
      <c r="I565" s="4">
        <f>Full_Data[[#This Row],[Selling Price]]/Full_Data[[#This Row],[Weight (g)]]</f>
        <v>0.128</v>
      </c>
      <c r="J565" t="b">
        <v>1</v>
      </c>
      <c r="K565">
        <v>500</v>
      </c>
      <c r="L565">
        <f t="shared" si="73"/>
        <v>0</v>
      </c>
      <c r="M565" t="str">
        <f t="shared" si="74"/>
        <v>Medium</v>
      </c>
      <c r="N565" t="str">
        <f t="shared" si="75"/>
        <v>0-5%</v>
      </c>
      <c r="O565" t="str">
        <f t="shared" si="76"/>
        <v>OK</v>
      </c>
      <c r="P565">
        <f>IFERROR(Full_Data!G565/Full_Data!H565,"Check data")</f>
        <v>0.128</v>
      </c>
      <c r="Q565" t="str">
        <f t="shared" si="77"/>
        <v>Match</v>
      </c>
      <c r="R565" t="str">
        <f t="shared" si="78"/>
        <v>Match</v>
      </c>
      <c r="S565" t="str">
        <f t="shared" si="79"/>
        <v>Match</v>
      </c>
    </row>
    <row r="566" spans="1:19" x14ac:dyDescent="0.25">
      <c r="A566" t="s">
        <v>535</v>
      </c>
      <c r="B566">
        <v>11900</v>
      </c>
      <c r="C566">
        <f t="shared" si="80"/>
        <v>119</v>
      </c>
      <c r="D566">
        <v>6</v>
      </c>
      <c r="E566">
        <v>0</v>
      </c>
      <c r="F566">
        <v>11100</v>
      </c>
      <c r="G566">
        <f t="shared" si="72"/>
        <v>111</v>
      </c>
      <c r="H566">
        <v>500</v>
      </c>
      <c r="I566" s="4">
        <f>Full_Data[[#This Row],[Selling Price]]/Full_Data[[#This Row],[Weight (g)]]</f>
        <v>0.222</v>
      </c>
      <c r="J566" t="b">
        <v>1</v>
      </c>
      <c r="K566">
        <v>500</v>
      </c>
      <c r="L566">
        <f t="shared" si="73"/>
        <v>8</v>
      </c>
      <c r="M566" t="str">
        <f t="shared" si="74"/>
        <v>Medium</v>
      </c>
      <c r="N566" t="str">
        <f t="shared" si="75"/>
        <v>6-10%</v>
      </c>
      <c r="O566" t="str">
        <f t="shared" si="76"/>
        <v>OK</v>
      </c>
      <c r="P566">
        <f>IFERROR(Full_Data!G566/Full_Data!H566,"Check data")</f>
        <v>0.222</v>
      </c>
      <c r="Q566" t="str">
        <f t="shared" si="77"/>
        <v>Match</v>
      </c>
      <c r="R566" t="str">
        <f t="shared" si="78"/>
        <v>Mismatch</v>
      </c>
      <c r="S566" t="str">
        <f t="shared" si="79"/>
        <v>Mismatch</v>
      </c>
    </row>
    <row r="567" spans="1:19" x14ac:dyDescent="0.25">
      <c r="A567" t="s">
        <v>536</v>
      </c>
      <c r="B567">
        <v>8800</v>
      </c>
      <c r="C567">
        <f t="shared" si="80"/>
        <v>88</v>
      </c>
      <c r="D567">
        <v>6</v>
      </c>
      <c r="E567">
        <v>0</v>
      </c>
      <c r="F567">
        <v>8200</v>
      </c>
      <c r="G567">
        <f t="shared" si="72"/>
        <v>82</v>
      </c>
      <c r="H567">
        <v>500</v>
      </c>
      <c r="I567" s="4">
        <f>Full_Data[[#This Row],[Selling Price]]/Full_Data[[#This Row],[Weight (g)]]</f>
        <v>0.16400000000000001</v>
      </c>
      <c r="J567" t="b">
        <v>1</v>
      </c>
      <c r="K567">
        <v>500</v>
      </c>
      <c r="L567">
        <f t="shared" si="73"/>
        <v>6</v>
      </c>
      <c r="M567" t="str">
        <f t="shared" si="74"/>
        <v>Medium</v>
      </c>
      <c r="N567" t="str">
        <f t="shared" si="75"/>
        <v>6-10%</v>
      </c>
      <c r="O567" t="str">
        <f t="shared" si="76"/>
        <v>OK</v>
      </c>
      <c r="P567">
        <f>IFERROR(Full_Data!G567/Full_Data!H567,"Check data")</f>
        <v>0.16400000000000001</v>
      </c>
      <c r="Q567" t="str">
        <f t="shared" si="77"/>
        <v>Match</v>
      </c>
      <c r="R567" t="str">
        <f t="shared" si="78"/>
        <v>Mismatch</v>
      </c>
      <c r="S567" t="str">
        <f t="shared" si="79"/>
        <v>Mismatch</v>
      </c>
    </row>
    <row r="568" spans="1:19" x14ac:dyDescent="0.25">
      <c r="A568" t="s">
        <v>537</v>
      </c>
      <c r="B568">
        <v>9100</v>
      </c>
      <c r="C568">
        <f t="shared" si="80"/>
        <v>91</v>
      </c>
      <c r="D568">
        <v>2</v>
      </c>
      <c r="E568">
        <v>0</v>
      </c>
      <c r="F568">
        <v>8900</v>
      </c>
      <c r="G568">
        <f t="shared" si="72"/>
        <v>89</v>
      </c>
      <c r="H568">
        <v>500</v>
      </c>
      <c r="I568" s="4">
        <f>Full_Data[[#This Row],[Selling Price]]/Full_Data[[#This Row],[Weight (g)]]</f>
        <v>0.17799999999999999</v>
      </c>
      <c r="J568" t="b">
        <v>1</v>
      </c>
      <c r="K568">
        <v>500</v>
      </c>
      <c r="L568">
        <f t="shared" si="73"/>
        <v>2</v>
      </c>
      <c r="M568" t="str">
        <f t="shared" si="74"/>
        <v>Medium</v>
      </c>
      <c r="N568" t="str">
        <f t="shared" si="75"/>
        <v>0-5%</v>
      </c>
      <c r="O568" t="str">
        <f t="shared" si="76"/>
        <v>OK</v>
      </c>
      <c r="P568">
        <f>IFERROR(Full_Data!G568/Full_Data!H568,"Check data")</f>
        <v>0.17799999999999999</v>
      </c>
      <c r="Q568" t="str">
        <f t="shared" si="77"/>
        <v>Match</v>
      </c>
      <c r="R568" t="str">
        <f t="shared" si="78"/>
        <v>Mismatch</v>
      </c>
      <c r="S568" t="str">
        <f t="shared" si="79"/>
        <v>Match</v>
      </c>
    </row>
    <row r="569" spans="1:19" x14ac:dyDescent="0.25">
      <c r="A569" t="s">
        <v>538</v>
      </c>
      <c r="B569">
        <v>1000</v>
      </c>
      <c r="C569">
        <f t="shared" si="80"/>
        <v>10</v>
      </c>
      <c r="D569">
        <v>0</v>
      </c>
      <c r="E569">
        <v>0</v>
      </c>
      <c r="F569">
        <v>1000</v>
      </c>
      <c r="G569">
        <f t="shared" si="72"/>
        <v>10</v>
      </c>
      <c r="H569">
        <v>20</v>
      </c>
      <c r="I569" s="4">
        <f>Full_Data[[#This Row],[Selling Price]]/Full_Data[[#This Row],[Weight (g)]]</f>
        <v>0.5</v>
      </c>
      <c r="J569" t="b">
        <v>1</v>
      </c>
      <c r="K569">
        <v>20</v>
      </c>
      <c r="L569">
        <f t="shared" si="73"/>
        <v>0</v>
      </c>
      <c r="M569" t="str">
        <f t="shared" si="74"/>
        <v>Low</v>
      </c>
      <c r="N569" t="str">
        <f t="shared" si="75"/>
        <v>0-5%</v>
      </c>
      <c r="O569" t="str">
        <f t="shared" si="76"/>
        <v>OK</v>
      </c>
      <c r="P569">
        <f>IFERROR(Full_Data!G569/Full_Data!H569,"Check data")</f>
        <v>0.5</v>
      </c>
      <c r="Q569" t="str">
        <f t="shared" si="77"/>
        <v>Match</v>
      </c>
      <c r="R569" t="str">
        <f t="shared" si="78"/>
        <v>Match</v>
      </c>
      <c r="S569" t="str">
        <f t="shared" si="79"/>
        <v>Match</v>
      </c>
    </row>
    <row r="570" spans="1:19" x14ac:dyDescent="0.25">
      <c r="A570" t="s">
        <v>539</v>
      </c>
      <c r="B570">
        <v>6500</v>
      </c>
      <c r="C570">
        <f t="shared" si="80"/>
        <v>65</v>
      </c>
      <c r="D570">
        <v>9</v>
      </c>
      <c r="E570">
        <v>0</v>
      </c>
      <c r="F570">
        <v>5900</v>
      </c>
      <c r="G570">
        <f t="shared" si="72"/>
        <v>59</v>
      </c>
      <c r="H570">
        <v>100</v>
      </c>
      <c r="I570" s="4">
        <f>Full_Data[[#This Row],[Selling Price]]/Full_Data[[#This Row],[Weight (g)]]</f>
        <v>0.59</v>
      </c>
      <c r="J570" t="b">
        <v>1</v>
      </c>
      <c r="K570">
        <v>100</v>
      </c>
      <c r="L570">
        <f t="shared" si="73"/>
        <v>6</v>
      </c>
      <c r="M570" t="str">
        <f t="shared" si="74"/>
        <v>Medium</v>
      </c>
      <c r="N570" t="str">
        <f t="shared" si="75"/>
        <v>6-10%</v>
      </c>
      <c r="O570" t="str">
        <f t="shared" si="76"/>
        <v>OK</v>
      </c>
      <c r="P570">
        <f>IFERROR(Full_Data!G570/Full_Data!H570,"Check data")</f>
        <v>0.59</v>
      </c>
      <c r="Q570" t="str">
        <f t="shared" si="77"/>
        <v>Match</v>
      </c>
      <c r="R570" t="str">
        <f t="shared" si="78"/>
        <v>Mismatch</v>
      </c>
      <c r="S570" t="str">
        <f t="shared" si="79"/>
        <v>Match</v>
      </c>
    </row>
    <row r="571" spans="1:19" x14ac:dyDescent="0.25">
      <c r="A571" t="s">
        <v>540</v>
      </c>
      <c r="B571">
        <v>5500</v>
      </c>
      <c r="C571">
        <f t="shared" si="80"/>
        <v>55</v>
      </c>
      <c r="D571">
        <v>9</v>
      </c>
      <c r="E571">
        <v>0</v>
      </c>
      <c r="F571">
        <v>5000</v>
      </c>
      <c r="G571">
        <f t="shared" si="72"/>
        <v>50</v>
      </c>
      <c r="H571">
        <v>500</v>
      </c>
      <c r="I571" s="4">
        <f>Full_Data[[#This Row],[Selling Price]]/Full_Data[[#This Row],[Weight (g)]]</f>
        <v>0.1</v>
      </c>
      <c r="J571" t="b">
        <v>1</v>
      </c>
      <c r="K571">
        <v>500</v>
      </c>
      <c r="L571">
        <f t="shared" si="73"/>
        <v>5</v>
      </c>
      <c r="M571" t="str">
        <f t="shared" si="74"/>
        <v>Medium</v>
      </c>
      <c r="N571" t="str">
        <f t="shared" si="75"/>
        <v>6-10%</v>
      </c>
      <c r="O571" t="str">
        <f t="shared" si="76"/>
        <v>OK</v>
      </c>
      <c r="P571">
        <f>IFERROR(Full_Data!G571/Full_Data!H571,"Check data")</f>
        <v>0.1</v>
      </c>
      <c r="Q571" t="str">
        <f t="shared" si="77"/>
        <v>Match</v>
      </c>
      <c r="R571" t="str">
        <f t="shared" si="78"/>
        <v>Mismatch</v>
      </c>
      <c r="S571" t="str">
        <f t="shared" si="79"/>
        <v>Match</v>
      </c>
    </row>
    <row r="572" spans="1:19" x14ac:dyDescent="0.25">
      <c r="A572" t="s">
        <v>126</v>
      </c>
      <c r="B572">
        <v>5000</v>
      </c>
      <c r="C572">
        <f t="shared" si="80"/>
        <v>50</v>
      </c>
      <c r="D572">
        <v>6</v>
      </c>
      <c r="E572">
        <v>0</v>
      </c>
      <c r="F572">
        <v>4700</v>
      </c>
      <c r="G572">
        <f t="shared" si="72"/>
        <v>47</v>
      </c>
      <c r="H572">
        <v>200</v>
      </c>
      <c r="I572" s="4">
        <f>Full_Data[[#This Row],[Selling Price]]/Full_Data[[#This Row],[Weight (g)]]</f>
        <v>0.23499999999999999</v>
      </c>
      <c r="J572" t="b">
        <v>1</v>
      </c>
      <c r="K572">
        <v>200</v>
      </c>
      <c r="L572">
        <f t="shared" si="73"/>
        <v>3</v>
      </c>
      <c r="M572" t="str">
        <f t="shared" si="74"/>
        <v>Low</v>
      </c>
      <c r="N572" t="str">
        <f t="shared" si="75"/>
        <v>6-10%</v>
      </c>
      <c r="O572" t="str">
        <f t="shared" si="76"/>
        <v>OK</v>
      </c>
      <c r="P572">
        <f>IFERROR(Full_Data!G572/Full_Data!H572,"Check data")</f>
        <v>0.23499999999999999</v>
      </c>
      <c r="Q572" t="str">
        <f t="shared" si="77"/>
        <v>Match</v>
      </c>
      <c r="R572" t="str">
        <f t="shared" si="78"/>
        <v>Match</v>
      </c>
      <c r="S572" t="str">
        <f t="shared" si="79"/>
        <v>Match</v>
      </c>
    </row>
    <row r="573" spans="1:19" x14ac:dyDescent="0.25">
      <c r="A573" t="s">
        <v>541</v>
      </c>
      <c r="B573">
        <v>10700</v>
      </c>
      <c r="C573">
        <f t="shared" si="80"/>
        <v>107</v>
      </c>
      <c r="D573">
        <v>0</v>
      </c>
      <c r="E573">
        <v>0</v>
      </c>
      <c r="F573">
        <v>10700</v>
      </c>
      <c r="G573">
        <f t="shared" si="72"/>
        <v>107</v>
      </c>
      <c r="H573">
        <v>600</v>
      </c>
      <c r="I573" s="4">
        <f>Full_Data[[#This Row],[Selling Price]]/Full_Data[[#This Row],[Weight (g)]]</f>
        <v>0.17833333333333334</v>
      </c>
      <c r="J573" t="b">
        <v>1</v>
      </c>
      <c r="K573">
        <v>600</v>
      </c>
      <c r="L573">
        <f t="shared" si="73"/>
        <v>0</v>
      </c>
      <c r="M573" t="str">
        <f t="shared" si="74"/>
        <v>Medium</v>
      </c>
      <c r="N573" t="str">
        <f t="shared" si="75"/>
        <v>0-5%</v>
      </c>
      <c r="O573" t="str">
        <f t="shared" si="76"/>
        <v>OK</v>
      </c>
      <c r="P573">
        <f>IFERROR(Full_Data!G573/Full_Data!H573,"Check data")</f>
        <v>0.17833333333333334</v>
      </c>
      <c r="Q573" t="str">
        <f t="shared" si="77"/>
        <v>Match</v>
      </c>
      <c r="R573" t="str">
        <f t="shared" si="78"/>
        <v>Match</v>
      </c>
      <c r="S573" t="str">
        <f t="shared" si="79"/>
        <v>Match</v>
      </c>
    </row>
    <row r="574" spans="1:19" x14ac:dyDescent="0.25">
      <c r="A574" t="s">
        <v>542</v>
      </c>
      <c r="B574">
        <v>1500</v>
      </c>
      <c r="C574">
        <f t="shared" si="80"/>
        <v>15</v>
      </c>
      <c r="D574">
        <v>0</v>
      </c>
      <c r="E574">
        <v>0</v>
      </c>
      <c r="F574">
        <v>1500</v>
      </c>
      <c r="G574">
        <f t="shared" si="72"/>
        <v>15</v>
      </c>
      <c r="H574">
        <v>38</v>
      </c>
      <c r="I574" s="4">
        <f>Full_Data[[#This Row],[Selling Price]]/Full_Data[[#This Row],[Weight (g)]]</f>
        <v>0.39473684210526316</v>
      </c>
      <c r="J574" t="b">
        <v>1</v>
      </c>
      <c r="K574">
        <v>38</v>
      </c>
      <c r="L574">
        <f t="shared" si="73"/>
        <v>0</v>
      </c>
      <c r="M574" t="str">
        <f t="shared" si="74"/>
        <v>Low</v>
      </c>
      <c r="N574" t="str">
        <f t="shared" si="75"/>
        <v>0-5%</v>
      </c>
      <c r="O574" t="str">
        <f t="shared" si="76"/>
        <v>OK</v>
      </c>
      <c r="P574">
        <f>IFERROR(Full_Data!G574/Full_Data!H574,"Check data")</f>
        <v>0.39473684210526316</v>
      </c>
      <c r="Q574" t="str">
        <f t="shared" si="77"/>
        <v>Match</v>
      </c>
      <c r="R574" t="str">
        <f t="shared" si="78"/>
        <v>Match</v>
      </c>
      <c r="S574" t="str">
        <f t="shared" si="79"/>
        <v>Match</v>
      </c>
    </row>
    <row r="575" spans="1:19" x14ac:dyDescent="0.25">
      <c r="A575" t="s">
        <v>543</v>
      </c>
      <c r="B575">
        <v>31000</v>
      </c>
      <c r="C575">
        <f t="shared" si="80"/>
        <v>310</v>
      </c>
      <c r="D575">
        <v>10</v>
      </c>
      <c r="E575">
        <v>0</v>
      </c>
      <c r="F575">
        <v>27900</v>
      </c>
      <c r="G575">
        <f t="shared" si="72"/>
        <v>279</v>
      </c>
      <c r="H575">
        <v>500</v>
      </c>
      <c r="I575" s="4">
        <f>Full_Data[[#This Row],[Selling Price]]/Full_Data[[#This Row],[Weight (g)]]</f>
        <v>0.55800000000000005</v>
      </c>
      <c r="J575" t="b">
        <v>1</v>
      </c>
      <c r="K575">
        <v>500</v>
      </c>
      <c r="L575">
        <f t="shared" si="73"/>
        <v>31</v>
      </c>
      <c r="M575" t="str">
        <f t="shared" si="74"/>
        <v>High</v>
      </c>
      <c r="N575" t="str">
        <f t="shared" si="75"/>
        <v>6-10%</v>
      </c>
      <c r="O575" t="str">
        <f t="shared" si="76"/>
        <v>OK</v>
      </c>
      <c r="P575">
        <f>IFERROR(Full_Data!G575/Full_Data!H575,"Check data")</f>
        <v>0.55800000000000005</v>
      </c>
      <c r="Q575" t="str">
        <f t="shared" si="77"/>
        <v>Match</v>
      </c>
      <c r="R575" t="str">
        <f t="shared" si="78"/>
        <v>Match</v>
      </c>
      <c r="S575" t="str">
        <f t="shared" si="79"/>
        <v>Match</v>
      </c>
    </row>
    <row r="576" spans="1:19" x14ac:dyDescent="0.25">
      <c r="A576" t="s">
        <v>544</v>
      </c>
      <c r="B576">
        <v>6000</v>
      </c>
      <c r="C576">
        <f t="shared" si="80"/>
        <v>60</v>
      </c>
      <c r="D576">
        <v>10</v>
      </c>
      <c r="E576">
        <v>0</v>
      </c>
      <c r="F576">
        <v>5400</v>
      </c>
      <c r="G576">
        <f t="shared" si="72"/>
        <v>54</v>
      </c>
      <c r="H576">
        <v>100</v>
      </c>
      <c r="I576" s="4">
        <f>Full_Data[[#This Row],[Selling Price]]/Full_Data[[#This Row],[Weight (g)]]</f>
        <v>0.54</v>
      </c>
      <c r="J576" t="b">
        <v>1</v>
      </c>
      <c r="K576">
        <v>100</v>
      </c>
      <c r="L576">
        <f t="shared" si="73"/>
        <v>6</v>
      </c>
      <c r="M576" t="str">
        <f t="shared" si="74"/>
        <v>Medium</v>
      </c>
      <c r="N576" t="str">
        <f t="shared" si="75"/>
        <v>6-10%</v>
      </c>
      <c r="O576" t="str">
        <f t="shared" si="76"/>
        <v>OK</v>
      </c>
      <c r="P576">
        <f>IFERROR(Full_Data!G576/Full_Data!H576,"Check data")</f>
        <v>0.54</v>
      </c>
      <c r="Q576" t="str">
        <f t="shared" si="77"/>
        <v>Match</v>
      </c>
      <c r="R576" t="str">
        <f t="shared" si="78"/>
        <v>Match</v>
      </c>
      <c r="S576" t="str">
        <f t="shared" si="79"/>
        <v>Match</v>
      </c>
    </row>
    <row r="577" spans="1:19" x14ac:dyDescent="0.25">
      <c r="A577" t="s">
        <v>545</v>
      </c>
      <c r="B577">
        <v>7900</v>
      </c>
      <c r="C577">
        <f t="shared" si="80"/>
        <v>79</v>
      </c>
      <c r="D577">
        <v>0</v>
      </c>
      <c r="E577">
        <v>0</v>
      </c>
      <c r="F577">
        <v>7900</v>
      </c>
      <c r="G577">
        <f t="shared" si="72"/>
        <v>79</v>
      </c>
      <c r="H577">
        <v>1000</v>
      </c>
      <c r="I577" s="4">
        <f>Full_Data[[#This Row],[Selling Price]]/Full_Data[[#This Row],[Weight (g)]]</f>
        <v>7.9000000000000001E-2</v>
      </c>
      <c r="J577" t="b">
        <v>1</v>
      </c>
      <c r="K577">
        <v>1</v>
      </c>
      <c r="L577">
        <f t="shared" si="73"/>
        <v>0</v>
      </c>
      <c r="M577" t="str">
        <f t="shared" si="74"/>
        <v>Medium</v>
      </c>
      <c r="N577" t="str">
        <f t="shared" si="75"/>
        <v>0-5%</v>
      </c>
      <c r="O577" t="str">
        <f t="shared" si="76"/>
        <v>OK</v>
      </c>
      <c r="P577">
        <f>IFERROR(Full_Data!G577/Full_Data!H577,"Check data")</f>
        <v>7.9000000000000001E-2</v>
      </c>
      <c r="Q577" t="str">
        <f t="shared" si="77"/>
        <v>Match</v>
      </c>
      <c r="R577" t="str">
        <f t="shared" si="78"/>
        <v>Match</v>
      </c>
      <c r="S577" t="str">
        <f t="shared" si="79"/>
        <v>Match</v>
      </c>
    </row>
    <row r="578" spans="1:19" x14ac:dyDescent="0.25">
      <c r="A578" t="s">
        <v>546</v>
      </c>
      <c r="B578">
        <v>3000</v>
      </c>
      <c r="C578">
        <f t="shared" si="80"/>
        <v>30</v>
      </c>
      <c r="D578">
        <v>3</v>
      </c>
      <c r="E578">
        <v>0</v>
      </c>
      <c r="F578">
        <v>2900</v>
      </c>
      <c r="G578">
        <f t="shared" ref="G578:G641" si="81">F578/100</f>
        <v>29</v>
      </c>
      <c r="H578">
        <v>50</v>
      </c>
      <c r="I578" s="4">
        <f>Full_Data[[#This Row],[Selling Price]]/Full_Data[[#This Row],[Weight (g)]]</f>
        <v>0.57999999999999996</v>
      </c>
      <c r="J578" t="b">
        <v>1</v>
      </c>
      <c r="K578">
        <v>50</v>
      </c>
      <c r="L578">
        <f t="shared" ref="L578:L641" si="82">C578-G578</f>
        <v>1</v>
      </c>
      <c r="M578" t="str">
        <f t="shared" ref="M578:M641" si="83">IF(G578&lt;50,"Low",IF(G578&lt;200,"Medium","High"))</f>
        <v>Low</v>
      </c>
      <c r="N578" t="str">
        <f t="shared" ref="N578:N641" si="84">IF(D578&lt;=5,"0-5%",
IF(D578&lt;=10,"6-10%",
IF(D578&lt;=15,"11-15%",
IF(D578&lt;=20,"16-20%","21%+"))))</f>
        <v>0-5%</v>
      </c>
      <c r="O578" t="str">
        <f t="shared" ref="O578:O641" si="85">IF(AND(C578=0,G578=0),"Review: Zero MRP and selling price",IF(C578&lt;=0,"Review: Invalid MRP",IF(G578&lt;0,"Review: Negative selling price",IF(G578=0,"Review: Zero selling price",IF(H578&lt;=0,"Review: Invalid weight","OK")))))</f>
        <v>OK</v>
      </c>
      <c r="P578">
        <f>IFERROR(Full_Data!G578/Full_Data!H578,"Check data")</f>
        <v>0.57999999999999996</v>
      </c>
      <c r="Q578" t="str">
        <f t="shared" ref="Q578:Q641" si="86">IF(OR(H578="",H578&lt;=0),"Invalid weight",IF(G578="","Missing selling price",IF(ROUND(G578/H578,2)=ROUND(I578,2),"Match","Mismatch")))</f>
        <v>Match</v>
      </c>
      <c r="R578" t="str">
        <f t="shared" ref="R578:R641" si="87">IF(OR(C578&lt;=0,G578=""),"Check data",IF(ROUND((C578-G578)/C578*100,2)=ROUND(D578,2),"Match","Mismatch"))</f>
        <v>Mismatch</v>
      </c>
      <c r="S578" t="str">
        <f t="shared" ref="S578:S641" si="88">IF(OR(C578&lt;=0,G578=""),"Check data",IF(ROUND((C578-G578)/C578*100,0)=D578,"Match","Mismatch"))</f>
        <v>Match</v>
      </c>
    </row>
    <row r="579" spans="1:19" x14ac:dyDescent="0.25">
      <c r="A579" t="s">
        <v>547</v>
      </c>
      <c r="B579">
        <v>3400</v>
      </c>
      <c r="C579">
        <f t="shared" ref="C579:C642" si="89">B579/100</f>
        <v>34</v>
      </c>
      <c r="D579">
        <v>2</v>
      </c>
      <c r="E579">
        <v>0</v>
      </c>
      <c r="F579">
        <v>3300</v>
      </c>
      <c r="G579">
        <f t="shared" si="81"/>
        <v>33</v>
      </c>
      <c r="H579">
        <v>50</v>
      </c>
      <c r="I579" s="4">
        <f>Full_Data[[#This Row],[Selling Price]]/Full_Data[[#This Row],[Weight (g)]]</f>
        <v>0.66</v>
      </c>
      <c r="J579" t="b">
        <v>1</v>
      </c>
      <c r="K579">
        <v>50</v>
      </c>
      <c r="L579">
        <f t="shared" si="82"/>
        <v>1</v>
      </c>
      <c r="M579" t="str">
        <f t="shared" si="83"/>
        <v>Low</v>
      </c>
      <c r="N579" t="str">
        <f t="shared" si="84"/>
        <v>0-5%</v>
      </c>
      <c r="O579" t="str">
        <f t="shared" si="85"/>
        <v>OK</v>
      </c>
      <c r="P579">
        <f>IFERROR(Full_Data!G579/Full_Data!H579,"Check data")</f>
        <v>0.66</v>
      </c>
      <c r="Q579" t="str">
        <f t="shared" si="86"/>
        <v>Match</v>
      </c>
      <c r="R579" t="str">
        <f t="shared" si="87"/>
        <v>Mismatch</v>
      </c>
      <c r="S579" t="str">
        <f t="shared" si="88"/>
        <v>Mismatch</v>
      </c>
    </row>
    <row r="580" spans="1:19" x14ac:dyDescent="0.25">
      <c r="A580" t="s">
        <v>548</v>
      </c>
      <c r="B580">
        <v>5000</v>
      </c>
      <c r="C580">
        <f t="shared" si="89"/>
        <v>50</v>
      </c>
      <c r="D580">
        <v>0</v>
      </c>
      <c r="E580">
        <v>0</v>
      </c>
      <c r="F580">
        <v>5000</v>
      </c>
      <c r="G580">
        <f t="shared" si="81"/>
        <v>50</v>
      </c>
      <c r="H580">
        <v>70</v>
      </c>
      <c r="I580" s="4">
        <f>Full_Data[[#This Row],[Selling Price]]/Full_Data[[#This Row],[Weight (g)]]</f>
        <v>0.7142857142857143</v>
      </c>
      <c r="J580" t="b">
        <v>1</v>
      </c>
      <c r="K580">
        <v>70</v>
      </c>
      <c r="L580">
        <f t="shared" si="82"/>
        <v>0</v>
      </c>
      <c r="M580" t="str">
        <f t="shared" si="83"/>
        <v>Medium</v>
      </c>
      <c r="N580" t="str">
        <f t="shared" si="84"/>
        <v>0-5%</v>
      </c>
      <c r="O580" t="str">
        <f t="shared" si="85"/>
        <v>OK</v>
      </c>
      <c r="P580">
        <f>IFERROR(Full_Data!G580/Full_Data!H580,"Check data")</f>
        <v>0.7142857142857143</v>
      </c>
      <c r="Q580" t="str">
        <f t="shared" si="86"/>
        <v>Match</v>
      </c>
      <c r="R580" t="str">
        <f t="shared" si="87"/>
        <v>Match</v>
      </c>
      <c r="S580" t="str">
        <f t="shared" si="88"/>
        <v>Match</v>
      </c>
    </row>
    <row r="581" spans="1:19" x14ac:dyDescent="0.25">
      <c r="A581" t="s">
        <v>549</v>
      </c>
      <c r="B581">
        <v>2000</v>
      </c>
      <c r="C581">
        <f t="shared" si="89"/>
        <v>20</v>
      </c>
      <c r="D581">
        <v>0</v>
      </c>
      <c r="E581">
        <v>0</v>
      </c>
      <c r="F581">
        <v>2000</v>
      </c>
      <c r="G581">
        <f t="shared" si="81"/>
        <v>20</v>
      </c>
      <c r="H581">
        <v>100</v>
      </c>
      <c r="I581" s="4">
        <f>Full_Data[[#This Row],[Selling Price]]/Full_Data[[#This Row],[Weight (g)]]</f>
        <v>0.2</v>
      </c>
      <c r="J581" t="b">
        <v>1</v>
      </c>
      <c r="K581">
        <v>100</v>
      </c>
      <c r="L581">
        <f t="shared" si="82"/>
        <v>0</v>
      </c>
      <c r="M581" t="str">
        <f t="shared" si="83"/>
        <v>Low</v>
      </c>
      <c r="N581" t="str">
        <f t="shared" si="84"/>
        <v>0-5%</v>
      </c>
      <c r="O581" t="str">
        <f t="shared" si="85"/>
        <v>OK</v>
      </c>
      <c r="P581">
        <f>IFERROR(Full_Data!G581/Full_Data!H581,"Check data")</f>
        <v>0.2</v>
      </c>
      <c r="Q581" t="str">
        <f t="shared" si="86"/>
        <v>Match</v>
      </c>
      <c r="R581" t="str">
        <f t="shared" si="87"/>
        <v>Match</v>
      </c>
      <c r="S581" t="str">
        <f t="shared" si="88"/>
        <v>Match</v>
      </c>
    </row>
    <row r="582" spans="1:19" x14ac:dyDescent="0.25">
      <c r="A582" t="s">
        <v>550</v>
      </c>
      <c r="B582">
        <v>56500</v>
      </c>
      <c r="C582">
        <f t="shared" si="89"/>
        <v>565</v>
      </c>
      <c r="D582">
        <v>0</v>
      </c>
      <c r="E582">
        <v>0</v>
      </c>
      <c r="F582">
        <v>56500</v>
      </c>
      <c r="G582">
        <f t="shared" si="81"/>
        <v>565</v>
      </c>
      <c r="H582">
        <v>1000</v>
      </c>
      <c r="I582" s="4">
        <f>Full_Data[[#This Row],[Selling Price]]/Full_Data[[#This Row],[Weight (g)]]</f>
        <v>0.56499999999999995</v>
      </c>
      <c r="J582" t="b">
        <v>1</v>
      </c>
      <c r="K582">
        <v>1</v>
      </c>
      <c r="L582">
        <f t="shared" si="82"/>
        <v>0</v>
      </c>
      <c r="M582" t="str">
        <f t="shared" si="83"/>
        <v>High</v>
      </c>
      <c r="N582" t="str">
        <f t="shared" si="84"/>
        <v>0-5%</v>
      </c>
      <c r="O582" t="str">
        <f t="shared" si="85"/>
        <v>OK</v>
      </c>
      <c r="P582">
        <f>IFERROR(Full_Data!G582/Full_Data!H582,"Check data")</f>
        <v>0.56499999999999995</v>
      </c>
      <c r="Q582" t="str">
        <f t="shared" si="86"/>
        <v>Match</v>
      </c>
      <c r="R582" t="str">
        <f t="shared" si="87"/>
        <v>Match</v>
      </c>
      <c r="S582" t="str">
        <f t="shared" si="88"/>
        <v>Match</v>
      </c>
    </row>
    <row r="583" spans="1:19" x14ac:dyDescent="0.25">
      <c r="A583" t="s">
        <v>551</v>
      </c>
      <c r="B583">
        <v>4200</v>
      </c>
      <c r="C583">
        <f t="shared" si="89"/>
        <v>42</v>
      </c>
      <c r="D583">
        <v>2</v>
      </c>
      <c r="E583">
        <v>0</v>
      </c>
      <c r="F583">
        <v>4100</v>
      </c>
      <c r="G583">
        <f t="shared" si="81"/>
        <v>41</v>
      </c>
      <c r="H583">
        <v>50</v>
      </c>
      <c r="I583" s="4">
        <f>Full_Data[[#This Row],[Selling Price]]/Full_Data[[#This Row],[Weight (g)]]</f>
        <v>0.82</v>
      </c>
      <c r="J583" t="b">
        <v>1</v>
      </c>
      <c r="K583">
        <v>50</v>
      </c>
      <c r="L583">
        <f t="shared" si="82"/>
        <v>1</v>
      </c>
      <c r="M583" t="str">
        <f t="shared" si="83"/>
        <v>Low</v>
      </c>
      <c r="N583" t="str">
        <f t="shared" si="84"/>
        <v>0-5%</v>
      </c>
      <c r="O583" t="str">
        <f t="shared" si="85"/>
        <v>OK</v>
      </c>
      <c r="P583">
        <f>IFERROR(Full_Data!G583/Full_Data!H583,"Check data")</f>
        <v>0.82</v>
      </c>
      <c r="Q583" t="str">
        <f t="shared" si="86"/>
        <v>Match</v>
      </c>
      <c r="R583" t="str">
        <f t="shared" si="87"/>
        <v>Mismatch</v>
      </c>
      <c r="S583" t="str">
        <f t="shared" si="88"/>
        <v>Match</v>
      </c>
    </row>
    <row r="584" spans="1:19" x14ac:dyDescent="0.25">
      <c r="A584" t="s">
        <v>552</v>
      </c>
      <c r="B584">
        <v>18500</v>
      </c>
      <c r="C584">
        <f t="shared" si="89"/>
        <v>185</v>
      </c>
      <c r="D584">
        <v>8</v>
      </c>
      <c r="E584">
        <v>0</v>
      </c>
      <c r="F584">
        <v>16900</v>
      </c>
      <c r="G584">
        <f t="shared" si="81"/>
        <v>169</v>
      </c>
      <c r="H584">
        <v>1000</v>
      </c>
      <c r="I584" s="4">
        <f>Full_Data[[#This Row],[Selling Price]]/Full_Data[[#This Row],[Weight (g)]]</f>
        <v>0.16900000000000001</v>
      </c>
      <c r="J584" t="b">
        <v>1</v>
      </c>
      <c r="K584">
        <v>1</v>
      </c>
      <c r="L584">
        <f t="shared" si="82"/>
        <v>16</v>
      </c>
      <c r="M584" t="str">
        <f t="shared" si="83"/>
        <v>Medium</v>
      </c>
      <c r="N584" t="str">
        <f t="shared" si="84"/>
        <v>6-10%</v>
      </c>
      <c r="O584" t="str">
        <f t="shared" si="85"/>
        <v>OK</v>
      </c>
      <c r="P584">
        <f>IFERROR(Full_Data!G584/Full_Data!H584,"Check data")</f>
        <v>0.16900000000000001</v>
      </c>
      <c r="Q584" t="str">
        <f t="shared" si="86"/>
        <v>Match</v>
      </c>
      <c r="R584" t="str">
        <f t="shared" si="87"/>
        <v>Mismatch</v>
      </c>
      <c r="S584" t="str">
        <f t="shared" si="88"/>
        <v>Mismatch</v>
      </c>
    </row>
    <row r="585" spans="1:19" x14ac:dyDescent="0.25">
      <c r="A585" t="s">
        <v>553</v>
      </c>
      <c r="B585">
        <v>6000</v>
      </c>
      <c r="C585">
        <f t="shared" si="89"/>
        <v>60</v>
      </c>
      <c r="D585">
        <v>10</v>
      </c>
      <c r="E585">
        <v>0</v>
      </c>
      <c r="F585">
        <v>5400</v>
      </c>
      <c r="G585">
        <f t="shared" si="81"/>
        <v>54</v>
      </c>
      <c r="H585">
        <v>500</v>
      </c>
      <c r="I585" s="4">
        <f>Full_Data[[#This Row],[Selling Price]]/Full_Data[[#This Row],[Weight (g)]]</f>
        <v>0.108</v>
      </c>
      <c r="J585" t="b">
        <v>1</v>
      </c>
      <c r="K585">
        <v>500</v>
      </c>
      <c r="L585">
        <f t="shared" si="82"/>
        <v>6</v>
      </c>
      <c r="M585" t="str">
        <f t="shared" si="83"/>
        <v>Medium</v>
      </c>
      <c r="N585" t="str">
        <f t="shared" si="84"/>
        <v>6-10%</v>
      </c>
      <c r="O585" t="str">
        <f t="shared" si="85"/>
        <v>OK</v>
      </c>
      <c r="P585">
        <f>IFERROR(Full_Data!G585/Full_Data!H585,"Check data")</f>
        <v>0.108</v>
      </c>
      <c r="Q585" t="str">
        <f t="shared" si="86"/>
        <v>Match</v>
      </c>
      <c r="R585" t="str">
        <f t="shared" si="87"/>
        <v>Match</v>
      </c>
      <c r="S585" t="str">
        <f t="shared" si="88"/>
        <v>Match</v>
      </c>
    </row>
    <row r="586" spans="1:19" x14ac:dyDescent="0.25">
      <c r="A586" t="s">
        <v>554</v>
      </c>
      <c r="B586">
        <v>4000</v>
      </c>
      <c r="C586">
        <f t="shared" si="89"/>
        <v>40</v>
      </c>
      <c r="D586">
        <v>0</v>
      </c>
      <c r="E586">
        <v>0</v>
      </c>
      <c r="F586">
        <v>4000</v>
      </c>
      <c r="G586">
        <f t="shared" si="81"/>
        <v>40</v>
      </c>
      <c r="H586">
        <v>500</v>
      </c>
      <c r="I586" s="4">
        <f>Full_Data[[#This Row],[Selling Price]]/Full_Data[[#This Row],[Weight (g)]]</f>
        <v>0.08</v>
      </c>
      <c r="J586" t="b">
        <v>1</v>
      </c>
      <c r="K586">
        <v>500</v>
      </c>
      <c r="L586">
        <f t="shared" si="82"/>
        <v>0</v>
      </c>
      <c r="M586" t="str">
        <f t="shared" si="83"/>
        <v>Low</v>
      </c>
      <c r="N586" t="str">
        <f t="shared" si="84"/>
        <v>0-5%</v>
      </c>
      <c r="O586" t="str">
        <f t="shared" si="85"/>
        <v>OK</v>
      </c>
      <c r="P586">
        <f>IFERROR(Full_Data!G586/Full_Data!H586,"Check data")</f>
        <v>0.08</v>
      </c>
      <c r="Q586" t="str">
        <f t="shared" si="86"/>
        <v>Match</v>
      </c>
      <c r="R586" t="str">
        <f t="shared" si="87"/>
        <v>Match</v>
      </c>
      <c r="S586" t="str">
        <f t="shared" si="88"/>
        <v>Match</v>
      </c>
    </row>
    <row r="587" spans="1:19" x14ac:dyDescent="0.25">
      <c r="A587" t="s">
        <v>531</v>
      </c>
      <c r="B587">
        <v>7000</v>
      </c>
      <c r="C587">
        <f t="shared" si="89"/>
        <v>70</v>
      </c>
      <c r="D587">
        <v>10</v>
      </c>
      <c r="E587">
        <v>0</v>
      </c>
      <c r="F587">
        <v>6300</v>
      </c>
      <c r="G587">
        <f t="shared" si="81"/>
        <v>63</v>
      </c>
      <c r="H587">
        <v>200</v>
      </c>
      <c r="I587" s="4">
        <f>Full_Data[[#This Row],[Selling Price]]/Full_Data[[#This Row],[Weight (g)]]</f>
        <v>0.315</v>
      </c>
      <c r="J587" t="b">
        <v>1</v>
      </c>
      <c r="K587">
        <v>200</v>
      </c>
      <c r="L587">
        <f t="shared" si="82"/>
        <v>7</v>
      </c>
      <c r="M587" t="str">
        <f t="shared" si="83"/>
        <v>Medium</v>
      </c>
      <c r="N587" t="str">
        <f t="shared" si="84"/>
        <v>6-10%</v>
      </c>
      <c r="O587" t="str">
        <f t="shared" si="85"/>
        <v>OK</v>
      </c>
      <c r="P587">
        <f>IFERROR(Full_Data!G587/Full_Data!H587,"Check data")</f>
        <v>0.315</v>
      </c>
      <c r="Q587" t="str">
        <f t="shared" si="86"/>
        <v>Match</v>
      </c>
      <c r="R587" t="str">
        <f t="shared" si="87"/>
        <v>Match</v>
      </c>
      <c r="S587" t="str">
        <f t="shared" si="88"/>
        <v>Match</v>
      </c>
    </row>
    <row r="588" spans="1:19" x14ac:dyDescent="0.25">
      <c r="A588" t="s">
        <v>555</v>
      </c>
      <c r="B588">
        <v>4800</v>
      </c>
      <c r="C588">
        <f t="shared" si="89"/>
        <v>48</v>
      </c>
      <c r="D588">
        <v>6</v>
      </c>
      <c r="E588">
        <v>0</v>
      </c>
      <c r="F588">
        <v>4500</v>
      </c>
      <c r="G588">
        <f t="shared" si="81"/>
        <v>45</v>
      </c>
      <c r="H588">
        <v>240</v>
      </c>
      <c r="I588" s="4">
        <f>Full_Data[[#This Row],[Selling Price]]/Full_Data[[#This Row],[Weight (g)]]</f>
        <v>0.1875</v>
      </c>
      <c r="J588" t="b">
        <v>1</v>
      </c>
      <c r="K588">
        <v>240</v>
      </c>
      <c r="L588">
        <f t="shared" si="82"/>
        <v>3</v>
      </c>
      <c r="M588" t="str">
        <f t="shared" si="83"/>
        <v>Low</v>
      </c>
      <c r="N588" t="str">
        <f t="shared" si="84"/>
        <v>6-10%</v>
      </c>
      <c r="O588" t="str">
        <f t="shared" si="85"/>
        <v>OK</v>
      </c>
      <c r="P588">
        <f>IFERROR(Full_Data!G588/Full_Data!H588,"Check data")</f>
        <v>0.1875</v>
      </c>
      <c r="Q588" t="str">
        <f t="shared" si="86"/>
        <v>Match</v>
      </c>
      <c r="R588" t="str">
        <f t="shared" si="87"/>
        <v>Mismatch</v>
      </c>
      <c r="S588" t="str">
        <f t="shared" si="88"/>
        <v>Match</v>
      </c>
    </row>
    <row r="589" spans="1:19" x14ac:dyDescent="0.25">
      <c r="A589" t="s">
        <v>556</v>
      </c>
      <c r="B589">
        <v>3500</v>
      </c>
      <c r="C589">
        <f t="shared" si="89"/>
        <v>35</v>
      </c>
      <c r="D589">
        <v>0</v>
      </c>
      <c r="E589">
        <v>0</v>
      </c>
      <c r="F589">
        <v>3500</v>
      </c>
      <c r="G589">
        <f t="shared" si="81"/>
        <v>35</v>
      </c>
      <c r="H589">
        <v>100</v>
      </c>
      <c r="I589" s="4">
        <f>Full_Data[[#This Row],[Selling Price]]/Full_Data[[#This Row],[Weight (g)]]</f>
        <v>0.35</v>
      </c>
      <c r="J589" t="b">
        <v>1</v>
      </c>
      <c r="K589">
        <v>200</v>
      </c>
      <c r="L589">
        <f t="shared" si="82"/>
        <v>0</v>
      </c>
      <c r="M589" t="str">
        <f t="shared" si="83"/>
        <v>Low</v>
      </c>
      <c r="N589" t="str">
        <f t="shared" si="84"/>
        <v>0-5%</v>
      </c>
      <c r="O589" t="str">
        <f t="shared" si="85"/>
        <v>OK</v>
      </c>
      <c r="P589">
        <f>IFERROR(Full_Data!G589/Full_Data!H589,"Check data")</f>
        <v>0.35</v>
      </c>
      <c r="Q589" t="str">
        <f t="shared" si="86"/>
        <v>Match</v>
      </c>
      <c r="R589" t="str">
        <f t="shared" si="87"/>
        <v>Match</v>
      </c>
      <c r="S589" t="str">
        <f t="shared" si="88"/>
        <v>Match</v>
      </c>
    </row>
    <row r="590" spans="1:19" x14ac:dyDescent="0.25">
      <c r="A590" t="s">
        <v>557</v>
      </c>
      <c r="B590">
        <v>9000</v>
      </c>
      <c r="C590">
        <f t="shared" si="89"/>
        <v>90</v>
      </c>
      <c r="D590">
        <v>1</v>
      </c>
      <c r="E590">
        <v>0</v>
      </c>
      <c r="F590">
        <v>8900</v>
      </c>
      <c r="G590">
        <f t="shared" si="81"/>
        <v>89</v>
      </c>
      <c r="H590">
        <v>1000</v>
      </c>
      <c r="I590" s="4">
        <f>Full_Data[[#This Row],[Selling Price]]/Full_Data[[#This Row],[Weight (g)]]</f>
        <v>8.8999999999999996E-2</v>
      </c>
      <c r="J590" t="b">
        <v>1</v>
      </c>
      <c r="K590">
        <v>1</v>
      </c>
      <c r="L590">
        <f t="shared" si="82"/>
        <v>1</v>
      </c>
      <c r="M590" t="str">
        <f t="shared" si="83"/>
        <v>Medium</v>
      </c>
      <c r="N590" t="str">
        <f t="shared" si="84"/>
        <v>0-5%</v>
      </c>
      <c r="O590" t="str">
        <f t="shared" si="85"/>
        <v>OK</v>
      </c>
      <c r="P590">
        <f>IFERROR(Full_Data!G590/Full_Data!H590,"Check data")</f>
        <v>8.8999999999999996E-2</v>
      </c>
      <c r="Q590" t="str">
        <f t="shared" si="86"/>
        <v>Match</v>
      </c>
      <c r="R590" t="str">
        <f t="shared" si="87"/>
        <v>Mismatch</v>
      </c>
      <c r="S590" t="str">
        <f t="shared" si="88"/>
        <v>Match</v>
      </c>
    </row>
    <row r="591" spans="1:19" x14ac:dyDescent="0.25">
      <c r="A591" t="s">
        <v>558</v>
      </c>
      <c r="B591">
        <v>9100</v>
      </c>
      <c r="C591">
        <f t="shared" si="89"/>
        <v>91</v>
      </c>
      <c r="D591">
        <v>9</v>
      </c>
      <c r="E591">
        <v>0</v>
      </c>
      <c r="F591">
        <v>8200</v>
      </c>
      <c r="G591">
        <f t="shared" si="81"/>
        <v>82</v>
      </c>
      <c r="H591">
        <v>560</v>
      </c>
      <c r="I591" s="4">
        <f>Full_Data[[#This Row],[Selling Price]]/Full_Data[[#This Row],[Weight (g)]]</f>
        <v>0.14642857142857144</v>
      </c>
      <c r="J591" t="b">
        <v>1</v>
      </c>
      <c r="K591">
        <v>560</v>
      </c>
      <c r="L591">
        <f t="shared" si="82"/>
        <v>9</v>
      </c>
      <c r="M591" t="str">
        <f t="shared" si="83"/>
        <v>Medium</v>
      </c>
      <c r="N591" t="str">
        <f t="shared" si="84"/>
        <v>6-10%</v>
      </c>
      <c r="O591" t="str">
        <f t="shared" si="85"/>
        <v>OK</v>
      </c>
      <c r="P591">
        <f>IFERROR(Full_Data!G591/Full_Data!H591,"Check data")</f>
        <v>0.14642857142857144</v>
      </c>
      <c r="Q591" t="str">
        <f t="shared" si="86"/>
        <v>Match</v>
      </c>
      <c r="R591" t="str">
        <f t="shared" si="87"/>
        <v>Mismatch</v>
      </c>
      <c r="S591" t="str">
        <f t="shared" si="88"/>
        <v>Mismatch</v>
      </c>
    </row>
    <row r="592" spans="1:19" x14ac:dyDescent="0.25">
      <c r="A592" t="s">
        <v>559</v>
      </c>
      <c r="B592">
        <v>6700</v>
      </c>
      <c r="C592">
        <f t="shared" si="89"/>
        <v>67</v>
      </c>
      <c r="D592">
        <v>10</v>
      </c>
      <c r="E592">
        <v>0</v>
      </c>
      <c r="F592">
        <v>6000</v>
      </c>
      <c r="G592">
        <f t="shared" si="81"/>
        <v>60</v>
      </c>
      <c r="H592">
        <v>200</v>
      </c>
      <c r="I592" s="4">
        <f>Full_Data[[#This Row],[Selling Price]]/Full_Data[[#This Row],[Weight (g)]]</f>
        <v>0.3</v>
      </c>
      <c r="J592" t="b">
        <v>1</v>
      </c>
      <c r="K592">
        <v>200</v>
      </c>
      <c r="L592">
        <f t="shared" si="82"/>
        <v>7</v>
      </c>
      <c r="M592" t="str">
        <f t="shared" si="83"/>
        <v>Medium</v>
      </c>
      <c r="N592" t="str">
        <f t="shared" si="84"/>
        <v>6-10%</v>
      </c>
      <c r="O592" t="str">
        <f t="shared" si="85"/>
        <v>OK</v>
      </c>
      <c r="P592">
        <f>IFERROR(Full_Data!G592/Full_Data!H592,"Check data")</f>
        <v>0.3</v>
      </c>
      <c r="Q592" t="str">
        <f t="shared" si="86"/>
        <v>Match</v>
      </c>
      <c r="R592" t="str">
        <f t="shared" si="87"/>
        <v>Mismatch</v>
      </c>
      <c r="S592" t="str">
        <f t="shared" si="88"/>
        <v>Match</v>
      </c>
    </row>
    <row r="593" spans="1:19" x14ac:dyDescent="0.25">
      <c r="A593" t="s">
        <v>560</v>
      </c>
      <c r="B593">
        <v>12500</v>
      </c>
      <c r="C593">
        <f t="shared" si="89"/>
        <v>125</v>
      </c>
      <c r="D593">
        <v>9</v>
      </c>
      <c r="E593">
        <v>0</v>
      </c>
      <c r="F593">
        <v>11300</v>
      </c>
      <c r="G593">
        <f t="shared" si="81"/>
        <v>113</v>
      </c>
      <c r="H593">
        <v>500</v>
      </c>
      <c r="I593" s="4">
        <f>Full_Data[[#This Row],[Selling Price]]/Full_Data[[#This Row],[Weight (g)]]</f>
        <v>0.22600000000000001</v>
      </c>
      <c r="J593" t="b">
        <v>1</v>
      </c>
      <c r="K593">
        <v>500</v>
      </c>
      <c r="L593">
        <f t="shared" si="82"/>
        <v>12</v>
      </c>
      <c r="M593" t="str">
        <f t="shared" si="83"/>
        <v>Medium</v>
      </c>
      <c r="N593" t="str">
        <f t="shared" si="84"/>
        <v>6-10%</v>
      </c>
      <c r="O593" t="str">
        <f t="shared" si="85"/>
        <v>OK</v>
      </c>
      <c r="P593">
        <f>IFERROR(Full_Data!G593/Full_Data!H593,"Check data")</f>
        <v>0.22600000000000001</v>
      </c>
      <c r="Q593" t="str">
        <f t="shared" si="86"/>
        <v>Match</v>
      </c>
      <c r="R593" t="str">
        <f t="shared" si="87"/>
        <v>Mismatch</v>
      </c>
      <c r="S593" t="str">
        <f t="shared" si="88"/>
        <v>Mismatch</v>
      </c>
    </row>
    <row r="594" spans="1:19" x14ac:dyDescent="0.25">
      <c r="A594" t="s">
        <v>561</v>
      </c>
      <c r="B594">
        <v>10900</v>
      </c>
      <c r="C594">
        <f t="shared" si="89"/>
        <v>109</v>
      </c>
      <c r="D594">
        <v>11</v>
      </c>
      <c r="E594">
        <v>0</v>
      </c>
      <c r="F594">
        <v>9700</v>
      </c>
      <c r="G594">
        <f t="shared" si="81"/>
        <v>97</v>
      </c>
      <c r="H594">
        <v>80</v>
      </c>
      <c r="I594" s="4">
        <f>Full_Data[[#This Row],[Selling Price]]/Full_Data[[#This Row],[Weight (g)]]</f>
        <v>1.2124999999999999</v>
      </c>
      <c r="J594" t="b">
        <v>1</v>
      </c>
      <c r="K594">
        <v>80</v>
      </c>
      <c r="L594">
        <f t="shared" si="82"/>
        <v>12</v>
      </c>
      <c r="M594" t="str">
        <f t="shared" si="83"/>
        <v>Medium</v>
      </c>
      <c r="N594" t="str">
        <f t="shared" si="84"/>
        <v>11-15%</v>
      </c>
      <c r="O594" t="str">
        <f t="shared" si="85"/>
        <v>OK</v>
      </c>
      <c r="P594">
        <f>IFERROR(Full_Data!G594/Full_Data!H594,"Check data")</f>
        <v>1.2124999999999999</v>
      </c>
      <c r="Q594" t="str">
        <f t="shared" si="86"/>
        <v>Match</v>
      </c>
      <c r="R594" t="str">
        <f t="shared" si="87"/>
        <v>Mismatch</v>
      </c>
      <c r="S594" t="str">
        <f t="shared" si="88"/>
        <v>Match</v>
      </c>
    </row>
    <row r="595" spans="1:19" x14ac:dyDescent="0.25">
      <c r="A595" t="s">
        <v>562</v>
      </c>
      <c r="B595">
        <v>16000</v>
      </c>
      <c r="C595">
        <f t="shared" si="89"/>
        <v>160</v>
      </c>
      <c r="D595">
        <v>50</v>
      </c>
      <c r="E595">
        <v>0</v>
      </c>
      <c r="F595">
        <v>8000</v>
      </c>
      <c r="G595">
        <f t="shared" si="81"/>
        <v>80</v>
      </c>
      <c r="H595">
        <v>500</v>
      </c>
      <c r="I595" s="4">
        <f>Full_Data[[#This Row],[Selling Price]]/Full_Data[[#This Row],[Weight (g)]]</f>
        <v>0.16</v>
      </c>
      <c r="J595" t="b">
        <v>1</v>
      </c>
      <c r="K595">
        <v>500</v>
      </c>
      <c r="L595">
        <f t="shared" si="82"/>
        <v>80</v>
      </c>
      <c r="M595" t="str">
        <f t="shared" si="83"/>
        <v>Medium</v>
      </c>
      <c r="N595" t="str">
        <f t="shared" si="84"/>
        <v>21%+</v>
      </c>
      <c r="O595" t="str">
        <f t="shared" si="85"/>
        <v>OK</v>
      </c>
      <c r="P595">
        <f>IFERROR(Full_Data!G595/Full_Data!H595,"Check data")</f>
        <v>0.16</v>
      </c>
      <c r="Q595" t="str">
        <f t="shared" si="86"/>
        <v>Match</v>
      </c>
      <c r="R595" t="str">
        <f t="shared" si="87"/>
        <v>Match</v>
      </c>
      <c r="S595" t="str">
        <f t="shared" si="88"/>
        <v>Match</v>
      </c>
    </row>
    <row r="596" spans="1:19" x14ac:dyDescent="0.25">
      <c r="A596" t="s">
        <v>204</v>
      </c>
      <c r="B596">
        <v>12500</v>
      </c>
      <c r="C596">
        <f t="shared" si="89"/>
        <v>125</v>
      </c>
      <c r="D596">
        <v>0</v>
      </c>
      <c r="E596">
        <v>0</v>
      </c>
      <c r="F596">
        <v>12500</v>
      </c>
      <c r="G596">
        <f t="shared" si="81"/>
        <v>125</v>
      </c>
      <c r="H596">
        <v>1000</v>
      </c>
      <c r="I596" s="4">
        <f>Full_Data[[#This Row],[Selling Price]]/Full_Data[[#This Row],[Weight (g)]]</f>
        <v>0.125</v>
      </c>
      <c r="J596" t="b">
        <v>1</v>
      </c>
      <c r="K596">
        <v>1</v>
      </c>
      <c r="L596">
        <f t="shared" si="82"/>
        <v>0</v>
      </c>
      <c r="M596" t="str">
        <f t="shared" si="83"/>
        <v>Medium</v>
      </c>
      <c r="N596" t="str">
        <f t="shared" si="84"/>
        <v>0-5%</v>
      </c>
      <c r="O596" t="str">
        <f t="shared" si="85"/>
        <v>OK</v>
      </c>
      <c r="P596">
        <f>IFERROR(Full_Data!G596/Full_Data!H596,"Check data")</f>
        <v>0.125</v>
      </c>
      <c r="Q596" t="str">
        <f t="shared" si="86"/>
        <v>Match</v>
      </c>
      <c r="R596" t="str">
        <f t="shared" si="87"/>
        <v>Match</v>
      </c>
      <c r="S596" t="str">
        <f t="shared" si="88"/>
        <v>Match</v>
      </c>
    </row>
    <row r="597" spans="1:19" x14ac:dyDescent="0.25">
      <c r="A597" t="s">
        <v>563</v>
      </c>
      <c r="B597">
        <v>21000</v>
      </c>
      <c r="C597">
        <f t="shared" si="89"/>
        <v>210</v>
      </c>
      <c r="D597">
        <v>0</v>
      </c>
      <c r="E597">
        <v>0</v>
      </c>
      <c r="F597">
        <v>21000</v>
      </c>
      <c r="G597">
        <f t="shared" si="81"/>
        <v>210</v>
      </c>
      <c r="H597">
        <v>1000</v>
      </c>
      <c r="I597" s="4">
        <f>Full_Data[[#This Row],[Selling Price]]/Full_Data[[#This Row],[Weight (g)]]</f>
        <v>0.21</v>
      </c>
      <c r="J597" t="b">
        <v>1</v>
      </c>
      <c r="K597">
        <v>1</v>
      </c>
      <c r="L597">
        <f t="shared" si="82"/>
        <v>0</v>
      </c>
      <c r="M597" t="str">
        <f t="shared" si="83"/>
        <v>High</v>
      </c>
      <c r="N597" t="str">
        <f t="shared" si="84"/>
        <v>0-5%</v>
      </c>
      <c r="O597" t="str">
        <f t="shared" si="85"/>
        <v>OK</v>
      </c>
      <c r="P597">
        <f>IFERROR(Full_Data!G597/Full_Data!H597,"Check data")</f>
        <v>0.21</v>
      </c>
      <c r="Q597" t="str">
        <f t="shared" si="86"/>
        <v>Match</v>
      </c>
      <c r="R597" t="str">
        <f t="shared" si="87"/>
        <v>Match</v>
      </c>
      <c r="S597" t="str">
        <f t="shared" si="88"/>
        <v>Match</v>
      </c>
    </row>
    <row r="598" spans="1:19" x14ac:dyDescent="0.25">
      <c r="A598" t="s">
        <v>564</v>
      </c>
      <c r="B598">
        <v>6400</v>
      </c>
      <c r="C598">
        <f t="shared" si="89"/>
        <v>64</v>
      </c>
      <c r="D598">
        <v>7</v>
      </c>
      <c r="E598">
        <v>0</v>
      </c>
      <c r="F598">
        <v>5900</v>
      </c>
      <c r="G598">
        <f t="shared" si="81"/>
        <v>59</v>
      </c>
      <c r="H598">
        <v>1000</v>
      </c>
      <c r="I598" s="4">
        <f>Full_Data[[#This Row],[Selling Price]]/Full_Data[[#This Row],[Weight (g)]]</f>
        <v>5.8999999999999997E-2</v>
      </c>
      <c r="J598" t="b">
        <v>1</v>
      </c>
      <c r="K598">
        <v>1</v>
      </c>
      <c r="L598">
        <f t="shared" si="82"/>
        <v>5</v>
      </c>
      <c r="M598" t="str">
        <f t="shared" si="83"/>
        <v>Medium</v>
      </c>
      <c r="N598" t="str">
        <f t="shared" si="84"/>
        <v>6-10%</v>
      </c>
      <c r="O598" t="str">
        <f t="shared" si="85"/>
        <v>OK</v>
      </c>
      <c r="P598">
        <f>IFERROR(Full_Data!G598/Full_Data!H598,"Check data")</f>
        <v>5.8999999999999997E-2</v>
      </c>
      <c r="Q598" t="str">
        <f t="shared" si="86"/>
        <v>Match</v>
      </c>
      <c r="R598" t="str">
        <f t="shared" si="87"/>
        <v>Mismatch</v>
      </c>
      <c r="S598" t="str">
        <f t="shared" si="88"/>
        <v>Mismatch</v>
      </c>
    </row>
    <row r="599" spans="1:19" x14ac:dyDescent="0.25">
      <c r="A599" t="s">
        <v>565</v>
      </c>
      <c r="B599">
        <v>19000</v>
      </c>
      <c r="C599">
        <f t="shared" si="89"/>
        <v>190</v>
      </c>
      <c r="D599">
        <v>0</v>
      </c>
      <c r="E599">
        <v>0</v>
      </c>
      <c r="F599">
        <v>19000</v>
      </c>
      <c r="G599">
        <f t="shared" si="81"/>
        <v>190</v>
      </c>
      <c r="H599">
        <v>300</v>
      </c>
      <c r="I599" s="4">
        <f>Full_Data[[#This Row],[Selling Price]]/Full_Data[[#This Row],[Weight (g)]]</f>
        <v>0.6333333333333333</v>
      </c>
      <c r="J599" t="b">
        <v>1</v>
      </c>
      <c r="K599">
        <v>300</v>
      </c>
      <c r="L599">
        <f t="shared" si="82"/>
        <v>0</v>
      </c>
      <c r="M599" t="str">
        <f t="shared" si="83"/>
        <v>Medium</v>
      </c>
      <c r="N599" t="str">
        <f t="shared" si="84"/>
        <v>0-5%</v>
      </c>
      <c r="O599" t="str">
        <f t="shared" si="85"/>
        <v>OK</v>
      </c>
      <c r="P599">
        <f>IFERROR(Full_Data!G599/Full_Data!H599,"Check data")</f>
        <v>0.6333333333333333</v>
      </c>
      <c r="Q599" t="str">
        <f t="shared" si="86"/>
        <v>Match</v>
      </c>
      <c r="R599" t="str">
        <f t="shared" si="87"/>
        <v>Match</v>
      </c>
      <c r="S599" t="str">
        <f t="shared" si="88"/>
        <v>Match</v>
      </c>
    </row>
    <row r="600" spans="1:19" x14ac:dyDescent="0.25">
      <c r="A600" t="s">
        <v>566</v>
      </c>
      <c r="B600">
        <v>2800</v>
      </c>
      <c r="C600">
        <f t="shared" si="89"/>
        <v>28</v>
      </c>
      <c r="D600">
        <v>17</v>
      </c>
      <c r="E600">
        <v>0</v>
      </c>
      <c r="F600">
        <v>2300</v>
      </c>
      <c r="G600">
        <f t="shared" si="81"/>
        <v>23</v>
      </c>
      <c r="H600">
        <v>65</v>
      </c>
      <c r="I600" s="4">
        <f>Full_Data[[#This Row],[Selling Price]]/Full_Data[[#This Row],[Weight (g)]]</f>
        <v>0.35384615384615387</v>
      </c>
      <c r="J600" t="b">
        <v>1</v>
      </c>
      <c r="K600">
        <v>65</v>
      </c>
      <c r="L600">
        <f t="shared" si="82"/>
        <v>5</v>
      </c>
      <c r="M600" t="str">
        <f t="shared" si="83"/>
        <v>Low</v>
      </c>
      <c r="N600" t="str">
        <f t="shared" si="84"/>
        <v>16-20%</v>
      </c>
      <c r="O600" t="str">
        <f t="shared" si="85"/>
        <v>OK</v>
      </c>
      <c r="P600">
        <f>IFERROR(Full_Data!G600/Full_Data!H600,"Check data")</f>
        <v>0.35384615384615387</v>
      </c>
      <c r="Q600" t="str">
        <f t="shared" si="86"/>
        <v>Match</v>
      </c>
      <c r="R600" t="str">
        <f t="shared" si="87"/>
        <v>Mismatch</v>
      </c>
      <c r="S600" t="str">
        <f t="shared" si="88"/>
        <v>Mismatch</v>
      </c>
    </row>
    <row r="601" spans="1:19" x14ac:dyDescent="0.25">
      <c r="A601" t="s">
        <v>567</v>
      </c>
      <c r="B601">
        <v>9900</v>
      </c>
      <c r="C601">
        <f t="shared" si="89"/>
        <v>99</v>
      </c>
      <c r="D601">
        <v>40</v>
      </c>
      <c r="E601">
        <v>0</v>
      </c>
      <c r="F601">
        <v>5900</v>
      </c>
      <c r="G601">
        <f t="shared" si="81"/>
        <v>59</v>
      </c>
      <c r="H601">
        <v>500</v>
      </c>
      <c r="I601" s="4">
        <f>Full_Data[[#This Row],[Selling Price]]/Full_Data[[#This Row],[Weight (g)]]</f>
        <v>0.11799999999999999</v>
      </c>
      <c r="J601" t="b">
        <v>1</v>
      </c>
      <c r="K601">
        <v>500</v>
      </c>
      <c r="L601">
        <f t="shared" si="82"/>
        <v>40</v>
      </c>
      <c r="M601" t="str">
        <f t="shared" si="83"/>
        <v>Medium</v>
      </c>
      <c r="N601" t="str">
        <f t="shared" si="84"/>
        <v>21%+</v>
      </c>
      <c r="O601" t="str">
        <f t="shared" si="85"/>
        <v>OK</v>
      </c>
      <c r="P601">
        <f>IFERROR(Full_Data!G601/Full_Data!H601,"Check data")</f>
        <v>0.11799999999999999</v>
      </c>
      <c r="Q601" t="str">
        <f t="shared" si="86"/>
        <v>Match</v>
      </c>
      <c r="R601" t="str">
        <f t="shared" si="87"/>
        <v>Mismatch</v>
      </c>
      <c r="S601" t="str">
        <f t="shared" si="88"/>
        <v>Match</v>
      </c>
    </row>
    <row r="602" spans="1:19" x14ac:dyDescent="0.25">
      <c r="A602" t="s">
        <v>568</v>
      </c>
      <c r="B602">
        <v>6000</v>
      </c>
      <c r="C602">
        <f t="shared" si="89"/>
        <v>60</v>
      </c>
      <c r="D602">
        <v>15</v>
      </c>
      <c r="E602">
        <v>0</v>
      </c>
      <c r="F602">
        <v>5100</v>
      </c>
      <c r="G602">
        <f t="shared" si="81"/>
        <v>51</v>
      </c>
      <c r="H602">
        <v>100</v>
      </c>
      <c r="I602" s="4">
        <f>Full_Data[[#This Row],[Selling Price]]/Full_Data[[#This Row],[Weight (g)]]</f>
        <v>0.51</v>
      </c>
      <c r="J602" t="b">
        <v>1</v>
      </c>
      <c r="K602">
        <v>100</v>
      </c>
      <c r="L602">
        <f t="shared" si="82"/>
        <v>9</v>
      </c>
      <c r="M602" t="str">
        <f t="shared" si="83"/>
        <v>Medium</v>
      </c>
      <c r="N602" t="str">
        <f t="shared" si="84"/>
        <v>11-15%</v>
      </c>
      <c r="O602" t="str">
        <f t="shared" si="85"/>
        <v>OK</v>
      </c>
      <c r="P602">
        <f>IFERROR(Full_Data!G602/Full_Data!H602,"Check data")</f>
        <v>0.51</v>
      </c>
      <c r="Q602" t="str">
        <f t="shared" si="86"/>
        <v>Match</v>
      </c>
      <c r="R602" t="str">
        <f t="shared" si="87"/>
        <v>Match</v>
      </c>
      <c r="S602" t="str">
        <f t="shared" si="88"/>
        <v>Match</v>
      </c>
    </row>
    <row r="603" spans="1:19" x14ac:dyDescent="0.25">
      <c r="A603" t="s">
        <v>569</v>
      </c>
      <c r="B603">
        <v>9500</v>
      </c>
      <c r="C603">
        <f t="shared" si="89"/>
        <v>95</v>
      </c>
      <c r="D603">
        <v>0</v>
      </c>
      <c r="E603">
        <v>0</v>
      </c>
      <c r="F603">
        <v>9500</v>
      </c>
      <c r="G603">
        <f t="shared" si="81"/>
        <v>95</v>
      </c>
      <c r="H603">
        <v>250</v>
      </c>
      <c r="I603" s="4">
        <f>Full_Data[[#This Row],[Selling Price]]/Full_Data[[#This Row],[Weight (g)]]</f>
        <v>0.38</v>
      </c>
      <c r="J603" t="b">
        <v>1</v>
      </c>
      <c r="K603">
        <v>250</v>
      </c>
      <c r="L603">
        <f t="shared" si="82"/>
        <v>0</v>
      </c>
      <c r="M603" t="str">
        <f t="shared" si="83"/>
        <v>Medium</v>
      </c>
      <c r="N603" t="str">
        <f t="shared" si="84"/>
        <v>0-5%</v>
      </c>
      <c r="O603" t="str">
        <f t="shared" si="85"/>
        <v>OK</v>
      </c>
      <c r="P603">
        <f>IFERROR(Full_Data!G603/Full_Data!H603,"Check data")</f>
        <v>0.38</v>
      </c>
      <c r="Q603" t="str">
        <f t="shared" si="86"/>
        <v>Match</v>
      </c>
      <c r="R603" t="str">
        <f t="shared" si="87"/>
        <v>Match</v>
      </c>
      <c r="S603" t="str">
        <f t="shared" si="88"/>
        <v>Match</v>
      </c>
    </row>
    <row r="604" spans="1:19" x14ac:dyDescent="0.25">
      <c r="A604" t="s">
        <v>570</v>
      </c>
      <c r="B604">
        <v>4900</v>
      </c>
      <c r="C604">
        <f t="shared" si="89"/>
        <v>49</v>
      </c>
      <c r="D604">
        <v>2</v>
      </c>
      <c r="E604">
        <v>0</v>
      </c>
      <c r="F604">
        <v>4800</v>
      </c>
      <c r="G604">
        <f t="shared" si="81"/>
        <v>48</v>
      </c>
      <c r="H604">
        <v>200</v>
      </c>
      <c r="I604" s="4">
        <f>Full_Data[[#This Row],[Selling Price]]/Full_Data[[#This Row],[Weight (g)]]</f>
        <v>0.24</v>
      </c>
      <c r="J604" t="b">
        <v>1</v>
      </c>
      <c r="K604">
        <v>200</v>
      </c>
      <c r="L604">
        <f t="shared" si="82"/>
        <v>1</v>
      </c>
      <c r="M604" t="str">
        <f t="shared" si="83"/>
        <v>Low</v>
      </c>
      <c r="N604" t="str">
        <f t="shared" si="84"/>
        <v>0-5%</v>
      </c>
      <c r="O604" t="str">
        <f t="shared" si="85"/>
        <v>OK</v>
      </c>
      <c r="P604">
        <f>IFERROR(Full_Data!G604/Full_Data!H604,"Check data")</f>
        <v>0.24</v>
      </c>
      <c r="Q604" t="str">
        <f t="shared" si="86"/>
        <v>Match</v>
      </c>
      <c r="R604" t="str">
        <f t="shared" si="87"/>
        <v>Mismatch</v>
      </c>
      <c r="S604" t="str">
        <f t="shared" si="88"/>
        <v>Match</v>
      </c>
    </row>
    <row r="605" spans="1:19" x14ac:dyDescent="0.25">
      <c r="A605" t="s">
        <v>571</v>
      </c>
      <c r="B605">
        <v>10200</v>
      </c>
      <c r="C605">
        <f t="shared" si="89"/>
        <v>102</v>
      </c>
      <c r="D605">
        <v>7</v>
      </c>
      <c r="E605">
        <v>0</v>
      </c>
      <c r="F605">
        <v>9400</v>
      </c>
      <c r="G605">
        <f t="shared" si="81"/>
        <v>94</v>
      </c>
      <c r="H605">
        <v>1000</v>
      </c>
      <c r="I605" s="4">
        <f>Full_Data[[#This Row],[Selling Price]]/Full_Data[[#This Row],[Weight (g)]]</f>
        <v>9.4E-2</v>
      </c>
      <c r="J605" t="b">
        <v>1</v>
      </c>
      <c r="K605">
        <v>1</v>
      </c>
      <c r="L605">
        <f t="shared" si="82"/>
        <v>8</v>
      </c>
      <c r="M605" t="str">
        <f t="shared" si="83"/>
        <v>Medium</v>
      </c>
      <c r="N605" t="str">
        <f t="shared" si="84"/>
        <v>6-10%</v>
      </c>
      <c r="O605" t="str">
        <f t="shared" si="85"/>
        <v>OK</v>
      </c>
      <c r="P605">
        <f>IFERROR(Full_Data!G605/Full_Data!H605,"Check data")</f>
        <v>9.4E-2</v>
      </c>
      <c r="Q605" t="str">
        <f t="shared" si="86"/>
        <v>Match</v>
      </c>
      <c r="R605" t="str">
        <f t="shared" si="87"/>
        <v>Mismatch</v>
      </c>
      <c r="S605" t="str">
        <f t="shared" si="88"/>
        <v>Mismatch</v>
      </c>
    </row>
    <row r="606" spans="1:19" x14ac:dyDescent="0.25">
      <c r="A606" t="s">
        <v>572</v>
      </c>
      <c r="B606">
        <v>7200</v>
      </c>
      <c r="C606">
        <f t="shared" si="89"/>
        <v>72</v>
      </c>
      <c r="D606">
        <v>0</v>
      </c>
      <c r="E606">
        <v>0</v>
      </c>
      <c r="F606">
        <v>7200</v>
      </c>
      <c r="G606">
        <f t="shared" si="81"/>
        <v>72</v>
      </c>
      <c r="H606">
        <v>280</v>
      </c>
      <c r="I606" s="4">
        <f>Full_Data[[#This Row],[Selling Price]]/Full_Data[[#This Row],[Weight (g)]]</f>
        <v>0.25714285714285712</v>
      </c>
      <c r="J606" t="b">
        <v>1</v>
      </c>
      <c r="K606">
        <v>280</v>
      </c>
      <c r="L606">
        <f t="shared" si="82"/>
        <v>0</v>
      </c>
      <c r="M606" t="str">
        <f t="shared" si="83"/>
        <v>Medium</v>
      </c>
      <c r="N606" t="str">
        <f t="shared" si="84"/>
        <v>0-5%</v>
      </c>
      <c r="O606" t="str">
        <f t="shared" si="85"/>
        <v>OK</v>
      </c>
      <c r="P606">
        <f>IFERROR(Full_Data!G606/Full_Data!H606,"Check data")</f>
        <v>0.25714285714285712</v>
      </c>
      <c r="Q606" t="str">
        <f t="shared" si="86"/>
        <v>Match</v>
      </c>
      <c r="R606" t="str">
        <f t="shared" si="87"/>
        <v>Match</v>
      </c>
      <c r="S606" t="str">
        <f t="shared" si="88"/>
        <v>Match</v>
      </c>
    </row>
    <row r="607" spans="1:19" x14ac:dyDescent="0.25">
      <c r="A607" t="s">
        <v>573</v>
      </c>
      <c r="B607">
        <v>15000</v>
      </c>
      <c r="C607">
        <f t="shared" si="89"/>
        <v>150</v>
      </c>
      <c r="D607">
        <v>4</v>
      </c>
      <c r="E607">
        <v>0</v>
      </c>
      <c r="F607">
        <v>14300</v>
      </c>
      <c r="G607">
        <f t="shared" si="81"/>
        <v>143</v>
      </c>
      <c r="H607">
        <v>250</v>
      </c>
      <c r="I607" s="4">
        <f>Full_Data[[#This Row],[Selling Price]]/Full_Data[[#This Row],[Weight (g)]]</f>
        <v>0.57199999999999995</v>
      </c>
      <c r="J607" t="b">
        <v>1</v>
      </c>
      <c r="K607">
        <v>250</v>
      </c>
      <c r="L607">
        <f t="shared" si="82"/>
        <v>7</v>
      </c>
      <c r="M607" t="str">
        <f t="shared" si="83"/>
        <v>Medium</v>
      </c>
      <c r="N607" t="str">
        <f t="shared" si="84"/>
        <v>0-5%</v>
      </c>
      <c r="O607" t="str">
        <f t="shared" si="85"/>
        <v>OK</v>
      </c>
      <c r="P607">
        <f>IFERROR(Full_Data!G607/Full_Data!H607,"Check data")</f>
        <v>0.57199999999999995</v>
      </c>
      <c r="Q607" t="str">
        <f t="shared" si="86"/>
        <v>Match</v>
      </c>
      <c r="R607" t="str">
        <f t="shared" si="87"/>
        <v>Mismatch</v>
      </c>
      <c r="S607" t="str">
        <f t="shared" si="88"/>
        <v>Mismatch</v>
      </c>
    </row>
    <row r="608" spans="1:19" x14ac:dyDescent="0.25">
      <c r="A608" t="s">
        <v>574</v>
      </c>
      <c r="B608">
        <v>12000</v>
      </c>
      <c r="C608">
        <f t="shared" si="89"/>
        <v>120</v>
      </c>
      <c r="D608">
        <v>0</v>
      </c>
      <c r="E608">
        <v>0</v>
      </c>
      <c r="F608">
        <v>12000</v>
      </c>
      <c r="G608">
        <f t="shared" si="81"/>
        <v>120</v>
      </c>
      <c r="H608">
        <v>1</v>
      </c>
      <c r="I608" s="4">
        <f>Full_Data[[#This Row],[Selling Price]]/Full_Data[[#This Row],[Weight (g)]]</f>
        <v>120</v>
      </c>
      <c r="J608" t="b">
        <v>1</v>
      </c>
      <c r="K608">
        <v>0</v>
      </c>
      <c r="L608">
        <f t="shared" si="82"/>
        <v>0</v>
      </c>
      <c r="M608" t="str">
        <f t="shared" si="83"/>
        <v>Medium</v>
      </c>
      <c r="N608" t="str">
        <f t="shared" si="84"/>
        <v>0-5%</v>
      </c>
      <c r="O608" t="str">
        <f t="shared" si="85"/>
        <v>OK</v>
      </c>
      <c r="P608">
        <f>IFERROR(Full_Data!G608/Full_Data!H608,"Check data")</f>
        <v>120</v>
      </c>
      <c r="Q608" t="str">
        <f t="shared" si="86"/>
        <v>Match</v>
      </c>
      <c r="R608" t="str">
        <f t="shared" si="87"/>
        <v>Match</v>
      </c>
      <c r="S608" t="str">
        <f t="shared" si="88"/>
        <v>Match</v>
      </c>
    </row>
    <row r="609" spans="1:19" x14ac:dyDescent="0.25">
      <c r="A609" t="s">
        <v>575</v>
      </c>
      <c r="B609">
        <v>2500</v>
      </c>
      <c r="C609">
        <f t="shared" si="89"/>
        <v>25</v>
      </c>
      <c r="D609">
        <v>0</v>
      </c>
      <c r="E609">
        <v>4</v>
      </c>
      <c r="F609">
        <v>2500</v>
      </c>
      <c r="G609">
        <f t="shared" si="81"/>
        <v>25</v>
      </c>
      <c r="H609">
        <v>500</v>
      </c>
      <c r="I609" s="4">
        <f>Full_Data[[#This Row],[Selling Price]]/Full_Data[[#This Row],[Weight (g)]]</f>
        <v>0.05</v>
      </c>
      <c r="J609" t="b">
        <v>0</v>
      </c>
      <c r="K609">
        <v>500</v>
      </c>
      <c r="L609">
        <f t="shared" si="82"/>
        <v>0</v>
      </c>
      <c r="M609" t="str">
        <f t="shared" si="83"/>
        <v>Low</v>
      </c>
      <c r="N609" t="str">
        <f t="shared" si="84"/>
        <v>0-5%</v>
      </c>
      <c r="O609" t="str">
        <f t="shared" si="85"/>
        <v>OK</v>
      </c>
      <c r="P609">
        <f>IFERROR(Full_Data!G609/Full_Data!H609,"Check data")</f>
        <v>0.05</v>
      </c>
      <c r="Q609" t="str">
        <f t="shared" si="86"/>
        <v>Match</v>
      </c>
      <c r="R609" t="str">
        <f t="shared" si="87"/>
        <v>Match</v>
      </c>
      <c r="S609" t="str">
        <f t="shared" si="88"/>
        <v>Match</v>
      </c>
    </row>
    <row r="610" spans="1:19" x14ac:dyDescent="0.25">
      <c r="A610" t="s">
        <v>576</v>
      </c>
      <c r="B610">
        <v>3000</v>
      </c>
      <c r="C610">
        <f t="shared" si="89"/>
        <v>30</v>
      </c>
      <c r="D610">
        <v>3</v>
      </c>
      <c r="E610">
        <v>6</v>
      </c>
      <c r="F610">
        <v>2900</v>
      </c>
      <c r="G610">
        <f t="shared" si="81"/>
        <v>29</v>
      </c>
      <c r="H610">
        <v>400</v>
      </c>
      <c r="I610" s="4">
        <f>Full_Data[[#This Row],[Selling Price]]/Full_Data[[#This Row],[Weight (g)]]</f>
        <v>7.2499999999999995E-2</v>
      </c>
      <c r="J610" t="b">
        <v>0</v>
      </c>
      <c r="K610">
        <v>400</v>
      </c>
      <c r="L610">
        <f t="shared" si="82"/>
        <v>1</v>
      </c>
      <c r="M610" t="str">
        <f t="shared" si="83"/>
        <v>Low</v>
      </c>
      <c r="N610" t="str">
        <f t="shared" si="84"/>
        <v>0-5%</v>
      </c>
      <c r="O610" t="str">
        <f t="shared" si="85"/>
        <v>OK</v>
      </c>
      <c r="P610">
        <f>IFERROR(Full_Data!G610/Full_Data!H610,"Check data")</f>
        <v>7.2499999999999995E-2</v>
      </c>
      <c r="Q610" t="str">
        <f t="shared" si="86"/>
        <v>Match</v>
      </c>
      <c r="R610" t="str">
        <f t="shared" si="87"/>
        <v>Mismatch</v>
      </c>
      <c r="S610" t="str">
        <f t="shared" si="88"/>
        <v>Match</v>
      </c>
    </row>
    <row r="611" spans="1:19" x14ac:dyDescent="0.25">
      <c r="A611" t="s">
        <v>577</v>
      </c>
      <c r="B611">
        <v>3100</v>
      </c>
      <c r="C611">
        <f t="shared" si="89"/>
        <v>31</v>
      </c>
      <c r="D611">
        <v>0</v>
      </c>
      <c r="E611">
        <v>4</v>
      </c>
      <c r="F611">
        <v>3100</v>
      </c>
      <c r="G611">
        <f t="shared" si="81"/>
        <v>31</v>
      </c>
      <c r="H611">
        <v>500</v>
      </c>
      <c r="I611" s="4">
        <f>Full_Data[[#This Row],[Selling Price]]/Full_Data[[#This Row],[Weight (g)]]</f>
        <v>6.2E-2</v>
      </c>
      <c r="J611" t="b">
        <v>0</v>
      </c>
      <c r="K611">
        <v>500</v>
      </c>
      <c r="L611">
        <f t="shared" si="82"/>
        <v>0</v>
      </c>
      <c r="M611" t="str">
        <f t="shared" si="83"/>
        <v>Low</v>
      </c>
      <c r="N611" t="str">
        <f t="shared" si="84"/>
        <v>0-5%</v>
      </c>
      <c r="O611" t="str">
        <f t="shared" si="85"/>
        <v>OK</v>
      </c>
      <c r="P611">
        <f>IFERROR(Full_Data!G611/Full_Data!H611,"Check data")</f>
        <v>6.2E-2</v>
      </c>
      <c r="Q611" t="str">
        <f t="shared" si="86"/>
        <v>Match</v>
      </c>
      <c r="R611" t="str">
        <f t="shared" si="87"/>
        <v>Match</v>
      </c>
      <c r="S611" t="str">
        <f t="shared" si="88"/>
        <v>Match</v>
      </c>
    </row>
    <row r="612" spans="1:19" x14ac:dyDescent="0.25">
      <c r="A612" t="s">
        <v>578</v>
      </c>
      <c r="B612">
        <v>5000</v>
      </c>
      <c r="C612">
        <f t="shared" si="89"/>
        <v>50</v>
      </c>
      <c r="D612">
        <v>2</v>
      </c>
      <c r="E612">
        <v>6</v>
      </c>
      <c r="F612">
        <v>4900</v>
      </c>
      <c r="G612">
        <f t="shared" si="81"/>
        <v>49</v>
      </c>
      <c r="H612">
        <v>100</v>
      </c>
      <c r="I612" s="4">
        <f>Full_Data[[#This Row],[Selling Price]]/Full_Data[[#This Row],[Weight (g)]]</f>
        <v>0.49</v>
      </c>
      <c r="J612" t="b">
        <v>0</v>
      </c>
      <c r="K612">
        <v>100</v>
      </c>
      <c r="L612">
        <f t="shared" si="82"/>
        <v>1</v>
      </c>
      <c r="M612" t="str">
        <f t="shared" si="83"/>
        <v>Low</v>
      </c>
      <c r="N612" t="str">
        <f t="shared" si="84"/>
        <v>0-5%</v>
      </c>
      <c r="O612" t="str">
        <f t="shared" si="85"/>
        <v>OK</v>
      </c>
      <c r="P612">
        <f>IFERROR(Full_Data!G612/Full_Data!H612,"Check data")</f>
        <v>0.49</v>
      </c>
      <c r="Q612" t="str">
        <f t="shared" si="86"/>
        <v>Match</v>
      </c>
      <c r="R612" t="str">
        <f t="shared" si="87"/>
        <v>Match</v>
      </c>
      <c r="S612" t="str">
        <f t="shared" si="88"/>
        <v>Match</v>
      </c>
    </row>
    <row r="613" spans="1:19" x14ac:dyDescent="0.25">
      <c r="A613" t="s">
        <v>579</v>
      </c>
      <c r="B613">
        <v>3300</v>
      </c>
      <c r="C613">
        <f t="shared" si="89"/>
        <v>33</v>
      </c>
      <c r="D613">
        <v>0</v>
      </c>
      <c r="E613">
        <v>4</v>
      </c>
      <c r="F613">
        <v>3300</v>
      </c>
      <c r="G613">
        <f t="shared" si="81"/>
        <v>33</v>
      </c>
      <c r="H613">
        <v>350</v>
      </c>
      <c r="I613" s="4">
        <f>Full_Data[[#This Row],[Selling Price]]/Full_Data[[#This Row],[Weight (g)]]</f>
        <v>9.4285714285714292E-2</v>
      </c>
      <c r="J613" t="b">
        <v>0</v>
      </c>
      <c r="K613">
        <v>350</v>
      </c>
      <c r="L613">
        <f t="shared" si="82"/>
        <v>0</v>
      </c>
      <c r="M613" t="str">
        <f t="shared" si="83"/>
        <v>Low</v>
      </c>
      <c r="N613" t="str">
        <f t="shared" si="84"/>
        <v>0-5%</v>
      </c>
      <c r="O613" t="str">
        <f t="shared" si="85"/>
        <v>OK</v>
      </c>
      <c r="P613">
        <f>IFERROR(Full_Data!G613/Full_Data!H613,"Check data")</f>
        <v>9.4285714285714292E-2</v>
      </c>
      <c r="Q613" t="str">
        <f t="shared" si="86"/>
        <v>Match</v>
      </c>
      <c r="R613" t="str">
        <f t="shared" si="87"/>
        <v>Match</v>
      </c>
      <c r="S613" t="str">
        <f t="shared" si="88"/>
        <v>Match</v>
      </c>
    </row>
    <row r="614" spans="1:19" x14ac:dyDescent="0.25">
      <c r="A614" t="s">
        <v>580</v>
      </c>
      <c r="B614">
        <v>3500</v>
      </c>
      <c r="C614">
        <f t="shared" si="89"/>
        <v>35</v>
      </c>
      <c r="D614">
        <v>2</v>
      </c>
      <c r="E614">
        <v>6</v>
      </c>
      <c r="F614">
        <v>3400</v>
      </c>
      <c r="G614">
        <f t="shared" si="81"/>
        <v>34</v>
      </c>
      <c r="H614">
        <v>400</v>
      </c>
      <c r="I614" s="4">
        <f>Full_Data[[#This Row],[Selling Price]]/Full_Data[[#This Row],[Weight (g)]]</f>
        <v>8.5000000000000006E-2</v>
      </c>
      <c r="J614" t="b">
        <v>0</v>
      </c>
      <c r="K614">
        <v>400</v>
      </c>
      <c r="L614">
        <f t="shared" si="82"/>
        <v>1</v>
      </c>
      <c r="M614" t="str">
        <f t="shared" si="83"/>
        <v>Low</v>
      </c>
      <c r="N614" t="str">
        <f t="shared" si="84"/>
        <v>0-5%</v>
      </c>
      <c r="O614" t="str">
        <f t="shared" si="85"/>
        <v>OK</v>
      </c>
      <c r="P614">
        <f>IFERROR(Full_Data!G614/Full_Data!H614,"Check data")</f>
        <v>8.5000000000000006E-2</v>
      </c>
      <c r="Q614" t="str">
        <f t="shared" si="86"/>
        <v>Match</v>
      </c>
      <c r="R614" t="str">
        <f t="shared" si="87"/>
        <v>Mismatch</v>
      </c>
      <c r="S614" t="str">
        <f t="shared" si="88"/>
        <v>Mismatch</v>
      </c>
    </row>
    <row r="615" spans="1:19" x14ac:dyDescent="0.25">
      <c r="A615" t="s">
        <v>581</v>
      </c>
      <c r="B615">
        <v>4500</v>
      </c>
      <c r="C615">
        <f t="shared" si="89"/>
        <v>45</v>
      </c>
      <c r="D615">
        <v>0</v>
      </c>
      <c r="E615">
        <v>4</v>
      </c>
      <c r="F615">
        <v>4500</v>
      </c>
      <c r="G615">
        <f t="shared" si="81"/>
        <v>45</v>
      </c>
      <c r="H615">
        <v>450</v>
      </c>
      <c r="I615" s="4">
        <f>Full_Data[[#This Row],[Selling Price]]/Full_Data[[#This Row],[Weight (g)]]</f>
        <v>0.1</v>
      </c>
      <c r="J615" t="b">
        <v>0</v>
      </c>
      <c r="K615">
        <v>450</v>
      </c>
      <c r="L615">
        <f t="shared" si="82"/>
        <v>0</v>
      </c>
      <c r="M615" t="str">
        <f t="shared" si="83"/>
        <v>Low</v>
      </c>
      <c r="N615" t="str">
        <f t="shared" si="84"/>
        <v>0-5%</v>
      </c>
      <c r="O615" t="str">
        <f t="shared" si="85"/>
        <v>OK</v>
      </c>
      <c r="P615">
        <f>IFERROR(Full_Data!G615/Full_Data!H615,"Check data")</f>
        <v>0.1</v>
      </c>
      <c r="Q615" t="str">
        <f t="shared" si="86"/>
        <v>Match</v>
      </c>
      <c r="R615" t="str">
        <f t="shared" si="87"/>
        <v>Match</v>
      </c>
      <c r="S615" t="str">
        <f t="shared" si="88"/>
        <v>Match</v>
      </c>
    </row>
    <row r="616" spans="1:19" x14ac:dyDescent="0.25">
      <c r="A616" t="s">
        <v>582</v>
      </c>
      <c r="B616">
        <v>4000</v>
      </c>
      <c r="C616">
        <f t="shared" si="89"/>
        <v>40</v>
      </c>
      <c r="D616">
        <v>0</v>
      </c>
      <c r="E616">
        <v>4</v>
      </c>
      <c r="F616">
        <v>4000</v>
      </c>
      <c r="G616">
        <f t="shared" si="81"/>
        <v>40</v>
      </c>
      <c r="H616">
        <v>450</v>
      </c>
      <c r="I616" s="4">
        <f>Full_Data[[#This Row],[Selling Price]]/Full_Data[[#This Row],[Weight (g)]]</f>
        <v>8.8888888888888892E-2</v>
      </c>
      <c r="J616" t="b">
        <v>0</v>
      </c>
      <c r="K616">
        <v>450</v>
      </c>
      <c r="L616">
        <f t="shared" si="82"/>
        <v>0</v>
      </c>
      <c r="M616" t="str">
        <f t="shared" si="83"/>
        <v>Low</v>
      </c>
      <c r="N616" t="str">
        <f t="shared" si="84"/>
        <v>0-5%</v>
      </c>
      <c r="O616" t="str">
        <f t="shared" si="85"/>
        <v>OK</v>
      </c>
      <c r="P616">
        <f>IFERROR(Full_Data!G616/Full_Data!H616,"Check data")</f>
        <v>8.8888888888888892E-2</v>
      </c>
      <c r="Q616" t="str">
        <f t="shared" si="86"/>
        <v>Match</v>
      </c>
      <c r="R616" t="str">
        <f t="shared" si="87"/>
        <v>Match</v>
      </c>
      <c r="S616" t="str">
        <f t="shared" si="88"/>
        <v>Match</v>
      </c>
    </row>
    <row r="617" spans="1:19" x14ac:dyDescent="0.25">
      <c r="A617" t="s">
        <v>583</v>
      </c>
      <c r="B617">
        <v>8900</v>
      </c>
      <c r="C617">
        <f t="shared" si="89"/>
        <v>89</v>
      </c>
      <c r="D617">
        <v>8</v>
      </c>
      <c r="E617">
        <v>6</v>
      </c>
      <c r="F617">
        <v>8100</v>
      </c>
      <c r="G617">
        <f t="shared" si="81"/>
        <v>81</v>
      </c>
      <c r="H617">
        <v>200</v>
      </c>
      <c r="I617" s="4">
        <f>Full_Data[[#This Row],[Selling Price]]/Full_Data[[#This Row],[Weight (g)]]</f>
        <v>0.40500000000000003</v>
      </c>
      <c r="J617" t="b">
        <v>0</v>
      </c>
      <c r="K617">
        <v>200</v>
      </c>
      <c r="L617">
        <f t="shared" si="82"/>
        <v>8</v>
      </c>
      <c r="M617" t="str">
        <f t="shared" si="83"/>
        <v>Medium</v>
      </c>
      <c r="N617" t="str">
        <f t="shared" si="84"/>
        <v>6-10%</v>
      </c>
      <c r="O617" t="str">
        <f t="shared" si="85"/>
        <v>OK</v>
      </c>
      <c r="P617">
        <f>IFERROR(Full_Data!G617/Full_Data!H617,"Check data")</f>
        <v>0.40500000000000003</v>
      </c>
      <c r="Q617" t="str">
        <f t="shared" si="86"/>
        <v>Match</v>
      </c>
      <c r="R617" t="str">
        <f t="shared" si="87"/>
        <v>Mismatch</v>
      </c>
      <c r="S617" t="str">
        <f t="shared" si="88"/>
        <v>Mismatch</v>
      </c>
    </row>
    <row r="618" spans="1:19" x14ac:dyDescent="0.25">
      <c r="A618" t="s">
        <v>584</v>
      </c>
      <c r="B618">
        <v>10600</v>
      </c>
      <c r="C618">
        <f t="shared" si="89"/>
        <v>106</v>
      </c>
      <c r="D618">
        <v>4</v>
      </c>
      <c r="E618">
        <v>6</v>
      </c>
      <c r="F618">
        <v>10100</v>
      </c>
      <c r="G618">
        <f t="shared" si="81"/>
        <v>101</v>
      </c>
      <c r="H618">
        <v>200</v>
      </c>
      <c r="I618" s="4">
        <f>Full_Data[[#This Row],[Selling Price]]/Full_Data[[#This Row],[Weight (g)]]</f>
        <v>0.505</v>
      </c>
      <c r="J618" t="b">
        <v>0</v>
      </c>
      <c r="K618">
        <v>200</v>
      </c>
      <c r="L618">
        <f t="shared" si="82"/>
        <v>5</v>
      </c>
      <c r="M618" t="str">
        <f t="shared" si="83"/>
        <v>Medium</v>
      </c>
      <c r="N618" t="str">
        <f t="shared" si="84"/>
        <v>0-5%</v>
      </c>
      <c r="O618" t="str">
        <f t="shared" si="85"/>
        <v>OK</v>
      </c>
      <c r="P618">
        <f>IFERROR(Full_Data!G618/Full_Data!H618,"Check data")</f>
        <v>0.505</v>
      </c>
      <c r="Q618" t="str">
        <f t="shared" si="86"/>
        <v>Match</v>
      </c>
      <c r="R618" t="str">
        <f t="shared" si="87"/>
        <v>Mismatch</v>
      </c>
      <c r="S618" t="str">
        <f t="shared" si="88"/>
        <v>Mismatch</v>
      </c>
    </row>
    <row r="619" spans="1:19" x14ac:dyDescent="0.25">
      <c r="A619" t="s">
        <v>585</v>
      </c>
      <c r="B619">
        <v>2200</v>
      </c>
      <c r="C619">
        <f t="shared" si="89"/>
        <v>22</v>
      </c>
      <c r="D619">
        <v>0</v>
      </c>
      <c r="E619">
        <v>4</v>
      </c>
      <c r="F619">
        <v>2200</v>
      </c>
      <c r="G619">
        <f t="shared" si="81"/>
        <v>22</v>
      </c>
      <c r="H619">
        <v>250</v>
      </c>
      <c r="I619" s="4">
        <f>Full_Data[[#This Row],[Selling Price]]/Full_Data[[#This Row],[Weight (g)]]</f>
        <v>8.7999999999999995E-2</v>
      </c>
      <c r="J619" t="b">
        <v>0</v>
      </c>
      <c r="K619">
        <v>250</v>
      </c>
      <c r="L619">
        <f t="shared" si="82"/>
        <v>0</v>
      </c>
      <c r="M619" t="str">
        <f t="shared" si="83"/>
        <v>Low</v>
      </c>
      <c r="N619" t="str">
        <f t="shared" si="84"/>
        <v>0-5%</v>
      </c>
      <c r="O619" t="str">
        <f t="shared" si="85"/>
        <v>OK</v>
      </c>
      <c r="P619">
        <f>IFERROR(Full_Data!G619/Full_Data!H619,"Check data")</f>
        <v>8.7999999999999995E-2</v>
      </c>
      <c r="Q619" t="str">
        <f t="shared" si="86"/>
        <v>Match</v>
      </c>
      <c r="R619" t="str">
        <f t="shared" si="87"/>
        <v>Match</v>
      </c>
      <c r="S619" t="str">
        <f t="shared" si="88"/>
        <v>Match</v>
      </c>
    </row>
    <row r="620" spans="1:19" x14ac:dyDescent="0.25">
      <c r="A620" t="s">
        <v>578</v>
      </c>
      <c r="B620">
        <v>24500</v>
      </c>
      <c r="C620">
        <f t="shared" si="89"/>
        <v>245</v>
      </c>
      <c r="D620">
        <v>2</v>
      </c>
      <c r="E620">
        <v>6</v>
      </c>
      <c r="F620">
        <v>24000</v>
      </c>
      <c r="G620">
        <f t="shared" si="81"/>
        <v>240</v>
      </c>
      <c r="H620">
        <v>500</v>
      </c>
      <c r="I620" s="4">
        <f>Full_Data[[#This Row],[Selling Price]]/Full_Data[[#This Row],[Weight (g)]]</f>
        <v>0.48</v>
      </c>
      <c r="J620" t="b">
        <v>0</v>
      </c>
      <c r="K620">
        <v>500</v>
      </c>
      <c r="L620">
        <f t="shared" si="82"/>
        <v>5</v>
      </c>
      <c r="M620" t="str">
        <f t="shared" si="83"/>
        <v>High</v>
      </c>
      <c r="N620" t="str">
        <f t="shared" si="84"/>
        <v>0-5%</v>
      </c>
      <c r="O620" t="str">
        <f t="shared" si="85"/>
        <v>OK</v>
      </c>
      <c r="P620">
        <f>IFERROR(Full_Data!G620/Full_Data!H620,"Check data")</f>
        <v>0.48</v>
      </c>
      <c r="Q620" t="str">
        <f t="shared" si="86"/>
        <v>Match</v>
      </c>
      <c r="R620" t="str">
        <f t="shared" si="87"/>
        <v>Mismatch</v>
      </c>
      <c r="S620" t="str">
        <f t="shared" si="88"/>
        <v>Match</v>
      </c>
    </row>
    <row r="621" spans="1:19" x14ac:dyDescent="0.25">
      <c r="A621" t="s">
        <v>586</v>
      </c>
      <c r="B621">
        <v>3500</v>
      </c>
      <c r="C621">
        <f t="shared" si="89"/>
        <v>35</v>
      </c>
      <c r="D621">
        <v>2</v>
      </c>
      <c r="E621">
        <v>6</v>
      </c>
      <c r="F621">
        <v>3400</v>
      </c>
      <c r="G621">
        <f t="shared" si="81"/>
        <v>34</v>
      </c>
      <c r="H621">
        <v>200</v>
      </c>
      <c r="I621" s="4">
        <f>Full_Data[[#This Row],[Selling Price]]/Full_Data[[#This Row],[Weight (g)]]</f>
        <v>0.17</v>
      </c>
      <c r="J621" t="b">
        <v>0</v>
      </c>
      <c r="K621">
        <v>200</v>
      </c>
      <c r="L621">
        <f t="shared" si="82"/>
        <v>1</v>
      </c>
      <c r="M621" t="str">
        <f t="shared" si="83"/>
        <v>Low</v>
      </c>
      <c r="N621" t="str">
        <f t="shared" si="84"/>
        <v>0-5%</v>
      </c>
      <c r="O621" t="str">
        <f t="shared" si="85"/>
        <v>OK</v>
      </c>
      <c r="P621">
        <f>IFERROR(Full_Data!G621/Full_Data!H621,"Check data")</f>
        <v>0.17</v>
      </c>
      <c r="Q621" t="str">
        <f t="shared" si="86"/>
        <v>Match</v>
      </c>
      <c r="R621" t="str">
        <f t="shared" si="87"/>
        <v>Mismatch</v>
      </c>
      <c r="S621" t="str">
        <f t="shared" si="88"/>
        <v>Mismatch</v>
      </c>
    </row>
    <row r="622" spans="1:19" x14ac:dyDescent="0.25">
      <c r="A622" t="s">
        <v>587</v>
      </c>
      <c r="B622">
        <v>1500</v>
      </c>
      <c r="C622">
        <f t="shared" si="89"/>
        <v>15</v>
      </c>
      <c r="D622">
        <v>0</v>
      </c>
      <c r="E622">
        <v>4</v>
      </c>
      <c r="F622">
        <v>1500</v>
      </c>
      <c r="G622">
        <f t="shared" si="81"/>
        <v>15</v>
      </c>
      <c r="H622">
        <v>100</v>
      </c>
      <c r="I622" s="4">
        <f>Full_Data[[#This Row],[Selling Price]]/Full_Data[[#This Row],[Weight (g)]]</f>
        <v>0.15</v>
      </c>
      <c r="J622" t="b">
        <v>0</v>
      </c>
      <c r="K622">
        <v>100</v>
      </c>
      <c r="L622">
        <f t="shared" si="82"/>
        <v>0</v>
      </c>
      <c r="M622" t="str">
        <f t="shared" si="83"/>
        <v>Low</v>
      </c>
      <c r="N622" t="str">
        <f t="shared" si="84"/>
        <v>0-5%</v>
      </c>
      <c r="O622" t="str">
        <f t="shared" si="85"/>
        <v>OK</v>
      </c>
      <c r="P622">
        <f>IFERROR(Full_Data!G622/Full_Data!H622,"Check data")</f>
        <v>0.15</v>
      </c>
      <c r="Q622" t="str">
        <f t="shared" si="86"/>
        <v>Match</v>
      </c>
      <c r="R622" t="str">
        <f t="shared" si="87"/>
        <v>Match</v>
      </c>
      <c r="S622" t="str">
        <f t="shared" si="88"/>
        <v>Match</v>
      </c>
    </row>
    <row r="623" spans="1:19" x14ac:dyDescent="0.25">
      <c r="A623" t="s">
        <v>588</v>
      </c>
      <c r="B623">
        <v>7500</v>
      </c>
      <c r="C623">
        <f t="shared" si="89"/>
        <v>75</v>
      </c>
      <c r="D623">
        <v>2</v>
      </c>
      <c r="E623">
        <v>6</v>
      </c>
      <c r="F623">
        <v>7300</v>
      </c>
      <c r="G623">
        <f t="shared" si="81"/>
        <v>73</v>
      </c>
      <c r="H623">
        <v>200</v>
      </c>
      <c r="I623" s="4">
        <f>Full_Data[[#This Row],[Selling Price]]/Full_Data[[#This Row],[Weight (g)]]</f>
        <v>0.36499999999999999</v>
      </c>
      <c r="J623" t="b">
        <v>0</v>
      </c>
      <c r="K623">
        <v>200</v>
      </c>
      <c r="L623">
        <f t="shared" si="82"/>
        <v>2</v>
      </c>
      <c r="M623" t="str">
        <f t="shared" si="83"/>
        <v>Medium</v>
      </c>
      <c r="N623" t="str">
        <f t="shared" si="84"/>
        <v>0-5%</v>
      </c>
      <c r="O623" t="str">
        <f t="shared" si="85"/>
        <v>OK</v>
      </c>
      <c r="P623">
        <f>IFERROR(Full_Data!G623/Full_Data!H623,"Check data")</f>
        <v>0.36499999999999999</v>
      </c>
      <c r="Q623" t="str">
        <f t="shared" si="86"/>
        <v>Match</v>
      </c>
      <c r="R623" t="str">
        <f t="shared" si="87"/>
        <v>Mismatch</v>
      </c>
      <c r="S623" t="str">
        <f t="shared" si="88"/>
        <v>Mismatch</v>
      </c>
    </row>
    <row r="624" spans="1:19" x14ac:dyDescent="0.25">
      <c r="A624" t="s">
        <v>589</v>
      </c>
      <c r="B624">
        <v>10500</v>
      </c>
      <c r="C624">
        <f t="shared" si="89"/>
        <v>105</v>
      </c>
      <c r="D624">
        <v>5</v>
      </c>
      <c r="E624">
        <v>6</v>
      </c>
      <c r="F624">
        <v>9900</v>
      </c>
      <c r="G624">
        <f t="shared" si="81"/>
        <v>99</v>
      </c>
      <c r="H624">
        <v>200</v>
      </c>
      <c r="I624" s="4">
        <f>Full_Data[[#This Row],[Selling Price]]/Full_Data[[#This Row],[Weight (g)]]</f>
        <v>0.495</v>
      </c>
      <c r="J624" t="b">
        <v>0</v>
      </c>
      <c r="K624">
        <v>200</v>
      </c>
      <c r="L624">
        <f t="shared" si="82"/>
        <v>6</v>
      </c>
      <c r="M624" t="str">
        <f t="shared" si="83"/>
        <v>Medium</v>
      </c>
      <c r="N624" t="str">
        <f t="shared" si="84"/>
        <v>0-5%</v>
      </c>
      <c r="O624" t="str">
        <f t="shared" si="85"/>
        <v>OK</v>
      </c>
      <c r="P624">
        <f>IFERROR(Full_Data!G624/Full_Data!H624,"Check data")</f>
        <v>0.495</v>
      </c>
      <c r="Q624" t="str">
        <f t="shared" si="86"/>
        <v>Match</v>
      </c>
      <c r="R624" t="str">
        <f t="shared" si="87"/>
        <v>Mismatch</v>
      </c>
      <c r="S624" t="str">
        <f t="shared" si="88"/>
        <v>Mismatch</v>
      </c>
    </row>
    <row r="625" spans="1:19" x14ac:dyDescent="0.25">
      <c r="A625" t="s">
        <v>590</v>
      </c>
      <c r="B625">
        <v>1700</v>
      </c>
      <c r="C625">
        <f t="shared" si="89"/>
        <v>17</v>
      </c>
      <c r="D625">
        <v>0</v>
      </c>
      <c r="E625">
        <v>3</v>
      </c>
      <c r="F625">
        <v>1700</v>
      </c>
      <c r="G625">
        <f t="shared" si="81"/>
        <v>17</v>
      </c>
      <c r="H625">
        <v>100</v>
      </c>
      <c r="I625" s="4">
        <f>Full_Data[[#This Row],[Selling Price]]/Full_Data[[#This Row],[Weight (g)]]</f>
        <v>0.17</v>
      </c>
      <c r="J625" t="b">
        <v>0</v>
      </c>
      <c r="K625">
        <v>100</v>
      </c>
      <c r="L625">
        <f t="shared" si="82"/>
        <v>0</v>
      </c>
      <c r="M625" t="str">
        <f t="shared" si="83"/>
        <v>Low</v>
      </c>
      <c r="N625" t="str">
        <f t="shared" si="84"/>
        <v>0-5%</v>
      </c>
      <c r="O625" t="str">
        <f t="shared" si="85"/>
        <v>OK</v>
      </c>
      <c r="P625">
        <f>IFERROR(Full_Data!G625/Full_Data!H625,"Check data")</f>
        <v>0.17</v>
      </c>
      <c r="Q625" t="str">
        <f t="shared" si="86"/>
        <v>Match</v>
      </c>
      <c r="R625" t="str">
        <f t="shared" si="87"/>
        <v>Match</v>
      </c>
      <c r="S625" t="str">
        <f t="shared" si="88"/>
        <v>Match</v>
      </c>
    </row>
    <row r="626" spans="1:19" x14ac:dyDescent="0.25">
      <c r="A626" t="s">
        <v>591</v>
      </c>
      <c r="B626">
        <v>12200</v>
      </c>
      <c r="C626">
        <f t="shared" si="89"/>
        <v>122</v>
      </c>
      <c r="D626">
        <v>1</v>
      </c>
      <c r="E626">
        <v>6</v>
      </c>
      <c r="F626">
        <v>12000</v>
      </c>
      <c r="G626">
        <f t="shared" si="81"/>
        <v>120</v>
      </c>
      <c r="H626">
        <v>200</v>
      </c>
      <c r="I626" s="4">
        <f>Full_Data[[#This Row],[Selling Price]]/Full_Data[[#This Row],[Weight (g)]]</f>
        <v>0.6</v>
      </c>
      <c r="J626" t="b">
        <v>0</v>
      </c>
      <c r="K626">
        <v>200</v>
      </c>
      <c r="L626">
        <f t="shared" si="82"/>
        <v>2</v>
      </c>
      <c r="M626" t="str">
        <f t="shared" si="83"/>
        <v>Medium</v>
      </c>
      <c r="N626" t="str">
        <f t="shared" si="84"/>
        <v>0-5%</v>
      </c>
      <c r="O626" t="str">
        <f t="shared" si="85"/>
        <v>OK</v>
      </c>
      <c r="P626">
        <f>IFERROR(Full_Data!G626/Full_Data!H626,"Check data")</f>
        <v>0.6</v>
      </c>
      <c r="Q626" t="str">
        <f t="shared" si="86"/>
        <v>Match</v>
      </c>
      <c r="R626" t="str">
        <f t="shared" si="87"/>
        <v>Mismatch</v>
      </c>
      <c r="S626" t="str">
        <f t="shared" si="88"/>
        <v>Mismatch</v>
      </c>
    </row>
    <row r="627" spans="1:19" x14ac:dyDescent="0.25">
      <c r="A627" t="s">
        <v>592</v>
      </c>
      <c r="B627">
        <v>6000</v>
      </c>
      <c r="C627">
        <f t="shared" si="89"/>
        <v>60</v>
      </c>
      <c r="D627">
        <v>0</v>
      </c>
      <c r="E627">
        <v>6</v>
      </c>
      <c r="F627">
        <v>6000</v>
      </c>
      <c r="G627">
        <f t="shared" si="81"/>
        <v>60</v>
      </c>
      <c r="H627">
        <v>400</v>
      </c>
      <c r="I627" s="4">
        <f>Full_Data[[#This Row],[Selling Price]]/Full_Data[[#This Row],[Weight (g)]]</f>
        <v>0.15</v>
      </c>
      <c r="J627" t="b">
        <v>0</v>
      </c>
      <c r="K627">
        <v>400</v>
      </c>
      <c r="L627">
        <f t="shared" si="82"/>
        <v>0</v>
      </c>
      <c r="M627" t="str">
        <f t="shared" si="83"/>
        <v>Medium</v>
      </c>
      <c r="N627" t="str">
        <f t="shared" si="84"/>
        <v>0-5%</v>
      </c>
      <c r="O627" t="str">
        <f t="shared" si="85"/>
        <v>OK</v>
      </c>
      <c r="P627">
        <f>IFERROR(Full_Data!G627/Full_Data!H627,"Check data")</f>
        <v>0.15</v>
      </c>
      <c r="Q627" t="str">
        <f t="shared" si="86"/>
        <v>Match</v>
      </c>
      <c r="R627" t="str">
        <f t="shared" si="87"/>
        <v>Match</v>
      </c>
      <c r="S627" t="str">
        <f t="shared" si="88"/>
        <v>Match</v>
      </c>
    </row>
    <row r="628" spans="1:19" x14ac:dyDescent="0.25">
      <c r="A628" t="s">
        <v>593</v>
      </c>
      <c r="B628">
        <v>3000</v>
      </c>
      <c r="C628">
        <f t="shared" si="89"/>
        <v>30</v>
      </c>
      <c r="D628">
        <v>0</v>
      </c>
      <c r="E628">
        <v>1</v>
      </c>
      <c r="F628">
        <v>3000</v>
      </c>
      <c r="G628">
        <f t="shared" si="81"/>
        <v>30</v>
      </c>
      <c r="H628">
        <v>400</v>
      </c>
      <c r="I628" s="4">
        <f>Full_Data[[#This Row],[Selling Price]]/Full_Data[[#This Row],[Weight (g)]]</f>
        <v>7.4999999999999997E-2</v>
      </c>
      <c r="J628" t="b">
        <v>0</v>
      </c>
      <c r="K628">
        <v>400</v>
      </c>
      <c r="L628">
        <f t="shared" si="82"/>
        <v>0</v>
      </c>
      <c r="M628" t="str">
        <f t="shared" si="83"/>
        <v>Low</v>
      </c>
      <c r="N628" t="str">
        <f t="shared" si="84"/>
        <v>0-5%</v>
      </c>
      <c r="O628" t="str">
        <f t="shared" si="85"/>
        <v>OK</v>
      </c>
      <c r="P628">
        <f>IFERROR(Full_Data!G628/Full_Data!H628,"Check data")</f>
        <v>7.4999999999999997E-2</v>
      </c>
      <c r="Q628" t="str">
        <f t="shared" si="86"/>
        <v>Match</v>
      </c>
      <c r="R628" t="str">
        <f t="shared" si="87"/>
        <v>Match</v>
      </c>
      <c r="S628" t="str">
        <f t="shared" si="88"/>
        <v>Match</v>
      </c>
    </row>
    <row r="629" spans="1:19" x14ac:dyDescent="0.25">
      <c r="A629" t="s">
        <v>594</v>
      </c>
      <c r="B629">
        <v>5500</v>
      </c>
      <c r="C629">
        <f t="shared" si="89"/>
        <v>55</v>
      </c>
      <c r="D629">
        <v>0</v>
      </c>
      <c r="E629">
        <v>4</v>
      </c>
      <c r="F629">
        <v>5500</v>
      </c>
      <c r="G629">
        <f t="shared" si="81"/>
        <v>55</v>
      </c>
      <c r="H629">
        <v>400</v>
      </c>
      <c r="I629" s="4">
        <f>Full_Data[[#This Row],[Selling Price]]/Full_Data[[#This Row],[Weight (g)]]</f>
        <v>0.13750000000000001</v>
      </c>
      <c r="J629" t="b">
        <v>0</v>
      </c>
      <c r="K629">
        <v>400</v>
      </c>
      <c r="L629">
        <f t="shared" si="82"/>
        <v>0</v>
      </c>
      <c r="M629" t="str">
        <f t="shared" si="83"/>
        <v>Medium</v>
      </c>
      <c r="N629" t="str">
        <f t="shared" si="84"/>
        <v>0-5%</v>
      </c>
      <c r="O629" t="str">
        <f t="shared" si="85"/>
        <v>OK</v>
      </c>
      <c r="P629">
        <f>IFERROR(Full_Data!G629/Full_Data!H629,"Check data")</f>
        <v>0.13750000000000001</v>
      </c>
      <c r="Q629" t="str">
        <f t="shared" si="86"/>
        <v>Match</v>
      </c>
      <c r="R629" t="str">
        <f t="shared" si="87"/>
        <v>Match</v>
      </c>
      <c r="S629" t="str">
        <f t="shared" si="88"/>
        <v>Match</v>
      </c>
    </row>
    <row r="630" spans="1:19" x14ac:dyDescent="0.25">
      <c r="A630" t="s">
        <v>595</v>
      </c>
      <c r="B630">
        <v>10600</v>
      </c>
      <c r="C630">
        <f t="shared" si="89"/>
        <v>106</v>
      </c>
      <c r="D630">
        <v>0</v>
      </c>
      <c r="E630">
        <v>6</v>
      </c>
      <c r="F630">
        <v>10600</v>
      </c>
      <c r="G630">
        <f t="shared" si="81"/>
        <v>106</v>
      </c>
      <c r="H630">
        <v>200</v>
      </c>
      <c r="I630" s="4">
        <f>Full_Data[[#This Row],[Selling Price]]/Full_Data[[#This Row],[Weight (g)]]</f>
        <v>0.53</v>
      </c>
      <c r="J630" t="b">
        <v>0</v>
      </c>
      <c r="K630">
        <v>200</v>
      </c>
      <c r="L630">
        <f t="shared" si="82"/>
        <v>0</v>
      </c>
      <c r="M630" t="str">
        <f t="shared" si="83"/>
        <v>Medium</v>
      </c>
      <c r="N630" t="str">
        <f t="shared" si="84"/>
        <v>0-5%</v>
      </c>
      <c r="O630" t="str">
        <f t="shared" si="85"/>
        <v>OK</v>
      </c>
      <c r="P630">
        <f>IFERROR(Full_Data!G630/Full_Data!H630,"Check data")</f>
        <v>0.53</v>
      </c>
      <c r="Q630" t="str">
        <f t="shared" si="86"/>
        <v>Match</v>
      </c>
      <c r="R630" t="str">
        <f t="shared" si="87"/>
        <v>Match</v>
      </c>
      <c r="S630" t="str">
        <f t="shared" si="88"/>
        <v>Match</v>
      </c>
    </row>
    <row r="631" spans="1:19" x14ac:dyDescent="0.25">
      <c r="A631" t="s">
        <v>586</v>
      </c>
      <c r="B631">
        <v>7000</v>
      </c>
      <c r="C631">
        <f t="shared" si="89"/>
        <v>70</v>
      </c>
      <c r="D631">
        <v>2</v>
      </c>
      <c r="E631">
        <v>6</v>
      </c>
      <c r="F631">
        <v>6800</v>
      </c>
      <c r="G631">
        <f t="shared" si="81"/>
        <v>68</v>
      </c>
      <c r="H631">
        <v>400</v>
      </c>
      <c r="I631" s="4">
        <f>Full_Data[[#This Row],[Selling Price]]/Full_Data[[#This Row],[Weight (g)]]</f>
        <v>0.17</v>
      </c>
      <c r="J631" t="b">
        <v>0</v>
      </c>
      <c r="K631">
        <v>400</v>
      </c>
      <c r="L631">
        <f t="shared" si="82"/>
        <v>2</v>
      </c>
      <c r="M631" t="str">
        <f t="shared" si="83"/>
        <v>Medium</v>
      </c>
      <c r="N631" t="str">
        <f t="shared" si="84"/>
        <v>0-5%</v>
      </c>
      <c r="O631" t="str">
        <f t="shared" si="85"/>
        <v>OK</v>
      </c>
      <c r="P631">
        <f>IFERROR(Full_Data!G631/Full_Data!H631,"Check data")</f>
        <v>0.17</v>
      </c>
      <c r="Q631" t="str">
        <f t="shared" si="86"/>
        <v>Match</v>
      </c>
      <c r="R631" t="str">
        <f t="shared" si="87"/>
        <v>Mismatch</v>
      </c>
      <c r="S631" t="str">
        <f t="shared" si="88"/>
        <v>Mismatch</v>
      </c>
    </row>
    <row r="632" spans="1:19" x14ac:dyDescent="0.25">
      <c r="A632" t="s">
        <v>596</v>
      </c>
      <c r="B632">
        <v>3000</v>
      </c>
      <c r="C632">
        <f t="shared" si="89"/>
        <v>30</v>
      </c>
      <c r="D632">
        <v>0</v>
      </c>
      <c r="E632">
        <v>6</v>
      </c>
      <c r="F632">
        <v>3000</v>
      </c>
      <c r="G632">
        <f t="shared" si="81"/>
        <v>30</v>
      </c>
      <c r="H632">
        <v>85</v>
      </c>
      <c r="I632" s="4">
        <f>Full_Data[[#This Row],[Selling Price]]/Full_Data[[#This Row],[Weight (g)]]</f>
        <v>0.35294117647058826</v>
      </c>
      <c r="J632" t="b">
        <v>0</v>
      </c>
      <c r="K632">
        <v>85</v>
      </c>
      <c r="L632">
        <f t="shared" si="82"/>
        <v>0</v>
      </c>
      <c r="M632" t="str">
        <f t="shared" si="83"/>
        <v>Low</v>
      </c>
      <c r="N632" t="str">
        <f t="shared" si="84"/>
        <v>0-5%</v>
      </c>
      <c r="O632" t="str">
        <f t="shared" si="85"/>
        <v>OK</v>
      </c>
      <c r="P632">
        <f>IFERROR(Full_Data!G632/Full_Data!H632,"Check data")</f>
        <v>0.35294117647058826</v>
      </c>
      <c r="Q632" t="str">
        <f t="shared" si="86"/>
        <v>Match</v>
      </c>
      <c r="R632" t="str">
        <f t="shared" si="87"/>
        <v>Match</v>
      </c>
      <c r="S632" t="str">
        <f t="shared" si="88"/>
        <v>Match</v>
      </c>
    </row>
    <row r="633" spans="1:19" x14ac:dyDescent="0.25">
      <c r="A633" t="s">
        <v>597</v>
      </c>
      <c r="B633">
        <v>24500</v>
      </c>
      <c r="C633">
        <f t="shared" si="89"/>
        <v>245</v>
      </c>
      <c r="D633">
        <v>2</v>
      </c>
      <c r="E633">
        <v>6</v>
      </c>
      <c r="F633">
        <v>24000</v>
      </c>
      <c r="G633">
        <f t="shared" si="81"/>
        <v>240</v>
      </c>
      <c r="H633">
        <v>500</v>
      </c>
      <c r="I633" s="4">
        <f>Full_Data[[#This Row],[Selling Price]]/Full_Data[[#This Row],[Weight (g)]]</f>
        <v>0.48</v>
      </c>
      <c r="J633" t="b">
        <v>0</v>
      </c>
      <c r="K633">
        <v>500</v>
      </c>
      <c r="L633">
        <f t="shared" si="82"/>
        <v>5</v>
      </c>
      <c r="M633" t="str">
        <f t="shared" si="83"/>
        <v>High</v>
      </c>
      <c r="N633" t="str">
        <f t="shared" si="84"/>
        <v>0-5%</v>
      </c>
      <c r="O633" t="str">
        <f t="shared" si="85"/>
        <v>OK</v>
      </c>
      <c r="P633">
        <f>IFERROR(Full_Data!G633/Full_Data!H633,"Check data")</f>
        <v>0.48</v>
      </c>
      <c r="Q633" t="str">
        <f t="shared" si="86"/>
        <v>Match</v>
      </c>
      <c r="R633" t="str">
        <f t="shared" si="87"/>
        <v>Mismatch</v>
      </c>
      <c r="S633" t="str">
        <f t="shared" si="88"/>
        <v>Match</v>
      </c>
    </row>
    <row r="634" spans="1:19" x14ac:dyDescent="0.25">
      <c r="A634" t="s">
        <v>598</v>
      </c>
      <c r="B634">
        <v>5900</v>
      </c>
      <c r="C634">
        <f t="shared" si="89"/>
        <v>59</v>
      </c>
      <c r="D634">
        <v>3</v>
      </c>
      <c r="E634">
        <v>6</v>
      </c>
      <c r="F634">
        <v>5700</v>
      </c>
      <c r="G634">
        <f t="shared" si="81"/>
        <v>57</v>
      </c>
      <c r="H634">
        <v>100</v>
      </c>
      <c r="I634" s="4">
        <f>Full_Data[[#This Row],[Selling Price]]/Full_Data[[#This Row],[Weight (g)]]</f>
        <v>0.56999999999999995</v>
      </c>
      <c r="J634" t="b">
        <v>0</v>
      </c>
      <c r="K634">
        <v>100</v>
      </c>
      <c r="L634">
        <f t="shared" si="82"/>
        <v>2</v>
      </c>
      <c r="M634" t="str">
        <f t="shared" si="83"/>
        <v>Medium</v>
      </c>
      <c r="N634" t="str">
        <f t="shared" si="84"/>
        <v>0-5%</v>
      </c>
      <c r="O634" t="str">
        <f t="shared" si="85"/>
        <v>OK</v>
      </c>
      <c r="P634">
        <f>IFERROR(Full_Data!G634/Full_Data!H634,"Check data")</f>
        <v>0.56999999999999995</v>
      </c>
      <c r="Q634" t="str">
        <f t="shared" si="86"/>
        <v>Match</v>
      </c>
      <c r="R634" t="str">
        <f t="shared" si="87"/>
        <v>Mismatch</v>
      </c>
      <c r="S634" t="str">
        <f t="shared" si="88"/>
        <v>Match</v>
      </c>
    </row>
    <row r="635" spans="1:19" x14ac:dyDescent="0.25">
      <c r="A635" t="s">
        <v>599</v>
      </c>
      <c r="B635">
        <v>4200</v>
      </c>
      <c r="C635">
        <f t="shared" si="89"/>
        <v>42</v>
      </c>
      <c r="D635">
        <v>0</v>
      </c>
      <c r="E635">
        <v>4</v>
      </c>
      <c r="F635">
        <v>4200</v>
      </c>
      <c r="G635">
        <f t="shared" si="81"/>
        <v>42</v>
      </c>
      <c r="H635">
        <v>400</v>
      </c>
      <c r="I635" s="4">
        <f>Full_Data[[#This Row],[Selling Price]]/Full_Data[[#This Row],[Weight (g)]]</f>
        <v>0.105</v>
      </c>
      <c r="J635" t="b">
        <v>0</v>
      </c>
      <c r="K635">
        <v>400</v>
      </c>
      <c r="L635">
        <f t="shared" si="82"/>
        <v>0</v>
      </c>
      <c r="M635" t="str">
        <f t="shared" si="83"/>
        <v>Low</v>
      </c>
      <c r="N635" t="str">
        <f t="shared" si="84"/>
        <v>0-5%</v>
      </c>
      <c r="O635" t="str">
        <f t="shared" si="85"/>
        <v>OK</v>
      </c>
      <c r="P635">
        <f>IFERROR(Full_Data!G635/Full_Data!H635,"Check data")</f>
        <v>0.105</v>
      </c>
      <c r="Q635" t="str">
        <f t="shared" si="86"/>
        <v>Match</v>
      </c>
      <c r="R635" t="str">
        <f t="shared" si="87"/>
        <v>Match</v>
      </c>
      <c r="S635" t="str">
        <f t="shared" si="88"/>
        <v>Match</v>
      </c>
    </row>
    <row r="636" spans="1:19" x14ac:dyDescent="0.25">
      <c r="A636" t="s">
        <v>600</v>
      </c>
      <c r="B636">
        <v>4500</v>
      </c>
      <c r="C636">
        <f t="shared" si="89"/>
        <v>45</v>
      </c>
      <c r="D636">
        <v>0</v>
      </c>
      <c r="E636">
        <v>6</v>
      </c>
      <c r="F636">
        <v>4500</v>
      </c>
      <c r="G636">
        <f t="shared" si="81"/>
        <v>45</v>
      </c>
      <c r="H636">
        <v>90</v>
      </c>
      <c r="I636" s="4">
        <f>Full_Data[[#This Row],[Selling Price]]/Full_Data[[#This Row],[Weight (g)]]</f>
        <v>0.5</v>
      </c>
      <c r="J636" t="b">
        <v>0</v>
      </c>
      <c r="K636">
        <v>90</v>
      </c>
      <c r="L636">
        <f t="shared" si="82"/>
        <v>0</v>
      </c>
      <c r="M636" t="str">
        <f t="shared" si="83"/>
        <v>Low</v>
      </c>
      <c r="N636" t="str">
        <f t="shared" si="84"/>
        <v>0-5%</v>
      </c>
      <c r="O636" t="str">
        <f t="shared" si="85"/>
        <v>OK</v>
      </c>
      <c r="P636">
        <f>IFERROR(Full_Data!G636/Full_Data!H636,"Check data")</f>
        <v>0.5</v>
      </c>
      <c r="Q636" t="str">
        <f t="shared" si="86"/>
        <v>Match</v>
      </c>
      <c r="R636" t="str">
        <f t="shared" si="87"/>
        <v>Match</v>
      </c>
      <c r="S636" t="str">
        <f t="shared" si="88"/>
        <v>Match</v>
      </c>
    </row>
    <row r="637" spans="1:19" x14ac:dyDescent="0.25">
      <c r="A637" t="s">
        <v>601</v>
      </c>
      <c r="B637">
        <v>3000</v>
      </c>
      <c r="C637">
        <f t="shared" si="89"/>
        <v>30</v>
      </c>
      <c r="D637">
        <v>0</v>
      </c>
      <c r="E637">
        <v>1</v>
      </c>
      <c r="F637">
        <v>3000</v>
      </c>
      <c r="G637">
        <f t="shared" si="81"/>
        <v>30</v>
      </c>
      <c r="H637">
        <v>150</v>
      </c>
      <c r="I637" s="4">
        <f>Full_Data[[#This Row],[Selling Price]]/Full_Data[[#This Row],[Weight (g)]]</f>
        <v>0.2</v>
      </c>
      <c r="J637" t="b">
        <v>0</v>
      </c>
      <c r="K637">
        <v>150</v>
      </c>
      <c r="L637">
        <f t="shared" si="82"/>
        <v>0</v>
      </c>
      <c r="M637" t="str">
        <f t="shared" si="83"/>
        <v>Low</v>
      </c>
      <c r="N637" t="str">
        <f t="shared" si="84"/>
        <v>0-5%</v>
      </c>
      <c r="O637" t="str">
        <f t="shared" si="85"/>
        <v>OK</v>
      </c>
      <c r="P637">
        <f>IFERROR(Full_Data!G637/Full_Data!H637,"Check data")</f>
        <v>0.2</v>
      </c>
      <c r="Q637" t="str">
        <f t="shared" si="86"/>
        <v>Match</v>
      </c>
      <c r="R637" t="str">
        <f t="shared" si="87"/>
        <v>Match</v>
      </c>
      <c r="S637" t="str">
        <f t="shared" si="88"/>
        <v>Match</v>
      </c>
    </row>
    <row r="638" spans="1:19" x14ac:dyDescent="0.25">
      <c r="A638" t="s">
        <v>602</v>
      </c>
      <c r="B638">
        <v>1800</v>
      </c>
      <c r="C638">
        <f t="shared" si="89"/>
        <v>18</v>
      </c>
      <c r="D638">
        <v>5</v>
      </c>
      <c r="E638">
        <v>6</v>
      </c>
      <c r="F638">
        <v>1700</v>
      </c>
      <c r="G638">
        <f t="shared" si="81"/>
        <v>17</v>
      </c>
      <c r="H638">
        <v>100</v>
      </c>
      <c r="I638" s="4">
        <f>Full_Data[[#This Row],[Selling Price]]/Full_Data[[#This Row],[Weight (g)]]</f>
        <v>0.17</v>
      </c>
      <c r="J638" t="b">
        <v>0</v>
      </c>
      <c r="K638">
        <v>100</v>
      </c>
      <c r="L638">
        <f t="shared" si="82"/>
        <v>1</v>
      </c>
      <c r="M638" t="str">
        <f t="shared" si="83"/>
        <v>Low</v>
      </c>
      <c r="N638" t="str">
        <f t="shared" si="84"/>
        <v>0-5%</v>
      </c>
      <c r="O638" t="str">
        <f t="shared" si="85"/>
        <v>OK</v>
      </c>
      <c r="P638">
        <f>IFERROR(Full_Data!G638/Full_Data!H638,"Check data")</f>
        <v>0.17</v>
      </c>
      <c r="Q638" t="str">
        <f t="shared" si="86"/>
        <v>Match</v>
      </c>
      <c r="R638" t="str">
        <f t="shared" si="87"/>
        <v>Mismatch</v>
      </c>
      <c r="S638" t="str">
        <f t="shared" si="88"/>
        <v>Mismatch</v>
      </c>
    </row>
    <row r="639" spans="1:19" x14ac:dyDescent="0.25">
      <c r="A639" t="s">
        <v>603</v>
      </c>
      <c r="B639">
        <v>7800</v>
      </c>
      <c r="C639">
        <f t="shared" si="89"/>
        <v>78</v>
      </c>
      <c r="D639">
        <v>3</v>
      </c>
      <c r="E639">
        <v>5</v>
      </c>
      <c r="F639">
        <v>7500</v>
      </c>
      <c r="G639">
        <f t="shared" si="81"/>
        <v>75</v>
      </c>
      <c r="H639">
        <v>400</v>
      </c>
      <c r="I639" s="4">
        <f>Full_Data[[#This Row],[Selling Price]]/Full_Data[[#This Row],[Weight (g)]]</f>
        <v>0.1875</v>
      </c>
      <c r="J639" t="b">
        <v>0</v>
      </c>
      <c r="K639">
        <v>400</v>
      </c>
      <c r="L639">
        <f t="shared" si="82"/>
        <v>3</v>
      </c>
      <c r="M639" t="str">
        <f t="shared" si="83"/>
        <v>Medium</v>
      </c>
      <c r="N639" t="str">
        <f t="shared" si="84"/>
        <v>0-5%</v>
      </c>
      <c r="O639" t="str">
        <f t="shared" si="85"/>
        <v>OK</v>
      </c>
      <c r="P639">
        <f>IFERROR(Full_Data!G639/Full_Data!H639,"Check data")</f>
        <v>0.1875</v>
      </c>
      <c r="Q639" t="str">
        <f t="shared" si="86"/>
        <v>Match</v>
      </c>
      <c r="R639" t="str">
        <f t="shared" si="87"/>
        <v>Mismatch</v>
      </c>
      <c r="S639" t="str">
        <f t="shared" si="88"/>
        <v>Mismatch</v>
      </c>
    </row>
    <row r="640" spans="1:19" x14ac:dyDescent="0.25">
      <c r="A640" t="s">
        <v>604</v>
      </c>
      <c r="B640">
        <v>6000</v>
      </c>
      <c r="C640">
        <f t="shared" si="89"/>
        <v>60</v>
      </c>
      <c r="D640">
        <v>5</v>
      </c>
      <c r="E640">
        <v>5</v>
      </c>
      <c r="F640">
        <v>5700</v>
      </c>
      <c r="G640">
        <f t="shared" si="81"/>
        <v>57</v>
      </c>
      <c r="H640">
        <v>200</v>
      </c>
      <c r="I640" s="4">
        <f>Full_Data[[#This Row],[Selling Price]]/Full_Data[[#This Row],[Weight (g)]]</f>
        <v>0.28499999999999998</v>
      </c>
      <c r="J640" t="b">
        <v>0</v>
      </c>
      <c r="K640">
        <v>200</v>
      </c>
      <c r="L640">
        <f t="shared" si="82"/>
        <v>3</v>
      </c>
      <c r="M640" t="str">
        <f t="shared" si="83"/>
        <v>Medium</v>
      </c>
      <c r="N640" t="str">
        <f t="shared" si="84"/>
        <v>0-5%</v>
      </c>
      <c r="O640" t="str">
        <f t="shared" si="85"/>
        <v>OK</v>
      </c>
      <c r="P640">
        <f>IFERROR(Full_Data!G640/Full_Data!H640,"Check data")</f>
        <v>0.28499999999999998</v>
      </c>
      <c r="Q640" t="str">
        <f t="shared" si="86"/>
        <v>Match</v>
      </c>
      <c r="R640" t="str">
        <f t="shared" si="87"/>
        <v>Match</v>
      </c>
      <c r="S640" t="str">
        <f t="shared" si="88"/>
        <v>Match</v>
      </c>
    </row>
    <row r="641" spans="1:19" x14ac:dyDescent="0.25">
      <c r="A641" t="s">
        <v>602</v>
      </c>
      <c r="B641">
        <v>8800</v>
      </c>
      <c r="C641">
        <f t="shared" si="89"/>
        <v>88</v>
      </c>
      <c r="D641">
        <v>2</v>
      </c>
      <c r="E641">
        <v>2</v>
      </c>
      <c r="F641">
        <v>8600</v>
      </c>
      <c r="G641">
        <f t="shared" si="81"/>
        <v>86</v>
      </c>
      <c r="H641">
        <v>500</v>
      </c>
      <c r="I641" s="4">
        <f>Full_Data[[#This Row],[Selling Price]]/Full_Data[[#This Row],[Weight (g)]]</f>
        <v>0.17199999999999999</v>
      </c>
      <c r="J641" t="b">
        <v>0</v>
      </c>
      <c r="K641">
        <v>500</v>
      </c>
      <c r="L641">
        <f t="shared" si="82"/>
        <v>2</v>
      </c>
      <c r="M641" t="str">
        <f t="shared" si="83"/>
        <v>Medium</v>
      </c>
      <c r="N641" t="str">
        <f t="shared" si="84"/>
        <v>0-5%</v>
      </c>
      <c r="O641" t="str">
        <f t="shared" si="85"/>
        <v>OK</v>
      </c>
      <c r="P641">
        <f>IFERROR(Full_Data!G641/Full_Data!H641,"Check data")</f>
        <v>0.17199999999999999</v>
      </c>
      <c r="Q641" t="str">
        <f t="shared" si="86"/>
        <v>Match</v>
      </c>
      <c r="R641" t="str">
        <f t="shared" si="87"/>
        <v>Mismatch</v>
      </c>
      <c r="S641" t="str">
        <f t="shared" si="88"/>
        <v>Match</v>
      </c>
    </row>
    <row r="642" spans="1:19" x14ac:dyDescent="0.25">
      <c r="A642" t="s">
        <v>605</v>
      </c>
      <c r="B642">
        <v>8500</v>
      </c>
      <c r="C642">
        <f t="shared" si="89"/>
        <v>85</v>
      </c>
      <c r="D642">
        <v>3</v>
      </c>
      <c r="E642">
        <v>6</v>
      </c>
      <c r="F642">
        <v>8200</v>
      </c>
      <c r="G642">
        <f t="shared" ref="G642:G705" si="90">F642/100</f>
        <v>82</v>
      </c>
      <c r="H642">
        <v>200</v>
      </c>
      <c r="I642" s="4">
        <f>Full_Data[[#This Row],[Selling Price]]/Full_Data[[#This Row],[Weight (g)]]</f>
        <v>0.41</v>
      </c>
      <c r="J642" t="b">
        <v>0</v>
      </c>
      <c r="K642">
        <v>200</v>
      </c>
      <c r="L642">
        <f t="shared" ref="L642:L705" si="91">C642-G642</f>
        <v>3</v>
      </c>
      <c r="M642" t="str">
        <f t="shared" ref="M642:M705" si="92">IF(G642&lt;50,"Low",IF(G642&lt;200,"Medium","High"))</f>
        <v>Medium</v>
      </c>
      <c r="N642" t="str">
        <f t="shared" ref="N642:N705" si="93">IF(D642&lt;=5,"0-5%",
IF(D642&lt;=10,"6-10%",
IF(D642&lt;=15,"11-15%",
IF(D642&lt;=20,"16-20%","21%+"))))</f>
        <v>0-5%</v>
      </c>
      <c r="O642" t="str">
        <f t="shared" ref="O642:O705" si="94">IF(AND(C642=0,G642=0),"Review: Zero MRP and selling price",IF(C642&lt;=0,"Review: Invalid MRP",IF(G642&lt;0,"Review: Negative selling price",IF(G642=0,"Review: Zero selling price",IF(H642&lt;=0,"Review: Invalid weight","OK")))))</f>
        <v>OK</v>
      </c>
      <c r="P642">
        <f>IFERROR(Full_Data!G642/Full_Data!H642,"Check data")</f>
        <v>0.41</v>
      </c>
      <c r="Q642" t="str">
        <f t="shared" ref="Q642:Q705" si="95">IF(OR(H642="",H642&lt;=0),"Invalid weight",IF(G642="","Missing selling price",IF(ROUND(G642/H642,2)=ROUND(I642,2),"Match","Mismatch")))</f>
        <v>Match</v>
      </c>
      <c r="R642" t="str">
        <f t="shared" ref="R642:R705" si="96">IF(OR(C642&lt;=0,G642=""),"Check data",IF(ROUND((C642-G642)/C642*100,2)=ROUND(D642,2),"Match","Mismatch"))</f>
        <v>Mismatch</v>
      </c>
      <c r="S642" t="str">
        <f t="shared" ref="S642:S705" si="97">IF(OR(C642&lt;=0,G642=""),"Check data",IF(ROUND((C642-G642)/C642*100,0)=D642,"Match","Mismatch"))</f>
        <v>Mismatch</v>
      </c>
    </row>
    <row r="643" spans="1:19" x14ac:dyDescent="0.25">
      <c r="A643" t="s">
        <v>606</v>
      </c>
      <c r="B643">
        <v>8500</v>
      </c>
      <c r="C643">
        <f t="shared" ref="C643:C706" si="98">B643/100</f>
        <v>85</v>
      </c>
      <c r="D643">
        <v>5</v>
      </c>
      <c r="E643">
        <v>6</v>
      </c>
      <c r="F643">
        <v>8000</v>
      </c>
      <c r="G643">
        <f t="shared" si="90"/>
        <v>80</v>
      </c>
      <c r="H643">
        <v>180</v>
      </c>
      <c r="I643" s="4">
        <f>Full_Data[[#This Row],[Selling Price]]/Full_Data[[#This Row],[Weight (g)]]</f>
        <v>0.44444444444444442</v>
      </c>
      <c r="J643" t="b">
        <v>0</v>
      </c>
      <c r="K643">
        <v>180</v>
      </c>
      <c r="L643">
        <f t="shared" si="91"/>
        <v>5</v>
      </c>
      <c r="M643" t="str">
        <f t="shared" si="92"/>
        <v>Medium</v>
      </c>
      <c r="N643" t="str">
        <f t="shared" si="93"/>
        <v>0-5%</v>
      </c>
      <c r="O643" t="str">
        <f t="shared" si="94"/>
        <v>OK</v>
      </c>
      <c r="P643">
        <f>IFERROR(Full_Data!G643/Full_Data!H643,"Check data")</f>
        <v>0.44444444444444442</v>
      </c>
      <c r="Q643" t="str">
        <f t="shared" si="95"/>
        <v>Match</v>
      </c>
      <c r="R643" t="str">
        <f t="shared" si="96"/>
        <v>Mismatch</v>
      </c>
      <c r="S643" t="str">
        <f t="shared" si="97"/>
        <v>Mismatch</v>
      </c>
    </row>
    <row r="644" spans="1:19" x14ac:dyDescent="0.25">
      <c r="A644" t="s">
        <v>607</v>
      </c>
      <c r="B644">
        <v>4000</v>
      </c>
      <c r="C644">
        <f t="shared" si="98"/>
        <v>40</v>
      </c>
      <c r="D644">
        <v>0</v>
      </c>
      <c r="E644">
        <v>1</v>
      </c>
      <c r="F644">
        <v>4000</v>
      </c>
      <c r="G644">
        <f t="shared" si="90"/>
        <v>40</v>
      </c>
      <c r="H644">
        <v>200</v>
      </c>
      <c r="I644" s="4">
        <f>Full_Data[[#This Row],[Selling Price]]/Full_Data[[#This Row],[Weight (g)]]</f>
        <v>0.2</v>
      </c>
      <c r="J644" t="b">
        <v>0</v>
      </c>
      <c r="K644">
        <v>200</v>
      </c>
      <c r="L644">
        <f t="shared" si="91"/>
        <v>0</v>
      </c>
      <c r="M644" t="str">
        <f t="shared" si="92"/>
        <v>Low</v>
      </c>
      <c r="N644" t="str">
        <f t="shared" si="93"/>
        <v>0-5%</v>
      </c>
      <c r="O644" t="str">
        <f t="shared" si="94"/>
        <v>OK</v>
      </c>
      <c r="P644">
        <f>IFERROR(Full_Data!G644/Full_Data!H644,"Check data")</f>
        <v>0.2</v>
      </c>
      <c r="Q644" t="str">
        <f t="shared" si="95"/>
        <v>Match</v>
      </c>
      <c r="R644" t="str">
        <f t="shared" si="96"/>
        <v>Match</v>
      </c>
      <c r="S644" t="str">
        <f t="shared" si="97"/>
        <v>Match</v>
      </c>
    </row>
    <row r="645" spans="1:19" x14ac:dyDescent="0.25">
      <c r="A645" t="s">
        <v>608</v>
      </c>
      <c r="B645">
        <v>36000</v>
      </c>
      <c r="C645">
        <f t="shared" si="98"/>
        <v>360</v>
      </c>
      <c r="D645">
        <v>0</v>
      </c>
      <c r="E645">
        <v>1</v>
      </c>
      <c r="F645">
        <v>35900</v>
      </c>
      <c r="G645">
        <f t="shared" si="90"/>
        <v>359</v>
      </c>
      <c r="H645">
        <v>750</v>
      </c>
      <c r="I645" s="4">
        <f>Full_Data[[#This Row],[Selling Price]]/Full_Data[[#This Row],[Weight (g)]]</f>
        <v>0.47866666666666668</v>
      </c>
      <c r="J645" t="b">
        <v>0</v>
      </c>
      <c r="K645">
        <v>750</v>
      </c>
      <c r="L645">
        <f t="shared" si="91"/>
        <v>1</v>
      </c>
      <c r="M645" t="str">
        <f t="shared" si="92"/>
        <v>High</v>
      </c>
      <c r="N645" t="str">
        <f t="shared" si="93"/>
        <v>0-5%</v>
      </c>
      <c r="O645" t="str">
        <f t="shared" si="94"/>
        <v>OK</v>
      </c>
      <c r="P645">
        <f>IFERROR(Full_Data!G645/Full_Data!H645,"Check data")</f>
        <v>0.47866666666666668</v>
      </c>
      <c r="Q645" t="str">
        <f t="shared" si="95"/>
        <v>Match</v>
      </c>
      <c r="R645" t="str">
        <f t="shared" si="96"/>
        <v>Mismatch</v>
      </c>
      <c r="S645" t="str">
        <f t="shared" si="97"/>
        <v>Match</v>
      </c>
    </row>
    <row r="646" spans="1:19" x14ac:dyDescent="0.25">
      <c r="A646" t="s">
        <v>609</v>
      </c>
      <c r="B646">
        <v>7200</v>
      </c>
      <c r="C646">
        <f t="shared" si="98"/>
        <v>72</v>
      </c>
      <c r="D646">
        <v>13</v>
      </c>
      <c r="E646">
        <v>3</v>
      </c>
      <c r="F646">
        <v>6200</v>
      </c>
      <c r="G646">
        <f t="shared" si="90"/>
        <v>62</v>
      </c>
      <c r="H646">
        <v>348</v>
      </c>
      <c r="I646" s="4">
        <f>Full_Data[[#This Row],[Selling Price]]/Full_Data[[#This Row],[Weight (g)]]</f>
        <v>0.17816091954022989</v>
      </c>
      <c r="J646" t="b">
        <v>0</v>
      </c>
      <c r="K646">
        <v>6</v>
      </c>
      <c r="L646">
        <f t="shared" si="91"/>
        <v>10</v>
      </c>
      <c r="M646" t="str">
        <f t="shared" si="92"/>
        <v>Medium</v>
      </c>
      <c r="N646" t="str">
        <f t="shared" si="93"/>
        <v>11-15%</v>
      </c>
      <c r="O646" t="str">
        <f t="shared" si="94"/>
        <v>OK</v>
      </c>
      <c r="P646">
        <f>IFERROR(Full_Data!G646/Full_Data!H646,"Check data")</f>
        <v>0.17816091954022989</v>
      </c>
      <c r="Q646" t="str">
        <f t="shared" si="95"/>
        <v>Match</v>
      </c>
      <c r="R646" t="str">
        <f t="shared" si="96"/>
        <v>Mismatch</v>
      </c>
      <c r="S646" t="str">
        <f t="shared" si="97"/>
        <v>Mismatch</v>
      </c>
    </row>
    <row r="647" spans="1:19" x14ac:dyDescent="0.25">
      <c r="A647" t="s">
        <v>610</v>
      </c>
      <c r="B647">
        <v>7500</v>
      </c>
      <c r="C647">
        <f t="shared" si="98"/>
        <v>75</v>
      </c>
      <c r="D647">
        <v>4</v>
      </c>
      <c r="E647">
        <v>1</v>
      </c>
      <c r="F647">
        <v>7200</v>
      </c>
      <c r="G647">
        <f t="shared" si="90"/>
        <v>72</v>
      </c>
      <c r="H647">
        <v>200</v>
      </c>
      <c r="I647" s="4">
        <f>Full_Data[[#This Row],[Selling Price]]/Full_Data[[#This Row],[Weight (g)]]</f>
        <v>0.36</v>
      </c>
      <c r="J647" t="b">
        <v>0</v>
      </c>
      <c r="K647">
        <v>200</v>
      </c>
      <c r="L647">
        <f t="shared" si="91"/>
        <v>3</v>
      </c>
      <c r="M647" t="str">
        <f t="shared" si="92"/>
        <v>Medium</v>
      </c>
      <c r="N647" t="str">
        <f t="shared" si="93"/>
        <v>0-5%</v>
      </c>
      <c r="O647" t="str">
        <f t="shared" si="94"/>
        <v>OK</v>
      </c>
      <c r="P647">
        <f>IFERROR(Full_Data!G647/Full_Data!H647,"Check data")</f>
        <v>0.36</v>
      </c>
      <c r="Q647" t="str">
        <f t="shared" si="95"/>
        <v>Match</v>
      </c>
      <c r="R647" t="str">
        <f t="shared" si="96"/>
        <v>Match</v>
      </c>
      <c r="S647" t="str">
        <f t="shared" si="97"/>
        <v>Match</v>
      </c>
    </row>
    <row r="648" spans="1:19" x14ac:dyDescent="0.25">
      <c r="A648" t="s">
        <v>611</v>
      </c>
      <c r="B648">
        <v>10900</v>
      </c>
      <c r="C648">
        <f t="shared" si="98"/>
        <v>109</v>
      </c>
      <c r="D648">
        <v>4</v>
      </c>
      <c r="E648">
        <v>6</v>
      </c>
      <c r="F648">
        <v>10400</v>
      </c>
      <c r="G648">
        <f t="shared" si="90"/>
        <v>104</v>
      </c>
      <c r="H648">
        <v>200</v>
      </c>
      <c r="I648" s="4">
        <f>Full_Data[[#This Row],[Selling Price]]/Full_Data[[#This Row],[Weight (g)]]</f>
        <v>0.52</v>
      </c>
      <c r="J648" t="b">
        <v>0</v>
      </c>
      <c r="K648">
        <v>200</v>
      </c>
      <c r="L648">
        <f t="shared" si="91"/>
        <v>5</v>
      </c>
      <c r="M648" t="str">
        <f t="shared" si="92"/>
        <v>Medium</v>
      </c>
      <c r="N648" t="str">
        <f t="shared" si="93"/>
        <v>0-5%</v>
      </c>
      <c r="O648" t="str">
        <f t="shared" si="94"/>
        <v>OK</v>
      </c>
      <c r="P648">
        <f>IFERROR(Full_Data!G648/Full_Data!H648,"Check data")</f>
        <v>0.52</v>
      </c>
      <c r="Q648" t="str">
        <f t="shared" si="95"/>
        <v>Match</v>
      </c>
      <c r="R648" t="str">
        <f t="shared" si="96"/>
        <v>Mismatch</v>
      </c>
      <c r="S648" t="str">
        <f t="shared" si="97"/>
        <v>Mismatch</v>
      </c>
    </row>
    <row r="649" spans="1:19" x14ac:dyDescent="0.25">
      <c r="A649" t="s">
        <v>612</v>
      </c>
      <c r="B649">
        <v>4000</v>
      </c>
      <c r="C649">
        <f t="shared" si="98"/>
        <v>40</v>
      </c>
      <c r="D649">
        <v>2</v>
      </c>
      <c r="E649">
        <v>5</v>
      </c>
      <c r="F649">
        <v>3900</v>
      </c>
      <c r="G649">
        <f t="shared" si="90"/>
        <v>39</v>
      </c>
      <c r="H649">
        <v>100</v>
      </c>
      <c r="I649" s="4">
        <f>Full_Data[[#This Row],[Selling Price]]/Full_Data[[#This Row],[Weight (g)]]</f>
        <v>0.39</v>
      </c>
      <c r="J649" t="b">
        <v>0</v>
      </c>
      <c r="K649">
        <v>100</v>
      </c>
      <c r="L649">
        <f t="shared" si="91"/>
        <v>1</v>
      </c>
      <c r="M649" t="str">
        <f t="shared" si="92"/>
        <v>Low</v>
      </c>
      <c r="N649" t="str">
        <f t="shared" si="93"/>
        <v>0-5%</v>
      </c>
      <c r="O649" t="str">
        <f t="shared" si="94"/>
        <v>OK</v>
      </c>
      <c r="P649">
        <f>IFERROR(Full_Data!G649/Full_Data!H649,"Check data")</f>
        <v>0.39</v>
      </c>
      <c r="Q649" t="str">
        <f t="shared" si="95"/>
        <v>Match</v>
      </c>
      <c r="R649" t="str">
        <f t="shared" si="96"/>
        <v>Mismatch</v>
      </c>
      <c r="S649" t="str">
        <f t="shared" si="97"/>
        <v>Mismatch</v>
      </c>
    </row>
    <row r="650" spans="1:19" x14ac:dyDescent="0.25">
      <c r="A650" t="s">
        <v>613</v>
      </c>
      <c r="B650">
        <v>14000</v>
      </c>
      <c r="C650">
        <f t="shared" si="98"/>
        <v>140</v>
      </c>
      <c r="D650">
        <v>5</v>
      </c>
      <c r="E650">
        <v>6</v>
      </c>
      <c r="F650">
        <v>13300</v>
      </c>
      <c r="G650">
        <f t="shared" si="90"/>
        <v>133</v>
      </c>
      <c r="H650">
        <v>200</v>
      </c>
      <c r="I650" s="4">
        <f>Full_Data[[#This Row],[Selling Price]]/Full_Data[[#This Row],[Weight (g)]]</f>
        <v>0.66500000000000004</v>
      </c>
      <c r="J650" t="b">
        <v>0</v>
      </c>
      <c r="K650">
        <v>200</v>
      </c>
      <c r="L650">
        <f t="shared" si="91"/>
        <v>7</v>
      </c>
      <c r="M650" t="str">
        <f t="shared" si="92"/>
        <v>Medium</v>
      </c>
      <c r="N650" t="str">
        <f t="shared" si="93"/>
        <v>0-5%</v>
      </c>
      <c r="O650" t="str">
        <f t="shared" si="94"/>
        <v>OK</v>
      </c>
      <c r="P650">
        <f>IFERROR(Full_Data!G650/Full_Data!H650,"Check data")</f>
        <v>0.66500000000000004</v>
      </c>
      <c r="Q650" t="str">
        <f t="shared" si="95"/>
        <v>Match</v>
      </c>
      <c r="R650" t="str">
        <f t="shared" si="96"/>
        <v>Match</v>
      </c>
      <c r="S650" t="str">
        <f t="shared" si="97"/>
        <v>Match</v>
      </c>
    </row>
    <row r="651" spans="1:19" x14ac:dyDescent="0.25">
      <c r="A651" t="s">
        <v>614</v>
      </c>
      <c r="B651">
        <v>27500</v>
      </c>
      <c r="C651">
        <f t="shared" si="98"/>
        <v>275</v>
      </c>
      <c r="D651">
        <v>50</v>
      </c>
      <c r="E651">
        <v>4</v>
      </c>
      <c r="F651">
        <v>13700</v>
      </c>
      <c r="G651">
        <f t="shared" si="90"/>
        <v>137</v>
      </c>
      <c r="H651">
        <v>200</v>
      </c>
      <c r="I651" s="4">
        <f>Full_Data[[#This Row],[Selling Price]]/Full_Data[[#This Row],[Weight (g)]]</f>
        <v>0.68500000000000005</v>
      </c>
      <c r="J651" t="b">
        <v>0</v>
      </c>
      <c r="K651">
        <v>200</v>
      </c>
      <c r="L651">
        <f t="shared" si="91"/>
        <v>138</v>
      </c>
      <c r="M651" t="str">
        <f t="shared" si="92"/>
        <v>Medium</v>
      </c>
      <c r="N651" t="str">
        <f t="shared" si="93"/>
        <v>21%+</v>
      </c>
      <c r="O651" t="str">
        <f t="shared" si="94"/>
        <v>OK</v>
      </c>
      <c r="P651">
        <f>IFERROR(Full_Data!G651/Full_Data!H651,"Check data")</f>
        <v>0.68500000000000005</v>
      </c>
      <c r="Q651" t="str">
        <f t="shared" si="95"/>
        <v>Match</v>
      </c>
      <c r="R651" t="str">
        <f t="shared" si="96"/>
        <v>Mismatch</v>
      </c>
      <c r="S651" t="str">
        <f t="shared" si="97"/>
        <v>Match</v>
      </c>
    </row>
    <row r="652" spans="1:19" x14ac:dyDescent="0.25">
      <c r="A652" t="s">
        <v>615</v>
      </c>
      <c r="B652">
        <v>10000</v>
      </c>
      <c r="C652">
        <f t="shared" si="98"/>
        <v>100</v>
      </c>
      <c r="D652">
        <v>5</v>
      </c>
      <c r="E652">
        <v>4</v>
      </c>
      <c r="F652">
        <v>9500</v>
      </c>
      <c r="G652">
        <f t="shared" si="90"/>
        <v>95</v>
      </c>
      <c r="H652">
        <v>100</v>
      </c>
      <c r="I652" s="4">
        <f>Full_Data[[#This Row],[Selling Price]]/Full_Data[[#This Row],[Weight (g)]]</f>
        <v>0.95</v>
      </c>
      <c r="J652" t="b">
        <v>0</v>
      </c>
      <c r="K652">
        <v>100</v>
      </c>
      <c r="L652">
        <f t="shared" si="91"/>
        <v>5</v>
      </c>
      <c r="M652" t="str">
        <f t="shared" si="92"/>
        <v>Medium</v>
      </c>
      <c r="N652" t="str">
        <f t="shared" si="93"/>
        <v>0-5%</v>
      </c>
      <c r="O652" t="str">
        <f t="shared" si="94"/>
        <v>OK</v>
      </c>
      <c r="P652">
        <f>IFERROR(Full_Data!G652/Full_Data!H652,"Check data")</f>
        <v>0.95</v>
      </c>
      <c r="Q652" t="str">
        <f t="shared" si="95"/>
        <v>Match</v>
      </c>
      <c r="R652" t="str">
        <f t="shared" si="96"/>
        <v>Match</v>
      </c>
      <c r="S652" t="str">
        <f t="shared" si="97"/>
        <v>Match</v>
      </c>
    </row>
    <row r="653" spans="1:19" x14ac:dyDescent="0.25">
      <c r="A653" t="s">
        <v>616</v>
      </c>
      <c r="B653">
        <v>7200</v>
      </c>
      <c r="C653">
        <f t="shared" si="98"/>
        <v>72</v>
      </c>
      <c r="D653">
        <v>13</v>
      </c>
      <c r="E653">
        <v>4</v>
      </c>
      <c r="F653">
        <v>6200</v>
      </c>
      <c r="G653">
        <f t="shared" si="90"/>
        <v>62</v>
      </c>
      <c r="H653">
        <v>348</v>
      </c>
      <c r="I653" s="4">
        <f>Full_Data[[#This Row],[Selling Price]]/Full_Data[[#This Row],[Weight (g)]]</f>
        <v>0.17816091954022989</v>
      </c>
      <c r="J653" t="b">
        <v>0</v>
      </c>
      <c r="K653">
        <v>6</v>
      </c>
      <c r="L653">
        <f t="shared" si="91"/>
        <v>10</v>
      </c>
      <c r="M653" t="str">
        <f t="shared" si="92"/>
        <v>Medium</v>
      </c>
      <c r="N653" t="str">
        <f t="shared" si="93"/>
        <v>11-15%</v>
      </c>
      <c r="O653" t="str">
        <f t="shared" si="94"/>
        <v>OK</v>
      </c>
      <c r="P653">
        <f>IFERROR(Full_Data!G653/Full_Data!H653,"Check data")</f>
        <v>0.17816091954022989</v>
      </c>
      <c r="Q653" t="str">
        <f t="shared" si="95"/>
        <v>Match</v>
      </c>
      <c r="R653" t="str">
        <f t="shared" si="96"/>
        <v>Mismatch</v>
      </c>
      <c r="S653" t="str">
        <f t="shared" si="97"/>
        <v>Mismatch</v>
      </c>
    </row>
    <row r="654" spans="1:19" x14ac:dyDescent="0.25">
      <c r="A654" t="s">
        <v>617</v>
      </c>
      <c r="B654">
        <v>10000</v>
      </c>
      <c r="C654">
        <f t="shared" si="98"/>
        <v>100</v>
      </c>
      <c r="D654">
        <v>5</v>
      </c>
      <c r="E654">
        <v>6</v>
      </c>
      <c r="F654">
        <v>9500</v>
      </c>
      <c r="G654">
        <f t="shared" si="90"/>
        <v>95</v>
      </c>
      <c r="H654">
        <v>160</v>
      </c>
      <c r="I654" s="4">
        <f>Full_Data[[#This Row],[Selling Price]]/Full_Data[[#This Row],[Weight (g)]]</f>
        <v>0.59375</v>
      </c>
      <c r="J654" t="b">
        <v>0</v>
      </c>
      <c r="K654">
        <v>160</v>
      </c>
      <c r="L654">
        <f t="shared" si="91"/>
        <v>5</v>
      </c>
      <c r="M654" t="str">
        <f t="shared" si="92"/>
        <v>Medium</v>
      </c>
      <c r="N654" t="str">
        <f t="shared" si="93"/>
        <v>0-5%</v>
      </c>
      <c r="O654" t="str">
        <f t="shared" si="94"/>
        <v>OK</v>
      </c>
      <c r="P654">
        <f>IFERROR(Full_Data!G654/Full_Data!H654,"Check data")</f>
        <v>0.59375</v>
      </c>
      <c r="Q654" t="str">
        <f t="shared" si="95"/>
        <v>Match</v>
      </c>
      <c r="R654" t="str">
        <f t="shared" si="96"/>
        <v>Match</v>
      </c>
      <c r="S654" t="str">
        <f t="shared" si="97"/>
        <v>Match</v>
      </c>
    </row>
    <row r="655" spans="1:19" x14ac:dyDescent="0.25">
      <c r="A655" t="s">
        <v>618</v>
      </c>
      <c r="B655">
        <v>20000</v>
      </c>
      <c r="C655">
        <f t="shared" si="98"/>
        <v>200</v>
      </c>
      <c r="D655">
        <v>0</v>
      </c>
      <c r="E655">
        <v>1</v>
      </c>
      <c r="F655">
        <v>20000</v>
      </c>
      <c r="G655">
        <f t="shared" si="90"/>
        <v>200</v>
      </c>
      <c r="H655">
        <v>400</v>
      </c>
      <c r="I655" s="4">
        <f>Full_Data[[#This Row],[Selling Price]]/Full_Data[[#This Row],[Weight (g)]]</f>
        <v>0.5</v>
      </c>
      <c r="J655" t="b">
        <v>0</v>
      </c>
      <c r="K655">
        <v>400</v>
      </c>
      <c r="L655">
        <f t="shared" si="91"/>
        <v>0</v>
      </c>
      <c r="M655" t="str">
        <f t="shared" si="92"/>
        <v>High</v>
      </c>
      <c r="N655" t="str">
        <f t="shared" si="93"/>
        <v>0-5%</v>
      </c>
      <c r="O655" t="str">
        <f t="shared" si="94"/>
        <v>OK</v>
      </c>
      <c r="P655">
        <f>IFERROR(Full_Data!G655/Full_Data!H655,"Check data")</f>
        <v>0.5</v>
      </c>
      <c r="Q655" t="str">
        <f t="shared" si="95"/>
        <v>Match</v>
      </c>
      <c r="R655" t="str">
        <f t="shared" si="96"/>
        <v>Match</v>
      </c>
      <c r="S655" t="str">
        <f t="shared" si="97"/>
        <v>Match</v>
      </c>
    </row>
    <row r="656" spans="1:19" x14ac:dyDescent="0.25">
      <c r="A656" t="s">
        <v>619</v>
      </c>
      <c r="B656">
        <v>24500</v>
      </c>
      <c r="C656">
        <f t="shared" si="98"/>
        <v>245</v>
      </c>
      <c r="D656">
        <v>2</v>
      </c>
      <c r="E656">
        <v>6</v>
      </c>
      <c r="F656">
        <v>23800</v>
      </c>
      <c r="G656">
        <f t="shared" si="90"/>
        <v>238</v>
      </c>
      <c r="H656">
        <v>500</v>
      </c>
      <c r="I656" s="4">
        <f>Full_Data[[#This Row],[Selling Price]]/Full_Data[[#This Row],[Weight (g)]]</f>
        <v>0.47599999999999998</v>
      </c>
      <c r="J656" t="b">
        <v>0</v>
      </c>
      <c r="K656">
        <v>500</v>
      </c>
      <c r="L656">
        <f t="shared" si="91"/>
        <v>7</v>
      </c>
      <c r="M656" t="str">
        <f t="shared" si="92"/>
        <v>High</v>
      </c>
      <c r="N656" t="str">
        <f t="shared" si="93"/>
        <v>0-5%</v>
      </c>
      <c r="O656" t="str">
        <f t="shared" si="94"/>
        <v>OK</v>
      </c>
      <c r="P656">
        <f>IFERROR(Full_Data!G656/Full_Data!H656,"Check data")</f>
        <v>0.47599999999999998</v>
      </c>
      <c r="Q656" t="str">
        <f t="shared" si="95"/>
        <v>Match</v>
      </c>
      <c r="R656" t="str">
        <f t="shared" si="96"/>
        <v>Mismatch</v>
      </c>
      <c r="S656" t="str">
        <f t="shared" si="97"/>
        <v>Mismatch</v>
      </c>
    </row>
    <row r="657" spans="1:19" x14ac:dyDescent="0.25">
      <c r="A657" t="s">
        <v>620</v>
      </c>
      <c r="B657">
        <v>23500</v>
      </c>
      <c r="C657">
        <f t="shared" si="98"/>
        <v>235</v>
      </c>
      <c r="D657">
        <v>25</v>
      </c>
      <c r="E657">
        <v>6</v>
      </c>
      <c r="F657">
        <v>17400</v>
      </c>
      <c r="G657">
        <f t="shared" si="90"/>
        <v>174</v>
      </c>
      <c r="H657">
        <v>325</v>
      </c>
      <c r="I657" s="4">
        <f>Full_Data[[#This Row],[Selling Price]]/Full_Data[[#This Row],[Weight (g)]]</f>
        <v>0.53538461538461535</v>
      </c>
      <c r="J657" t="b">
        <v>0</v>
      </c>
      <c r="K657">
        <v>325</v>
      </c>
      <c r="L657">
        <f t="shared" si="91"/>
        <v>61</v>
      </c>
      <c r="M657" t="str">
        <f t="shared" si="92"/>
        <v>Medium</v>
      </c>
      <c r="N657" t="str">
        <f t="shared" si="93"/>
        <v>21%+</v>
      </c>
      <c r="O657" t="str">
        <f t="shared" si="94"/>
        <v>OK</v>
      </c>
      <c r="P657">
        <f>IFERROR(Full_Data!G657/Full_Data!H657,"Check data")</f>
        <v>0.53538461538461535</v>
      </c>
      <c r="Q657" t="str">
        <f t="shared" si="95"/>
        <v>Match</v>
      </c>
      <c r="R657" t="str">
        <f t="shared" si="96"/>
        <v>Mismatch</v>
      </c>
      <c r="S657" t="str">
        <f t="shared" si="97"/>
        <v>Mismatch</v>
      </c>
    </row>
    <row r="658" spans="1:19" x14ac:dyDescent="0.25">
      <c r="A658" t="s">
        <v>621</v>
      </c>
      <c r="B658">
        <v>15500</v>
      </c>
      <c r="C658">
        <f t="shared" si="98"/>
        <v>155</v>
      </c>
      <c r="D658">
        <v>0</v>
      </c>
      <c r="E658">
        <v>2</v>
      </c>
      <c r="F658">
        <v>15500</v>
      </c>
      <c r="G658">
        <f t="shared" si="90"/>
        <v>155</v>
      </c>
      <c r="H658">
        <v>200</v>
      </c>
      <c r="I658" s="4">
        <f>Full_Data[[#This Row],[Selling Price]]/Full_Data[[#This Row],[Weight (g)]]</f>
        <v>0.77500000000000002</v>
      </c>
      <c r="J658" t="b">
        <v>0</v>
      </c>
      <c r="K658">
        <v>200</v>
      </c>
      <c r="L658">
        <f t="shared" si="91"/>
        <v>0</v>
      </c>
      <c r="M658" t="str">
        <f t="shared" si="92"/>
        <v>Medium</v>
      </c>
      <c r="N658" t="str">
        <f t="shared" si="93"/>
        <v>0-5%</v>
      </c>
      <c r="O658" t="str">
        <f t="shared" si="94"/>
        <v>OK</v>
      </c>
      <c r="P658">
        <f>IFERROR(Full_Data!G658/Full_Data!H658,"Check data")</f>
        <v>0.77500000000000002</v>
      </c>
      <c r="Q658" t="str">
        <f t="shared" si="95"/>
        <v>Match</v>
      </c>
      <c r="R658" t="str">
        <f t="shared" si="96"/>
        <v>Match</v>
      </c>
      <c r="S658" t="str">
        <f t="shared" si="97"/>
        <v>Match</v>
      </c>
    </row>
    <row r="659" spans="1:19" x14ac:dyDescent="0.25">
      <c r="A659" t="s">
        <v>622</v>
      </c>
      <c r="B659">
        <v>30000</v>
      </c>
      <c r="C659">
        <f t="shared" si="98"/>
        <v>300</v>
      </c>
      <c r="D659">
        <v>33</v>
      </c>
      <c r="E659">
        <v>4</v>
      </c>
      <c r="F659">
        <v>19900</v>
      </c>
      <c r="G659">
        <f t="shared" si="90"/>
        <v>199</v>
      </c>
      <c r="H659">
        <v>1000</v>
      </c>
      <c r="I659" s="4">
        <f>Full_Data[[#This Row],[Selling Price]]/Full_Data[[#This Row],[Weight (g)]]</f>
        <v>0.19900000000000001</v>
      </c>
      <c r="J659" t="b">
        <v>0</v>
      </c>
      <c r="K659">
        <v>1</v>
      </c>
      <c r="L659">
        <f t="shared" si="91"/>
        <v>101</v>
      </c>
      <c r="M659" t="str">
        <f t="shared" si="92"/>
        <v>Medium</v>
      </c>
      <c r="N659" t="str">
        <f t="shared" si="93"/>
        <v>21%+</v>
      </c>
      <c r="O659" t="str">
        <f t="shared" si="94"/>
        <v>OK</v>
      </c>
      <c r="P659">
        <f>IFERROR(Full_Data!G659/Full_Data!H659,"Check data")</f>
        <v>0.19900000000000001</v>
      </c>
      <c r="Q659" t="str">
        <f t="shared" si="95"/>
        <v>Match</v>
      </c>
      <c r="R659" t="str">
        <f t="shared" si="96"/>
        <v>Mismatch</v>
      </c>
      <c r="S659" t="str">
        <f t="shared" si="97"/>
        <v>Mismatch</v>
      </c>
    </row>
    <row r="660" spans="1:19" x14ac:dyDescent="0.25">
      <c r="A660" t="s">
        <v>623</v>
      </c>
      <c r="B660">
        <v>9900</v>
      </c>
      <c r="C660">
        <f t="shared" si="98"/>
        <v>99</v>
      </c>
      <c r="D660">
        <v>5</v>
      </c>
      <c r="E660">
        <v>6</v>
      </c>
      <c r="F660">
        <v>9400</v>
      </c>
      <c r="G660">
        <f t="shared" si="90"/>
        <v>94</v>
      </c>
      <c r="H660">
        <v>200</v>
      </c>
      <c r="I660" s="4">
        <f>Full_Data[[#This Row],[Selling Price]]/Full_Data[[#This Row],[Weight (g)]]</f>
        <v>0.47</v>
      </c>
      <c r="J660" t="b">
        <v>0</v>
      </c>
      <c r="K660">
        <v>200</v>
      </c>
      <c r="L660">
        <f t="shared" si="91"/>
        <v>5</v>
      </c>
      <c r="M660" t="str">
        <f t="shared" si="92"/>
        <v>Medium</v>
      </c>
      <c r="N660" t="str">
        <f t="shared" si="93"/>
        <v>0-5%</v>
      </c>
      <c r="O660" t="str">
        <f t="shared" si="94"/>
        <v>OK</v>
      </c>
      <c r="P660">
        <f>IFERROR(Full_Data!G660/Full_Data!H660,"Check data")</f>
        <v>0.47</v>
      </c>
      <c r="Q660" t="str">
        <f t="shared" si="95"/>
        <v>Match</v>
      </c>
      <c r="R660" t="str">
        <f t="shared" si="96"/>
        <v>Mismatch</v>
      </c>
      <c r="S660" t="str">
        <f t="shared" si="97"/>
        <v>Match</v>
      </c>
    </row>
    <row r="661" spans="1:19" x14ac:dyDescent="0.25">
      <c r="A661" t="s">
        <v>624</v>
      </c>
      <c r="B661">
        <v>7000</v>
      </c>
      <c r="C661">
        <f t="shared" si="98"/>
        <v>70</v>
      </c>
      <c r="D661">
        <v>0</v>
      </c>
      <c r="E661">
        <v>4</v>
      </c>
      <c r="F661">
        <v>7000</v>
      </c>
      <c r="G661">
        <f t="shared" si="90"/>
        <v>70</v>
      </c>
      <c r="H661">
        <v>200</v>
      </c>
      <c r="I661" s="4">
        <f>Full_Data[[#This Row],[Selling Price]]/Full_Data[[#This Row],[Weight (g)]]</f>
        <v>0.35</v>
      </c>
      <c r="J661" t="b">
        <v>0</v>
      </c>
      <c r="K661">
        <v>200</v>
      </c>
      <c r="L661">
        <f t="shared" si="91"/>
        <v>0</v>
      </c>
      <c r="M661" t="str">
        <f t="shared" si="92"/>
        <v>Medium</v>
      </c>
      <c r="N661" t="str">
        <f t="shared" si="93"/>
        <v>0-5%</v>
      </c>
      <c r="O661" t="str">
        <f t="shared" si="94"/>
        <v>OK</v>
      </c>
      <c r="P661">
        <f>IFERROR(Full_Data!G661/Full_Data!H661,"Check data")</f>
        <v>0.35</v>
      </c>
      <c r="Q661" t="str">
        <f t="shared" si="95"/>
        <v>Match</v>
      </c>
      <c r="R661" t="str">
        <f t="shared" si="96"/>
        <v>Match</v>
      </c>
      <c r="S661" t="str">
        <f t="shared" si="97"/>
        <v>Match</v>
      </c>
    </row>
    <row r="662" spans="1:19" x14ac:dyDescent="0.25">
      <c r="A662" t="s">
        <v>625</v>
      </c>
      <c r="B662">
        <v>7500</v>
      </c>
      <c r="C662">
        <f t="shared" si="98"/>
        <v>75</v>
      </c>
      <c r="D662">
        <v>0</v>
      </c>
      <c r="E662">
        <v>5</v>
      </c>
      <c r="F662">
        <v>7500</v>
      </c>
      <c r="G662">
        <f t="shared" si="90"/>
        <v>75</v>
      </c>
      <c r="H662">
        <v>200</v>
      </c>
      <c r="I662" s="4">
        <f>Full_Data[[#This Row],[Selling Price]]/Full_Data[[#This Row],[Weight (g)]]</f>
        <v>0.375</v>
      </c>
      <c r="J662" t="b">
        <v>0</v>
      </c>
      <c r="K662">
        <v>200</v>
      </c>
      <c r="L662">
        <f t="shared" si="91"/>
        <v>0</v>
      </c>
      <c r="M662" t="str">
        <f t="shared" si="92"/>
        <v>Medium</v>
      </c>
      <c r="N662" t="str">
        <f t="shared" si="93"/>
        <v>0-5%</v>
      </c>
      <c r="O662" t="str">
        <f t="shared" si="94"/>
        <v>OK</v>
      </c>
      <c r="P662">
        <f>IFERROR(Full_Data!G662/Full_Data!H662,"Check data")</f>
        <v>0.375</v>
      </c>
      <c r="Q662" t="str">
        <f t="shared" si="95"/>
        <v>Match</v>
      </c>
      <c r="R662" t="str">
        <f t="shared" si="96"/>
        <v>Match</v>
      </c>
      <c r="S662" t="str">
        <f t="shared" si="97"/>
        <v>Match</v>
      </c>
    </row>
    <row r="663" spans="1:19" x14ac:dyDescent="0.25">
      <c r="A663" t="s">
        <v>626</v>
      </c>
      <c r="B663">
        <v>16900</v>
      </c>
      <c r="C663">
        <f t="shared" si="98"/>
        <v>169</v>
      </c>
      <c r="D663">
        <v>4</v>
      </c>
      <c r="E663">
        <v>4</v>
      </c>
      <c r="F663">
        <v>16100</v>
      </c>
      <c r="G663">
        <f t="shared" si="90"/>
        <v>161</v>
      </c>
      <c r="H663">
        <v>150</v>
      </c>
      <c r="I663" s="4">
        <f>Full_Data[[#This Row],[Selling Price]]/Full_Data[[#This Row],[Weight (g)]]</f>
        <v>1.0733333333333333</v>
      </c>
      <c r="J663" t="b">
        <v>0</v>
      </c>
      <c r="K663">
        <v>150</v>
      </c>
      <c r="L663">
        <f t="shared" si="91"/>
        <v>8</v>
      </c>
      <c r="M663" t="str">
        <f t="shared" si="92"/>
        <v>Medium</v>
      </c>
      <c r="N663" t="str">
        <f t="shared" si="93"/>
        <v>0-5%</v>
      </c>
      <c r="O663" t="str">
        <f t="shared" si="94"/>
        <v>OK</v>
      </c>
      <c r="P663">
        <f>IFERROR(Full_Data!G663/Full_Data!H663,"Check data")</f>
        <v>1.0733333333333333</v>
      </c>
      <c r="Q663" t="str">
        <f t="shared" si="95"/>
        <v>Match</v>
      </c>
      <c r="R663" t="str">
        <f t="shared" si="96"/>
        <v>Mismatch</v>
      </c>
      <c r="S663" t="str">
        <f t="shared" si="97"/>
        <v>Mismatch</v>
      </c>
    </row>
    <row r="664" spans="1:19" x14ac:dyDescent="0.25">
      <c r="A664" t="s">
        <v>627</v>
      </c>
      <c r="B664">
        <v>19900</v>
      </c>
      <c r="C664">
        <f t="shared" si="98"/>
        <v>199</v>
      </c>
      <c r="D664">
        <v>5</v>
      </c>
      <c r="E664">
        <v>6</v>
      </c>
      <c r="F664">
        <v>18900</v>
      </c>
      <c r="G664">
        <f t="shared" si="90"/>
        <v>189</v>
      </c>
      <c r="H664">
        <v>200</v>
      </c>
      <c r="I664" s="4">
        <f>Full_Data[[#This Row],[Selling Price]]/Full_Data[[#This Row],[Weight (g)]]</f>
        <v>0.94499999999999995</v>
      </c>
      <c r="J664" t="b">
        <v>0</v>
      </c>
      <c r="K664">
        <v>200</v>
      </c>
      <c r="L664">
        <f t="shared" si="91"/>
        <v>10</v>
      </c>
      <c r="M664" t="str">
        <f t="shared" si="92"/>
        <v>Medium</v>
      </c>
      <c r="N664" t="str">
        <f t="shared" si="93"/>
        <v>0-5%</v>
      </c>
      <c r="O664" t="str">
        <f t="shared" si="94"/>
        <v>OK</v>
      </c>
      <c r="P664">
        <f>IFERROR(Full_Data!G664/Full_Data!H664,"Check data")</f>
        <v>0.94499999999999995</v>
      </c>
      <c r="Q664" t="str">
        <f t="shared" si="95"/>
        <v>Match</v>
      </c>
      <c r="R664" t="str">
        <f t="shared" si="96"/>
        <v>Mismatch</v>
      </c>
      <c r="S664" t="str">
        <f t="shared" si="97"/>
        <v>Match</v>
      </c>
    </row>
    <row r="665" spans="1:19" x14ac:dyDescent="0.25">
      <c r="A665" t="s">
        <v>628</v>
      </c>
      <c r="B665">
        <v>7200</v>
      </c>
      <c r="C665">
        <f t="shared" si="98"/>
        <v>72</v>
      </c>
      <c r="D665">
        <v>13</v>
      </c>
      <c r="E665">
        <v>4</v>
      </c>
      <c r="F665">
        <v>6200</v>
      </c>
      <c r="G665">
        <f t="shared" si="90"/>
        <v>62</v>
      </c>
      <c r="H665">
        <v>348</v>
      </c>
      <c r="I665" s="4">
        <f>Full_Data[[#This Row],[Selling Price]]/Full_Data[[#This Row],[Weight (g)]]</f>
        <v>0.17816091954022989</v>
      </c>
      <c r="J665" t="b">
        <v>0</v>
      </c>
      <c r="K665">
        <v>6</v>
      </c>
      <c r="L665">
        <f t="shared" si="91"/>
        <v>10</v>
      </c>
      <c r="M665" t="str">
        <f t="shared" si="92"/>
        <v>Medium</v>
      </c>
      <c r="N665" t="str">
        <f t="shared" si="93"/>
        <v>11-15%</v>
      </c>
      <c r="O665" t="str">
        <f t="shared" si="94"/>
        <v>OK</v>
      </c>
      <c r="P665">
        <f>IFERROR(Full_Data!G665/Full_Data!H665,"Check data")</f>
        <v>0.17816091954022989</v>
      </c>
      <c r="Q665" t="str">
        <f t="shared" si="95"/>
        <v>Match</v>
      </c>
      <c r="R665" t="str">
        <f t="shared" si="96"/>
        <v>Mismatch</v>
      </c>
      <c r="S665" t="str">
        <f t="shared" si="97"/>
        <v>Mismatch</v>
      </c>
    </row>
    <row r="666" spans="1:19" x14ac:dyDescent="0.25">
      <c r="A666" t="s">
        <v>629</v>
      </c>
      <c r="B666">
        <v>9900</v>
      </c>
      <c r="C666">
        <f t="shared" si="98"/>
        <v>99</v>
      </c>
      <c r="D666">
        <v>5</v>
      </c>
      <c r="E666">
        <v>6</v>
      </c>
      <c r="F666">
        <v>9400</v>
      </c>
      <c r="G666">
        <f t="shared" si="90"/>
        <v>94</v>
      </c>
      <c r="H666">
        <v>200</v>
      </c>
      <c r="I666" s="4">
        <f>Full_Data[[#This Row],[Selling Price]]/Full_Data[[#This Row],[Weight (g)]]</f>
        <v>0.47</v>
      </c>
      <c r="J666" t="b">
        <v>0</v>
      </c>
      <c r="K666">
        <v>200</v>
      </c>
      <c r="L666">
        <f t="shared" si="91"/>
        <v>5</v>
      </c>
      <c r="M666" t="str">
        <f t="shared" si="92"/>
        <v>Medium</v>
      </c>
      <c r="N666" t="str">
        <f t="shared" si="93"/>
        <v>0-5%</v>
      </c>
      <c r="O666" t="str">
        <f t="shared" si="94"/>
        <v>OK</v>
      </c>
      <c r="P666">
        <f>IFERROR(Full_Data!G666/Full_Data!H666,"Check data")</f>
        <v>0.47</v>
      </c>
      <c r="Q666" t="str">
        <f t="shared" si="95"/>
        <v>Match</v>
      </c>
      <c r="R666" t="str">
        <f t="shared" si="96"/>
        <v>Mismatch</v>
      </c>
      <c r="S666" t="str">
        <f t="shared" si="97"/>
        <v>Match</v>
      </c>
    </row>
    <row r="667" spans="1:19" x14ac:dyDescent="0.25">
      <c r="A667" t="s">
        <v>630</v>
      </c>
      <c r="B667">
        <v>14000</v>
      </c>
      <c r="C667">
        <f t="shared" si="98"/>
        <v>140</v>
      </c>
      <c r="D667">
        <v>5</v>
      </c>
      <c r="E667">
        <v>6</v>
      </c>
      <c r="F667">
        <v>13300</v>
      </c>
      <c r="G667">
        <f t="shared" si="90"/>
        <v>133</v>
      </c>
      <c r="H667">
        <v>200</v>
      </c>
      <c r="I667" s="4">
        <f>Full_Data[[#This Row],[Selling Price]]/Full_Data[[#This Row],[Weight (g)]]</f>
        <v>0.66500000000000004</v>
      </c>
      <c r="J667" t="b">
        <v>0</v>
      </c>
      <c r="K667">
        <v>200</v>
      </c>
      <c r="L667">
        <f t="shared" si="91"/>
        <v>7</v>
      </c>
      <c r="M667" t="str">
        <f t="shared" si="92"/>
        <v>Medium</v>
      </c>
      <c r="N667" t="str">
        <f t="shared" si="93"/>
        <v>0-5%</v>
      </c>
      <c r="O667" t="str">
        <f t="shared" si="94"/>
        <v>OK</v>
      </c>
      <c r="P667">
        <f>IFERROR(Full_Data!G667/Full_Data!H667,"Check data")</f>
        <v>0.66500000000000004</v>
      </c>
      <c r="Q667" t="str">
        <f t="shared" si="95"/>
        <v>Match</v>
      </c>
      <c r="R667" t="str">
        <f t="shared" si="96"/>
        <v>Match</v>
      </c>
      <c r="S667" t="str">
        <f t="shared" si="97"/>
        <v>Match</v>
      </c>
    </row>
    <row r="668" spans="1:19" x14ac:dyDescent="0.25">
      <c r="A668" t="s">
        <v>631</v>
      </c>
      <c r="B668">
        <v>29500</v>
      </c>
      <c r="C668">
        <f t="shared" si="98"/>
        <v>295</v>
      </c>
      <c r="D668">
        <v>50</v>
      </c>
      <c r="E668">
        <v>6</v>
      </c>
      <c r="F668">
        <v>14700</v>
      </c>
      <c r="G668">
        <f t="shared" si="90"/>
        <v>147</v>
      </c>
      <c r="H668">
        <v>200</v>
      </c>
      <c r="I668" s="4">
        <f>Full_Data[[#This Row],[Selling Price]]/Full_Data[[#This Row],[Weight (g)]]</f>
        <v>0.73499999999999999</v>
      </c>
      <c r="J668" t="b">
        <v>0</v>
      </c>
      <c r="K668">
        <v>200</v>
      </c>
      <c r="L668">
        <f t="shared" si="91"/>
        <v>148</v>
      </c>
      <c r="M668" t="str">
        <f t="shared" si="92"/>
        <v>Medium</v>
      </c>
      <c r="N668" t="str">
        <f t="shared" si="93"/>
        <v>21%+</v>
      </c>
      <c r="O668" t="str">
        <f t="shared" si="94"/>
        <v>OK</v>
      </c>
      <c r="P668">
        <f>IFERROR(Full_Data!G668/Full_Data!H668,"Check data")</f>
        <v>0.73499999999999999</v>
      </c>
      <c r="Q668" t="str">
        <f t="shared" si="95"/>
        <v>Match</v>
      </c>
      <c r="R668" t="str">
        <f t="shared" si="96"/>
        <v>Mismatch</v>
      </c>
      <c r="S668" t="str">
        <f t="shared" si="97"/>
        <v>Match</v>
      </c>
    </row>
    <row r="669" spans="1:19" x14ac:dyDescent="0.25">
      <c r="A669" t="s">
        <v>632</v>
      </c>
      <c r="B669">
        <v>21500</v>
      </c>
      <c r="C669">
        <f t="shared" si="98"/>
        <v>215</v>
      </c>
      <c r="D669">
        <v>9</v>
      </c>
      <c r="E669">
        <v>6</v>
      </c>
      <c r="F669">
        <v>19400</v>
      </c>
      <c r="G669">
        <f t="shared" si="90"/>
        <v>194</v>
      </c>
      <c r="H669">
        <v>325</v>
      </c>
      <c r="I669" s="4">
        <f>Full_Data[[#This Row],[Selling Price]]/Full_Data[[#This Row],[Weight (g)]]</f>
        <v>0.59692307692307689</v>
      </c>
      <c r="J669" t="b">
        <v>0</v>
      </c>
      <c r="K669">
        <v>325</v>
      </c>
      <c r="L669">
        <f t="shared" si="91"/>
        <v>21</v>
      </c>
      <c r="M669" t="str">
        <f t="shared" si="92"/>
        <v>Medium</v>
      </c>
      <c r="N669" t="str">
        <f t="shared" si="93"/>
        <v>6-10%</v>
      </c>
      <c r="O669" t="str">
        <f t="shared" si="94"/>
        <v>OK</v>
      </c>
      <c r="P669">
        <f>IFERROR(Full_Data!G669/Full_Data!H669,"Check data")</f>
        <v>0.59692307692307689</v>
      </c>
      <c r="Q669" t="str">
        <f t="shared" si="95"/>
        <v>Match</v>
      </c>
      <c r="R669" t="str">
        <f t="shared" si="96"/>
        <v>Mismatch</v>
      </c>
      <c r="S669" t="str">
        <f t="shared" si="97"/>
        <v>Mismatch</v>
      </c>
    </row>
    <row r="670" spans="1:19" x14ac:dyDescent="0.25">
      <c r="A670" t="s">
        <v>633</v>
      </c>
      <c r="B670">
        <v>12000</v>
      </c>
      <c r="C670">
        <f t="shared" si="98"/>
        <v>120</v>
      </c>
      <c r="D670">
        <v>43</v>
      </c>
      <c r="E670">
        <v>4</v>
      </c>
      <c r="F670">
        <v>6800</v>
      </c>
      <c r="G670">
        <f t="shared" si="90"/>
        <v>68</v>
      </c>
      <c r="H670">
        <v>348</v>
      </c>
      <c r="I670" s="4">
        <f>Full_Data[[#This Row],[Selling Price]]/Full_Data[[#This Row],[Weight (g)]]</f>
        <v>0.19540229885057472</v>
      </c>
      <c r="J670" t="b">
        <v>0</v>
      </c>
      <c r="K670">
        <v>6</v>
      </c>
      <c r="L670">
        <f t="shared" si="91"/>
        <v>52</v>
      </c>
      <c r="M670" t="str">
        <f t="shared" si="92"/>
        <v>Medium</v>
      </c>
      <c r="N670" t="str">
        <f t="shared" si="93"/>
        <v>21%+</v>
      </c>
      <c r="O670" t="str">
        <f t="shared" si="94"/>
        <v>OK</v>
      </c>
      <c r="P670">
        <f>IFERROR(Full_Data!G670/Full_Data!H670,"Check data")</f>
        <v>0.19540229885057472</v>
      </c>
      <c r="Q670" t="str">
        <f t="shared" si="95"/>
        <v>Match</v>
      </c>
      <c r="R670" t="str">
        <f t="shared" si="96"/>
        <v>Mismatch</v>
      </c>
      <c r="S670" t="str">
        <f t="shared" si="97"/>
        <v>Match</v>
      </c>
    </row>
    <row r="671" spans="1:19" x14ac:dyDescent="0.25">
      <c r="A671" t="s">
        <v>634</v>
      </c>
      <c r="B671">
        <v>27500</v>
      </c>
      <c r="C671">
        <f t="shared" si="98"/>
        <v>275</v>
      </c>
      <c r="D671">
        <v>50</v>
      </c>
      <c r="E671">
        <v>6</v>
      </c>
      <c r="F671">
        <v>13700</v>
      </c>
      <c r="G671">
        <f t="shared" si="90"/>
        <v>137</v>
      </c>
      <c r="H671">
        <v>200</v>
      </c>
      <c r="I671" s="4">
        <f>Full_Data[[#This Row],[Selling Price]]/Full_Data[[#This Row],[Weight (g)]]</f>
        <v>0.68500000000000005</v>
      </c>
      <c r="J671" t="b">
        <v>0</v>
      </c>
      <c r="K671">
        <v>200</v>
      </c>
      <c r="L671">
        <f t="shared" si="91"/>
        <v>138</v>
      </c>
      <c r="M671" t="str">
        <f t="shared" si="92"/>
        <v>Medium</v>
      </c>
      <c r="N671" t="str">
        <f t="shared" si="93"/>
        <v>21%+</v>
      </c>
      <c r="O671" t="str">
        <f t="shared" si="94"/>
        <v>OK</v>
      </c>
      <c r="P671">
        <f>IFERROR(Full_Data!G671/Full_Data!H671,"Check data")</f>
        <v>0.68500000000000005</v>
      </c>
      <c r="Q671" t="str">
        <f t="shared" si="95"/>
        <v>Match</v>
      </c>
      <c r="R671" t="str">
        <f t="shared" si="96"/>
        <v>Mismatch</v>
      </c>
      <c r="S671" t="str">
        <f t="shared" si="97"/>
        <v>Match</v>
      </c>
    </row>
    <row r="672" spans="1:19" x14ac:dyDescent="0.25">
      <c r="A672" t="s">
        <v>635</v>
      </c>
      <c r="B672">
        <v>14500</v>
      </c>
      <c r="C672">
        <f t="shared" si="98"/>
        <v>145</v>
      </c>
      <c r="D672">
        <v>5</v>
      </c>
      <c r="E672">
        <v>6</v>
      </c>
      <c r="F672">
        <v>13700</v>
      </c>
      <c r="G672">
        <f t="shared" si="90"/>
        <v>137</v>
      </c>
      <c r="H672">
        <v>200</v>
      </c>
      <c r="I672" s="4">
        <f>Full_Data[[#This Row],[Selling Price]]/Full_Data[[#This Row],[Weight (g)]]</f>
        <v>0.68500000000000005</v>
      </c>
      <c r="J672" t="b">
        <v>0</v>
      </c>
      <c r="K672">
        <v>200</v>
      </c>
      <c r="L672">
        <f t="shared" si="91"/>
        <v>8</v>
      </c>
      <c r="M672" t="str">
        <f t="shared" si="92"/>
        <v>Medium</v>
      </c>
      <c r="N672" t="str">
        <f t="shared" si="93"/>
        <v>0-5%</v>
      </c>
      <c r="O672" t="str">
        <f t="shared" si="94"/>
        <v>OK</v>
      </c>
      <c r="P672">
        <f>IFERROR(Full_Data!G672/Full_Data!H672,"Check data")</f>
        <v>0.68500000000000005</v>
      </c>
      <c r="Q672" t="str">
        <f t="shared" si="95"/>
        <v>Match</v>
      </c>
      <c r="R672" t="str">
        <f t="shared" si="96"/>
        <v>Mismatch</v>
      </c>
      <c r="S672" t="str">
        <f t="shared" si="97"/>
        <v>Mismatch</v>
      </c>
    </row>
    <row r="673" spans="1:19" x14ac:dyDescent="0.25">
      <c r="A673" t="s">
        <v>636</v>
      </c>
      <c r="B673">
        <v>27500</v>
      </c>
      <c r="C673">
        <f t="shared" si="98"/>
        <v>275</v>
      </c>
      <c r="D673">
        <v>50</v>
      </c>
      <c r="E673">
        <v>6</v>
      </c>
      <c r="F673">
        <v>13700</v>
      </c>
      <c r="G673">
        <f t="shared" si="90"/>
        <v>137</v>
      </c>
      <c r="H673">
        <v>200</v>
      </c>
      <c r="I673" s="4">
        <f>Full_Data[[#This Row],[Selling Price]]/Full_Data[[#This Row],[Weight (g)]]</f>
        <v>0.68500000000000005</v>
      </c>
      <c r="J673" t="b">
        <v>0</v>
      </c>
      <c r="K673">
        <v>200</v>
      </c>
      <c r="L673">
        <f t="shared" si="91"/>
        <v>138</v>
      </c>
      <c r="M673" t="str">
        <f t="shared" si="92"/>
        <v>Medium</v>
      </c>
      <c r="N673" t="str">
        <f t="shared" si="93"/>
        <v>21%+</v>
      </c>
      <c r="O673" t="str">
        <f t="shared" si="94"/>
        <v>OK</v>
      </c>
      <c r="P673">
        <f>IFERROR(Full_Data!G673/Full_Data!H673,"Check data")</f>
        <v>0.68500000000000005</v>
      </c>
      <c r="Q673" t="str">
        <f t="shared" si="95"/>
        <v>Match</v>
      </c>
      <c r="R673" t="str">
        <f t="shared" si="96"/>
        <v>Mismatch</v>
      </c>
      <c r="S673" t="str">
        <f t="shared" si="97"/>
        <v>Match</v>
      </c>
    </row>
    <row r="674" spans="1:19" x14ac:dyDescent="0.25">
      <c r="A674" t="s">
        <v>637</v>
      </c>
      <c r="B674">
        <v>15000</v>
      </c>
      <c r="C674">
        <f t="shared" si="98"/>
        <v>150</v>
      </c>
      <c r="D674">
        <v>0</v>
      </c>
      <c r="E674">
        <v>4</v>
      </c>
      <c r="F674">
        <v>15000</v>
      </c>
      <c r="G674">
        <f t="shared" si="90"/>
        <v>150</v>
      </c>
      <c r="H674">
        <v>200</v>
      </c>
      <c r="I674" s="4">
        <f>Full_Data[[#This Row],[Selling Price]]/Full_Data[[#This Row],[Weight (g)]]</f>
        <v>0.75</v>
      </c>
      <c r="J674" t="b">
        <v>0</v>
      </c>
      <c r="K674">
        <v>200</v>
      </c>
      <c r="L674">
        <f t="shared" si="91"/>
        <v>0</v>
      </c>
      <c r="M674" t="str">
        <f t="shared" si="92"/>
        <v>Medium</v>
      </c>
      <c r="N674" t="str">
        <f t="shared" si="93"/>
        <v>0-5%</v>
      </c>
      <c r="O674" t="str">
        <f t="shared" si="94"/>
        <v>OK</v>
      </c>
      <c r="P674">
        <f>IFERROR(Full_Data!G674/Full_Data!H674,"Check data")</f>
        <v>0.75</v>
      </c>
      <c r="Q674" t="str">
        <f t="shared" si="95"/>
        <v>Match</v>
      </c>
      <c r="R674" t="str">
        <f t="shared" si="96"/>
        <v>Match</v>
      </c>
      <c r="S674" t="str">
        <f t="shared" si="97"/>
        <v>Match</v>
      </c>
    </row>
    <row r="675" spans="1:19" x14ac:dyDescent="0.25">
      <c r="A675" t="s">
        <v>638</v>
      </c>
      <c r="B675">
        <v>22900</v>
      </c>
      <c r="C675">
        <f t="shared" si="98"/>
        <v>229</v>
      </c>
      <c r="D675">
        <v>10</v>
      </c>
      <c r="E675">
        <v>6</v>
      </c>
      <c r="F675">
        <v>20600</v>
      </c>
      <c r="G675">
        <f t="shared" si="90"/>
        <v>206</v>
      </c>
      <c r="H675">
        <v>400</v>
      </c>
      <c r="I675" s="4">
        <f>Full_Data[[#This Row],[Selling Price]]/Full_Data[[#This Row],[Weight (g)]]</f>
        <v>0.51500000000000001</v>
      </c>
      <c r="J675" t="b">
        <v>0</v>
      </c>
      <c r="K675">
        <v>400</v>
      </c>
      <c r="L675">
        <f t="shared" si="91"/>
        <v>23</v>
      </c>
      <c r="M675" t="str">
        <f t="shared" si="92"/>
        <v>High</v>
      </c>
      <c r="N675" t="str">
        <f t="shared" si="93"/>
        <v>6-10%</v>
      </c>
      <c r="O675" t="str">
        <f t="shared" si="94"/>
        <v>OK</v>
      </c>
      <c r="P675">
        <f>IFERROR(Full_Data!G675/Full_Data!H675,"Check data")</f>
        <v>0.51500000000000001</v>
      </c>
      <c r="Q675" t="str">
        <f t="shared" si="95"/>
        <v>Match</v>
      </c>
      <c r="R675" t="str">
        <f t="shared" si="96"/>
        <v>Mismatch</v>
      </c>
      <c r="S675" t="str">
        <f t="shared" si="97"/>
        <v>Match</v>
      </c>
    </row>
    <row r="676" spans="1:19" x14ac:dyDescent="0.25">
      <c r="A676" t="s">
        <v>639</v>
      </c>
      <c r="B676">
        <v>25000</v>
      </c>
      <c r="C676">
        <f t="shared" si="98"/>
        <v>250</v>
      </c>
      <c r="D676">
        <v>50</v>
      </c>
      <c r="E676">
        <v>4</v>
      </c>
      <c r="F676">
        <v>12500</v>
      </c>
      <c r="G676">
        <f t="shared" si="90"/>
        <v>125</v>
      </c>
      <c r="H676">
        <v>200</v>
      </c>
      <c r="I676" s="4">
        <f>Full_Data[[#This Row],[Selling Price]]/Full_Data[[#This Row],[Weight (g)]]</f>
        <v>0.625</v>
      </c>
      <c r="J676" t="b">
        <v>0</v>
      </c>
      <c r="K676">
        <v>200</v>
      </c>
      <c r="L676">
        <f t="shared" si="91"/>
        <v>125</v>
      </c>
      <c r="M676" t="str">
        <f t="shared" si="92"/>
        <v>Medium</v>
      </c>
      <c r="N676" t="str">
        <f t="shared" si="93"/>
        <v>21%+</v>
      </c>
      <c r="O676" t="str">
        <f t="shared" si="94"/>
        <v>OK</v>
      </c>
      <c r="P676">
        <f>IFERROR(Full_Data!G676/Full_Data!H676,"Check data")</f>
        <v>0.625</v>
      </c>
      <c r="Q676" t="str">
        <f t="shared" si="95"/>
        <v>Match</v>
      </c>
      <c r="R676" t="str">
        <f t="shared" si="96"/>
        <v>Match</v>
      </c>
      <c r="S676" t="str">
        <f t="shared" si="97"/>
        <v>Match</v>
      </c>
    </row>
    <row r="677" spans="1:19" x14ac:dyDescent="0.25">
      <c r="A677" t="s">
        <v>640</v>
      </c>
      <c r="B677">
        <v>23500</v>
      </c>
      <c r="C677">
        <f t="shared" si="98"/>
        <v>235</v>
      </c>
      <c r="D677">
        <v>20</v>
      </c>
      <c r="E677">
        <v>5</v>
      </c>
      <c r="F677">
        <v>18800</v>
      </c>
      <c r="G677">
        <f t="shared" si="90"/>
        <v>188</v>
      </c>
      <c r="H677">
        <v>325</v>
      </c>
      <c r="I677" s="4">
        <f>Full_Data[[#This Row],[Selling Price]]/Full_Data[[#This Row],[Weight (g)]]</f>
        <v>0.57846153846153847</v>
      </c>
      <c r="J677" t="b">
        <v>0</v>
      </c>
      <c r="K677">
        <v>325</v>
      </c>
      <c r="L677">
        <f t="shared" si="91"/>
        <v>47</v>
      </c>
      <c r="M677" t="str">
        <f t="shared" si="92"/>
        <v>Medium</v>
      </c>
      <c r="N677" t="str">
        <f t="shared" si="93"/>
        <v>16-20%</v>
      </c>
      <c r="O677" t="str">
        <f t="shared" si="94"/>
        <v>OK</v>
      </c>
      <c r="P677">
        <f>IFERROR(Full_Data!G677/Full_Data!H677,"Check data")</f>
        <v>0.57846153846153847</v>
      </c>
      <c r="Q677" t="str">
        <f t="shared" si="95"/>
        <v>Match</v>
      </c>
      <c r="R677" t="str">
        <f t="shared" si="96"/>
        <v>Match</v>
      </c>
      <c r="S677" t="str">
        <f t="shared" si="97"/>
        <v>Match</v>
      </c>
    </row>
    <row r="678" spans="1:19" x14ac:dyDescent="0.25">
      <c r="A678" t="s">
        <v>641</v>
      </c>
      <c r="B678">
        <v>12500</v>
      </c>
      <c r="C678">
        <f t="shared" si="98"/>
        <v>125</v>
      </c>
      <c r="D678">
        <v>5</v>
      </c>
      <c r="E678">
        <v>6</v>
      </c>
      <c r="F678">
        <v>11800</v>
      </c>
      <c r="G678">
        <f t="shared" si="90"/>
        <v>118</v>
      </c>
      <c r="H678">
        <v>200</v>
      </c>
      <c r="I678" s="4">
        <f>Full_Data[[#This Row],[Selling Price]]/Full_Data[[#This Row],[Weight (g)]]</f>
        <v>0.59</v>
      </c>
      <c r="J678" t="b">
        <v>0</v>
      </c>
      <c r="K678">
        <v>200</v>
      </c>
      <c r="L678">
        <f t="shared" si="91"/>
        <v>7</v>
      </c>
      <c r="M678" t="str">
        <f t="shared" si="92"/>
        <v>Medium</v>
      </c>
      <c r="N678" t="str">
        <f t="shared" si="93"/>
        <v>0-5%</v>
      </c>
      <c r="O678" t="str">
        <f t="shared" si="94"/>
        <v>OK</v>
      </c>
      <c r="P678">
        <f>IFERROR(Full_Data!G678/Full_Data!H678,"Check data")</f>
        <v>0.59</v>
      </c>
      <c r="Q678" t="str">
        <f t="shared" si="95"/>
        <v>Match</v>
      </c>
      <c r="R678" t="str">
        <f t="shared" si="96"/>
        <v>Mismatch</v>
      </c>
      <c r="S678" t="str">
        <f t="shared" si="97"/>
        <v>Mismatch</v>
      </c>
    </row>
    <row r="679" spans="1:19" x14ac:dyDescent="0.25">
      <c r="A679" t="s">
        <v>642</v>
      </c>
      <c r="B679">
        <v>16900</v>
      </c>
      <c r="C679">
        <f t="shared" si="98"/>
        <v>169</v>
      </c>
      <c r="D679">
        <v>7</v>
      </c>
      <c r="E679">
        <v>1</v>
      </c>
      <c r="F679">
        <v>15600</v>
      </c>
      <c r="G679">
        <f t="shared" si="90"/>
        <v>156</v>
      </c>
      <c r="H679">
        <v>400</v>
      </c>
      <c r="I679" s="4">
        <f>Full_Data[[#This Row],[Selling Price]]/Full_Data[[#This Row],[Weight (g)]]</f>
        <v>0.39</v>
      </c>
      <c r="J679" t="b">
        <v>0</v>
      </c>
      <c r="K679">
        <v>400</v>
      </c>
      <c r="L679">
        <f t="shared" si="91"/>
        <v>13</v>
      </c>
      <c r="M679" t="str">
        <f t="shared" si="92"/>
        <v>Medium</v>
      </c>
      <c r="N679" t="str">
        <f t="shared" si="93"/>
        <v>6-10%</v>
      </c>
      <c r="O679" t="str">
        <f t="shared" si="94"/>
        <v>OK</v>
      </c>
      <c r="P679">
        <f>IFERROR(Full_Data!G679/Full_Data!H679,"Check data")</f>
        <v>0.39</v>
      </c>
      <c r="Q679" t="str">
        <f t="shared" si="95"/>
        <v>Match</v>
      </c>
      <c r="R679" t="str">
        <f t="shared" si="96"/>
        <v>Mismatch</v>
      </c>
      <c r="S679" t="str">
        <f t="shared" si="97"/>
        <v>Mismatch</v>
      </c>
    </row>
    <row r="680" spans="1:19" x14ac:dyDescent="0.25">
      <c r="A680" t="s">
        <v>643</v>
      </c>
      <c r="B680">
        <v>23500</v>
      </c>
      <c r="C680">
        <f t="shared" si="98"/>
        <v>235</v>
      </c>
      <c r="D680">
        <v>1</v>
      </c>
      <c r="E680">
        <v>6</v>
      </c>
      <c r="F680">
        <v>23200</v>
      </c>
      <c r="G680">
        <f t="shared" si="90"/>
        <v>232</v>
      </c>
      <c r="H680">
        <v>500</v>
      </c>
      <c r="I680" s="4">
        <f>Full_Data[[#This Row],[Selling Price]]/Full_Data[[#This Row],[Weight (g)]]</f>
        <v>0.46400000000000002</v>
      </c>
      <c r="J680" t="b">
        <v>0</v>
      </c>
      <c r="K680">
        <v>500</v>
      </c>
      <c r="L680">
        <f t="shared" si="91"/>
        <v>3</v>
      </c>
      <c r="M680" t="str">
        <f t="shared" si="92"/>
        <v>High</v>
      </c>
      <c r="N680" t="str">
        <f t="shared" si="93"/>
        <v>0-5%</v>
      </c>
      <c r="O680" t="str">
        <f t="shared" si="94"/>
        <v>OK</v>
      </c>
      <c r="P680">
        <f>IFERROR(Full_Data!G680/Full_Data!H680,"Check data")</f>
        <v>0.46400000000000002</v>
      </c>
      <c r="Q680" t="str">
        <f t="shared" si="95"/>
        <v>Match</v>
      </c>
      <c r="R680" t="str">
        <f t="shared" si="96"/>
        <v>Mismatch</v>
      </c>
      <c r="S680" t="str">
        <f t="shared" si="97"/>
        <v>Match</v>
      </c>
    </row>
    <row r="681" spans="1:19" x14ac:dyDescent="0.25">
      <c r="A681" t="s">
        <v>644</v>
      </c>
      <c r="B681">
        <v>9900</v>
      </c>
      <c r="C681">
        <f t="shared" si="98"/>
        <v>99</v>
      </c>
      <c r="D681">
        <v>5</v>
      </c>
      <c r="E681">
        <v>6</v>
      </c>
      <c r="F681">
        <v>9400</v>
      </c>
      <c r="G681">
        <f t="shared" si="90"/>
        <v>94</v>
      </c>
      <c r="H681">
        <v>200</v>
      </c>
      <c r="I681" s="4">
        <f>Full_Data[[#This Row],[Selling Price]]/Full_Data[[#This Row],[Weight (g)]]</f>
        <v>0.47</v>
      </c>
      <c r="J681" t="b">
        <v>0</v>
      </c>
      <c r="K681">
        <v>200</v>
      </c>
      <c r="L681">
        <f t="shared" si="91"/>
        <v>5</v>
      </c>
      <c r="M681" t="str">
        <f t="shared" si="92"/>
        <v>Medium</v>
      </c>
      <c r="N681" t="str">
        <f t="shared" si="93"/>
        <v>0-5%</v>
      </c>
      <c r="O681" t="str">
        <f t="shared" si="94"/>
        <v>OK</v>
      </c>
      <c r="P681">
        <f>IFERROR(Full_Data!G681/Full_Data!H681,"Check data")</f>
        <v>0.47</v>
      </c>
      <c r="Q681" t="str">
        <f t="shared" si="95"/>
        <v>Match</v>
      </c>
      <c r="R681" t="str">
        <f t="shared" si="96"/>
        <v>Mismatch</v>
      </c>
      <c r="S681" t="str">
        <f t="shared" si="97"/>
        <v>Match</v>
      </c>
    </row>
    <row r="682" spans="1:19" x14ac:dyDescent="0.25">
      <c r="A682" t="s">
        <v>645</v>
      </c>
      <c r="B682">
        <v>11000</v>
      </c>
      <c r="C682">
        <f t="shared" si="98"/>
        <v>110</v>
      </c>
      <c r="D682">
        <v>0</v>
      </c>
      <c r="E682">
        <v>6</v>
      </c>
      <c r="F682">
        <v>11000</v>
      </c>
      <c r="G682">
        <f t="shared" si="90"/>
        <v>110</v>
      </c>
      <c r="H682">
        <v>120</v>
      </c>
      <c r="I682" s="4">
        <f>Full_Data[[#This Row],[Selling Price]]/Full_Data[[#This Row],[Weight (g)]]</f>
        <v>0.91666666666666663</v>
      </c>
      <c r="J682" t="b">
        <v>0</v>
      </c>
      <c r="K682">
        <v>120</v>
      </c>
      <c r="L682">
        <f t="shared" si="91"/>
        <v>0</v>
      </c>
      <c r="M682" t="str">
        <f t="shared" si="92"/>
        <v>Medium</v>
      </c>
      <c r="N682" t="str">
        <f t="shared" si="93"/>
        <v>0-5%</v>
      </c>
      <c r="O682" t="str">
        <f t="shared" si="94"/>
        <v>OK</v>
      </c>
      <c r="P682">
        <f>IFERROR(Full_Data!G682/Full_Data!H682,"Check data")</f>
        <v>0.91666666666666663</v>
      </c>
      <c r="Q682" t="str">
        <f t="shared" si="95"/>
        <v>Match</v>
      </c>
      <c r="R682" t="str">
        <f t="shared" si="96"/>
        <v>Match</v>
      </c>
      <c r="S682" t="str">
        <f t="shared" si="97"/>
        <v>Match</v>
      </c>
    </row>
    <row r="683" spans="1:19" x14ac:dyDescent="0.25">
      <c r="A683" t="s">
        <v>646</v>
      </c>
      <c r="B683">
        <v>21500</v>
      </c>
      <c r="C683">
        <f t="shared" si="98"/>
        <v>215</v>
      </c>
      <c r="D683">
        <v>20</v>
      </c>
      <c r="E683">
        <v>6</v>
      </c>
      <c r="F683">
        <v>17200</v>
      </c>
      <c r="G683">
        <f t="shared" si="90"/>
        <v>172</v>
      </c>
      <c r="H683">
        <v>325</v>
      </c>
      <c r="I683" s="4">
        <f>Full_Data[[#This Row],[Selling Price]]/Full_Data[[#This Row],[Weight (g)]]</f>
        <v>0.52923076923076928</v>
      </c>
      <c r="J683" t="b">
        <v>0</v>
      </c>
      <c r="K683">
        <v>325</v>
      </c>
      <c r="L683">
        <f t="shared" si="91"/>
        <v>43</v>
      </c>
      <c r="M683" t="str">
        <f t="shared" si="92"/>
        <v>Medium</v>
      </c>
      <c r="N683" t="str">
        <f t="shared" si="93"/>
        <v>16-20%</v>
      </c>
      <c r="O683" t="str">
        <f t="shared" si="94"/>
        <v>OK</v>
      </c>
      <c r="P683">
        <f>IFERROR(Full_Data!G683/Full_Data!H683,"Check data")</f>
        <v>0.52923076923076928</v>
      </c>
      <c r="Q683" t="str">
        <f t="shared" si="95"/>
        <v>Match</v>
      </c>
      <c r="R683" t="str">
        <f t="shared" si="96"/>
        <v>Match</v>
      </c>
      <c r="S683" t="str">
        <f t="shared" si="97"/>
        <v>Match</v>
      </c>
    </row>
    <row r="684" spans="1:19" x14ac:dyDescent="0.25">
      <c r="A684" t="s">
        <v>647</v>
      </c>
      <c r="B684">
        <v>12500</v>
      </c>
      <c r="C684">
        <f t="shared" si="98"/>
        <v>125</v>
      </c>
      <c r="D684">
        <v>4</v>
      </c>
      <c r="E684">
        <v>6</v>
      </c>
      <c r="F684">
        <v>11900</v>
      </c>
      <c r="G684">
        <f t="shared" si="90"/>
        <v>119</v>
      </c>
      <c r="H684">
        <v>200</v>
      </c>
      <c r="I684" s="4">
        <f>Full_Data[[#This Row],[Selling Price]]/Full_Data[[#This Row],[Weight (g)]]</f>
        <v>0.59499999999999997</v>
      </c>
      <c r="J684" t="b">
        <v>0</v>
      </c>
      <c r="K684">
        <v>200</v>
      </c>
      <c r="L684">
        <f t="shared" si="91"/>
        <v>6</v>
      </c>
      <c r="M684" t="str">
        <f t="shared" si="92"/>
        <v>Medium</v>
      </c>
      <c r="N684" t="str">
        <f t="shared" si="93"/>
        <v>0-5%</v>
      </c>
      <c r="O684" t="str">
        <f t="shared" si="94"/>
        <v>OK</v>
      </c>
      <c r="P684">
        <f>IFERROR(Full_Data!G684/Full_Data!H684,"Check data")</f>
        <v>0.59499999999999997</v>
      </c>
      <c r="Q684" t="str">
        <f t="shared" si="95"/>
        <v>Match</v>
      </c>
      <c r="R684" t="str">
        <f t="shared" si="96"/>
        <v>Mismatch</v>
      </c>
      <c r="S684" t="str">
        <f t="shared" si="97"/>
        <v>Mismatch</v>
      </c>
    </row>
    <row r="685" spans="1:19" x14ac:dyDescent="0.25">
      <c r="A685" t="s">
        <v>648</v>
      </c>
      <c r="B685">
        <v>24900</v>
      </c>
      <c r="C685">
        <f t="shared" si="98"/>
        <v>249</v>
      </c>
      <c r="D685">
        <v>4</v>
      </c>
      <c r="E685">
        <v>6</v>
      </c>
      <c r="F685">
        <v>23700</v>
      </c>
      <c r="G685">
        <f t="shared" si="90"/>
        <v>237</v>
      </c>
      <c r="H685">
        <v>400</v>
      </c>
      <c r="I685" s="4">
        <f>Full_Data[[#This Row],[Selling Price]]/Full_Data[[#This Row],[Weight (g)]]</f>
        <v>0.59250000000000003</v>
      </c>
      <c r="J685" t="b">
        <v>0</v>
      </c>
      <c r="K685">
        <v>400</v>
      </c>
      <c r="L685">
        <f t="shared" si="91"/>
        <v>12</v>
      </c>
      <c r="M685" t="str">
        <f t="shared" si="92"/>
        <v>High</v>
      </c>
      <c r="N685" t="str">
        <f t="shared" si="93"/>
        <v>0-5%</v>
      </c>
      <c r="O685" t="str">
        <f t="shared" si="94"/>
        <v>OK</v>
      </c>
      <c r="P685">
        <f>IFERROR(Full_Data!G685/Full_Data!H685,"Check data")</f>
        <v>0.59250000000000003</v>
      </c>
      <c r="Q685" t="str">
        <f t="shared" si="95"/>
        <v>Match</v>
      </c>
      <c r="R685" t="str">
        <f t="shared" si="96"/>
        <v>Mismatch</v>
      </c>
      <c r="S685" t="str">
        <f t="shared" si="97"/>
        <v>Mismatch</v>
      </c>
    </row>
    <row r="686" spans="1:19" x14ac:dyDescent="0.25">
      <c r="A686" t="s">
        <v>649</v>
      </c>
      <c r="B686">
        <v>34500</v>
      </c>
      <c r="C686">
        <f t="shared" si="98"/>
        <v>345</v>
      </c>
      <c r="D686">
        <v>31</v>
      </c>
      <c r="E686">
        <v>6</v>
      </c>
      <c r="F686">
        <v>23700</v>
      </c>
      <c r="G686">
        <f t="shared" si="90"/>
        <v>237</v>
      </c>
      <c r="H686">
        <v>100</v>
      </c>
      <c r="I686" s="4">
        <f>Full_Data[[#This Row],[Selling Price]]/Full_Data[[#This Row],[Weight (g)]]</f>
        <v>2.37</v>
      </c>
      <c r="J686" t="b">
        <v>0</v>
      </c>
      <c r="K686">
        <v>100</v>
      </c>
      <c r="L686">
        <f t="shared" si="91"/>
        <v>108</v>
      </c>
      <c r="M686" t="str">
        <f t="shared" si="92"/>
        <v>High</v>
      </c>
      <c r="N686" t="str">
        <f t="shared" si="93"/>
        <v>21%+</v>
      </c>
      <c r="O686" t="str">
        <f t="shared" si="94"/>
        <v>OK</v>
      </c>
      <c r="P686">
        <f>IFERROR(Full_Data!G686/Full_Data!H686,"Check data")</f>
        <v>2.37</v>
      </c>
      <c r="Q686" t="str">
        <f t="shared" si="95"/>
        <v>Match</v>
      </c>
      <c r="R686" t="str">
        <f t="shared" si="96"/>
        <v>Mismatch</v>
      </c>
      <c r="S686" t="str">
        <f t="shared" si="97"/>
        <v>Match</v>
      </c>
    </row>
    <row r="687" spans="1:19" x14ac:dyDescent="0.25">
      <c r="A687" t="s">
        <v>650</v>
      </c>
      <c r="B687">
        <v>35500</v>
      </c>
      <c r="C687">
        <f t="shared" si="98"/>
        <v>355</v>
      </c>
      <c r="D687">
        <v>50</v>
      </c>
      <c r="E687">
        <v>6</v>
      </c>
      <c r="F687">
        <v>17700</v>
      </c>
      <c r="G687">
        <f t="shared" si="90"/>
        <v>177</v>
      </c>
      <c r="H687">
        <v>200</v>
      </c>
      <c r="I687" s="4">
        <f>Full_Data[[#This Row],[Selling Price]]/Full_Data[[#This Row],[Weight (g)]]</f>
        <v>0.88500000000000001</v>
      </c>
      <c r="J687" t="b">
        <v>0</v>
      </c>
      <c r="K687">
        <v>200</v>
      </c>
      <c r="L687">
        <f t="shared" si="91"/>
        <v>178</v>
      </c>
      <c r="M687" t="str">
        <f t="shared" si="92"/>
        <v>Medium</v>
      </c>
      <c r="N687" t="str">
        <f t="shared" si="93"/>
        <v>21%+</v>
      </c>
      <c r="O687" t="str">
        <f t="shared" si="94"/>
        <v>OK</v>
      </c>
      <c r="P687">
        <f>IFERROR(Full_Data!G687/Full_Data!H687,"Check data")</f>
        <v>0.88500000000000001</v>
      </c>
      <c r="Q687" t="str">
        <f t="shared" si="95"/>
        <v>Match</v>
      </c>
      <c r="R687" t="str">
        <f t="shared" si="96"/>
        <v>Mismatch</v>
      </c>
      <c r="S687" t="str">
        <f t="shared" si="97"/>
        <v>Match</v>
      </c>
    </row>
    <row r="688" spans="1:19" x14ac:dyDescent="0.25">
      <c r="A688" t="s">
        <v>651</v>
      </c>
      <c r="B688">
        <v>19900</v>
      </c>
      <c r="C688">
        <f t="shared" si="98"/>
        <v>199</v>
      </c>
      <c r="D688">
        <v>5</v>
      </c>
      <c r="E688">
        <v>6</v>
      </c>
      <c r="F688">
        <v>18900</v>
      </c>
      <c r="G688">
        <f t="shared" si="90"/>
        <v>189</v>
      </c>
      <c r="H688">
        <v>200</v>
      </c>
      <c r="I688" s="4">
        <f>Full_Data[[#This Row],[Selling Price]]/Full_Data[[#This Row],[Weight (g)]]</f>
        <v>0.94499999999999995</v>
      </c>
      <c r="J688" t="b">
        <v>0</v>
      </c>
      <c r="K688">
        <v>200</v>
      </c>
      <c r="L688">
        <f t="shared" si="91"/>
        <v>10</v>
      </c>
      <c r="M688" t="str">
        <f t="shared" si="92"/>
        <v>Medium</v>
      </c>
      <c r="N688" t="str">
        <f t="shared" si="93"/>
        <v>0-5%</v>
      </c>
      <c r="O688" t="str">
        <f t="shared" si="94"/>
        <v>OK</v>
      </c>
      <c r="P688">
        <f>IFERROR(Full_Data!G688/Full_Data!H688,"Check data")</f>
        <v>0.94499999999999995</v>
      </c>
      <c r="Q688" t="str">
        <f t="shared" si="95"/>
        <v>Match</v>
      </c>
      <c r="R688" t="str">
        <f t="shared" si="96"/>
        <v>Mismatch</v>
      </c>
      <c r="S688" t="str">
        <f t="shared" si="97"/>
        <v>Match</v>
      </c>
    </row>
    <row r="689" spans="1:19" x14ac:dyDescent="0.25">
      <c r="A689" t="s">
        <v>652</v>
      </c>
      <c r="B689">
        <v>16900</v>
      </c>
      <c r="C689">
        <f t="shared" si="98"/>
        <v>169</v>
      </c>
      <c r="D689">
        <v>0</v>
      </c>
      <c r="E689">
        <v>1</v>
      </c>
      <c r="F689">
        <v>16900</v>
      </c>
      <c r="G689">
        <f t="shared" si="90"/>
        <v>169</v>
      </c>
      <c r="H689">
        <v>400</v>
      </c>
      <c r="I689" s="4">
        <f>Full_Data[[#This Row],[Selling Price]]/Full_Data[[#This Row],[Weight (g)]]</f>
        <v>0.42249999999999999</v>
      </c>
      <c r="J689" t="b">
        <v>0</v>
      </c>
      <c r="K689">
        <v>400</v>
      </c>
      <c r="L689">
        <f t="shared" si="91"/>
        <v>0</v>
      </c>
      <c r="M689" t="str">
        <f t="shared" si="92"/>
        <v>Medium</v>
      </c>
      <c r="N689" t="str">
        <f t="shared" si="93"/>
        <v>0-5%</v>
      </c>
      <c r="O689" t="str">
        <f t="shared" si="94"/>
        <v>OK</v>
      </c>
      <c r="P689">
        <f>IFERROR(Full_Data!G689/Full_Data!H689,"Check data")</f>
        <v>0.42249999999999999</v>
      </c>
      <c r="Q689" t="str">
        <f t="shared" si="95"/>
        <v>Match</v>
      </c>
      <c r="R689" t="str">
        <f t="shared" si="96"/>
        <v>Match</v>
      </c>
      <c r="S689" t="str">
        <f t="shared" si="97"/>
        <v>Match</v>
      </c>
    </row>
    <row r="690" spans="1:19" x14ac:dyDescent="0.25">
      <c r="A690" t="s">
        <v>653</v>
      </c>
      <c r="B690">
        <v>14500</v>
      </c>
      <c r="C690">
        <f t="shared" si="98"/>
        <v>145</v>
      </c>
      <c r="D690">
        <v>0</v>
      </c>
      <c r="E690">
        <v>6</v>
      </c>
      <c r="F690">
        <v>14500</v>
      </c>
      <c r="G690">
        <f t="shared" si="90"/>
        <v>145</v>
      </c>
      <c r="H690">
        <v>200</v>
      </c>
      <c r="I690" s="4">
        <f>Full_Data[[#This Row],[Selling Price]]/Full_Data[[#This Row],[Weight (g)]]</f>
        <v>0.72499999999999998</v>
      </c>
      <c r="J690" t="b">
        <v>0</v>
      </c>
      <c r="K690">
        <v>200</v>
      </c>
      <c r="L690">
        <f t="shared" si="91"/>
        <v>0</v>
      </c>
      <c r="M690" t="str">
        <f t="shared" si="92"/>
        <v>Medium</v>
      </c>
      <c r="N690" t="str">
        <f t="shared" si="93"/>
        <v>0-5%</v>
      </c>
      <c r="O690" t="str">
        <f t="shared" si="94"/>
        <v>OK</v>
      </c>
      <c r="P690">
        <f>IFERROR(Full_Data!G690/Full_Data!H690,"Check data")</f>
        <v>0.72499999999999998</v>
      </c>
      <c r="Q690" t="str">
        <f t="shared" si="95"/>
        <v>Match</v>
      </c>
      <c r="R690" t="str">
        <f t="shared" si="96"/>
        <v>Match</v>
      </c>
      <c r="S690" t="str">
        <f t="shared" si="97"/>
        <v>Match</v>
      </c>
    </row>
    <row r="691" spans="1:19" x14ac:dyDescent="0.25">
      <c r="A691" t="s">
        <v>654</v>
      </c>
      <c r="B691">
        <v>5400</v>
      </c>
      <c r="C691">
        <f t="shared" si="98"/>
        <v>54</v>
      </c>
      <c r="D691">
        <v>0</v>
      </c>
      <c r="E691">
        <v>6</v>
      </c>
      <c r="F691">
        <v>5400</v>
      </c>
      <c r="G691">
        <f t="shared" si="90"/>
        <v>54</v>
      </c>
      <c r="H691">
        <v>100</v>
      </c>
      <c r="I691" s="4">
        <f>Full_Data[[#This Row],[Selling Price]]/Full_Data[[#This Row],[Weight (g)]]</f>
        <v>0.54</v>
      </c>
      <c r="J691" t="b">
        <v>0</v>
      </c>
      <c r="K691">
        <v>100</v>
      </c>
      <c r="L691">
        <f t="shared" si="91"/>
        <v>0</v>
      </c>
      <c r="M691" t="str">
        <f t="shared" si="92"/>
        <v>Medium</v>
      </c>
      <c r="N691" t="str">
        <f t="shared" si="93"/>
        <v>0-5%</v>
      </c>
      <c r="O691" t="str">
        <f t="shared" si="94"/>
        <v>OK</v>
      </c>
      <c r="P691">
        <f>IFERROR(Full_Data!G691/Full_Data!H691,"Check data")</f>
        <v>0.54</v>
      </c>
      <c r="Q691" t="str">
        <f t="shared" si="95"/>
        <v>Match</v>
      </c>
      <c r="R691" t="str">
        <f t="shared" si="96"/>
        <v>Match</v>
      </c>
      <c r="S691" t="str">
        <f t="shared" si="97"/>
        <v>Match</v>
      </c>
    </row>
    <row r="692" spans="1:19" x14ac:dyDescent="0.25">
      <c r="A692" t="s">
        <v>655</v>
      </c>
      <c r="B692">
        <v>15000</v>
      </c>
      <c r="C692">
        <f t="shared" si="98"/>
        <v>150</v>
      </c>
      <c r="D692">
        <v>0</v>
      </c>
      <c r="E692">
        <v>6</v>
      </c>
      <c r="F692">
        <v>15000</v>
      </c>
      <c r="G692">
        <f t="shared" si="90"/>
        <v>150</v>
      </c>
      <c r="H692">
        <v>200</v>
      </c>
      <c r="I692" s="4">
        <f>Full_Data[[#This Row],[Selling Price]]/Full_Data[[#This Row],[Weight (g)]]</f>
        <v>0.75</v>
      </c>
      <c r="J692" t="b">
        <v>0</v>
      </c>
      <c r="K692">
        <v>200</v>
      </c>
      <c r="L692">
        <f t="shared" si="91"/>
        <v>0</v>
      </c>
      <c r="M692" t="str">
        <f t="shared" si="92"/>
        <v>Medium</v>
      </c>
      <c r="N692" t="str">
        <f t="shared" si="93"/>
        <v>0-5%</v>
      </c>
      <c r="O692" t="str">
        <f t="shared" si="94"/>
        <v>OK</v>
      </c>
      <c r="P692">
        <f>IFERROR(Full_Data!G692/Full_Data!H692,"Check data")</f>
        <v>0.75</v>
      </c>
      <c r="Q692" t="str">
        <f t="shared" si="95"/>
        <v>Match</v>
      </c>
      <c r="R692" t="str">
        <f t="shared" si="96"/>
        <v>Match</v>
      </c>
      <c r="S692" t="str">
        <f t="shared" si="97"/>
        <v>Match</v>
      </c>
    </row>
    <row r="693" spans="1:19" x14ac:dyDescent="0.25">
      <c r="A693" t="s">
        <v>656</v>
      </c>
      <c r="B693">
        <v>24900</v>
      </c>
      <c r="C693">
        <f t="shared" si="98"/>
        <v>249</v>
      </c>
      <c r="D693">
        <v>0</v>
      </c>
      <c r="E693">
        <v>4</v>
      </c>
      <c r="F693">
        <v>24900</v>
      </c>
      <c r="G693">
        <f t="shared" si="90"/>
        <v>249</v>
      </c>
      <c r="H693">
        <v>400</v>
      </c>
      <c r="I693" s="4">
        <f>Full_Data[[#This Row],[Selling Price]]/Full_Data[[#This Row],[Weight (g)]]</f>
        <v>0.62250000000000005</v>
      </c>
      <c r="J693" t="b">
        <v>0</v>
      </c>
      <c r="K693">
        <v>400</v>
      </c>
      <c r="L693">
        <f t="shared" si="91"/>
        <v>0</v>
      </c>
      <c r="M693" t="str">
        <f t="shared" si="92"/>
        <v>High</v>
      </c>
      <c r="N693" t="str">
        <f t="shared" si="93"/>
        <v>0-5%</v>
      </c>
      <c r="O693" t="str">
        <f t="shared" si="94"/>
        <v>OK</v>
      </c>
      <c r="P693">
        <f>IFERROR(Full_Data!G693/Full_Data!H693,"Check data")</f>
        <v>0.62250000000000005</v>
      </c>
      <c r="Q693" t="str">
        <f t="shared" si="95"/>
        <v>Match</v>
      </c>
      <c r="R693" t="str">
        <f t="shared" si="96"/>
        <v>Match</v>
      </c>
      <c r="S693" t="str">
        <f t="shared" si="97"/>
        <v>Match</v>
      </c>
    </row>
    <row r="694" spans="1:19" x14ac:dyDescent="0.25">
      <c r="A694" t="s">
        <v>657</v>
      </c>
      <c r="B694">
        <v>11000</v>
      </c>
      <c r="C694">
        <f t="shared" si="98"/>
        <v>110</v>
      </c>
      <c r="D694">
        <v>0</v>
      </c>
      <c r="E694">
        <v>6</v>
      </c>
      <c r="F694">
        <v>11000</v>
      </c>
      <c r="G694">
        <f t="shared" si="90"/>
        <v>110</v>
      </c>
      <c r="H694">
        <v>180</v>
      </c>
      <c r="I694" s="4">
        <f>Full_Data[[#This Row],[Selling Price]]/Full_Data[[#This Row],[Weight (g)]]</f>
        <v>0.61111111111111116</v>
      </c>
      <c r="J694" t="b">
        <v>0</v>
      </c>
      <c r="K694">
        <v>180</v>
      </c>
      <c r="L694">
        <f t="shared" si="91"/>
        <v>0</v>
      </c>
      <c r="M694" t="str">
        <f t="shared" si="92"/>
        <v>Medium</v>
      </c>
      <c r="N694" t="str">
        <f t="shared" si="93"/>
        <v>0-5%</v>
      </c>
      <c r="O694" t="str">
        <f t="shared" si="94"/>
        <v>OK</v>
      </c>
      <c r="P694">
        <f>IFERROR(Full_Data!G694/Full_Data!H694,"Check data")</f>
        <v>0.61111111111111116</v>
      </c>
      <c r="Q694" t="str">
        <f t="shared" si="95"/>
        <v>Match</v>
      </c>
      <c r="R694" t="str">
        <f t="shared" si="96"/>
        <v>Match</v>
      </c>
      <c r="S694" t="str">
        <f t="shared" si="97"/>
        <v>Match</v>
      </c>
    </row>
    <row r="695" spans="1:19" x14ac:dyDescent="0.25">
      <c r="A695" t="s">
        <v>658</v>
      </c>
      <c r="B695">
        <v>7600</v>
      </c>
      <c r="C695">
        <f t="shared" si="98"/>
        <v>76</v>
      </c>
      <c r="D695">
        <v>3</v>
      </c>
      <c r="E695">
        <v>0</v>
      </c>
      <c r="F695">
        <v>7300</v>
      </c>
      <c r="G695">
        <f t="shared" si="90"/>
        <v>73</v>
      </c>
      <c r="H695">
        <v>200</v>
      </c>
      <c r="I695" s="4">
        <f>Full_Data[[#This Row],[Selling Price]]/Full_Data[[#This Row],[Weight (g)]]</f>
        <v>0.36499999999999999</v>
      </c>
      <c r="J695" t="b">
        <v>1</v>
      </c>
      <c r="K695">
        <v>200</v>
      </c>
      <c r="L695">
        <f t="shared" si="91"/>
        <v>3</v>
      </c>
      <c r="M695" t="str">
        <f t="shared" si="92"/>
        <v>Medium</v>
      </c>
      <c r="N695" t="str">
        <f t="shared" si="93"/>
        <v>0-5%</v>
      </c>
      <c r="O695" t="str">
        <f t="shared" si="94"/>
        <v>OK</v>
      </c>
      <c r="P695">
        <f>IFERROR(Full_Data!G695/Full_Data!H695,"Check data")</f>
        <v>0.36499999999999999</v>
      </c>
      <c r="Q695" t="str">
        <f t="shared" si="95"/>
        <v>Match</v>
      </c>
      <c r="R695" t="str">
        <f t="shared" si="96"/>
        <v>Mismatch</v>
      </c>
      <c r="S695" t="str">
        <f t="shared" si="97"/>
        <v>Mismatch</v>
      </c>
    </row>
    <row r="696" spans="1:19" x14ac:dyDescent="0.25">
      <c r="A696" t="s">
        <v>659</v>
      </c>
      <c r="B696">
        <v>6600</v>
      </c>
      <c r="C696">
        <f t="shared" si="98"/>
        <v>66</v>
      </c>
      <c r="D696">
        <v>3</v>
      </c>
      <c r="E696">
        <v>0</v>
      </c>
      <c r="F696">
        <v>6400</v>
      </c>
      <c r="G696">
        <f t="shared" si="90"/>
        <v>64</v>
      </c>
      <c r="H696">
        <v>1000</v>
      </c>
      <c r="I696" s="4">
        <f>Full_Data[[#This Row],[Selling Price]]/Full_Data[[#This Row],[Weight (g)]]</f>
        <v>6.4000000000000001E-2</v>
      </c>
      <c r="J696" t="b">
        <v>1</v>
      </c>
      <c r="K696">
        <v>1</v>
      </c>
      <c r="L696">
        <f t="shared" si="91"/>
        <v>2</v>
      </c>
      <c r="M696" t="str">
        <f t="shared" si="92"/>
        <v>Medium</v>
      </c>
      <c r="N696" t="str">
        <f t="shared" si="93"/>
        <v>0-5%</v>
      </c>
      <c r="O696" t="str">
        <f t="shared" si="94"/>
        <v>OK</v>
      </c>
      <c r="P696">
        <f>IFERROR(Full_Data!G696/Full_Data!H696,"Check data")</f>
        <v>6.4000000000000001E-2</v>
      </c>
      <c r="Q696" t="str">
        <f t="shared" si="95"/>
        <v>Match</v>
      </c>
      <c r="R696" t="str">
        <f t="shared" si="96"/>
        <v>Mismatch</v>
      </c>
      <c r="S696" t="str">
        <f t="shared" si="97"/>
        <v>Match</v>
      </c>
    </row>
    <row r="697" spans="1:19" x14ac:dyDescent="0.25">
      <c r="A697" t="s">
        <v>660</v>
      </c>
      <c r="B697">
        <v>2500</v>
      </c>
      <c r="C697">
        <f t="shared" si="98"/>
        <v>25</v>
      </c>
      <c r="D697">
        <v>4</v>
      </c>
      <c r="E697">
        <v>0</v>
      </c>
      <c r="F697">
        <v>2400</v>
      </c>
      <c r="G697">
        <f t="shared" si="90"/>
        <v>24</v>
      </c>
      <c r="H697">
        <v>250</v>
      </c>
      <c r="I697" s="4">
        <f>Full_Data[[#This Row],[Selling Price]]/Full_Data[[#This Row],[Weight (g)]]</f>
        <v>9.6000000000000002E-2</v>
      </c>
      <c r="J697" t="b">
        <v>1</v>
      </c>
      <c r="K697">
        <v>250</v>
      </c>
      <c r="L697">
        <f t="shared" si="91"/>
        <v>1</v>
      </c>
      <c r="M697" t="str">
        <f t="shared" si="92"/>
        <v>Low</v>
      </c>
      <c r="N697" t="str">
        <f t="shared" si="93"/>
        <v>0-5%</v>
      </c>
      <c r="O697" t="str">
        <f t="shared" si="94"/>
        <v>OK</v>
      </c>
      <c r="P697">
        <f>IFERROR(Full_Data!G697/Full_Data!H697,"Check data")</f>
        <v>9.6000000000000002E-2</v>
      </c>
      <c r="Q697" t="str">
        <f t="shared" si="95"/>
        <v>Match</v>
      </c>
      <c r="R697" t="str">
        <f t="shared" si="96"/>
        <v>Match</v>
      </c>
      <c r="S697" t="str">
        <f t="shared" si="97"/>
        <v>Match</v>
      </c>
    </row>
    <row r="698" spans="1:19" x14ac:dyDescent="0.25">
      <c r="A698" t="s">
        <v>661</v>
      </c>
      <c r="B698">
        <v>4000</v>
      </c>
      <c r="C698">
        <f t="shared" si="98"/>
        <v>40</v>
      </c>
      <c r="D698">
        <v>0</v>
      </c>
      <c r="E698">
        <v>0</v>
      </c>
      <c r="F698">
        <v>4000</v>
      </c>
      <c r="G698">
        <f t="shared" si="90"/>
        <v>40</v>
      </c>
      <c r="H698">
        <v>400</v>
      </c>
      <c r="I698" s="4">
        <f>Full_Data[[#This Row],[Selling Price]]/Full_Data[[#This Row],[Weight (g)]]</f>
        <v>0.1</v>
      </c>
      <c r="J698" t="b">
        <v>1</v>
      </c>
      <c r="K698">
        <v>400</v>
      </c>
      <c r="L698">
        <f t="shared" si="91"/>
        <v>0</v>
      </c>
      <c r="M698" t="str">
        <f t="shared" si="92"/>
        <v>Low</v>
      </c>
      <c r="N698" t="str">
        <f t="shared" si="93"/>
        <v>0-5%</v>
      </c>
      <c r="O698" t="str">
        <f t="shared" si="94"/>
        <v>OK</v>
      </c>
      <c r="P698">
        <f>IFERROR(Full_Data!G698/Full_Data!H698,"Check data")</f>
        <v>0.1</v>
      </c>
      <c r="Q698" t="str">
        <f t="shared" si="95"/>
        <v>Match</v>
      </c>
      <c r="R698" t="str">
        <f t="shared" si="96"/>
        <v>Match</v>
      </c>
      <c r="S698" t="str">
        <f t="shared" si="97"/>
        <v>Match</v>
      </c>
    </row>
    <row r="699" spans="1:19" x14ac:dyDescent="0.25">
      <c r="A699" t="s">
        <v>662</v>
      </c>
      <c r="B699">
        <v>7500</v>
      </c>
      <c r="C699">
        <f t="shared" si="98"/>
        <v>75</v>
      </c>
      <c r="D699">
        <v>0</v>
      </c>
      <c r="E699">
        <v>0</v>
      </c>
      <c r="F699">
        <v>7500</v>
      </c>
      <c r="G699">
        <f t="shared" si="90"/>
        <v>75</v>
      </c>
      <c r="H699">
        <v>1000</v>
      </c>
      <c r="I699" s="4">
        <f>Full_Data[[#This Row],[Selling Price]]/Full_Data[[#This Row],[Weight (g)]]</f>
        <v>7.4999999999999997E-2</v>
      </c>
      <c r="J699" t="b">
        <v>1</v>
      </c>
      <c r="K699">
        <v>1</v>
      </c>
      <c r="L699">
        <f t="shared" si="91"/>
        <v>0</v>
      </c>
      <c r="M699" t="str">
        <f t="shared" si="92"/>
        <v>Medium</v>
      </c>
      <c r="N699" t="str">
        <f t="shared" si="93"/>
        <v>0-5%</v>
      </c>
      <c r="O699" t="str">
        <f t="shared" si="94"/>
        <v>OK</v>
      </c>
      <c r="P699">
        <f>IFERROR(Full_Data!G699/Full_Data!H699,"Check data")</f>
        <v>7.4999999999999997E-2</v>
      </c>
      <c r="Q699" t="str">
        <f t="shared" si="95"/>
        <v>Match</v>
      </c>
      <c r="R699" t="str">
        <f t="shared" si="96"/>
        <v>Match</v>
      </c>
      <c r="S699" t="str">
        <f t="shared" si="97"/>
        <v>Match</v>
      </c>
    </row>
    <row r="700" spans="1:19" x14ac:dyDescent="0.25">
      <c r="A700" t="s">
        <v>608</v>
      </c>
      <c r="B700">
        <v>7100</v>
      </c>
      <c r="C700">
        <f t="shared" si="98"/>
        <v>71</v>
      </c>
      <c r="D700">
        <v>1</v>
      </c>
      <c r="E700">
        <v>0</v>
      </c>
      <c r="F700">
        <v>7000</v>
      </c>
      <c r="G700">
        <f t="shared" si="90"/>
        <v>70</v>
      </c>
      <c r="H700">
        <v>100</v>
      </c>
      <c r="I700" s="4">
        <f>Full_Data[[#This Row],[Selling Price]]/Full_Data[[#This Row],[Weight (g)]]</f>
        <v>0.7</v>
      </c>
      <c r="J700" t="b">
        <v>1</v>
      </c>
      <c r="K700">
        <v>100</v>
      </c>
      <c r="L700">
        <f t="shared" si="91"/>
        <v>1</v>
      </c>
      <c r="M700" t="str">
        <f t="shared" si="92"/>
        <v>Medium</v>
      </c>
      <c r="N700" t="str">
        <f t="shared" si="93"/>
        <v>0-5%</v>
      </c>
      <c r="O700" t="str">
        <f t="shared" si="94"/>
        <v>OK</v>
      </c>
      <c r="P700">
        <f>IFERROR(Full_Data!G700/Full_Data!H700,"Check data")</f>
        <v>0.7</v>
      </c>
      <c r="Q700" t="str">
        <f t="shared" si="95"/>
        <v>Match</v>
      </c>
      <c r="R700" t="str">
        <f t="shared" si="96"/>
        <v>Mismatch</v>
      </c>
      <c r="S700" t="str">
        <f t="shared" si="97"/>
        <v>Match</v>
      </c>
    </row>
    <row r="701" spans="1:19" x14ac:dyDescent="0.25">
      <c r="A701" t="s">
        <v>663</v>
      </c>
      <c r="B701">
        <v>10000</v>
      </c>
      <c r="C701">
        <f t="shared" si="98"/>
        <v>100</v>
      </c>
      <c r="D701">
        <v>1</v>
      </c>
      <c r="E701">
        <v>0</v>
      </c>
      <c r="F701">
        <v>9900</v>
      </c>
      <c r="G701">
        <f t="shared" si="90"/>
        <v>99</v>
      </c>
      <c r="H701">
        <v>200</v>
      </c>
      <c r="I701" s="4">
        <f>Full_Data[[#This Row],[Selling Price]]/Full_Data[[#This Row],[Weight (g)]]</f>
        <v>0.495</v>
      </c>
      <c r="J701" t="b">
        <v>1</v>
      </c>
      <c r="K701">
        <v>200</v>
      </c>
      <c r="L701">
        <f t="shared" si="91"/>
        <v>1</v>
      </c>
      <c r="M701" t="str">
        <f t="shared" si="92"/>
        <v>Medium</v>
      </c>
      <c r="N701" t="str">
        <f t="shared" si="93"/>
        <v>0-5%</v>
      </c>
      <c r="O701" t="str">
        <f t="shared" si="94"/>
        <v>OK</v>
      </c>
      <c r="P701">
        <f>IFERROR(Full_Data!G701/Full_Data!H701,"Check data")</f>
        <v>0.495</v>
      </c>
      <c r="Q701" t="str">
        <f t="shared" si="95"/>
        <v>Match</v>
      </c>
      <c r="R701" t="str">
        <f t="shared" si="96"/>
        <v>Match</v>
      </c>
      <c r="S701" t="str">
        <f t="shared" si="97"/>
        <v>Match</v>
      </c>
    </row>
    <row r="702" spans="1:19" x14ac:dyDescent="0.25">
      <c r="A702" t="s">
        <v>664</v>
      </c>
      <c r="B702">
        <v>3000</v>
      </c>
      <c r="C702">
        <f t="shared" si="98"/>
        <v>30</v>
      </c>
      <c r="D702">
        <v>0</v>
      </c>
      <c r="E702">
        <v>0</v>
      </c>
      <c r="F702">
        <v>3000</v>
      </c>
      <c r="G702">
        <f t="shared" si="90"/>
        <v>30</v>
      </c>
      <c r="H702">
        <v>150</v>
      </c>
      <c r="I702" s="4">
        <f>Full_Data[[#This Row],[Selling Price]]/Full_Data[[#This Row],[Weight (g)]]</f>
        <v>0.2</v>
      </c>
      <c r="J702" t="b">
        <v>1</v>
      </c>
      <c r="K702">
        <v>150</v>
      </c>
      <c r="L702">
        <f t="shared" si="91"/>
        <v>0</v>
      </c>
      <c r="M702" t="str">
        <f t="shared" si="92"/>
        <v>Low</v>
      </c>
      <c r="N702" t="str">
        <f t="shared" si="93"/>
        <v>0-5%</v>
      </c>
      <c r="O702" t="str">
        <f t="shared" si="94"/>
        <v>OK</v>
      </c>
      <c r="P702">
        <f>IFERROR(Full_Data!G702/Full_Data!H702,"Check data")</f>
        <v>0.2</v>
      </c>
      <c r="Q702" t="str">
        <f t="shared" si="95"/>
        <v>Match</v>
      </c>
      <c r="R702" t="str">
        <f t="shared" si="96"/>
        <v>Match</v>
      </c>
      <c r="S702" t="str">
        <f t="shared" si="97"/>
        <v>Match</v>
      </c>
    </row>
    <row r="703" spans="1:19" x14ac:dyDescent="0.25">
      <c r="A703" t="s">
        <v>665</v>
      </c>
      <c r="B703">
        <v>7800</v>
      </c>
      <c r="C703">
        <f t="shared" si="98"/>
        <v>78</v>
      </c>
      <c r="D703">
        <v>3</v>
      </c>
      <c r="E703">
        <v>0</v>
      </c>
      <c r="F703">
        <v>7500</v>
      </c>
      <c r="G703">
        <f t="shared" si="90"/>
        <v>75</v>
      </c>
      <c r="H703">
        <v>400</v>
      </c>
      <c r="I703" s="4">
        <f>Full_Data[[#This Row],[Selling Price]]/Full_Data[[#This Row],[Weight (g)]]</f>
        <v>0.1875</v>
      </c>
      <c r="J703" t="b">
        <v>1</v>
      </c>
      <c r="K703">
        <v>400</v>
      </c>
      <c r="L703">
        <f t="shared" si="91"/>
        <v>3</v>
      </c>
      <c r="M703" t="str">
        <f t="shared" si="92"/>
        <v>Medium</v>
      </c>
      <c r="N703" t="str">
        <f t="shared" si="93"/>
        <v>0-5%</v>
      </c>
      <c r="O703" t="str">
        <f t="shared" si="94"/>
        <v>OK</v>
      </c>
      <c r="P703">
        <f>IFERROR(Full_Data!G703/Full_Data!H703,"Check data")</f>
        <v>0.1875</v>
      </c>
      <c r="Q703" t="str">
        <f t="shared" si="95"/>
        <v>Match</v>
      </c>
      <c r="R703" t="str">
        <f t="shared" si="96"/>
        <v>Mismatch</v>
      </c>
      <c r="S703" t="str">
        <f t="shared" si="97"/>
        <v>Mismatch</v>
      </c>
    </row>
    <row r="704" spans="1:19" x14ac:dyDescent="0.25">
      <c r="A704" t="s">
        <v>666</v>
      </c>
      <c r="B704">
        <v>3500</v>
      </c>
      <c r="C704">
        <f t="shared" si="98"/>
        <v>35</v>
      </c>
      <c r="D704">
        <v>0</v>
      </c>
      <c r="E704">
        <v>0</v>
      </c>
      <c r="F704">
        <v>3500</v>
      </c>
      <c r="G704">
        <f t="shared" si="90"/>
        <v>35</v>
      </c>
      <c r="H704">
        <v>300</v>
      </c>
      <c r="I704" s="4">
        <f>Full_Data[[#This Row],[Selling Price]]/Full_Data[[#This Row],[Weight (g)]]</f>
        <v>0.11666666666666667</v>
      </c>
      <c r="J704" t="b">
        <v>1</v>
      </c>
      <c r="K704">
        <v>300</v>
      </c>
      <c r="L704">
        <f t="shared" si="91"/>
        <v>0</v>
      </c>
      <c r="M704" t="str">
        <f t="shared" si="92"/>
        <v>Low</v>
      </c>
      <c r="N704" t="str">
        <f t="shared" si="93"/>
        <v>0-5%</v>
      </c>
      <c r="O704" t="str">
        <f t="shared" si="94"/>
        <v>OK</v>
      </c>
      <c r="P704">
        <f>IFERROR(Full_Data!G704/Full_Data!H704,"Check data")</f>
        <v>0.11666666666666667</v>
      </c>
      <c r="Q704" t="str">
        <f t="shared" si="95"/>
        <v>Match</v>
      </c>
      <c r="R704" t="str">
        <f t="shared" si="96"/>
        <v>Match</v>
      </c>
      <c r="S704" t="str">
        <f t="shared" si="97"/>
        <v>Match</v>
      </c>
    </row>
    <row r="705" spans="1:19" x14ac:dyDescent="0.25">
      <c r="A705" t="s">
        <v>667</v>
      </c>
      <c r="B705">
        <v>4000</v>
      </c>
      <c r="C705">
        <f t="shared" si="98"/>
        <v>40</v>
      </c>
      <c r="D705">
        <v>0</v>
      </c>
      <c r="E705">
        <v>0</v>
      </c>
      <c r="F705">
        <v>4000</v>
      </c>
      <c r="G705">
        <f t="shared" si="90"/>
        <v>40</v>
      </c>
      <c r="H705">
        <v>200</v>
      </c>
      <c r="I705" s="4">
        <f>Full_Data[[#This Row],[Selling Price]]/Full_Data[[#This Row],[Weight (g)]]</f>
        <v>0.2</v>
      </c>
      <c r="J705" t="b">
        <v>1</v>
      </c>
      <c r="K705">
        <v>200</v>
      </c>
      <c r="L705">
        <f t="shared" si="91"/>
        <v>0</v>
      </c>
      <c r="M705" t="str">
        <f t="shared" si="92"/>
        <v>Low</v>
      </c>
      <c r="N705" t="str">
        <f t="shared" si="93"/>
        <v>0-5%</v>
      </c>
      <c r="O705" t="str">
        <f t="shared" si="94"/>
        <v>OK</v>
      </c>
      <c r="P705">
        <f>IFERROR(Full_Data!G705/Full_Data!H705,"Check data")</f>
        <v>0.2</v>
      </c>
      <c r="Q705" t="str">
        <f t="shared" si="95"/>
        <v>Match</v>
      </c>
      <c r="R705" t="str">
        <f t="shared" si="96"/>
        <v>Match</v>
      </c>
      <c r="S705" t="str">
        <f t="shared" si="97"/>
        <v>Match</v>
      </c>
    </row>
    <row r="706" spans="1:19" x14ac:dyDescent="0.25">
      <c r="A706" t="s">
        <v>668</v>
      </c>
      <c r="B706">
        <v>8500</v>
      </c>
      <c r="C706">
        <f t="shared" si="98"/>
        <v>85</v>
      </c>
      <c r="D706">
        <v>0</v>
      </c>
      <c r="E706">
        <v>0</v>
      </c>
      <c r="F706">
        <v>8500</v>
      </c>
      <c r="G706">
        <f t="shared" ref="G706:G769" si="99">F706/100</f>
        <v>85</v>
      </c>
      <c r="H706">
        <v>200</v>
      </c>
      <c r="I706" s="4">
        <f>Full_Data[[#This Row],[Selling Price]]/Full_Data[[#This Row],[Weight (g)]]</f>
        <v>0.42499999999999999</v>
      </c>
      <c r="J706" t="b">
        <v>1</v>
      </c>
      <c r="K706">
        <v>200</v>
      </c>
      <c r="L706">
        <f t="shared" ref="L706:L769" si="100">C706-G706</f>
        <v>0</v>
      </c>
      <c r="M706" t="str">
        <f t="shared" ref="M706:M769" si="101">IF(G706&lt;50,"Low",IF(G706&lt;200,"Medium","High"))</f>
        <v>Medium</v>
      </c>
      <c r="N706" t="str">
        <f t="shared" ref="N706:N769" si="102">IF(D706&lt;=5,"0-5%",
IF(D706&lt;=10,"6-10%",
IF(D706&lt;=15,"11-15%",
IF(D706&lt;=20,"16-20%","21%+"))))</f>
        <v>0-5%</v>
      </c>
      <c r="O706" t="str">
        <f t="shared" ref="O706:O769" si="103">IF(AND(C706=0,G706=0),"Review: Zero MRP and selling price",IF(C706&lt;=0,"Review: Invalid MRP",IF(G706&lt;0,"Review: Negative selling price",IF(G706=0,"Review: Zero selling price",IF(H706&lt;=0,"Review: Invalid weight","OK")))))</f>
        <v>OK</v>
      </c>
      <c r="P706">
        <f>IFERROR(Full_Data!G706/Full_Data!H706,"Check data")</f>
        <v>0.42499999999999999</v>
      </c>
      <c r="Q706" t="str">
        <f t="shared" ref="Q706:Q769" si="104">IF(OR(H706="",H706&lt;=0),"Invalid weight",IF(G706="","Missing selling price",IF(ROUND(G706/H706,2)=ROUND(I706,2),"Match","Mismatch")))</f>
        <v>Match</v>
      </c>
      <c r="R706" t="str">
        <f t="shared" ref="R706:R769" si="105">IF(OR(C706&lt;=0,G706=""),"Check data",IF(ROUND((C706-G706)/C706*100,2)=ROUND(D706,2),"Match","Mismatch"))</f>
        <v>Match</v>
      </c>
      <c r="S706" t="str">
        <f t="shared" ref="S706:S769" si="106">IF(OR(C706&lt;=0,G706=""),"Check data",IF(ROUND((C706-G706)/C706*100,0)=D706,"Match","Mismatch"))</f>
        <v>Match</v>
      </c>
    </row>
    <row r="707" spans="1:19" x14ac:dyDescent="0.25">
      <c r="A707" t="s">
        <v>669</v>
      </c>
      <c r="B707">
        <v>3000</v>
      </c>
      <c r="C707">
        <f t="shared" ref="C707:C770" si="107">B707/100</f>
        <v>30</v>
      </c>
      <c r="D707">
        <v>0</v>
      </c>
      <c r="E707">
        <v>0</v>
      </c>
      <c r="F707">
        <v>3000</v>
      </c>
      <c r="G707">
        <f t="shared" si="99"/>
        <v>30</v>
      </c>
      <c r="H707">
        <v>250</v>
      </c>
      <c r="I707" s="4">
        <f>Full_Data[[#This Row],[Selling Price]]/Full_Data[[#This Row],[Weight (g)]]</f>
        <v>0.12</v>
      </c>
      <c r="J707" t="b">
        <v>1</v>
      </c>
      <c r="K707">
        <v>250</v>
      </c>
      <c r="L707">
        <f t="shared" si="100"/>
        <v>0</v>
      </c>
      <c r="M707" t="str">
        <f t="shared" si="101"/>
        <v>Low</v>
      </c>
      <c r="N707" t="str">
        <f t="shared" si="102"/>
        <v>0-5%</v>
      </c>
      <c r="O707" t="str">
        <f t="shared" si="103"/>
        <v>OK</v>
      </c>
      <c r="P707">
        <f>IFERROR(Full_Data!G707/Full_Data!H707,"Check data")</f>
        <v>0.12</v>
      </c>
      <c r="Q707" t="str">
        <f t="shared" si="104"/>
        <v>Match</v>
      </c>
      <c r="R707" t="str">
        <f t="shared" si="105"/>
        <v>Match</v>
      </c>
      <c r="S707" t="str">
        <f t="shared" si="106"/>
        <v>Match</v>
      </c>
    </row>
    <row r="708" spans="1:19" x14ac:dyDescent="0.25">
      <c r="A708" t="s">
        <v>670</v>
      </c>
      <c r="B708">
        <v>6200</v>
      </c>
      <c r="C708">
        <f t="shared" si="107"/>
        <v>62</v>
      </c>
      <c r="D708">
        <v>0</v>
      </c>
      <c r="E708">
        <v>0</v>
      </c>
      <c r="F708">
        <v>6200</v>
      </c>
      <c r="G708">
        <f t="shared" si="99"/>
        <v>62</v>
      </c>
      <c r="H708">
        <v>696</v>
      </c>
      <c r="I708" s="4">
        <f>Full_Data[[#This Row],[Selling Price]]/Full_Data[[#This Row],[Weight (g)]]</f>
        <v>8.9080459770114945E-2</v>
      </c>
      <c r="J708" t="b">
        <v>1</v>
      </c>
      <c r="K708">
        <v>12</v>
      </c>
      <c r="L708">
        <f t="shared" si="100"/>
        <v>0</v>
      </c>
      <c r="M708" t="str">
        <f t="shared" si="101"/>
        <v>Medium</v>
      </c>
      <c r="N708" t="str">
        <f t="shared" si="102"/>
        <v>0-5%</v>
      </c>
      <c r="O708" t="str">
        <f t="shared" si="103"/>
        <v>OK</v>
      </c>
      <c r="P708">
        <f>IFERROR(Full_Data!G708/Full_Data!H708,"Check data")</f>
        <v>8.9080459770114945E-2</v>
      </c>
      <c r="Q708" t="str">
        <f t="shared" si="104"/>
        <v>Match</v>
      </c>
      <c r="R708" t="str">
        <f t="shared" si="105"/>
        <v>Match</v>
      </c>
      <c r="S708" t="str">
        <f t="shared" si="106"/>
        <v>Match</v>
      </c>
    </row>
    <row r="709" spans="1:19" x14ac:dyDescent="0.25">
      <c r="A709" t="s">
        <v>671</v>
      </c>
      <c r="B709">
        <v>6500</v>
      </c>
      <c r="C709">
        <f t="shared" si="107"/>
        <v>65</v>
      </c>
      <c r="D709">
        <v>0</v>
      </c>
      <c r="E709">
        <v>0</v>
      </c>
      <c r="F709">
        <v>6500</v>
      </c>
      <c r="G709">
        <f t="shared" si="99"/>
        <v>65</v>
      </c>
      <c r="H709">
        <v>400</v>
      </c>
      <c r="I709" s="4">
        <f>Full_Data[[#This Row],[Selling Price]]/Full_Data[[#This Row],[Weight (g)]]</f>
        <v>0.16250000000000001</v>
      </c>
      <c r="J709" t="b">
        <v>1</v>
      </c>
      <c r="K709">
        <v>400</v>
      </c>
      <c r="L709">
        <f t="shared" si="100"/>
        <v>0</v>
      </c>
      <c r="M709" t="str">
        <f t="shared" si="101"/>
        <v>Medium</v>
      </c>
      <c r="N709" t="str">
        <f t="shared" si="102"/>
        <v>0-5%</v>
      </c>
      <c r="O709" t="str">
        <f t="shared" si="103"/>
        <v>OK</v>
      </c>
      <c r="P709">
        <f>IFERROR(Full_Data!G709/Full_Data!H709,"Check data")</f>
        <v>0.16250000000000001</v>
      </c>
      <c r="Q709" t="str">
        <f t="shared" si="104"/>
        <v>Match</v>
      </c>
      <c r="R709" t="str">
        <f t="shared" si="105"/>
        <v>Match</v>
      </c>
      <c r="S709" t="str">
        <f t="shared" si="106"/>
        <v>Match</v>
      </c>
    </row>
    <row r="710" spans="1:19" x14ac:dyDescent="0.25">
      <c r="A710" t="s">
        <v>672</v>
      </c>
      <c r="B710">
        <v>8900</v>
      </c>
      <c r="C710">
        <f t="shared" si="107"/>
        <v>89</v>
      </c>
      <c r="D710">
        <v>0</v>
      </c>
      <c r="E710">
        <v>0</v>
      </c>
      <c r="F710">
        <v>8900</v>
      </c>
      <c r="G710">
        <f t="shared" si="99"/>
        <v>89</v>
      </c>
      <c r="H710">
        <v>1000</v>
      </c>
      <c r="I710" s="4">
        <f>Full_Data[[#This Row],[Selling Price]]/Full_Data[[#This Row],[Weight (g)]]</f>
        <v>8.8999999999999996E-2</v>
      </c>
      <c r="J710" t="b">
        <v>1</v>
      </c>
      <c r="K710">
        <v>1</v>
      </c>
      <c r="L710">
        <f t="shared" si="100"/>
        <v>0</v>
      </c>
      <c r="M710" t="str">
        <f t="shared" si="101"/>
        <v>Medium</v>
      </c>
      <c r="N710" t="str">
        <f t="shared" si="102"/>
        <v>0-5%</v>
      </c>
      <c r="O710" t="str">
        <f t="shared" si="103"/>
        <v>OK</v>
      </c>
      <c r="P710">
        <f>IFERROR(Full_Data!G710/Full_Data!H710,"Check data")</f>
        <v>8.8999999999999996E-2</v>
      </c>
      <c r="Q710" t="str">
        <f t="shared" si="104"/>
        <v>Match</v>
      </c>
      <c r="R710" t="str">
        <f t="shared" si="105"/>
        <v>Match</v>
      </c>
      <c r="S710" t="str">
        <f t="shared" si="106"/>
        <v>Match</v>
      </c>
    </row>
    <row r="711" spans="1:19" x14ac:dyDescent="0.25">
      <c r="A711" t="s">
        <v>673</v>
      </c>
      <c r="B711">
        <v>12500</v>
      </c>
      <c r="C711">
        <f t="shared" si="107"/>
        <v>125</v>
      </c>
      <c r="D711">
        <v>5</v>
      </c>
      <c r="E711">
        <v>0</v>
      </c>
      <c r="F711">
        <v>11800</v>
      </c>
      <c r="G711">
        <f t="shared" si="99"/>
        <v>118</v>
      </c>
      <c r="H711">
        <v>200</v>
      </c>
      <c r="I711" s="4">
        <f>Full_Data[[#This Row],[Selling Price]]/Full_Data[[#This Row],[Weight (g)]]</f>
        <v>0.59</v>
      </c>
      <c r="J711" t="b">
        <v>1</v>
      </c>
      <c r="K711">
        <v>200</v>
      </c>
      <c r="L711">
        <f t="shared" si="100"/>
        <v>7</v>
      </c>
      <c r="M711" t="str">
        <f t="shared" si="101"/>
        <v>Medium</v>
      </c>
      <c r="N711" t="str">
        <f t="shared" si="102"/>
        <v>0-5%</v>
      </c>
      <c r="O711" t="str">
        <f t="shared" si="103"/>
        <v>OK</v>
      </c>
      <c r="P711">
        <f>IFERROR(Full_Data!G711/Full_Data!H711,"Check data")</f>
        <v>0.59</v>
      </c>
      <c r="Q711" t="str">
        <f t="shared" si="104"/>
        <v>Match</v>
      </c>
      <c r="R711" t="str">
        <f t="shared" si="105"/>
        <v>Mismatch</v>
      </c>
      <c r="S711" t="str">
        <f t="shared" si="106"/>
        <v>Mismatch</v>
      </c>
    </row>
    <row r="712" spans="1:19" x14ac:dyDescent="0.25">
      <c r="A712" t="s">
        <v>674</v>
      </c>
      <c r="B712">
        <v>18500</v>
      </c>
      <c r="C712">
        <f t="shared" si="107"/>
        <v>185</v>
      </c>
      <c r="D712">
        <v>20</v>
      </c>
      <c r="E712">
        <v>0</v>
      </c>
      <c r="F712">
        <v>14800</v>
      </c>
      <c r="G712">
        <f t="shared" si="99"/>
        <v>148</v>
      </c>
      <c r="H712">
        <v>325</v>
      </c>
      <c r="I712" s="4">
        <f>Full_Data[[#This Row],[Selling Price]]/Full_Data[[#This Row],[Weight (g)]]</f>
        <v>0.45538461538461539</v>
      </c>
      <c r="J712" t="b">
        <v>1</v>
      </c>
      <c r="K712">
        <v>325</v>
      </c>
      <c r="L712">
        <f t="shared" si="100"/>
        <v>37</v>
      </c>
      <c r="M712" t="str">
        <f t="shared" si="101"/>
        <v>Medium</v>
      </c>
      <c r="N712" t="str">
        <f t="shared" si="102"/>
        <v>16-20%</v>
      </c>
      <c r="O712" t="str">
        <f t="shared" si="103"/>
        <v>OK</v>
      </c>
      <c r="P712">
        <f>IFERROR(Full_Data!G712/Full_Data!H712,"Check data")</f>
        <v>0.45538461538461539</v>
      </c>
      <c r="Q712" t="str">
        <f t="shared" si="104"/>
        <v>Match</v>
      </c>
      <c r="R712" t="str">
        <f t="shared" si="105"/>
        <v>Match</v>
      </c>
      <c r="S712" t="str">
        <f t="shared" si="106"/>
        <v>Match</v>
      </c>
    </row>
    <row r="713" spans="1:19" x14ac:dyDescent="0.25">
      <c r="A713" t="s">
        <v>675</v>
      </c>
      <c r="B713">
        <v>8500</v>
      </c>
      <c r="C713">
        <f t="shared" si="107"/>
        <v>85</v>
      </c>
      <c r="D713">
        <v>3</v>
      </c>
      <c r="E713">
        <v>0</v>
      </c>
      <c r="F713">
        <v>8200</v>
      </c>
      <c r="G713">
        <f t="shared" si="99"/>
        <v>82</v>
      </c>
      <c r="H713">
        <v>200</v>
      </c>
      <c r="I713" s="4">
        <f>Full_Data[[#This Row],[Selling Price]]/Full_Data[[#This Row],[Weight (g)]]</f>
        <v>0.41</v>
      </c>
      <c r="J713" t="b">
        <v>1</v>
      </c>
      <c r="K713">
        <v>200</v>
      </c>
      <c r="L713">
        <f t="shared" si="100"/>
        <v>3</v>
      </c>
      <c r="M713" t="str">
        <f t="shared" si="101"/>
        <v>Medium</v>
      </c>
      <c r="N713" t="str">
        <f t="shared" si="102"/>
        <v>0-5%</v>
      </c>
      <c r="O713" t="str">
        <f t="shared" si="103"/>
        <v>OK</v>
      </c>
      <c r="P713">
        <f>IFERROR(Full_Data!G713/Full_Data!H713,"Check data")</f>
        <v>0.41</v>
      </c>
      <c r="Q713" t="str">
        <f t="shared" si="104"/>
        <v>Match</v>
      </c>
      <c r="R713" t="str">
        <f t="shared" si="105"/>
        <v>Mismatch</v>
      </c>
      <c r="S713" t="str">
        <f t="shared" si="106"/>
        <v>Mismatch</v>
      </c>
    </row>
    <row r="714" spans="1:19" x14ac:dyDescent="0.25">
      <c r="A714" t="s">
        <v>676</v>
      </c>
      <c r="B714">
        <v>2000</v>
      </c>
      <c r="C714">
        <f t="shared" si="107"/>
        <v>20</v>
      </c>
      <c r="D714">
        <v>0</v>
      </c>
      <c r="E714">
        <v>0</v>
      </c>
      <c r="F714">
        <v>2000</v>
      </c>
      <c r="G714">
        <f t="shared" si="99"/>
        <v>20</v>
      </c>
      <c r="H714">
        <v>100</v>
      </c>
      <c r="I714" s="4">
        <f>Full_Data[[#This Row],[Selling Price]]/Full_Data[[#This Row],[Weight (g)]]</f>
        <v>0.2</v>
      </c>
      <c r="J714" t="b">
        <v>1</v>
      </c>
      <c r="K714">
        <v>100</v>
      </c>
      <c r="L714">
        <f t="shared" si="100"/>
        <v>0</v>
      </c>
      <c r="M714" t="str">
        <f t="shared" si="101"/>
        <v>Low</v>
      </c>
      <c r="N714" t="str">
        <f t="shared" si="102"/>
        <v>0-5%</v>
      </c>
      <c r="O714" t="str">
        <f t="shared" si="103"/>
        <v>OK</v>
      </c>
      <c r="P714">
        <f>IFERROR(Full_Data!G714/Full_Data!H714,"Check data")</f>
        <v>0.2</v>
      </c>
      <c r="Q714" t="str">
        <f t="shared" si="104"/>
        <v>Match</v>
      </c>
      <c r="R714" t="str">
        <f t="shared" si="105"/>
        <v>Match</v>
      </c>
      <c r="S714" t="str">
        <f t="shared" si="106"/>
        <v>Match</v>
      </c>
    </row>
    <row r="715" spans="1:19" x14ac:dyDescent="0.25">
      <c r="A715" t="s">
        <v>677</v>
      </c>
      <c r="B715">
        <v>10000</v>
      </c>
      <c r="C715">
        <f t="shared" si="107"/>
        <v>100</v>
      </c>
      <c r="D715">
        <v>5</v>
      </c>
      <c r="E715">
        <v>0</v>
      </c>
      <c r="F715">
        <v>9500</v>
      </c>
      <c r="G715">
        <f t="shared" si="99"/>
        <v>95</v>
      </c>
      <c r="H715">
        <v>140</v>
      </c>
      <c r="I715" s="4">
        <f>Full_Data[[#This Row],[Selling Price]]/Full_Data[[#This Row],[Weight (g)]]</f>
        <v>0.6785714285714286</v>
      </c>
      <c r="J715" t="b">
        <v>1</v>
      </c>
      <c r="K715">
        <v>140</v>
      </c>
      <c r="L715">
        <f t="shared" si="100"/>
        <v>5</v>
      </c>
      <c r="M715" t="str">
        <f t="shared" si="101"/>
        <v>Medium</v>
      </c>
      <c r="N715" t="str">
        <f t="shared" si="102"/>
        <v>0-5%</v>
      </c>
      <c r="O715" t="str">
        <f t="shared" si="103"/>
        <v>OK</v>
      </c>
      <c r="P715">
        <f>IFERROR(Full_Data!G715/Full_Data!H715,"Check data")</f>
        <v>0.6785714285714286</v>
      </c>
      <c r="Q715" t="str">
        <f t="shared" si="104"/>
        <v>Match</v>
      </c>
      <c r="R715" t="str">
        <f t="shared" si="105"/>
        <v>Match</v>
      </c>
      <c r="S715" t="str">
        <f t="shared" si="106"/>
        <v>Match</v>
      </c>
    </row>
    <row r="716" spans="1:19" x14ac:dyDescent="0.25">
      <c r="A716" t="s">
        <v>587</v>
      </c>
      <c r="B716">
        <v>3000</v>
      </c>
      <c r="C716">
        <f t="shared" si="107"/>
        <v>30</v>
      </c>
      <c r="D716">
        <v>0</v>
      </c>
      <c r="E716">
        <v>0</v>
      </c>
      <c r="F716">
        <v>3000</v>
      </c>
      <c r="G716">
        <f t="shared" si="99"/>
        <v>30</v>
      </c>
      <c r="H716">
        <v>200</v>
      </c>
      <c r="I716" s="4">
        <f>Full_Data[[#This Row],[Selling Price]]/Full_Data[[#This Row],[Weight (g)]]</f>
        <v>0.15</v>
      </c>
      <c r="J716" t="b">
        <v>1</v>
      </c>
      <c r="K716">
        <v>200</v>
      </c>
      <c r="L716">
        <f t="shared" si="100"/>
        <v>0</v>
      </c>
      <c r="M716" t="str">
        <f t="shared" si="101"/>
        <v>Low</v>
      </c>
      <c r="N716" t="str">
        <f t="shared" si="102"/>
        <v>0-5%</v>
      </c>
      <c r="O716" t="str">
        <f t="shared" si="103"/>
        <v>OK</v>
      </c>
      <c r="P716">
        <f>IFERROR(Full_Data!G716/Full_Data!H716,"Check data")</f>
        <v>0.15</v>
      </c>
      <c r="Q716" t="str">
        <f t="shared" si="104"/>
        <v>Match</v>
      </c>
      <c r="R716" t="str">
        <f t="shared" si="105"/>
        <v>Match</v>
      </c>
      <c r="S716" t="str">
        <f t="shared" si="106"/>
        <v>Match</v>
      </c>
    </row>
    <row r="717" spans="1:19" x14ac:dyDescent="0.25">
      <c r="A717" t="s">
        <v>678</v>
      </c>
      <c r="B717">
        <v>7500</v>
      </c>
      <c r="C717">
        <f t="shared" si="107"/>
        <v>75</v>
      </c>
      <c r="D717">
        <v>17</v>
      </c>
      <c r="E717">
        <v>0</v>
      </c>
      <c r="F717">
        <v>6200</v>
      </c>
      <c r="G717">
        <f t="shared" si="99"/>
        <v>62</v>
      </c>
      <c r="H717">
        <v>348</v>
      </c>
      <c r="I717" s="4">
        <f>Full_Data[[#This Row],[Selling Price]]/Full_Data[[#This Row],[Weight (g)]]</f>
        <v>0.17816091954022989</v>
      </c>
      <c r="J717" t="b">
        <v>1</v>
      </c>
      <c r="K717">
        <v>6</v>
      </c>
      <c r="L717">
        <f t="shared" si="100"/>
        <v>13</v>
      </c>
      <c r="M717" t="str">
        <f t="shared" si="101"/>
        <v>Medium</v>
      </c>
      <c r="N717" t="str">
        <f t="shared" si="102"/>
        <v>16-20%</v>
      </c>
      <c r="O717" t="str">
        <f t="shared" si="103"/>
        <v>OK</v>
      </c>
      <c r="P717">
        <f>IFERROR(Full_Data!G717/Full_Data!H717,"Check data")</f>
        <v>0.17816091954022989</v>
      </c>
      <c r="Q717" t="str">
        <f t="shared" si="104"/>
        <v>Match</v>
      </c>
      <c r="R717" t="str">
        <f t="shared" si="105"/>
        <v>Mismatch</v>
      </c>
      <c r="S717" t="str">
        <f t="shared" si="106"/>
        <v>Match</v>
      </c>
    </row>
    <row r="718" spans="1:19" x14ac:dyDescent="0.25">
      <c r="A718" t="s">
        <v>679</v>
      </c>
      <c r="B718">
        <v>9900</v>
      </c>
      <c r="C718">
        <f t="shared" si="107"/>
        <v>99</v>
      </c>
      <c r="D718">
        <v>11</v>
      </c>
      <c r="E718">
        <v>0</v>
      </c>
      <c r="F718">
        <v>8800</v>
      </c>
      <c r="G718">
        <f t="shared" si="99"/>
        <v>88</v>
      </c>
      <c r="H718">
        <v>162</v>
      </c>
      <c r="I718" s="4">
        <f>Full_Data[[#This Row],[Selling Price]]/Full_Data[[#This Row],[Weight (g)]]</f>
        <v>0.54320987654320985</v>
      </c>
      <c r="J718" t="b">
        <v>1</v>
      </c>
      <c r="K718">
        <v>162</v>
      </c>
      <c r="L718">
        <f t="shared" si="100"/>
        <v>11</v>
      </c>
      <c r="M718" t="str">
        <f t="shared" si="101"/>
        <v>Medium</v>
      </c>
      <c r="N718" t="str">
        <f t="shared" si="102"/>
        <v>11-15%</v>
      </c>
      <c r="O718" t="str">
        <f t="shared" si="103"/>
        <v>OK</v>
      </c>
      <c r="P718">
        <f>IFERROR(Full_Data!G718/Full_Data!H718,"Check data")</f>
        <v>0.54320987654320985</v>
      </c>
      <c r="Q718" t="str">
        <f t="shared" si="104"/>
        <v>Match</v>
      </c>
      <c r="R718" t="str">
        <f t="shared" si="105"/>
        <v>Mismatch</v>
      </c>
      <c r="S718" t="str">
        <f t="shared" si="106"/>
        <v>Match</v>
      </c>
    </row>
    <row r="719" spans="1:19" x14ac:dyDescent="0.25">
      <c r="A719" t="s">
        <v>680</v>
      </c>
      <c r="B719">
        <v>8000</v>
      </c>
      <c r="C719">
        <f t="shared" si="107"/>
        <v>80</v>
      </c>
      <c r="D719">
        <v>0</v>
      </c>
      <c r="E719">
        <v>0</v>
      </c>
      <c r="F719">
        <v>8000</v>
      </c>
      <c r="G719">
        <f t="shared" si="99"/>
        <v>80</v>
      </c>
      <c r="H719">
        <v>200</v>
      </c>
      <c r="I719" s="4">
        <f>Full_Data[[#This Row],[Selling Price]]/Full_Data[[#This Row],[Weight (g)]]</f>
        <v>0.4</v>
      </c>
      <c r="J719" t="b">
        <v>1</v>
      </c>
      <c r="K719">
        <v>200</v>
      </c>
      <c r="L719">
        <f t="shared" si="100"/>
        <v>0</v>
      </c>
      <c r="M719" t="str">
        <f t="shared" si="101"/>
        <v>Medium</v>
      </c>
      <c r="N719" t="str">
        <f t="shared" si="102"/>
        <v>0-5%</v>
      </c>
      <c r="O719" t="str">
        <f t="shared" si="103"/>
        <v>OK</v>
      </c>
      <c r="P719">
        <f>IFERROR(Full_Data!G719/Full_Data!H719,"Check data")</f>
        <v>0.4</v>
      </c>
      <c r="Q719" t="str">
        <f t="shared" si="104"/>
        <v>Match</v>
      </c>
      <c r="R719" t="str">
        <f t="shared" si="105"/>
        <v>Match</v>
      </c>
      <c r="S719" t="str">
        <f t="shared" si="106"/>
        <v>Match</v>
      </c>
    </row>
    <row r="720" spans="1:19" x14ac:dyDescent="0.25">
      <c r="A720" t="s">
        <v>681</v>
      </c>
      <c r="B720">
        <v>7200</v>
      </c>
      <c r="C720">
        <f t="shared" si="107"/>
        <v>72</v>
      </c>
      <c r="D720">
        <v>16</v>
      </c>
      <c r="E720">
        <v>0</v>
      </c>
      <c r="F720">
        <v>6000</v>
      </c>
      <c r="G720">
        <f t="shared" si="99"/>
        <v>60</v>
      </c>
      <c r="H720">
        <v>348</v>
      </c>
      <c r="I720" s="4">
        <f>Full_Data[[#This Row],[Selling Price]]/Full_Data[[#This Row],[Weight (g)]]</f>
        <v>0.17241379310344829</v>
      </c>
      <c r="J720" t="b">
        <v>1</v>
      </c>
      <c r="K720">
        <v>6</v>
      </c>
      <c r="L720">
        <f t="shared" si="100"/>
        <v>12</v>
      </c>
      <c r="M720" t="str">
        <f t="shared" si="101"/>
        <v>Medium</v>
      </c>
      <c r="N720" t="str">
        <f t="shared" si="102"/>
        <v>16-20%</v>
      </c>
      <c r="O720" t="str">
        <f t="shared" si="103"/>
        <v>OK</v>
      </c>
      <c r="P720">
        <f>IFERROR(Full_Data!G720/Full_Data!H720,"Check data")</f>
        <v>0.17241379310344829</v>
      </c>
      <c r="Q720" t="str">
        <f t="shared" si="104"/>
        <v>Match</v>
      </c>
      <c r="R720" t="str">
        <f t="shared" si="105"/>
        <v>Mismatch</v>
      </c>
      <c r="S720" t="str">
        <f t="shared" si="106"/>
        <v>Mismatch</v>
      </c>
    </row>
    <row r="721" spans="1:19" x14ac:dyDescent="0.25">
      <c r="A721" t="s">
        <v>682</v>
      </c>
      <c r="B721">
        <v>29500</v>
      </c>
      <c r="C721">
        <f t="shared" si="107"/>
        <v>295</v>
      </c>
      <c r="D721">
        <v>50</v>
      </c>
      <c r="E721">
        <v>0</v>
      </c>
      <c r="F721">
        <v>14700</v>
      </c>
      <c r="G721">
        <f t="shared" si="99"/>
        <v>147</v>
      </c>
      <c r="H721">
        <v>200</v>
      </c>
      <c r="I721" s="4">
        <f>Full_Data[[#This Row],[Selling Price]]/Full_Data[[#This Row],[Weight (g)]]</f>
        <v>0.73499999999999999</v>
      </c>
      <c r="J721" t="b">
        <v>1</v>
      </c>
      <c r="K721">
        <v>200</v>
      </c>
      <c r="L721">
        <f t="shared" si="100"/>
        <v>148</v>
      </c>
      <c r="M721" t="str">
        <f t="shared" si="101"/>
        <v>Medium</v>
      </c>
      <c r="N721" t="str">
        <f t="shared" si="102"/>
        <v>21%+</v>
      </c>
      <c r="O721" t="str">
        <f t="shared" si="103"/>
        <v>OK</v>
      </c>
      <c r="P721">
        <f>IFERROR(Full_Data!G721/Full_Data!H721,"Check data")</f>
        <v>0.73499999999999999</v>
      </c>
      <c r="Q721" t="str">
        <f t="shared" si="104"/>
        <v>Match</v>
      </c>
      <c r="R721" t="str">
        <f t="shared" si="105"/>
        <v>Mismatch</v>
      </c>
      <c r="S721" t="str">
        <f t="shared" si="106"/>
        <v>Match</v>
      </c>
    </row>
    <row r="722" spans="1:19" x14ac:dyDescent="0.25">
      <c r="A722" t="s">
        <v>683</v>
      </c>
      <c r="B722">
        <v>8000</v>
      </c>
      <c r="C722">
        <f t="shared" si="107"/>
        <v>80</v>
      </c>
      <c r="D722">
        <v>10</v>
      </c>
      <c r="E722">
        <v>4</v>
      </c>
      <c r="F722">
        <v>7200</v>
      </c>
      <c r="G722">
        <f t="shared" si="99"/>
        <v>72</v>
      </c>
      <c r="H722">
        <v>400</v>
      </c>
      <c r="I722" s="4">
        <f>Full_Data[[#This Row],[Selling Price]]/Full_Data[[#This Row],[Weight (g)]]</f>
        <v>0.18</v>
      </c>
      <c r="J722" t="b">
        <v>0</v>
      </c>
      <c r="K722">
        <v>400</v>
      </c>
      <c r="L722">
        <f t="shared" si="100"/>
        <v>8</v>
      </c>
      <c r="M722" t="str">
        <f t="shared" si="101"/>
        <v>Medium</v>
      </c>
      <c r="N722" t="str">
        <f t="shared" si="102"/>
        <v>6-10%</v>
      </c>
      <c r="O722" t="str">
        <f t="shared" si="103"/>
        <v>OK</v>
      </c>
      <c r="P722">
        <f>IFERROR(Full_Data!G722/Full_Data!H722,"Check data")</f>
        <v>0.18</v>
      </c>
      <c r="Q722" t="str">
        <f t="shared" si="104"/>
        <v>Match</v>
      </c>
      <c r="R722" t="str">
        <f t="shared" si="105"/>
        <v>Match</v>
      </c>
      <c r="S722" t="str">
        <f t="shared" si="106"/>
        <v>Match</v>
      </c>
    </row>
    <row r="723" spans="1:19" x14ac:dyDescent="0.25">
      <c r="A723" t="s">
        <v>684</v>
      </c>
      <c r="B723">
        <v>8000</v>
      </c>
      <c r="C723">
        <f t="shared" si="107"/>
        <v>80</v>
      </c>
      <c r="D723">
        <v>12</v>
      </c>
      <c r="E723">
        <v>6</v>
      </c>
      <c r="F723">
        <v>7000</v>
      </c>
      <c r="G723">
        <f t="shared" si="99"/>
        <v>70</v>
      </c>
      <c r="H723">
        <v>400</v>
      </c>
      <c r="I723" s="4">
        <f>Full_Data[[#This Row],[Selling Price]]/Full_Data[[#This Row],[Weight (g)]]</f>
        <v>0.17499999999999999</v>
      </c>
      <c r="J723" t="b">
        <v>0</v>
      </c>
      <c r="K723">
        <v>400</v>
      </c>
      <c r="L723">
        <f t="shared" si="100"/>
        <v>10</v>
      </c>
      <c r="M723" t="str">
        <f t="shared" si="101"/>
        <v>Medium</v>
      </c>
      <c r="N723" t="str">
        <f t="shared" si="102"/>
        <v>11-15%</v>
      </c>
      <c r="O723" t="str">
        <f t="shared" si="103"/>
        <v>OK</v>
      </c>
      <c r="P723">
        <f>IFERROR(Full_Data!G723/Full_Data!H723,"Check data")</f>
        <v>0.17499999999999999</v>
      </c>
      <c r="Q723" t="str">
        <f t="shared" si="104"/>
        <v>Match</v>
      </c>
      <c r="R723" t="str">
        <f t="shared" si="105"/>
        <v>Mismatch</v>
      </c>
      <c r="S723" t="str">
        <f t="shared" si="106"/>
        <v>Mismatch</v>
      </c>
    </row>
    <row r="724" spans="1:19" x14ac:dyDescent="0.25">
      <c r="A724" t="s">
        <v>685</v>
      </c>
      <c r="B724">
        <v>11000</v>
      </c>
      <c r="C724">
        <f t="shared" si="107"/>
        <v>110</v>
      </c>
      <c r="D724">
        <v>4</v>
      </c>
      <c r="E724">
        <v>6</v>
      </c>
      <c r="F724">
        <v>10500</v>
      </c>
      <c r="G724">
        <f t="shared" si="99"/>
        <v>105</v>
      </c>
      <c r="H724">
        <v>400</v>
      </c>
      <c r="I724" s="4">
        <f>Full_Data[[#This Row],[Selling Price]]/Full_Data[[#This Row],[Weight (g)]]</f>
        <v>0.26250000000000001</v>
      </c>
      <c r="J724" t="b">
        <v>0</v>
      </c>
      <c r="K724">
        <v>400</v>
      </c>
      <c r="L724">
        <f t="shared" si="100"/>
        <v>5</v>
      </c>
      <c r="M724" t="str">
        <f t="shared" si="101"/>
        <v>Medium</v>
      </c>
      <c r="N724" t="str">
        <f t="shared" si="102"/>
        <v>0-5%</v>
      </c>
      <c r="O724" t="str">
        <f t="shared" si="103"/>
        <v>OK</v>
      </c>
      <c r="P724">
        <f>IFERROR(Full_Data!G724/Full_Data!H724,"Check data")</f>
        <v>0.26250000000000001</v>
      </c>
      <c r="Q724" t="str">
        <f t="shared" si="104"/>
        <v>Match</v>
      </c>
      <c r="R724" t="str">
        <f t="shared" si="105"/>
        <v>Mismatch</v>
      </c>
      <c r="S724" t="str">
        <f t="shared" si="106"/>
        <v>Mismatch</v>
      </c>
    </row>
    <row r="725" spans="1:19" x14ac:dyDescent="0.25">
      <c r="A725" t="s">
        <v>686</v>
      </c>
      <c r="B725">
        <v>12000</v>
      </c>
      <c r="C725">
        <f t="shared" si="107"/>
        <v>120</v>
      </c>
      <c r="D725">
        <v>5</v>
      </c>
      <c r="E725">
        <v>6</v>
      </c>
      <c r="F725">
        <v>11400</v>
      </c>
      <c r="G725">
        <f t="shared" si="99"/>
        <v>114</v>
      </c>
      <c r="H725">
        <v>415</v>
      </c>
      <c r="I725" s="4">
        <f>Full_Data[[#This Row],[Selling Price]]/Full_Data[[#This Row],[Weight (g)]]</f>
        <v>0.27469879518072288</v>
      </c>
      <c r="J725" t="b">
        <v>0</v>
      </c>
      <c r="K725">
        <v>415</v>
      </c>
      <c r="L725">
        <f t="shared" si="100"/>
        <v>6</v>
      </c>
      <c r="M725" t="str">
        <f t="shared" si="101"/>
        <v>Medium</v>
      </c>
      <c r="N725" t="str">
        <f t="shared" si="102"/>
        <v>0-5%</v>
      </c>
      <c r="O725" t="str">
        <f t="shared" si="103"/>
        <v>OK</v>
      </c>
      <c r="P725">
        <f>IFERROR(Full_Data!G725/Full_Data!H725,"Check data")</f>
        <v>0.27469879518072288</v>
      </c>
      <c r="Q725" t="str">
        <f t="shared" si="104"/>
        <v>Match</v>
      </c>
      <c r="R725" t="str">
        <f t="shared" si="105"/>
        <v>Match</v>
      </c>
      <c r="S725" t="str">
        <f t="shared" si="106"/>
        <v>Match</v>
      </c>
    </row>
    <row r="726" spans="1:19" x14ac:dyDescent="0.25">
      <c r="A726" t="s">
        <v>687</v>
      </c>
      <c r="B726">
        <v>11500</v>
      </c>
      <c r="C726">
        <f t="shared" si="107"/>
        <v>115</v>
      </c>
      <c r="D726">
        <v>3</v>
      </c>
      <c r="E726">
        <v>6</v>
      </c>
      <c r="F726">
        <v>11100</v>
      </c>
      <c r="G726">
        <f t="shared" si="99"/>
        <v>111</v>
      </c>
      <c r="H726">
        <v>360</v>
      </c>
      <c r="I726" s="4">
        <f>Full_Data[[#This Row],[Selling Price]]/Full_Data[[#This Row],[Weight (g)]]</f>
        <v>0.30833333333333335</v>
      </c>
      <c r="J726" t="b">
        <v>0</v>
      </c>
      <c r="K726">
        <v>360</v>
      </c>
      <c r="L726">
        <f t="shared" si="100"/>
        <v>4</v>
      </c>
      <c r="M726" t="str">
        <f t="shared" si="101"/>
        <v>Medium</v>
      </c>
      <c r="N726" t="str">
        <f t="shared" si="102"/>
        <v>0-5%</v>
      </c>
      <c r="O726" t="str">
        <f t="shared" si="103"/>
        <v>OK</v>
      </c>
      <c r="P726">
        <f>IFERROR(Full_Data!G726/Full_Data!H726,"Check data")</f>
        <v>0.30833333333333335</v>
      </c>
      <c r="Q726" t="str">
        <f t="shared" si="104"/>
        <v>Match</v>
      </c>
      <c r="R726" t="str">
        <f t="shared" si="105"/>
        <v>Mismatch</v>
      </c>
      <c r="S726" t="str">
        <f t="shared" si="106"/>
        <v>Match</v>
      </c>
    </row>
    <row r="727" spans="1:19" x14ac:dyDescent="0.25">
      <c r="A727" t="s">
        <v>688</v>
      </c>
      <c r="B727">
        <v>11700</v>
      </c>
      <c r="C727">
        <f t="shared" si="107"/>
        <v>117</v>
      </c>
      <c r="D727">
        <v>5</v>
      </c>
      <c r="E727">
        <v>6</v>
      </c>
      <c r="F727">
        <v>11100</v>
      </c>
      <c r="G727">
        <f t="shared" si="99"/>
        <v>111</v>
      </c>
      <c r="H727">
        <v>400</v>
      </c>
      <c r="I727" s="4">
        <f>Full_Data[[#This Row],[Selling Price]]/Full_Data[[#This Row],[Weight (g)]]</f>
        <v>0.27750000000000002</v>
      </c>
      <c r="J727" t="b">
        <v>0</v>
      </c>
      <c r="K727">
        <v>400</v>
      </c>
      <c r="L727">
        <f t="shared" si="100"/>
        <v>6</v>
      </c>
      <c r="M727" t="str">
        <f t="shared" si="101"/>
        <v>Medium</v>
      </c>
      <c r="N727" t="str">
        <f t="shared" si="102"/>
        <v>0-5%</v>
      </c>
      <c r="O727" t="str">
        <f t="shared" si="103"/>
        <v>OK</v>
      </c>
      <c r="P727">
        <f>IFERROR(Full_Data!G727/Full_Data!H727,"Check data")</f>
        <v>0.27750000000000002</v>
      </c>
      <c r="Q727" t="str">
        <f t="shared" si="104"/>
        <v>Match</v>
      </c>
      <c r="R727" t="str">
        <f t="shared" si="105"/>
        <v>Mismatch</v>
      </c>
      <c r="S727" t="str">
        <f t="shared" si="106"/>
        <v>Match</v>
      </c>
    </row>
    <row r="728" spans="1:19" x14ac:dyDescent="0.25">
      <c r="A728" t="s">
        <v>689</v>
      </c>
      <c r="B728">
        <v>3500</v>
      </c>
      <c r="C728">
        <f t="shared" si="107"/>
        <v>35</v>
      </c>
      <c r="D728">
        <v>2</v>
      </c>
      <c r="E728">
        <v>2</v>
      </c>
      <c r="F728">
        <v>3400</v>
      </c>
      <c r="G728">
        <f t="shared" si="99"/>
        <v>34</v>
      </c>
      <c r="H728">
        <v>85</v>
      </c>
      <c r="I728" s="4">
        <f>Full_Data[[#This Row],[Selling Price]]/Full_Data[[#This Row],[Weight (g)]]</f>
        <v>0.4</v>
      </c>
      <c r="J728" t="b">
        <v>0</v>
      </c>
      <c r="K728">
        <v>85</v>
      </c>
      <c r="L728">
        <f t="shared" si="100"/>
        <v>1</v>
      </c>
      <c r="M728" t="str">
        <f t="shared" si="101"/>
        <v>Low</v>
      </c>
      <c r="N728" t="str">
        <f t="shared" si="102"/>
        <v>0-5%</v>
      </c>
      <c r="O728" t="str">
        <f t="shared" si="103"/>
        <v>OK</v>
      </c>
      <c r="P728">
        <f>IFERROR(Full_Data!G728/Full_Data!H728,"Check data")</f>
        <v>0.4</v>
      </c>
      <c r="Q728" t="str">
        <f t="shared" si="104"/>
        <v>Match</v>
      </c>
      <c r="R728" t="str">
        <f t="shared" si="105"/>
        <v>Mismatch</v>
      </c>
      <c r="S728" t="str">
        <f t="shared" si="106"/>
        <v>Mismatch</v>
      </c>
    </row>
    <row r="729" spans="1:19" x14ac:dyDescent="0.25">
      <c r="A729" t="s">
        <v>690</v>
      </c>
      <c r="B729">
        <v>12500</v>
      </c>
      <c r="C729">
        <f t="shared" si="107"/>
        <v>125</v>
      </c>
      <c r="D729">
        <v>5</v>
      </c>
      <c r="E729">
        <v>1</v>
      </c>
      <c r="F729">
        <v>11800</v>
      </c>
      <c r="G729">
        <f t="shared" si="99"/>
        <v>118</v>
      </c>
      <c r="H729">
        <v>420</v>
      </c>
      <c r="I729" s="4">
        <f>Full_Data[[#This Row],[Selling Price]]/Full_Data[[#This Row],[Weight (g)]]</f>
        <v>0.28095238095238095</v>
      </c>
      <c r="J729" t="b">
        <v>0</v>
      </c>
      <c r="K729">
        <v>420</v>
      </c>
      <c r="L729">
        <f t="shared" si="100"/>
        <v>7</v>
      </c>
      <c r="M729" t="str">
        <f t="shared" si="101"/>
        <v>Medium</v>
      </c>
      <c r="N729" t="str">
        <f t="shared" si="102"/>
        <v>0-5%</v>
      </c>
      <c r="O729" t="str">
        <f t="shared" si="103"/>
        <v>OK</v>
      </c>
      <c r="P729">
        <f>IFERROR(Full_Data!G729/Full_Data!H729,"Check data")</f>
        <v>0.28095238095238095</v>
      </c>
      <c r="Q729" t="str">
        <f t="shared" si="104"/>
        <v>Match</v>
      </c>
      <c r="R729" t="str">
        <f t="shared" si="105"/>
        <v>Mismatch</v>
      </c>
      <c r="S729" t="str">
        <f t="shared" si="106"/>
        <v>Mismatch</v>
      </c>
    </row>
    <row r="730" spans="1:19" x14ac:dyDescent="0.25">
      <c r="A730" t="s">
        <v>691</v>
      </c>
      <c r="B730">
        <v>7900</v>
      </c>
      <c r="C730">
        <f t="shared" si="107"/>
        <v>79</v>
      </c>
      <c r="D730">
        <v>11</v>
      </c>
      <c r="E730">
        <v>5</v>
      </c>
      <c r="F730">
        <v>7000</v>
      </c>
      <c r="G730">
        <f t="shared" si="99"/>
        <v>70</v>
      </c>
      <c r="H730">
        <v>250</v>
      </c>
      <c r="I730" s="4">
        <f>Full_Data[[#This Row],[Selling Price]]/Full_Data[[#This Row],[Weight (g)]]</f>
        <v>0.28000000000000003</v>
      </c>
      <c r="J730" t="b">
        <v>0</v>
      </c>
      <c r="K730">
        <v>250</v>
      </c>
      <c r="L730">
        <f t="shared" si="100"/>
        <v>9</v>
      </c>
      <c r="M730" t="str">
        <f t="shared" si="101"/>
        <v>Medium</v>
      </c>
      <c r="N730" t="str">
        <f t="shared" si="102"/>
        <v>11-15%</v>
      </c>
      <c r="O730" t="str">
        <f t="shared" si="103"/>
        <v>OK</v>
      </c>
      <c r="P730">
        <f>IFERROR(Full_Data!G730/Full_Data!H730,"Check data")</f>
        <v>0.28000000000000003</v>
      </c>
      <c r="Q730" t="str">
        <f t="shared" si="104"/>
        <v>Match</v>
      </c>
      <c r="R730" t="str">
        <f t="shared" si="105"/>
        <v>Mismatch</v>
      </c>
      <c r="S730" t="str">
        <f t="shared" si="106"/>
        <v>Match</v>
      </c>
    </row>
    <row r="731" spans="1:19" x14ac:dyDescent="0.25">
      <c r="A731" t="s">
        <v>692</v>
      </c>
      <c r="B731">
        <v>7500</v>
      </c>
      <c r="C731">
        <f t="shared" si="107"/>
        <v>75</v>
      </c>
      <c r="D731">
        <v>13</v>
      </c>
      <c r="E731">
        <v>5</v>
      </c>
      <c r="F731">
        <v>6500</v>
      </c>
      <c r="G731">
        <f t="shared" si="99"/>
        <v>65</v>
      </c>
      <c r="H731">
        <v>280</v>
      </c>
      <c r="I731" s="4">
        <f>Full_Data[[#This Row],[Selling Price]]/Full_Data[[#This Row],[Weight (g)]]</f>
        <v>0.23214285714285715</v>
      </c>
      <c r="J731" t="b">
        <v>0</v>
      </c>
      <c r="K731">
        <v>280</v>
      </c>
      <c r="L731">
        <f t="shared" si="100"/>
        <v>10</v>
      </c>
      <c r="M731" t="str">
        <f t="shared" si="101"/>
        <v>Medium</v>
      </c>
      <c r="N731" t="str">
        <f t="shared" si="102"/>
        <v>11-15%</v>
      </c>
      <c r="O731" t="str">
        <f t="shared" si="103"/>
        <v>OK</v>
      </c>
      <c r="P731">
        <f>IFERROR(Full_Data!G731/Full_Data!H731,"Check data")</f>
        <v>0.23214285714285715</v>
      </c>
      <c r="Q731" t="str">
        <f t="shared" si="104"/>
        <v>Match</v>
      </c>
      <c r="R731" t="str">
        <f t="shared" si="105"/>
        <v>Mismatch</v>
      </c>
      <c r="S731" t="str">
        <f t="shared" si="106"/>
        <v>Match</v>
      </c>
    </row>
    <row r="732" spans="1:19" x14ac:dyDescent="0.25">
      <c r="A732" t="s">
        <v>693</v>
      </c>
      <c r="B732">
        <v>4000</v>
      </c>
      <c r="C732">
        <f t="shared" si="107"/>
        <v>40</v>
      </c>
      <c r="D732">
        <v>17</v>
      </c>
      <c r="E732">
        <v>4</v>
      </c>
      <c r="F732">
        <v>3300</v>
      </c>
      <c r="G732">
        <f t="shared" si="99"/>
        <v>33</v>
      </c>
      <c r="H732">
        <v>30</v>
      </c>
      <c r="I732" s="4">
        <f>Full_Data[[#This Row],[Selling Price]]/Full_Data[[#This Row],[Weight (g)]]</f>
        <v>1.1000000000000001</v>
      </c>
      <c r="J732" t="b">
        <v>0</v>
      </c>
      <c r="K732">
        <v>30</v>
      </c>
      <c r="L732">
        <f t="shared" si="100"/>
        <v>7</v>
      </c>
      <c r="M732" t="str">
        <f t="shared" si="101"/>
        <v>Low</v>
      </c>
      <c r="N732" t="str">
        <f t="shared" si="102"/>
        <v>16-20%</v>
      </c>
      <c r="O732" t="str">
        <f t="shared" si="103"/>
        <v>OK</v>
      </c>
      <c r="P732">
        <f>IFERROR(Full_Data!G732/Full_Data!H732,"Check data")</f>
        <v>1.1000000000000001</v>
      </c>
      <c r="Q732" t="str">
        <f t="shared" si="104"/>
        <v>Match</v>
      </c>
      <c r="R732" t="str">
        <f t="shared" si="105"/>
        <v>Mismatch</v>
      </c>
      <c r="S732" t="str">
        <f t="shared" si="106"/>
        <v>Mismatch</v>
      </c>
    </row>
    <row r="733" spans="1:19" x14ac:dyDescent="0.25">
      <c r="A733" t="s">
        <v>694</v>
      </c>
      <c r="B733">
        <v>12000</v>
      </c>
      <c r="C733">
        <f t="shared" si="107"/>
        <v>120</v>
      </c>
      <c r="D733">
        <v>5</v>
      </c>
      <c r="E733">
        <v>1</v>
      </c>
      <c r="F733">
        <v>11400</v>
      </c>
      <c r="G733">
        <f t="shared" si="99"/>
        <v>114</v>
      </c>
      <c r="H733">
        <v>420</v>
      </c>
      <c r="I733" s="4">
        <f>Full_Data[[#This Row],[Selling Price]]/Full_Data[[#This Row],[Weight (g)]]</f>
        <v>0.27142857142857141</v>
      </c>
      <c r="J733" t="b">
        <v>0</v>
      </c>
      <c r="K733">
        <v>420</v>
      </c>
      <c r="L733">
        <f t="shared" si="100"/>
        <v>6</v>
      </c>
      <c r="M733" t="str">
        <f t="shared" si="101"/>
        <v>Medium</v>
      </c>
      <c r="N733" t="str">
        <f t="shared" si="102"/>
        <v>0-5%</v>
      </c>
      <c r="O733" t="str">
        <f t="shared" si="103"/>
        <v>OK</v>
      </c>
      <c r="P733">
        <f>IFERROR(Full_Data!G733/Full_Data!H733,"Check data")</f>
        <v>0.27142857142857141</v>
      </c>
      <c r="Q733" t="str">
        <f t="shared" si="104"/>
        <v>Match</v>
      </c>
      <c r="R733" t="str">
        <f t="shared" si="105"/>
        <v>Match</v>
      </c>
      <c r="S733" t="str">
        <f t="shared" si="106"/>
        <v>Match</v>
      </c>
    </row>
    <row r="734" spans="1:19" x14ac:dyDescent="0.25">
      <c r="A734" t="s">
        <v>695</v>
      </c>
      <c r="B734">
        <v>1000</v>
      </c>
      <c r="C734">
        <f t="shared" si="107"/>
        <v>10</v>
      </c>
      <c r="D734">
        <v>0</v>
      </c>
      <c r="E734">
        <v>1</v>
      </c>
      <c r="F734">
        <v>1000</v>
      </c>
      <c r="G734">
        <f t="shared" si="99"/>
        <v>10</v>
      </c>
      <c r="H734">
        <v>15</v>
      </c>
      <c r="I734" s="4">
        <f>Full_Data[[#This Row],[Selling Price]]/Full_Data[[#This Row],[Weight (g)]]</f>
        <v>0.66666666666666663</v>
      </c>
      <c r="J734" t="b">
        <v>0</v>
      </c>
      <c r="K734">
        <v>15</v>
      </c>
      <c r="L734">
        <f t="shared" si="100"/>
        <v>0</v>
      </c>
      <c r="M734" t="str">
        <f t="shared" si="101"/>
        <v>Low</v>
      </c>
      <c r="N734" t="str">
        <f t="shared" si="102"/>
        <v>0-5%</v>
      </c>
      <c r="O734" t="str">
        <f t="shared" si="103"/>
        <v>OK</v>
      </c>
      <c r="P734">
        <f>IFERROR(Full_Data!G734/Full_Data!H734,"Check data")</f>
        <v>0.66666666666666663</v>
      </c>
      <c r="Q734" t="str">
        <f t="shared" si="104"/>
        <v>Match</v>
      </c>
      <c r="R734" t="str">
        <f t="shared" si="105"/>
        <v>Match</v>
      </c>
      <c r="S734" t="str">
        <f t="shared" si="106"/>
        <v>Match</v>
      </c>
    </row>
    <row r="735" spans="1:19" x14ac:dyDescent="0.25">
      <c r="A735" t="s">
        <v>696</v>
      </c>
      <c r="B735">
        <v>13000</v>
      </c>
      <c r="C735">
        <f t="shared" si="107"/>
        <v>130</v>
      </c>
      <c r="D735">
        <v>4</v>
      </c>
      <c r="E735">
        <v>6</v>
      </c>
      <c r="F735">
        <v>12400</v>
      </c>
      <c r="G735">
        <f t="shared" si="99"/>
        <v>124</v>
      </c>
      <c r="H735">
        <v>250</v>
      </c>
      <c r="I735" s="4">
        <f>Full_Data[[#This Row],[Selling Price]]/Full_Data[[#This Row],[Weight (g)]]</f>
        <v>0.496</v>
      </c>
      <c r="J735" t="b">
        <v>0</v>
      </c>
      <c r="K735">
        <v>250</v>
      </c>
      <c r="L735">
        <f t="shared" si="100"/>
        <v>6</v>
      </c>
      <c r="M735" t="str">
        <f t="shared" si="101"/>
        <v>Medium</v>
      </c>
      <c r="N735" t="str">
        <f t="shared" si="102"/>
        <v>0-5%</v>
      </c>
      <c r="O735" t="str">
        <f t="shared" si="103"/>
        <v>OK</v>
      </c>
      <c r="P735">
        <f>IFERROR(Full_Data!G735/Full_Data!H735,"Check data")</f>
        <v>0.496</v>
      </c>
      <c r="Q735" t="str">
        <f t="shared" si="104"/>
        <v>Match</v>
      </c>
      <c r="R735" t="str">
        <f t="shared" si="105"/>
        <v>Mismatch</v>
      </c>
      <c r="S735" t="str">
        <f t="shared" si="106"/>
        <v>Mismatch</v>
      </c>
    </row>
    <row r="736" spans="1:19" x14ac:dyDescent="0.25">
      <c r="A736" t="s">
        <v>697</v>
      </c>
      <c r="B736">
        <v>12000</v>
      </c>
      <c r="C736">
        <f t="shared" si="107"/>
        <v>120</v>
      </c>
      <c r="D736">
        <v>5</v>
      </c>
      <c r="E736">
        <v>3</v>
      </c>
      <c r="F736">
        <v>11400</v>
      </c>
      <c r="G736">
        <f t="shared" si="99"/>
        <v>114</v>
      </c>
      <c r="H736">
        <v>375</v>
      </c>
      <c r="I736" s="4">
        <f>Full_Data[[#This Row],[Selling Price]]/Full_Data[[#This Row],[Weight (g)]]</f>
        <v>0.30399999999999999</v>
      </c>
      <c r="J736" t="b">
        <v>0</v>
      </c>
      <c r="K736">
        <v>375</v>
      </c>
      <c r="L736">
        <f t="shared" si="100"/>
        <v>6</v>
      </c>
      <c r="M736" t="str">
        <f t="shared" si="101"/>
        <v>Medium</v>
      </c>
      <c r="N736" t="str">
        <f t="shared" si="102"/>
        <v>0-5%</v>
      </c>
      <c r="O736" t="str">
        <f t="shared" si="103"/>
        <v>OK</v>
      </c>
      <c r="P736">
        <f>IFERROR(Full_Data!G736/Full_Data!H736,"Check data")</f>
        <v>0.30399999999999999</v>
      </c>
      <c r="Q736" t="str">
        <f t="shared" si="104"/>
        <v>Match</v>
      </c>
      <c r="R736" t="str">
        <f t="shared" si="105"/>
        <v>Match</v>
      </c>
      <c r="S736" t="str">
        <f t="shared" si="106"/>
        <v>Match</v>
      </c>
    </row>
    <row r="737" spans="1:19" x14ac:dyDescent="0.25">
      <c r="A737" t="s">
        <v>698</v>
      </c>
      <c r="B737">
        <v>1500</v>
      </c>
      <c r="C737">
        <f t="shared" si="107"/>
        <v>15</v>
      </c>
      <c r="D737">
        <v>0</v>
      </c>
      <c r="E737">
        <v>6</v>
      </c>
      <c r="F737">
        <v>1500</v>
      </c>
      <c r="G737">
        <f t="shared" si="99"/>
        <v>15</v>
      </c>
      <c r="H737">
        <v>20</v>
      </c>
      <c r="I737" s="4">
        <f>Full_Data[[#This Row],[Selling Price]]/Full_Data[[#This Row],[Weight (g)]]</f>
        <v>0.75</v>
      </c>
      <c r="J737" t="b">
        <v>0</v>
      </c>
      <c r="K737">
        <v>20</v>
      </c>
      <c r="L737">
        <f t="shared" si="100"/>
        <v>0</v>
      </c>
      <c r="M737" t="str">
        <f t="shared" si="101"/>
        <v>Low</v>
      </c>
      <c r="N737" t="str">
        <f t="shared" si="102"/>
        <v>0-5%</v>
      </c>
      <c r="O737" t="str">
        <f t="shared" si="103"/>
        <v>OK</v>
      </c>
      <c r="P737">
        <f>IFERROR(Full_Data!G737/Full_Data!H737,"Check data")</f>
        <v>0.75</v>
      </c>
      <c r="Q737" t="str">
        <f t="shared" si="104"/>
        <v>Match</v>
      </c>
      <c r="R737" t="str">
        <f t="shared" si="105"/>
        <v>Match</v>
      </c>
      <c r="S737" t="str">
        <f t="shared" si="106"/>
        <v>Match</v>
      </c>
    </row>
    <row r="738" spans="1:19" x14ac:dyDescent="0.25">
      <c r="A738" t="s">
        <v>699</v>
      </c>
      <c r="B738">
        <v>13000</v>
      </c>
      <c r="C738">
        <f t="shared" si="107"/>
        <v>130</v>
      </c>
      <c r="D738">
        <v>4</v>
      </c>
      <c r="E738">
        <v>1</v>
      </c>
      <c r="F738">
        <v>12400</v>
      </c>
      <c r="G738">
        <f t="shared" si="99"/>
        <v>124</v>
      </c>
      <c r="H738">
        <v>250</v>
      </c>
      <c r="I738" s="4">
        <f>Full_Data[[#This Row],[Selling Price]]/Full_Data[[#This Row],[Weight (g)]]</f>
        <v>0.496</v>
      </c>
      <c r="J738" t="b">
        <v>0</v>
      </c>
      <c r="K738">
        <v>250</v>
      </c>
      <c r="L738">
        <f t="shared" si="100"/>
        <v>6</v>
      </c>
      <c r="M738" t="str">
        <f t="shared" si="101"/>
        <v>Medium</v>
      </c>
      <c r="N738" t="str">
        <f t="shared" si="102"/>
        <v>0-5%</v>
      </c>
      <c r="O738" t="str">
        <f t="shared" si="103"/>
        <v>OK</v>
      </c>
      <c r="P738">
        <f>IFERROR(Full_Data!G738/Full_Data!H738,"Check data")</f>
        <v>0.496</v>
      </c>
      <c r="Q738" t="str">
        <f t="shared" si="104"/>
        <v>Match</v>
      </c>
      <c r="R738" t="str">
        <f t="shared" si="105"/>
        <v>Mismatch</v>
      </c>
      <c r="S738" t="str">
        <f t="shared" si="106"/>
        <v>Mismatch</v>
      </c>
    </row>
    <row r="739" spans="1:19" x14ac:dyDescent="0.25">
      <c r="A739" t="s">
        <v>700</v>
      </c>
      <c r="B739">
        <v>43000</v>
      </c>
      <c r="C739">
        <f t="shared" si="107"/>
        <v>430</v>
      </c>
      <c r="D739">
        <v>10</v>
      </c>
      <c r="E739">
        <v>6</v>
      </c>
      <c r="F739">
        <v>38700</v>
      </c>
      <c r="G739">
        <f t="shared" si="99"/>
        <v>387</v>
      </c>
      <c r="H739">
        <v>1200</v>
      </c>
      <c r="I739" s="4">
        <f>Full_Data[[#This Row],[Selling Price]]/Full_Data[[#This Row],[Weight (g)]]</f>
        <v>0.32250000000000001</v>
      </c>
      <c r="J739" t="b">
        <v>0</v>
      </c>
      <c r="K739">
        <v>1</v>
      </c>
      <c r="L739">
        <f t="shared" si="100"/>
        <v>43</v>
      </c>
      <c r="M739" t="str">
        <f t="shared" si="101"/>
        <v>High</v>
      </c>
      <c r="N739" t="str">
        <f t="shared" si="102"/>
        <v>6-10%</v>
      </c>
      <c r="O739" t="str">
        <f t="shared" si="103"/>
        <v>OK</v>
      </c>
      <c r="P739">
        <f>IFERROR(Full_Data!G739/Full_Data!H739,"Check data")</f>
        <v>0.32250000000000001</v>
      </c>
      <c r="Q739" t="str">
        <f t="shared" si="104"/>
        <v>Match</v>
      </c>
      <c r="R739" t="str">
        <f t="shared" si="105"/>
        <v>Match</v>
      </c>
      <c r="S739" t="str">
        <f t="shared" si="106"/>
        <v>Match</v>
      </c>
    </row>
    <row r="740" spans="1:19" x14ac:dyDescent="0.25">
      <c r="A740" t="s">
        <v>701</v>
      </c>
      <c r="B740">
        <v>1000</v>
      </c>
      <c r="C740">
        <f t="shared" si="107"/>
        <v>10</v>
      </c>
      <c r="D740">
        <v>0</v>
      </c>
      <c r="E740">
        <v>1</v>
      </c>
      <c r="F740">
        <v>1000</v>
      </c>
      <c r="G740">
        <f t="shared" si="99"/>
        <v>10</v>
      </c>
      <c r="H740">
        <v>15</v>
      </c>
      <c r="I740" s="4">
        <f>Full_Data[[#This Row],[Selling Price]]/Full_Data[[#This Row],[Weight (g)]]</f>
        <v>0.66666666666666663</v>
      </c>
      <c r="J740" t="b">
        <v>0</v>
      </c>
      <c r="K740">
        <v>15</v>
      </c>
      <c r="L740">
        <f t="shared" si="100"/>
        <v>0</v>
      </c>
      <c r="M740" t="str">
        <f t="shared" si="101"/>
        <v>Low</v>
      </c>
      <c r="N740" t="str">
        <f t="shared" si="102"/>
        <v>0-5%</v>
      </c>
      <c r="O740" t="str">
        <f t="shared" si="103"/>
        <v>OK</v>
      </c>
      <c r="P740">
        <f>IFERROR(Full_Data!G740/Full_Data!H740,"Check data")</f>
        <v>0.66666666666666663</v>
      </c>
      <c r="Q740" t="str">
        <f t="shared" si="104"/>
        <v>Match</v>
      </c>
      <c r="R740" t="str">
        <f t="shared" si="105"/>
        <v>Match</v>
      </c>
      <c r="S740" t="str">
        <f t="shared" si="106"/>
        <v>Match</v>
      </c>
    </row>
    <row r="741" spans="1:19" x14ac:dyDescent="0.25">
      <c r="A741" t="s">
        <v>702</v>
      </c>
      <c r="B741">
        <v>19700</v>
      </c>
      <c r="C741">
        <f t="shared" si="107"/>
        <v>197</v>
      </c>
      <c r="D741">
        <v>2</v>
      </c>
      <c r="E741">
        <v>6</v>
      </c>
      <c r="F741">
        <v>19300</v>
      </c>
      <c r="G741">
        <f t="shared" si="99"/>
        <v>193</v>
      </c>
      <c r="H741">
        <v>500</v>
      </c>
      <c r="I741" s="4">
        <f>Full_Data[[#This Row],[Selling Price]]/Full_Data[[#This Row],[Weight (g)]]</f>
        <v>0.38600000000000001</v>
      </c>
      <c r="J741" t="b">
        <v>0</v>
      </c>
      <c r="K741">
        <v>500</v>
      </c>
      <c r="L741">
        <f t="shared" si="100"/>
        <v>4</v>
      </c>
      <c r="M741" t="str">
        <f t="shared" si="101"/>
        <v>Medium</v>
      </c>
      <c r="N741" t="str">
        <f t="shared" si="102"/>
        <v>0-5%</v>
      </c>
      <c r="O741" t="str">
        <f t="shared" si="103"/>
        <v>OK</v>
      </c>
      <c r="P741">
        <f>IFERROR(Full_Data!G741/Full_Data!H741,"Check data")</f>
        <v>0.38600000000000001</v>
      </c>
      <c r="Q741" t="str">
        <f t="shared" si="104"/>
        <v>Match</v>
      </c>
      <c r="R741" t="str">
        <f t="shared" si="105"/>
        <v>Mismatch</v>
      </c>
      <c r="S741" t="str">
        <f t="shared" si="106"/>
        <v>Match</v>
      </c>
    </row>
    <row r="742" spans="1:19" x14ac:dyDescent="0.25">
      <c r="A742" t="s">
        <v>703</v>
      </c>
      <c r="B742">
        <v>12000</v>
      </c>
      <c r="C742">
        <f t="shared" si="107"/>
        <v>120</v>
      </c>
      <c r="D742">
        <v>5</v>
      </c>
      <c r="E742">
        <v>3</v>
      </c>
      <c r="F742">
        <v>11400</v>
      </c>
      <c r="G742">
        <f t="shared" si="99"/>
        <v>114</v>
      </c>
      <c r="H742">
        <v>375</v>
      </c>
      <c r="I742" s="4">
        <f>Full_Data[[#This Row],[Selling Price]]/Full_Data[[#This Row],[Weight (g)]]</f>
        <v>0.30399999999999999</v>
      </c>
      <c r="J742" t="b">
        <v>0</v>
      </c>
      <c r="K742">
        <v>375</v>
      </c>
      <c r="L742">
        <f t="shared" si="100"/>
        <v>6</v>
      </c>
      <c r="M742" t="str">
        <f t="shared" si="101"/>
        <v>Medium</v>
      </c>
      <c r="N742" t="str">
        <f t="shared" si="102"/>
        <v>0-5%</v>
      </c>
      <c r="O742" t="str">
        <f t="shared" si="103"/>
        <v>OK</v>
      </c>
      <c r="P742">
        <f>IFERROR(Full_Data!G742/Full_Data!H742,"Check data")</f>
        <v>0.30399999999999999</v>
      </c>
      <c r="Q742" t="str">
        <f t="shared" si="104"/>
        <v>Match</v>
      </c>
      <c r="R742" t="str">
        <f t="shared" si="105"/>
        <v>Match</v>
      </c>
      <c r="S742" t="str">
        <f t="shared" si="106"/>
        <v>Match</v>
      </c>
    </row>
    <row r="743" spans="1:19" x14ac:dyDescent="0.25">
      <c r="A743" t="s">
        <v>704</v>
      </c>
      <c r="B743">
        <v>17500</v>
      </c>
      <c r="C743">
        <f t="shared" si="107"/>
        <v>175</v>
      </c>
      <c r="D743">
        <v>4</v>
      </c>
      <c r="E743">
        <v>3</v>
      </c>
      <c r="F743">
        <v>16700</v>
      </c>
      <c r="G743">
        <f t="shared" si="99"/>
        <v>167</v>
      </c>
      <c r="H743">
        <v>750</v>
      </c>
      <c r="I743" s="4">
        <f>Full_Data[[#This Row],[Selling Price]]/Full_Data[[#This Row],[Weight (g)]]</f>
        <v>0.22266666666666668</v>
      </c>
      <c r="J743" t="b">
        <v>0</v>
      </c>
      <c r="K743">
        <v>750</v>
      </c>
      <c r="L743">
        <f t="shared" si="100"/>
        <v>8</v>
      </c>
      <c r="M743" t="str">
        <f t="shared" si="101"/>
        <v>Medium</v>
      </c>
      <c r="N743" t="str">
        <f t="shared" si="102"/>
        <v>0-5%</v>
      </c>
      <c r="O743" t="str">
        <f t="shared" si="103"/>
        <v>OK</v>
      </c>
      <c r="P743">
        <f>IFERROR(Full_Data!G743/Full_Data!H743,"Check data")</f>
        <v>0.22266666666666668</v>
      </c>
      <c r="Q743" t="str">
        <f t="shared" si="104"/>
        <v>Match</v>
      </c>
      <c r="R743" t="str">
        <f t="shared" si="105"/>
        <v>Mismatch</v>
      </c>
      <c r="S743" t="str">
        <f t="shared" si="106"/>
        <v>Mismatch</v>
      </c>
    </row>
    <row r="744" spans="1:19" x14ac:dyDescent="0.25">
      <c r="A744" t="s">
        <v>705</v>
      </c>
      <c r="B744">
        <v>22000</v>
      </c>
      <c r="C744">
        <f t="shared" si="107"/>
        <v>220</v>
      </c>
      <c r="D744">
        <v>5</v>
      </c>
      <c r="E744">
        <v>2</v>
      </c>
      <c r="F744">
        <v>20700</v>
      </c>
      <c r="G744">
        <f t="shared" si="99"/>
        <v>207</v>
      </c>
      <c r="H744">
        <v>180</v>
      </c>
      <c r="I744" s="4">
        <f>Full_Data[[#This Row],[Selling Price]]/Full_Data[[#This Row],[Weight (g)]]</f>
        <v>1.1499999999999999</v>
      </c>
      <c r="J744" t="b">
        <v>0</v>
      </c>
      <c r="K744">
        <v>180</v>
      </c>
      <c r="L744">
        <f t="shared" si="100"/>
        <v>13</v>
      </c>
      <c r="M744" t="str">
        <f t="shared" si="101"/>
        <v>High</v>
      </c>
      <c r="N744" t="str">
        <f t="shared" si="102"/>
        <v>0-5%</v>
      </c>
      <c r="O744" t="str">
        <f t="shared" si="103"/>
        <v>OK</v>
      </c>
      <c r="P744">
        <f>IFERROR(Full_Data!G744/Full_Data!H744,"Check data")</f>
        <v>1.1499999999999999</v>
      </c>
      <c r="Q744" t="str">
        <f t="shared" si="104"/>
        <v>Match</v>
      </c>
      <c r="R744" t="str">
        <f t="shared" si="105"/>
        <v>Mismatch</v>
      </c>
      <c r="S744" t="str">
        <f t="shared" si="106"/>
        <v>Mismatch</v>
      </c>
    </row>
    <row r="745" spans="1:19" x14ac:dyDescent="0.25">
      <c r="A745" t="s">
        <v>706</v>
      </c>
      <c r="B745">
        <v>6000</v>
      </c>
      <c r="C745">
        <f t="shared" si="107"/>
        <v>60</v>
      </c>
      <c r="D745">
        <v>5</v>
      </c>
      <c r="E745">
        <v>5</v>
      </c>
      <c r="F745">
        <v>5700</v>
      </c>
      <c r="G745">
        <f t="shared" si="99"/>
        <v>57</v>
      </c>
      <c r="H745">
        <v>200</v>
      </c>
      <c r="I745" s="4">
        <f>Full_Data[[#This Row],[Selling Price]]/Full_Data[[#This Row],[Weight (g)]]</f>
        <v>0.28499999999999998</v>
      </c>
      <c r="J745" t="b">
        <v>0</v>
      </c>
      <c r="K745">
        <v>200</v>
      </c>
      <c r="L745">
        <f t="shared" si="100"/>
        <v>3</v>
      </c>
      <c r="M745" t="str">
        <f t="shared" si="101"/>
        <v>Medium</v>
      </c>
      <c r="N745" t="str">
        <f t="shared" si="102"/>
        <v>0-5%</v>
      </c>
      <c r="O745" t="str">
        <f t="shared" si="103"/>
        <v>OK</v>
      </c>
      <c r="P745">
        <f>IFERROR(Full_Data!G745/Full_Data!H745,"Check data")</f>
        <v>0.28499999999999998</v>
      </c>
      <c r="Q745" t="str">
        <f t="shared" si="104"/>
        <v>Match</v>
      </c>
      <c r="R745" t="str">
        <f t="shared" si="105"/>
        <v>Match</v>
      </c>
      <c r="S745" t="str">
        <f t="shared" si="106"/>
        <v>Match</v>
      </c>
    </row>
    <row r="746" spans="1:19" x14ac:dyDescent="0.25">
      <c r="A746" t="s">
        <v>707</v>
      </c>
      <c r="B746">
        <v>9000</v>
      </c>
      <c r="C746">
        <f t="shared" si="107"/>
        <v>90</v>
      </c>
      <c r="D746">
        <v>4</v>
      </c>
      <c r="E746">
        <v>6</v>
      </c>
      <c r="F746">
        <v>8600</v>
      </c>
      <c r="G746">
        <f t="shared" si="99"/>
        <v>86</v>
      </c>
      <c r="H746">
        <v>50</v>
      </c>
      <c r="I746" s="4">
        <f>Full_Data[[#This Row],[Selling Price]]/Full_Data[[#This Row],[Weight (g)]]</f>
        <v>1.72</v>
      </c>
      <c r="J746" t="b">
        <v>0</v>
      </c>
      <c r="K746">
        <v>50</v>
      </c>
      <c r="L746">
        <f t="shared" si="100"/>
        <v>4</v>
      </c>
      <c r="M746" t="str">
        <f t="shared" si="101"/>
        <v>Medium</v>
      </c>
      <c r="N746" t="str">
        <f t="shared" si="102"/>
        <v>0-5%</v>
      </c>
      <c r="O746" t="str">
        <f t="shared" si="103"/>
        <v>OK</v>
      </c>
      <c r="P746">
        <f>IFERROR(Full_Data!G746/Full_Data!H746,"Check data")</f>
        <v>1.72</v>
      </c>
      <c r="Q746" t="str">
        <f t="shared" si="104"/>
        <v>Match</v>
      </c>
      <c r="R746" t="str">
        <f t="shared" si="105"/>
        <v>Mismatch</v>
      </c>
      <c r="S746" t="str">
        <f t="shared" si="106"/>
        <v>Match</v>
      </c>
    </row>
    <row r="747" spans="1:19" x14ac:dyDescent="0.25">
      <c r="A747" t="s">
        <v>708</v>
      </c>
      <c r="B747">
        <v>2200</v>
      </c>
      <c r="C747">
        <f t="shared" si="107"/>
        <v>22</v>
      </c>
      <c r="D747">
        <v>0</v>
      </c>
      <c r="E747">
        <v>6</v>
      </c>
      <c r="F747">
        <v>2200</v>
      </c>
      <c r="G747">
        <f t="shared" si="99"/>
        <v>22</v>
      </c>
      <c r="H747">
        <v>90</v>
      </c>
      <c r="I747" s="4">
        <f>Full_Data[[#This Row],[Selling Price]]/Full_Data[[#This Row],[Weight (g)]]</f>
        <v>0.24444444444444444</v>
      </c>
      <c r="J747" t="b">
        <v>0</v>
      </c>
      <c r="K747">
        <v>90</v>
      </c>
      <c r="L747">
        <f t="shared" si="100"/>
        <v>0</v>
      </c>
      <c r="M747" t="str">
        <f t="shared" si="101"/>
        <v>Low</v>
      </c>
      <c r="N747" t="str">
        <f t="shared" si="102"/>
        <v>0-5%</v>
      </c>
      <c r="O747" t="str">
        <f t="shared" si="103"/>
        <v>OK</v>
      </c>
      <c r="P747">
        <f>IFERROR(Full_Data!G747/Full_Data!H747,"Check data")</f>
        <v>0.24444444444444444</v>
      </c>
      <c r="Q747" t="str">
        <f t="shared" si="104"/>
        <v>Match</v>
      </c>
      <c r="R747" t="str">
        <f t="shared" si="105"/>
        <v>Match</v>
      </c>
      <c r="S747" t="str">
        <f t="shared" si="106"/>
        <v>Match</v>
      </c>
    </row>
    <row r="748" spans="1:19" x14ac:dyDescent="0.25">
      <c r="A748" t="s">
        <v>709</v>
      </c>
      <c r="B748">
        <v>38500</v>
      </c>
      <c r="C748">
        <f t="shared" si="107"/>
        <v>385</v>
      </c>
      <c r="D748">
        <v>9</v>
      </c>
      <c r="E748">
        <v>5</v>
      </c>
      <c r="F748">
        <v>34700</v>
      </c>
      <c r="G748">
        <f t="shared" si="99"/>
        <v>347</v>
      </c>
      <c r="H748">
        <v>1100</v>
      </c>
      <c r="I748" s="4">
        <f>Full_Data[[#This Row],[Selling Price]]/Full_Data[[#This Row],[Weight (g)]]</f>
        <v>0.31545454545454543</v>
      </c>
      <c r="J748" t="b">
        <v>0</v>
      </c>
      <c r="K748">
        <v>1100</v>
      </c>
      <c r="L748">
        <f t="shared" si="100"/>
        <v>38</v>
      </c>
      <c r="M748" t="str">
        <f t="shared" si="101"/>
        <v>High</v>
      </c>
      <c r="N748" t="str">
        <f t="shared" si="102"/>
        <v>6-10%</v>
      </c>
      <c r="O748" t="str">
        <f t="shared" si="103"/>
        <v>OK</v>
      </c>
      <c r="P748">
        <f>IFERROR(Full_Data!G748/Full_Data!H748,"Check data")</f>
        <v>0.31545454545454543</v>
      </c>
      <c r="Q748" t="str">
        <f t="shared" si="104"/>
        <v>Match</v>
      </c>
      <c r="R748" t="str">
        <f t="shared" si="105"/>
        <v>Mismatch</v>
      </c>
      <c r="S748" t="str">
        <f t="shared" si="106"/>
        <v>Mismatch</v>
      </c>
    </row>
    <row r="749" spans="1:19" x14ac:dyDescent="0.25">
      <c r="A749" t="s">
        <v>710</v>
      </c>
      <c r="B749">
        <v>1000</v>
      </c>
      <c r="C749">
        <f t="shared" si="107"/>
        <v>10</v>
      </c>
      <c r="D749">
        <v>0</v>
      </c>
      <c r="E749">
        <v>2</v>
      </c>
      <c r="F749">
        <v>1000</v>
      </c>
      <c r="G749">
        <f t="shared" si="99"/>
        <v>10</v>
      </c>
      <c r="H749">
        <v>15</v>
      </c>
      <c r="I749" s="4">
        <f>Full_Data[[#This Row],[Selling Price]]/Full_Data[[#This Row],[Weight (g)]]</f>
        <v>0.66666666666666663</v>
      </c>
      <c r="J749" t="b">
        <v>0</v>
      </c>
      <c r="K749">
        <v>15</v>
      </c>
      <c r="L749">
        <f t="shared" si="100"/>
        <v>0</v>
      </c>
      <c r="M749" t="str">
        <f t="shared" si="101"/>
        <v>Low</v>
      </c>
      <c r="N749" t="str">
        <f t="shared" si="102"/>
        <v>0-5%</v>
      </c>
      <c r="O749" t="str">
        <f t="shared" si="103"/>
        <v>OK</v>
      </c>
      <c r="P749">
        <f>IFERROR(Full_Data!G749/Full_Data!H749,"Check data")</f>
        <v>0.66666666666666663</v>
      </c>
      <c r="Q749" t="str">
        <f t="shared" si="104"/>
        <v>Match</v>
      </c>
      <c r="R749" t="str">
        <f t="shared" si="105"/>
        <v>Match</v>
      </c>
      <c r="S749" t="str">
        <f t="shared" si="106"/>
        <v>Match</v>
      </c>
    </row>
    <row r="750" spans="1:19" x14ac:dyDescent="0.25">
      <c r="A750" t="s">
        <v>711</v>
      </c>
      <c r="B750">
        <v>3500</v>
      </c>
      <c r="C750">
        <f t="shared" si="107"/>
        <v>35</v>
      </c>
      <c r="D750">
        <v>5</v>
      </c>
      <c r="E750">
        <v>2</v>
      </c>
      <c r="F750">
        <v>3300</v>
      </c>
      <c r="G750">
        <f t="shared" si="99"/>
        <v>33</v>
      </c>
      <c r="H750">
        <v>85</v>
      </c>
      <c r="I750" s="4">
        <f>Full_Data[[#This Row],[Selling Price]]/Full_Data[[#This Row],[Weight (g)]]</f>
        <v>0.38823529411764707</v>
      </c>
      <c r="J750" t="b">
        <v>0</v>
      </c>
      <c r="K750">
        <v>85</v>
      </c>
      <c r="L750">
        <f t="shared" si="100"/>
        <v>2</v>
      </c>
      <c r="M750" t="str">
        <f t="shared" si="101"/>
        <v>Low</v>
      </c>
      <c r="N750" t="str">
        <f t="shared" si="102"/>
        <v>0-5%</v>
      </c>
      <c r="O750" t="str">
        <f t="shared" si="103"/>
        <v>OK</v>
      </c>
      <c r="P750">
        <f>IFERROR(Full_Data!G750/Full_Data!H750,"Check data")</f>
        <v>0.38823529411764707</v>
      </c>
      <c r="Q750" t="str">
        <f t="shared" si="104"/>
        <v>Match</v>
      </c>
      <c r="R750" t="str">
        <f t="shared" si="105"/>
        <v>Mismatch</v>
      </c>
      <c r="S750" t="str">
        <f t="shared" si="106"/>
        <v>Mismatch</v>
      </c>
    </row>
    <row r="751" spans="1:19" x14ac:dyDescent="0.25">
      <c r="A751" t="s">
        <v>712</v>
      </c>
      <c r="B751">
        <v>12000</v>
      </c>
      <c r="C751">
        <f t="shared" si="107"/>
        <v>120</v>
      </c>
      <c r="D751">
        <v>5</v>
      </c>
      <c r="E751">
        <v>6</v>
      </c>
      <c r="F751">
        <v>11400</v>
      </c>
      <c r="G751">
        <f t="shared" si="99"/>
        <v>114</v>
      </c>
      <c r="H751">
        <v>400</v>
      </c>
      <c r="I751" s="4">
        <f>Full_Data[[#This Row],[Selling Price]]/Full_Data[[#This Row],[Weight (g)]]</f>
        <v>0.28499999999999998</v>
      </c>
      <c r="J751" t="b">
        <v>0</v>
      </c>
      <c r="K751">
        <v>400</v>
      </c>
      <c r="L751">
        <f t="shared" si="100"/>
        <v>6</v>
      </c>
      <c r="M751" t="str">
        <f t="shared" si="101"/>
        <v>Medium</v>
      </c>
      <c r="N751" t="str">
        <f t="shared" si="102"/>
        <v>0-5%</v>
      </c>
      <c r="O751" t="str">
        <f t="shared" si="103"/>
        <v>OK</v>
      </c>
      <c r="P751">
        <f>IFERROR(Full_Data!G751/Full_Data!H751,"Check data")</f>
        <v>0.28499999999999998</v>
      </c>
      <c r="Q751" t="str">
        <f t="shared" si="104"/>
        <v>Match</v>
      </c>
      <c r="R751" t="str">
        <f t="shared" si="105"/>
        <v>Match</v>
      </c>
      <c r="S751" t="str">
        <f t="shared" si="106"/>
        <v>Match</v>
      </c>
    </row>
    <row r="752" spans="1:19" x14ac:dyDescent="0.25">
      <c r="A752" t="s">
        <v>713</v>
      </c>
      <c r="B752">
        <v>10000</v>
      </c>
      <c r="C752">
        <f t="shared" si="107"/>
        <v>100</v>
      </c>
      <c r="D752">
        <v>10</v>
      </c>
      <c r="E752">
        <v>6</v>
      </c>
      <c r="F752">
        <v>9000</v>
      </c>
      <c r="G752">
        <f t="shared" si="99"/>
        <v>90</v>
      </c>
      <c r="H752">
        <v>52</v>
      </c>
      <c r="I752" s="4">
        <f>Full_Data[[#This Row],[Selling Price]]/Full_Data[[#This Row],[Weight (g)]]</f>
        <v>1.7307692307692308</v>
      </c>
      <c r="J752" t="b">
        <v>0</v>
      </c>
      <c r="K752">
        <v>52</v>
      </c>
      <c r="L752">
        <f t="shared" si="100"/>
        <v>10</v>
      </c>
      <c r="M752" t="str">
        <f t="shared" si="101"/>
        <v>Medium</v>
      </c>
      <c r="N752" t="str">
        <f t="shared" si="102"/>
        <v>6-10%</v>
      </c>
      <c r="O752" t="str">
        <f t="shared" si="103"/>
        <v>OK</v>
      </c>
      <c r="P752">
        <f>IFERROR(Full_Data!G752/Full_Data!H752,"Check data")</f>
        <v>1.7307692307692308</v>
      </c>
      <c r="Q752" t="str">
        <f t="shared" si="104"/>
        <v>Match</v>
      </c>
      <c r="R752" t="str">
        <f t="shared" si="105"/>
        <v>Match</v>
      </c>
      <c r="S752" t="str">
        <f t="shared" si="106"/>
        <v>Match</v>
      </c>
    </row>
    <row r="753" spans="1:19" x14ac:dyDescent="0.25">
      <c r="A753" t="s">
        <v>714</v>
      </c>
      <c r="B753">
        <v>6800</v>
      </c>
      <c r="C753">
        <f t="shared" si="107"/>
        <v>68</v>
      </c>
      <c r="D753">
        <v>4</v>
      </c>
      <c r="E753">
        <v>1</v>
      </c>
      <c r="F753">
        <v>6500</v>
      </c>
      <c r="G753">
        <f t="shared" si="99"/>
        <v>65</v>
      </c>
      <c r="H753">
        <v>425</v>
      </c>
      <c r="I753" s="4">
        <f>Full_Data[[#This Row],[Selling Price]]/Full_Data[[#This Row],[Weight (g)]]</f>
        <v>0.15294117647058825</v>
      </c>
      <c r="J753" t="b">
        <v>0</v>
      </c>
      <c r="K753">
        <v>425</v>
      </c>
      <c r="L753">
        <f t="shared" si="100"/>
        <v>3</v>
      </c>
      <c r="M753" t="str">
        <f t="shared" si="101"/>
        <v>Medium</v>
      </c>
      <c r="N753" t="str">
        <f t="shared" si="102"/>
        <v>0-5%</v>
      </c>
      <c r="O753" t="str">
        <f t="shared" si="103"/>
        <v>OK</v>
      </c>
      <c r="P753">
        <f>IFERROR(Full_Data!G753/Full_Data!H753,"Check data")</f>
        <v>0.15294117647058825</v>
      </c>
      <c r="Q753" t="str">
        <f t="shared" si="104"/>
        <v>Match</v>
      </c>
      <c r="R753" t="str">
        <f t="shared" si="105"/>
        <v>Mismatch</v>
      </c>
      <c r="S753" t="str">
        <f t="shared" si="106"/>
        <v>Match</v>
      </c>
    </row>
    <row r="754" spans="1:19" x14ac:dyDescent="0.25">
      <c r="A754" t="s">
        <v>715</v>
      </c>
      <c r="B754">
        <v>38000</v>
      </c>
      <c r="C754">
        <f t="shared" si="107"/>
        <v>380</v>
      </c>
      <c r="D754">
        <v>6</v>
      </c>
      <c r="E754">
        <v>5</v>
      </c>
      <c r="F754">
        <v>35700</v>
      </c>
      <c r="G754">
        <f t="shared" si="99"/>
        <v>357</v>
      </c>
      <c r="H754">
        <v>350</v>
      </c>
      <c r="I754" s="4">
        <f>Full_Data[[#This Row],[Selling Price]]/Full_Data[[#This Row],[Weight (g)]]</f>
        <v>1.02</v>
      </c>
      <c r="J754" t="b">
        <v>0</v>
      </c>
      <c r="K754">
        <v>350</v>
      </c>
      <c r="L754">
        <f t="shared" si="100"/>
        <v>23</v>
      </c>
      <c r="M754" t="str">
        <f t="shared" si="101"/>
        <v>High</v>
      </c>
      <c r="N754" t="str">
        <f t="shared" si="102"/>
        <v>6-10%</v>
      </c>
      <c r="O754" t="str">
        <f t="shared" si="103"/>
        <v>OK</v>
      </c>
      <c r="P754">
        <f>IFERROR(Full_Data!G754/Full_Data!H754,"Check data")</f>
        <v>1.02</v>
      </c>
      <c r="Q754" t="str">
        <f t="shared" si="104"/>
        <v>Match</v>
      </c>
      <c r="R754" t="str">
        <f t="shared" si="105"/>
        <v>Mismatch</v>
      </c>
      <c r="S754" t="str">
        <f t="shared" si="106"/>
        <v>Match</v>
      </c>
    </row>
    <row r="755" spans="1:19" x14ac:dyDescent="0.25">
      <c r="A755" t="s">
        <v>716</v>
      </c>
      <c r="B755">
        <v>16100</v>
      </c>
      <c r="C755">
        <f t="shared" si="107"/>
        <v>161</v>
      </c>
      <c r="D755">
        <v>7</v>
      </c>
      <c r="E755">
        <v>4</v>
      </c>
      <c r="F755">
        <v>14900</v>
      </c>
      <c r="G755">
        <f t="shared" si="99"/>
        <v>149</v>
      </c>
      <c r="H755">
        <v>300</v>
      </c>
      <c r="I755" s="4">
        <f>Full_Data[[#This Row],[Selling Price]]/Full_Data[[#This Row],[Weight (g)]]</f>
        <v>0.49666666666666665</v>
      </c>
      <c r="J755" t="b">
        <v>0</v>
      </c>
      <c r="K755">
        <v>300</v>
      </c>
      <c r="L755">
        <f t="shared" si="100"/>
        <v>12</v>
      </c>
      <c r="M755" t="str">
        <f t="shared" si="101"/>
        <v>Medium</v>
      </c>
      <c r="N755" t="str">
        <f t="shared" si="102"/>
        <v>6-10%</v>
      </c>
      <c r="O755" t="str">
        <f t="shared" si="103"/>
        <v>OK</v>
      </c>
      <c r="P755">
        <f>IFERROR(Full_Data!G755/Full_Data!H755,"Check data")</f>
        <v>0.49666666666666665</v>
      </c>
      <c r="Q755" t="str">
        <f t="shared" si="104"/>
        <v>Match</v>
      </c>
      <c r="R755" t="str">
        <f t="shared" si="105"/>
        <v>Mismatch</v>
      </c>
      <c r="S755" t="str">
        <f t="shared" si="106"/>
        <v>Match</v>
      </c>
    </row>
    <row r="756" spans="1:19" x14ac:dyDescent="0.25">
      <c r="A756" t="s">
        <v>717</v>
      </c>
      <c r="B756">
        <v>1500</v>
      </c>
      <c r="C756">
        <f t="shared" si="107"/>
        <v>15</v>
      </c>
      <c r="D756">
        <v>0</v>
      </c>
      <c r="E756">
        <v>6</v>
      </c>
      <c r="F756">
        <v>1500</v>
      </c>
      <c r="G756">
        <f t="shared" si="99"/>
        <v>15</v>
      </c>
      <c r="H756">
        <v>20</v>
      </c>
      <c r="I756" s="4">
        <f>Full_Data[[#This Row],[Selling Price]]/Full_Data[[#This Row],[Weight (g)]]</f>
        <v>0.75</v>
      </c>
      <c r="J756" t="b">
        <v>0</v>
      </c>
      <c r="K756">
        <v>20</v>
      </c>
      <c r="L756">
        <f t="shared" si="100"/>
        <v>0</v>
      </c>
      <c r="M756" t="str">
        <f t="shared" si="101"/>
        <v>Low</v>
      </c>
      <c r="N756" t="str">
        <f t="shared" si="102"/>
        <v>0-5%</v>
      </c>
      <c r="O756" t="str">
        <f t="shared" si="103"/>
        <v>OK</v>
      </c>
      <c r="P756">
        <f>IFERROR(Full_Data!G756/Full_Data!H756,"Check data")</f>
        <v>0.75</v>
      </c>
      <c r="Q756" t="str">
        <f t="shared" si="104"/>
        <v>Match</v>
      </c>
      <c r="R756" t="str">
        <f t="shared" si="105"/>
        <v>Match</v>
      </c>
      <c r="S756" t="str">
        <f t="shared" si="106"/>
        <v>Match</v>
      </c>
    </row>
    <row r="757" spans="1:19" x14ac:dyDescent="0.25">
      <c r="A757" t="s">
        <v>718</v>
      </c>
      <c r="B757">
        <v>5000</v>
      </c>
      <c r="C757">
        <f t="shared" si="107"/>
        <v>50</v>
      </c>
      <c r="D757">
        <v>12</v>
      </c>
      <c r="E757">
        <v>1</v>
      </c>
      <c r="F757">
        <v>4400</v>
      </c>
      <c r="G757">
        <f t="shared" si="99"/>
        <v>44</v>
      </c>
      <c r="H757">
        <v>50</v>
      </c>
      <c r="I757" s="4">
        <f>Full_Data[[#This Row],[Selling Price]]/Full_Data[[#This Row],[Weight (g)]]</f>
        <v>0.88</v>
      </c>
      <c r="J757" t="b">
        <v>0</v>
      </c>
      <c r="K757">
        <v>50</v>
      </c>
      <c r="L757">
        <f t="shared" si="100"/>
        <v>6</v>
      </c>
      <c r="M757" t="str">
        <f t="shared" si="101"/>
        <v>Low</v>
      </c>
      <c r="N757" t="str">
        <f t="shared" si="102"/>
        <v>11-15%</v>
      </c>
      <c r="O757" t="str">
        <f t="shared" si="103"/>
        <v>OK</v>
      </c>
      <c r="P757">
        <f>IFERROR(Full_Data!G757/Full_Data!H757,"Check data")</f>
        <v>0.88</v>
      </c>
      <c r="Q757" t="str">
        <f t="shared" si="104"/>
        <v>Match</v>
      </c>
      <c r="R757" t="str">
        <f t="shared" si="105"/>
        <v>Match</v>
      </c>
      <c r="S757" t="str">
        <f t="shared" si="106"/>
        <v>Match</v>
      </c>
    </row>
    <row r="758" spans="1:19" x14ac:dyDescent="0.25">
      <c r="A758" t="s">
        <v>719</v>
      </c>
      <c r="B758">
        <v>5500</v>
      </c>
      <c r="C758">
        <f t="shared" si="107"/>
        <v>55</v>
      </c>
      <c r="D758">
        <v>25</v>
      </c>
      <c r="E758">
        <v>6</v>
      </c>
      <c r="F758">
        <v>4100</v>
      </c>
      <c r="G758">
        <f t="shared" si="99"/>
        <v>41</v>
      </c>
      <c r="H758">
        <v>27</v>
      </c>
      <c r="I758" s="4">
        <f>Full_Data[[#This Row],[Selling Price]]/Full_Data[[#This Row],[Weight (g)]]</f>
        <v>1.5185185185185186</v>
      </c>
      <c r="J758" t="b">
        <v>0</v>
      </c>
      <c r="K758">
        <v>27</v>
      </c>
      <c r="L758">
        <f t="shared" si="100"/>
        <v>14</v>
      </c>
      <c r="M758" t="str">
        <f t="shared" si="101"/>
        <v>Low</v>
      </c>
      <c r="N758" t="str">
        <f t="shared" si="102"/>
        <v>21%+</v>
      </c>
      <c r="O758" t="str">
        <f t="shared" si="103"/>
        <v>OK</v>
      </c>
      <c r="P758">
        <f>IFERROR(Full_Data!G758/Full_Data!H758,"Check data")</f>
        <v>1.5185185185185186</v>
      </c>
      <c r="Q758" t="str">
        <f t="shared" si="104"/>
        <v>Match</v>
      </c>
      <c r="R758" t="str">
        <f t="shared" si="105"/>
        <v>Mismatch</v>
      </c>
      <c r="S758" t="str">
        <f t="shared" si="106"/>
        <v>Match</v>
      </c>
    </row>
    <row r="759" spans="1:19" x14ac:dyDescent="0.25">
      <c r="A759" t="s">
        <v>720</v>
      </c>
      <c r="B759">
        <v>9000</v>
      </c>
      <c r="C759">
        <f t="shared" si="107"/>
        <v>90</v>
      </c>
      <c r="D759">
        <v>4</v>
      </c>
      <c r="E759">
        <v>6</v>
      </c>
      <c r="F759">
        <v>8600</v>
      </c>
      <c r="G759">
        <f t="shared" si="99"/>
        <v>86</v>
      </c>
      <c r="H759">
        <v>1160</v>
      </c>
      <c r="I759" s="4">
        <f>Full_Data[[#This Row],[Selling Price]]/Full_Data[[#This Row],[Weight (g)]]</f>
        <v>7.4137931034482754E-2</v>
      </c>
      <c r="J759" t="b">
        <v>0</v>
      </c>
      <c r="K759">
        <v>20</v>
      </c>
      <c r="L759">
        <f t="shared" si="100"/>
        <v>4</v>
      </c>
      <c r="M759" t="str">
        <f t="shared" si="101"/>
        <v>Medium</v>
      </c>
      <c r="N759" t="str">
        <f t="shared" si="102"/>
        <v>0-5%</v>
      </c>
      <c r="O759" t="str">
        <f t="shared" si="103"/>
        <v>OK</v>
      </c>
      <c r="P759">
        <f>IFERROR(Full_Data!G759/Full_Data!H759,"Check data")</f>
        <v>7.4137931034482754E-2</v>
      </c>
      <c r="Q759" t="str">
        <f t="shared" si="104"/>
        <v>Match</v>
      </c>
      <c r="R759" t="str">
        <f t="shared" si="105"/>
        <v>Mismatch</v>
      </c>
      <c r="S759" t="str">
        <f t="shared" si="106"/>
        <v>Match</v>
      </c>
    </row>
    <row r="760" spans="1:19" x14ac:dyDescent="0.25">
      <c r="A760" t="s">
        <v>721</v>
      </c>
      <c r="B760">
        <v>4000</v>
      </c>
      <c r="C760">
        <f t="shared" si="107"/>
        <v>40</v>
      </c>
      <c r="D760">
        <v>17</v>
      </c>
      <c r="E760">
        <v>6</v>
      </c>
      <c r="F760">
        <v>3300</v>
      </c>
      <c r="G760">
        <f t="shared" si="99"/>
        <v>33</v>
      </c>
      <c r="H760">
        <v>30</v>
      </c>
      <c r="I760" s="4">
        <f>Full_Data[[#This Row],[Selling Price]]/Full_Data[[#This Row],[Weight (g)]]</f>
        <v>1.1000000000000001</v>
      </c>
      <c r="J760" t="b">
        <v>0</v>
      </c>
      <c r="K760">
        <v>30</v>
      </c>
      <c r="L760">
        <f t="shared" si="100"/>
        <v>7</v>
      </c>
      <c r="M760" t="str">
        <f t="shared" si="101"/>
        <v>Low</v>
      </c>
      <c r="N760" t="str">
        <f t="shared" si="102"/>
        <v>16-20%</v>
      </c>
      <c r="O760" t="str">
        <f t="shared" si="103"/>
        <v>OK</v>
      </c>
      <c r="P760">
        <f>IFERROR(Full_Data!G760/Full_Data!H760,"Check data")</f>
        <v>1.1000000000000001</v>
      </c>
      <c r="Q760" t="str">
        <f t="shared" si="104"/>
        <v>Match</v>
      </c>
      <c r="R760" t="str">
        <f t="shared" si="105"/>
        <v>Mismatch</v>
      </c>
      <c r="S760" t="str">
        <f t="shared" si="106"/>
        <v>Mismatch</v>
      </c>
    </row>
    <row r="761" spans="1:19" x14ac:dyDescent="0.25">
      <c r="A761" t="s">
        <v>722</v>
      </c>
      <c r="B761">
        <v>1000</v>
      </c>
      <c r="C761">
        <f t="shared" si="107"/>
        <v>10</v>
      </c>
      <c r="D761">
        <v>0</v>
      </c>
      <c r="E761">
        <v>1</v>
      </c>
      <c r="F761">
        <v>1000</v>
      </c>
      <c r="G761">
        <f t="shared" si="99"/>
        <v>10</v>
      </c>
      <c r="H761">
        <v>16</v>
      </c>
      <c r="I761" s="4">
        <f>Full_Data[[#This Row],[Selling Price]]/Full_Data[[#This Row],[Weight (g)]]</f>
        <v>0.625</v>
      </c>
      <c r="J761" t="b">
        <v>0</v>
      </c>
      <c r="K761">
        <v>15</v>
      </c>
      <c r="L761">
        <f t="shared" si="100"/>
        <v>0</v>
      </c>
      <c r="M761" t="str">
        <f t="shared" si="101"/>
        <v>Low</v>
      </c>
      <c r="N761" t="str">
        <f t="shared" si="102"/>
        <v>0-5%</v>
      </c>
      <c r="O761" t="str">
        <f t="shared" si="103"/>
        <v>OK</v>
      </c>
      <c r="P761">
        <f>IFERROR(Full_Data!G761/Full_Data!H761,"Check data")</f>
        <v>0.625</v>
      </c>
      <c r="Q761" t="str">
        <f t="shared" si="104"/>
        <v>Match</v>
      </c>
      <c r="R761" t="str">
        <f t="shared" si="105"/>
        <v>Match</v>
      </c>
      <c r="S761" t="str">
        <f t="shared" si="106"/>
        <v>Match</v>
      </c>
    </row>
    <row r="762" spans="1:19" x14ac:dyDescent="0.25">
      <c r="A762" t="s">
        <v>723</v>
      </c>
      <c r="B762">
        <v>44500</v>
      </c>
      <c r="C762">
        <f t="shared" si="107"/>
        <v>445</v>
      </c>
      <c r="D762">
        <v>9</v>
      </c>
      <c r="E762">
        <v>6</v>
      </c>
      <c r="F762">
        <v>40100</v>
      </c>
      <c r="G762">
        <f t="shared" si="99"/>
        <v>401</v>
      </c>
      <c r="H762">
        <v>750</v>
      </c>
      <c r="I762" s="4">
        <f>Full_Data[[#This Row],[Selling Price]]/Full_Data[[#This Row],[Weight (g)]]</f>
        <v>0.53466666666666662</v>
      </c>
      <c r="J762" t="b">
        <v>0</v>
      </c>
      <c r="K762">
        <v>750</v>
      </c>
      <c r="L762">
        <f t="shared" si="100"/>
        <v>44</v>
      </c>
      <c r="M762" t="str">
        <f t="shared" si="101"/>
        <v>High</v>
      </c>
      <c r="N762" t="str">
        <f t="shared" si="102"/>
        <v>6-10%</v>
      </c>
      <c r="O762" t="str">
        <f t="shared" si="103"/>
        <v>OK</v>
      </c>
      <c r="P762">
        <f>IFERROR(Full_Data!G762/Full_Data!H762,"Check data")</f>
        <v>0.53466666666666662</v>
      </c>
      <c r="Q762" t="str">
        <f t="shared" si="104"/>
        <v>Match</v>
      </c>
      <c r="R762" t="str">
        <f t="shared" si="105"/>
        <v>Mismatch</v>
      </c>
      <c r="S762" t="str">
        <f t="shared" si="106"/>
        <v>Mismatch</v>
      </c>
    </row>
    <row r="763" spans="1:19" x14ac:dyDescent="0.25">
      <c r="A763" t="s">
        <v>724</v>
      </c>
      <c r="B763">
        <v>5000</v>
      </c>
      <c r="C763">
        <f t="shared" si="107"/>
        <v>50</v>
      </c>
      <c r="D763">
        <v>0</v>
      </c>
      <c r="E763">
        <v>4</v>
      </c>
      <c r="F763">
        <v>5000</v>
      </c>
      <c r="G763">
        <f t="shared" si="99"/>
        <v>50</v>
      </c>
      <c r="H763">
        <v>170</v>
      </c>
      <c r="I763" s="4">
        <f>Full_Data[[#This Row],[Selling Price]]/Full_Data[[#This Row],[Weight (g)]]</f>
        <v>0.29411764705882354</v>
      </c>
      <c r="J763" t="b">
        <v>0</v>
      </c>
      <c r="K763">
        <v>170</v>
      </c>
      <c r="L763">
        <f t="shared" si="100"/>
        <v>0</v>
      </c>
      <c r="M763" t="str">
        <f t="shared" si="101"/>
        <v>Medium</v>
      </c>
      <c r="N763" t="str">
        <f t="shared" si="102"/>
        <v>0-5%</v>
      </c>
      <c r="O763" t="str">
        <f t="shared" si="103"/>
        <v>OK</v>
      </c>
      <c r="P763">
        <f>IFERROR(Full_Data!G763/Full_Data!H763,"Check data")</f>
        <v>0.29411764705882354</v>
      </c>
      <c r="Q763" t="str">
        <f t="shared" si="104"/>
        <v>Match</v>
      </c>
      <c r="R763" t="str">
        <f t="shared" si="105"/>
        <v>Match</v>
      </c>
      <c r="S763" t="str">
        <f t="shared" si="106"/>
        <v>Match</v>
      </c>
    </row>
    <row r="764" spans="1:19" x14ac:dyDescent="0.25">
      <c r="A764" t="s">
        <v>725</v>
      </c>
      <c r="B764">
        <v>5500</v>
      </c>
      <c r="C764">
        <f t="shared" si="107"/>
        <v>55</v>
      </c>
      <c r="D764">
        <v>0</v>
      </c>
      <c r="E764">
        <v>6</v>
      </c>
      <c r="F764">
        <v>5500</v>
      </c>
      <c r="G764">
        <f t="shared" si="99"/>
        <v>55</v>
      </c>
      <c r="H764">
        <v>200</v>
      </c>
      <c r="I764" s="4">
        <f>Full_Data[[#This Row],[Selling Price]]/Full_Data[[#This Row],[Weight (g)]]</f>
        <v>0.27500000000000002</v>
      </c>
      <c r="J764" t="b">
        <v>0</v>
      </c>
      <c r="K764">
        <v>200</v>
      </c>
      <c r="L764">
        <f t="shared" si="100"/>
        <v>0</v>
      </c>
      <c r="M764" t="str">
        <f t="shared" si="101"/>
        <v>Medium</v>
      </c>
      <c r="N764" t="str">
        <f t="shared" si="102"/>
        <v>0-5%</v>
      </c>
      <c r="O764" t="str">
        <f t="shared" si="103"/>
        <v>OK</v>
      </c>
      <c r="P764">
        <f>IFERROR(Full_Data!G764/Full_Data!H764,"Check data")</f>
        <v>0.27500000000000002</v>
      </c>
      <c r="Q764" t="str">
        <f t="shared" si="104"/>
        <v>Match</v>
      </c>
      <c r="R764" t="str">
        <f t="shared" si="105"/>
        <v>Match</v>
      </c>
      <c r="S764" t="str">
        <f t="shared" si="106"/>
        <v>Match</v>
      </c>
    </row>
    <row r="765" spans="1:19" x14ac:dyDescent="0.25">
      <c r="A765" t="s">
        <v>726</v>
      </c>
      <c r="B765">
        <v>5500</v>
      </c>
      <c r="C765">
        <f t="shared" si="107"/>
        <v>55</v>
      </c>
      <c r="D765">
        <v>20</v>
      </c>
      <c r="E765">
        <v>6</v>
      </c>
      <c r="F765">
        <v>4400</v>
      </c>
      <c r="G765">
        <f t="shared" si="99"/>
        <v>44</v>
      </c>
      <c r="H765">
        <v>27</v>
      </c>
      <c r="I765" s="4">
        <f>Full_Data[[#This Row],[Selling Price]]/Full_Data[[#This Row],[Weight (g)]]</f>
        <v>1.6296296296296295</v>
      </c>
      <c r="J765" t="b">
        <v>0</v>
      </c>
      <c r="K765">
        <v>27</v>
      </c>
      <c r="L765">
        <f t="shared" si="100"/>
        <v>11</v>
      </c>
      <c r="M765" t="str">
        <f t="shared" si="101"/>
        <v>Low</v>
      </c>
      <c r="N765" t="str">
        <f t="shared" si="102"/>
        <v>16-20%</v>
      </c>
      <c r="O765" t="str">
        <f t="shared" si="103"/>
        <v>OK</v>
      </c>
      <c r="P765">
        <f>IFERROR(Full_Data!G765/Full_Data!H765,"Check data")</f>
        <v>1.6296296296296295</v>
      </c>
      <c r="Q765" t="str">
        <f t="shared" si="104"/>
        <v>Match</v>
      </c>
      <c r="R765" t="str">
        <f t="shared" si="105"/>
        <v>Match</v>
      </c>
      <c r="S765" t="str">
        <f t="shared" si="106"/>
        <v>Match</v>
      </c>
    </row>
    <row r="766" spans="1:19" x14ac:dyDescent="0.25">
      <c r="A766" t="s">
        <v>727</v>
      </c>
      <c r="B766">
        <v>5500</v>
      </c>
      <c r="C766">
        <f t="shared" si="107"/>
        <v>55</v>
      </c>
      <c r="D766">
        <v>20</v>
      </c>
      <c r="E766">
        <v>6</v>
      </c>
      <c r="F766">
        <v>4400</v>
      </c>
      <c r="G766">
        <f t="shared" si="99"/>
        <v>44</v>
      </c>
      <c r="H766">
        <v>27</v>
      </c>
      <c r="I766" s="4">
        <f>Full_Data[[#This Row],[Selling Price]]/Full_Data[[#This Row],[Weight (g)]]</f>
        <v>1.6296296296296295</v>
      </c>
      <c r="J766" t="b">
        <v>0</v>
      </c>
      <c r="K766">
        <v>27</v>
      </c>
      <c r="L766">
        <f t="shared" si="100"/>
        <v>11</v>
      </c>
      <c r="M766" t="str">
        <f t="shared" si="101"/>
        <v>Low</v>
      </c>
      <c r="N766" t="str">
        <f t="shared" si="102"/>
        <v>16-20%</v>
      </c>
      <c r="O766" t="str">
        <f t="shared" si="103"/>
        <v>OK</v>
      </c>
      <c r="P766">
        <f>IFERROR(Full_Data!G766/Full_Data!H766,"Check data")</f>
        <v>1.6296296296296295</v>
      </c>
      <c r="Q766" t="str">
        <f t="shared" si="104"/>
        <v>Match</v>
      </c>
      <c r="R766" t="str">
        <f t="shared" si="105"/>
        <v>Match</v>
      </c>
      <c r="S766" t="str">
        <f t="shared" si="106"/>
        <v>Match</v>
      </c>
    </row>
    <row r="767" spans="1:19" x14ac:dyDescent="0.25">
      <c r="A767" t="s">
        <v>728</v>
      </c>
      <c r="B767">
        <v>11500</v>
      </c>
      <c r="C767">
        <f t="shared" si="107"/>
        <v>115</v>
      </c>
      <c r="D767">
        <v>0</v>
      </c>
      <c r="E767">
        <v>1</v>
      </c>
      <c r="F767">
        <v>11500</v>
      </c>
      <c r="G767">
        <f t="shared" si="99"/>
        <v>115</v>
      </c>
      <c r="H767">
        <v>500</v>
      </c>
      <c r="I767" s="4">
        <f>Full_Data[[#This Row],[Selling Price]]/Full_Data[[#This Row],[Weight (g)]]</f>
        <v>0.23</v>
      </c>
      <c r="J767" t="b">
        <v>0</v>
      </c>
      <c r="K767">
        <v>500</v>
      </c>
      <c r="L767">
        <f t="shared" si="100"/>
        <v>0</v>
      </c>
      <c r="M767" t="str">
        <f t="shared" si="101"/>
        <v>Medium</v>
      </c>
      <c r="N767" t="str">
        <f t="shared" si="102"/>
        <v>0-5%</v>
      </c>
      <c r="O767" t="str">
        <f t="shared" si="103"/>
        <v>OK</v>
      </c>
      <c r="P767">
        <f>IFERROR(Full_Data!G767/Full_Data!H767,"Check data")</f>
        <v>0.23</v>
      </c>
      <c r="Q767" t="str">
        <f t="shared" si="104"/>
        <v>Match</v>
      </c>
      <c r="R767" t="str">
        <f t="shared" si="105"/>
        <v>Match</v>
      </c>
      <c r="S767" t="str">
        <f t="shared" si="106"/>
        <v>Match</v>
      </c>
    </row>
    <row r="768" spans="1:19" x14ac:dyDescent="0.25">
      <c r="A768" t="s">
        <v>729</v>
      </c>
      <c r="B768">
        <v>9600</v>
      </c>
      <c r="C768">
        <f t="shared" si="107"/>
        <v>96</v>
      </c>
      <c r="D768">
        <v>5</v>
      </c>
      <c r="E768">
        <v>4</v>
      </c>
      <c r="F768">
        <v>9100</v>
      </c>
      <c r="G768">
        <f t="shared" si="99"/>
        <v>91</v>
      </c>
      <c r="H768">
        <v>540</v>
      </c>
      <c r="I768" s="4">
        <f>Full_Data[[#This Row],[Selling Price]]/Full_Data[[#This Row],[Weight (g)]]</f>
        <v>0.16851851851851851</v>
      </c>
      <c r="J768" t="b">
        <v>0</v>
      </c>
      <c r="K768">
        <v>540</v>
      </c>
      <c r="L768">
        <f t="shared" si="100"/>
        <v>5</v>
      </c>
      <c r="M768" t="str">
        <f t="shared" si="101"/>
        <v>Medium</v>
      </c>
      <c r="N768" t="str">
        <f t="shared" si="102"/>
        <v>0-5%</v>
      </c>
      <c r="O768" t="str">
        <f t="shared" si="103"/>
        <v>OK</v>
      </c>
      <c r="P768">
        <f>IFERROR(Full_Data!G768/Full_Data!H768,"Check data")</f>
        <v>0.16851851851851851</v>
      </c>
      <c r="Q768" t="str">
        <f t="shared" si="104"/>
        <v>Match</v>
      </c>
      <c r="R768" t="str">
        <f t="shared" si="105"/>
        <v>Mismatch</v>
      </c>
      <c r="S768" t="str">
        <f t="shared" si="106"/>
        <v>Match</v>
      </c>
    </row>
    <row r="769" spans="1:19" x14ac:dyDescent="0.25">
      <c r="A769" t="s">
        <v>730</v>
      </c>
      <c r="B769">
        <v>8900</v>
      </c>
      <c r="C769">
        <f t="shared" si="107"/>
        <v>89</v>
      </c>
      <c r="D769">
        <v>11</v>
      </c>
      <c r="E769">
        <v>6</v>
      </c>
      <c r="F769">
        <v>7900</v>
      </c>
      <c r="G769">
        <f t="shared" si="99"/>
        <v>79</v>
      </c>
      <c r="H769">
        <v>275</v>
      </c>
      <c r="I769" s="4">
        <f>Full_Data[[#This Row],[Selling Price]]/Full_Data[[#This Row],[Weight (g)]]</f>
        <v>0.28727272727272729</v>
      </c>
      <c r="J769" t="b">
        <v>0</v>
      </c>
      <c r="K769">
        <v>275</v>
      </c>
      <c r="L769">
        <f t="shared" si="100"/>
        <v>10</v>
      </c>
      <c r="M769" t="str">
        <f t="shared" si="101"/>
        <v>Medium</v>
      </c>
      <c r="N769" t="str">
        <f t="shared" si="102"/>
        <v>11-15%</v>
      </c>
      <c r="O769" t="str">
        <f t="shared" si="103"/>
        <v>OK</v>
      </c>
      <c r="P769">
        <f>IFERROR(Full_Data!G769/Full_Data!H769,"Check data")</f>
        <v>0.28727272727272729</v>
      </c>
      <c r="Q769" t="str">
        <f t="shared" si="104"/>
        <v>Match</v>
      </c>
      <c r="R769" t="str">
        <f t="shared" si="105"/>
        <v>Mismatch</v>
      </c>
      <c r="S769" t="str">
        <f t="shared" si="106"/>
        <v>Match</v>
      </c>
    </row>
    <row r="770" spans="1:19" x14ac:dyDescent="0.25">
      <c r="A770" t="s">
        <v>731</v>
      </c>
      <c r="B770">
        <v>5500</v>
      </c>
      <c r="C770">
        <f t="shared" si="107"/>
        <v>55</v>
      </c>
      <c r="D770">
        <v>25</v>
      </c>
      <c r="E770">
        <v>6</v>
      </c>
      <c r="F770">
        <v>4100</v>
      </c>
      <c r="G770">
        <f t="shared" ref="G770:G833" si="108">F770/100</f>
        <v>41</v>
      </c>
      <c r="H770">
        <v>27</v>
      </c>
      <c r="I770" s="4">
        <f>Full_Data[[#This Row],[Selling Price]]/Full_Data[[#This Row],[Weight (g)]]</f>
        <v>1.5185185185185186</v>
      </c>
      <c r="J770" t="b">
        <v>0</v>
      </c>
      <c r="K770">
        <v>27</v>
      </c>
      <c r="L770">
        <f t="shared" ref="L770:L833" si="109">C770-G770</f>
        <v>14</v>
      </c>
      <c r="M770" t="str">
        <f t="shared" ref="M770:M833" si="110">IF(G770&lt;50,"Low",IF(G770&lt;200,"Medium","High"))</f>
        <v>Low</v>
      </c>
      <c r="N770" t="str">
        <f t="shared" ref="N770:N833" si="111">IF(D770&lt;=5,"0-5%",
IF(D770&lt;=10,"6-10%",
IF(D770&lt;=15,"11-15%",
IF(D770&lt;=20,"16-20%","21%+"))))</f>
        <v>21%+</v>
      </c>
      <c r="O770" t="str">
        <f t="shared" ref="O770:O833" si="112">IF(AND(C770=0,G770=0),"Review: Zero MRP and selling price",IF(C770&lt;=0,"Review: Invalid MRP",IF(G770&lt;0,"Review: Negative selling price",IF(G770=0,"Review: Zero selling price",IF(H770&lt;=0,"Review: Invalid weight","OK")))))</f>
        <v>OK</v>
      </c>
      <c r="P770">
        <f>IFERROR(Full_Data!G770/Full_Data!H770,"Check data")</f>
        <v>1.5185185185185186</v>
      </c>
      <c r="Q770" t="str">
        <f t="shared" ref="Q770:Q833" si="113">IF(OR(H770="",H770&lt;=0),"Invalid weight",IF(G770="","Missing selling price",IF(ROUND(G770/H770,2)=ROUND(I770,2),"Match","Mismatch")))</f>
        <v>Match</v>
      </c>
      <c r="R770" t="str">
        <f t="shared" ref="R770:R833" si="114">IF(OR(C770&lt;=0,G770=""),"Check data",IF(ROUND((C770-G770)/C770*100,2)=ROUND(D770,2),"Match","Mismatch"))</f>
        <v>Mismatch</v>
      </c>
      <c r="S770" t="str">
        <f t="shared" ref="S770:S833" si="115">IF(OR(C770&lt;=0,G770=""),"Check data",IF(ROUND((C770-G770)/C770*100,0)=D770,"Match","Mismatch"))</f>
        <v>Match</v>
      </c>
    </row>
    <row r="771" spans="1:19" x14ac:dyDescent="0.25">
      <c r="A771" t="s">
        <v>732</v>
      </c>
      <c r="B771">
        <v>11000</v>
      </c>
      <c r="C771">
        <f t="shared" ref="C771:C834" si="116">B771/100</f>
        <v>110</v>
      </c>
      <c r="D771">
        <v>22</v>
      </c>
      <c r="E771">
        <v>6</v>
      </c>
      <c r="F771">
        <v>8500</v>
      </c>
      <c r="G771">
        <f t="shared" si="108"/>
        <v>85</v>
      </c>
      <c r="H771">
        <v>300</v>
      </c>
      <c r="I771" s="4">
        <f>Full_Data[[#This Row],[Selling Price]]/Full_Data[[#This Row],[Weight (g)]]</f>
        <v>0.28333333333333333</v>
      </c>
      <c r="J771" t="b">
        <v>0</v>
      </c>
      <c r="K771">
        <v>300</v>
      </c>
      <c r="L771">
        <f t="shared" si="109"/>
        <v>25</v>
      </c>
      <c r="M771" t="str">
        <f t="shared" si="110"/>
        <v>Medium</v>
      </c>
      <c r="N771" t="str">
        <f t="shared" si="111"/>
        <v>21%+</v>
      </c>
      <c r="O771" t="str">
        <f t="shared" si="112"/>
        <v>OK</v>
      </c>
      <c r="P771">
        <f>IFERROR(Full_Data!G771/Full_Data!H771,"Check data")</f>
        <v>0.28333333333333333</v>
      </c>
      <c r="Q771" t="str">
        <f t="shared" si="113"/>
        <v>Match</v>
      </c>
      <c r="R771" t="str">
        <f t="shared" si="114"/>
        <v>Mismatch</v>
      </c>
      <c r="S771" t="str">
        <f t="shared" si="115"/>
        <v>Mismatch</v>
      </c>
    </row>
    <row r="772" spans="1:19" x14ac:dyDescent="0.25">
      <c r="A772" t="s">
        <v>733</v>
      </c>
      <c r="B772">
        <v>6000</v>
      </c>
      <c r="C772">
        <f t="shared" si="116"/>
        <v>60</v>
      </c>
      <c r="D772">
        <v>6</v>
      </c>
      <c r="E772">
        <v>6</v>
      </c>
      <c r="F772">
        <v>5600</v>
      </c>
      <c r="G772">
        <f t="shared" si="108"/>
        <v>56</v>
      </c>
      <c r="H772">
        <v>200</v>
      </c>
      <c r="I772" s="4">
        <f>Full_Data[[#This Row],[Selling Price]]/Full_Data[[#This Row],[Weight (g)]]</f>
        <v>0.28000000000000003</v>
      </c>
      <c r="J772" t="b">
        <v>0</v>
      </c>
      <c r="K772">
        <v>200</v>
      </c>
      <c r="L772">
        <f t="shared" si="109"/>
        <v>4</v>
      </c>
      <c r="M772" t="str">
        <f t="shared" si="110"/>
        <v>Medium</v>
      </c>
      <c r="N772" t="str">
        <f t="shared" si="111"/>
        <v>6-10%</v>
      </c>
      <c r="O772" t="str">
        <f t="shared" si="112"/>
        <v>OK</v>
      </c>
      <c r="P772">
        <f>IFERROR(Full_Data!G772/Full_Data!H772,"Check data")</f>
        <v>0.28000000000000003</v>
      </c>
      <c r="Q772" t="str">
        <f t="shared" si="113"/>
        <v>Match</v>
      </c>
      <c r="R772" t="str">
        <f t="shared" si="114"/>
        <v>Mismatch</v>
      </c>
      <c r="S772" t="str">
        <f t="shared" si="115"/>
        <v>Mismatch</v>
      </c>
    </row>
    <row r="773" spans="1:19" x14ac:dyDescent="0.25">
      <c r="A773" t="s">
        <v>734</v>
      </c>
      <c r="B773">
        <v>12000</v>
      </c>
      <c r="C773">
        <f t="shared" si="116"/>
        <v>120</v>
      </c>
      <c r="D773">
        <v>5</v>
      </c>
      <c r="E773">
        <v>5</v>
      </c>
      <c r="F773">
        <v>11400</v>
      </c>
      <c r="G773">
        <f t="shared" si="108"/>
        <v>114</v>
      </c>
      <c r="H773">
        <v>400</v>
      </c>
      <c r="I773" s="4">
        <f>Full_Data[[#This Row],[Selling Price]]/Full_Data[[#This Row],[Weight (g)]]</f>
        <v>0.28499999999999998</v>
      </c>
      <c r="J773" t="b">
        <v>0</v>
      </c>
      <c r="K773">
        <v>400</v>
      </c>
      <c r="L773">
        <f t="shared" si="109"/>
        <v>6</v>
      </c>
      <c r="M773" t="str">
        <f t="shared" si="110"/>
        <v>Medium</v>
      </c>
      <c r="N773" t="str">
        <f t="shared" si="111"/>
        <v>0-5%</v>
      </c>
      <c r="O773" t="str">
        <f t="shared" si="112"/>
        <v>OK</v>
      </c>
      <c r="P773">
        <f>IFERROR(Full_Data!G773/Full_Data!H773,"Check data")</f>
        <v>0.28499999999999998</v>
      </c>
      <c r="Q773" t="str">
        <f t="shared" si="113"/>
        <v>Match</v>
      </c>
      <c r="R773" t="str">
        <f t="shared" si="114"/>
        <v>Match</v>
      </c>
      <c r="S773" t="str">
        <f t="shared" si="115"/>
        <v>Match</v>
      </c>
    </row>
    <row r="774" spans="1:19" x14ac:dyDescent="0.25">
      <c r="A774" t="s">
        <v>735</v>
      </c>
      <c r="B774">
        <v>4000</v>
      </c>
      <c r="C774">
        <f t="shared" si="116"/>
        <v>40</v>
      </c>
      <c r="D774">
        <v>12</v>
      </c>
      <c r="E774">
        <v>4</v>
      </c>
      <c r="F774">
        <v>3500</v>
      </c>
      <c r="G774">
        <f t="shared" si="108"/>
        <v>35</v>
      </c>
      <c r="H774">
        <v>38</v>
      </c>
      <c r="I774" s="4">
        <f>Full_Data[[#This Row],[Selling Price]]/Full_Data[[#This Row],[Weight (g)]]</f>
        <v>0.92105263157894735</v>
      </c>
      <c r="J774" t="b">
        <v>0</v>
      </c>
      <c r="K774">
        <v>38</v>
      </c>
      <c r="L774">
        <f t="shared" si="109"/>
        <v>5</v>
      </c>
      <c r="M774" t="str">
        <f t="shared" si="110"/>
        <v>Low</v>
      </c>
      <c r="N774" t="str">
        <f t="shared" si="111"/>
        <v>11-15%</v>
      </c>
      <c r="O774" t="str">
        <f t="shared" si="112"/>
        <v>OK</v>
      </c>
      <c r="P774">
        <f>IFERROR(Full_Data!G774/Full_Data!H774,"Check data")</f>
        <v>0.92105263157894735</v>
      </c>
      <c r="Q774" t="str">
        <f t="shared" si="113"/>
        <v>Match</v>
      </c>
      <c r="R774" t="str">
        <f t="shared" si="114"/>
        <v>Mismatch</v>
      </c>
      <c r="S774" t="str">
        <f t="shared" si="115"/>
        <v>Mismatch</v>
      </c>
    </row>
    <row r="775" spans="1:19" x14ac:dyDescent="0.25">
      <c r="A775" t="s">
        <v>736</v>
      </c>
      <c r="B775">
        <v>5500</v>
      </c>
      <c r="C775">
        <f t="shared" si="116"/>
        <v>55</v>
      </c>
      <c r="D775">
        <v>0</v>
      </c>
      <c r="E775">
        <v>5</v>
      </c>
      <c r="F775">
        <v>5500</v>
      </c>
      <c r="G775">
        <f t="shared" si="108"/>
        <v>55</v>
      </c>
      <c r="H775">
        <v>190</v>
      </c>
      <c r="I775" s="4">
        <f>Full_Data[[#This Row],[Selling Price]]/Full_Data[[#This Row],[Weight (g)]]</f>
        <v>0.28947368421052633</v>
      </c>
      <c r="J775" t="b">
        <v>0</v>
      </c>
      <c r="K775">
        <v>190</v>
      </c>
      <c r="L775">
        <f t="shared" si="109"/>
        <v>0</v>
      </c>
      <c r="M775" t="str">
        <f t="shared" si="110"/>
        <v>Medium</v>
      </c>
      <c r="N775" t="str">
        <f t="shared" si="111"/>
        <v>0-5%</v>
      </c>
      <c r="O775" t="str">
        <f t="shared" si="112"/>
        <v>OK</v>
      </c>
      <c r="P775">
        <f>IFERROR(Full_Data!G775/Full_Data!H775,"Check data")</f>
        <v>0.28947368421052633</v>
      </c>
      <c r="Q775" t="str">
        <f t="shared" si="113"/>
        <v>Match</v>
      </c>
      <c r="R775" t="str">
        <f t="shared" si="114"/>
        <v>Match</v>
      </c>
      <c r="S775" t="str">
        <f t="shared" si="115"/>
        <v>Match</v>
      </c>
    </row>
    <row r="776" spans="1:19" x14ac:dyDescent="0.25">
      <c r="A776" t="s">
        <v>737</v>
      </c>
      <c r="B776">
        <v>7500</v>
      </c>
      <c r="C776">
        <f t="shared" si="116"/>
        <v>75</v>
      </c>
      <c r="D776">
        <v>6</v>
      </c>
      <c r="E776">
        <v>4</v>
      </c>
      <c r="F776">
        <v>7000</v>
      </c>
      <c r="G776">
        <f t="shared" si="108"/>
        <v>70</v>
      </c>
      <c r="H776">
        <v>280</v>
      </c>
      <c r="I776" s="4">
        <f>Full_Data[[#This Row],[Selling Price]]/Full_Data[[#This Row],[Weight (g)]]</f>
        <v>0.25</v>
      </c>
      <c r="J776" t="b">
        <v>0</v>
      </c>
      <c r="K776">
        <v>280</v>
      </c>
      <c r="L776">
        <f t="shared" si="109"/>
        <v>5</v>
      </c>
      <c r="M776" t="str">
        <f t="shared" si="110"/>
        <v>Medium</v>
      </c>
      <c r="N776" t="str">
        <f t="shared" si="111"/>
        <v>6-10%</v>
      </c>
      <c r="O776" t="str">
        <f t="shared" si="112"/>
        <v>OK</v>
      </c>
      <c r="P776">
        <f>IFERROR(Full_Data!G776/Full_Data!H776,"Check data")</f>
        <v>0.25</v>
      </c>
      <c r="Q776" t="str">
        <f t="shared" si="113"/>
        <v>Match</v>
      </c>
      <c r="R776" t="str">
        <f t="shared" si="114"/>
        <v>Mismatch</v>
      </c>
      <c r="S776" t="str">
        <f t="shared" si="115"/>
        <v>Mismatch</v>
      </c>
    </row>
    <row r="777" spans="1:19" x14ac:dyDescent="0.25">
      <c r="A777" t="s">
        <v>738</v>
      </c>
      <c r="B777">
        <v>11000</v>
      </c>
      <c r="C777">
        <f t="shared" si="116"/>
        <v>110</v>
      </c>
      <c r="D777">
        <v>4</v>
      </c>
      <c r="E777">
        <v>6</v>
      </c>
      <c r="F777">
        <v>10500</v>
      </c>
      <c r="G777">
        <f t="shared" si="108"/>
        <v>105</v>
      </c>
      <c r="H777">
        <v>400</v>
      </c>
      <c r="I777" s="4">
        <f>Full_Data[[#This Row],[Selling Price]]/Full_Data[[#This Row],[Weight (g)]]</f>
        <v>0.26250000000000001</v>
      </c>
      <c r="J777" t="b">
        <v>0</v>
      </c>
      <c r="K777">
        <v>400</v>
      </c>
      <c r="L777">
        <f t="shared" si="109"/>
        <v>5</v>
      </c>
      <c r="M777" t="str">
        <f t="shared" si="110"/>
        <v>Medium</v>
      </c>
      <c r="N777" t="str">
        <f t="shared" si="111"/>
        <v>0-5%</v>
      </c>
      <c r="O777" t="str">
        <f t="shared" si="112"/>
        <v>OK</v>
      </c>
      <c r="P777">
        <f>IFERROR(Full_Data!G777/Full_Data!H777,"Check data")</f>
        <v>0.26250000000000001</v>
      </c>
      <c r="Q777" t="str">
        <f t="shared" si="113"/>
        <v>Match</v>
      </c>
      <c r="R777" t="str">
        <f t="shared" si="114"/>
        <v>Mismatch</v>
      </c>
      <c r="S777" t="str">
        <f t="shared" si="115"/>
        <v>Mismatch</v>
      </c>
    </row>
    <row r="778" spans="1:19" x14ac:dyDescent="0.25">
      <c r="A778" t="s">
        <v>739</v>
      </c>
      <c r="B778">
        <v>32500</v>
      </c>
      <c r="C778">
        <f t="shared" si="116"/>
        <v>325</v>
      </c>
      <c r="D778">
        <v>6</v>
      </c>
      <c r="E778">
        <v>6</v>
      </c>
      <c r="F778">
        <v>30500</v>
      </c>
      <c r="G778">
        <f t="shared" si="108"/>
        <v>305</v>
      </c>
      <c r="H778">
        <v>500</v>
      </c>
      <c r="I778" s="4">
        <f>Full_Data[[#This Row],[Selling Price]]/Full_Data[[#This Row],[Weight (g)]]</f>
        <v>0.61</v>
      </c>
      <c r="J778" t="b">
        <v>0</v>
      </c>
      <c r="K778">
        <v>500</v>
      </c>
      <c r="L778">
        <f t="shared" si="109"/>
        <v>20</v>
      </c>
      <c r="M778" t="str">
        <f t="shared" si="110"/>
        <v>High</v>
      </c>
      <c r="N778" t="str">
        <f t="shared" si="111"/>
        <v>6-10%</v>
      </c>
      <c r="O778" t="str">
        <f t="shared" si="112"/>
        <v>OK</v>
      </c>
      <c r="P778">
        <f>IFERROR(Full_Data!G778/Full_Data!H778,"Check data")</f>
        <v>0.61</v>
      </c>
      <c r="Q778" t="str">
        <f t="shared" si="113"/>
        <v>Match</v>
      </c>
      <c r="R778" t="str">
        <f t="shared" si="114"/>
        <v>Mismatch</v>
      </c>
      <c r="S778" t="str">
        <f t="shared" si="115"/>
        <v>Match</v>
      </c>
    </row>
    <row r="779" spans="1:19" x14ac:dyDescent="0.25">
      <c r="A779" t="s">
        <v>740</v>
      </c>
      <c r="B779">
        <v>5500</v>
      </c>
      <c r="C779">
        <f t="shared" si="116"/>
        <v>55</v>
      </c>
      <c r="D779">
        <v>20</v>
      </c>
      <c r="E779">
        <v>5</v>
      </c>
      <c r="F779">
        <v>4400</v>
      </c>
      <c r="G779">
        <f t="shared" si="108"/>
        <v>44</v>
      </c>
      <c r="H779">
        <v>27</v>
      </c>
      <c r="I779" s="4">
        <f>Full_Data[[#This Row],[Selling Price]]/Full_Data[[#This Row],[Weight (g)]]</f>
        <v>1.6296296296296295</v>
      </c>
      <c r="J779" t="b">
        <v>0</v>
      </c>
      <c r="K779">
        <v>27</v>
      </c>
      <c r="L779">
        <f t="shared" si="109"/>
        <v>11</v>
      </c>
      <c r="M779" t="str">
        <f t="shared" si="110"/>
        <v>Low</v>
      </c>
      <c r="N779" t="str">
        <f t="shared" si="111"/>
        <v>16-20%</v>
      </c>
      <c r="O779" t="str">
        <f t="shared" si="112"/>
        <v>OK</v>
      </c>
      <c r="P779">
        <f>IFERROR(Full_Data!G779/Full_Data!H779,"Check data")</f>
        <v>1.6296296296296295</v>
      </c>
      <c r="Q779" t="str">
        <f t="shared" si="113"/>
        <v>Match</v>
      </c>
      <c r="R779" t="str">
        <f t="shared" si="114"/>
        <v>Match</v>
      </c>
      <c r="S779" t="str">
        <f t="shared" si="115"/>
        <v>Match</v>
      </c>
    </row>
    <row r="780" spans="1:19" x14ac:dyDescent="0.25">
      <c r="A780" t="s">
        <v>741</v>
      </c>
      <c r="B780">
        <v>2800</v>
      </c>
      <c r="C780">
        <f t="shared" si="116"/>
        <v>28</v>
      </c>
      <c r="D780">
        <v>17</v>
      </c>
      <c r="E780">
        <v>1</v>
      </c>
      <c r="F780">
        <v>2300</v>
      </c>
      <c r="G780">
        <f t="shared" si="108"/>
        <v>23</v>
      </c>
      <c r="H780">
        <v>65</v>
      </c>
      <c r="I780" s="4">
        <f>Full_Data[[#This Row],[Selling Price]]/Full_Data[[#This Row],[Weight (g)]]</f>
        <v>0.35384615384615387</v>
      </c>
      <c r="J780" t="b">
        <v>0</v>
      </c>
      <c r="K780">
        <v>65</v>
      </c>
      <c r="L780">
        <f t="shared" si="109"/>
        <v>5</v>
      </c>
      <c r="M780" t="str">
        <f t="shared" si="110"/>
        <v>Low</v>
      </c>
      <c r="N780" t="str">
        <f t="shared" si="111"/>
        <v>16-20%</v>
      </c>
      <c r="O780" t="str">
        <f t="shared" si="112"/>
        <v>OK</v>
      </c>
      <c r="P780">
        <f>IFERROR(Full_Data!G780/Full_Data!H780,"Check data")</f>
        <v>0.35384615384615387</v>
      </c>
      <c r="Q780" t="str">
        <f t="shared" si="113"/>
        <v>Match</v>
      </c>
      <c r="R780" t="str">
        <f t="shared" si="114"/>
        <v>Mismatch</v>
      </c>
      <c r="S780" t="str">
        <f t="shared" si="115"/>
        <v>Mismatch</v>
      </c>
    </row>
    <row r="781" spans="1:19" x14ac:dyDescent="0.25">
      <c r="A781" t="s">
        <v>742</v>
      </c>
      <c r="B781">
        <v>9900</v>
      </c>
      <c r="C781">
        <f t="shared" si="116"/>
        <v>99</v>
      </c>
      <c r="D781">
        <v>49</v>
      </c>
      <c r="E781">
        <v>1</v>
      </c>
      <c r="F781">
        <v>5000</v>
      </c>
      <c r="G781">
        <f t="shared" si="108"/>
        <v>50</v>
      </c>
      <c r="H781">
        <v>130</v>
      </c>
      <c r="I781" s="4">
        <f>Full_Data[[#This Row],[Selling Price]]/Full_Data[[#This Row],[Weight (g)]]</f>
        <v>0.38461538461538464</v>
      </c>
      <c r="J781" t="b">
        <v>0</v>
      </c>
      <c r="K781">
        <v>130</v>
      </c>
      <c r="L781">
        <f t="shared" si="109"/>
        <v>49</v>
      </c>
      <c r="M781" t="str">
        <f t="shared" si="110"/>
        <v>Medium</v>
      </c>
      <c r="N781" t="str">
        <f t="shared" si="111"/>
        <v>21%+</v>
      </c>
      <c r="O781" t="str">
        <f t="shared" si="112"/>
        <v>OK</v>
      </c>
      <c r="P781">
        <f>IFERROR(Full_Data!G781/Full_Data!H781,"Check data")</f>
        <v>0.38461538461538464</v>
      </c>
      <c r="Q781" t="str">
        <f t="shared" si="113"/>
        <v>Match</v>
      </c>
      <c r="R781" t="str">
        <f t="shared" si="114"/>
        <v>Mismatch</v>
      </c>
      <c r="S781" t="str">
        <f t="shared" si="115"/>
        <v>Match</v>
      </c>
    </row>
    <row r="782" spans="1:19" x14ac:dyDescent="0.25">
      <c r="A782" t="s">
        <v>743</v>
      </c>
      <c r="B782">
        <v>10500</v>
      </c>
      <c r="C782">
        <f t="shared" si="116"/>
        <v>105</v>
      </c>
      <c r="D782">
        <v>4</v>
      </c>
      <c r="E782">
        <v>2</v>
      </c>
      <c r="F782">
        <v>10000</v>
      </c>
      <c r="G782">
        <f t="shared" si="108"/>
        <v>100</v>
      </c>
      <c r="H782">
        <v>500</v>
      </c>
      <c r="I782" s="4">
        <f>Full_Data[[#This Row],[Selling Price]]/Full_Data[[#This Row],[Weight (g)]]</f>
        <v>0.2</v>
      </c>
      <c r="J782" t="b">
        <v>0</v>
      </c>
      <c r="K782">
        <v>500</v>
      </c>
      <c r="L782">
        <f t="shared" si="109"/>
        <v>5</v>
      </c>
      <c r="M782" t="str">
        <f t="shared" si="110"/>
        <v>Medium</v>
      </c>
      <c r="N782" t="str">
        <f t="shared" si="111"/>
        <v>0-5%</v>
      </c>
      <c r="O782" t="str">
        <f t="shared" si="112"/>
        <v>OK</v>
      </c>
      <c r="P782">
        <f>IFERROR(Full_Data!G782/Full_Data!H782,"Check data")</f>
        <v>0.2</v>
      </c>
      <c r="Q782" t="str">
        <f t="shared" si="113"/>
        <v>Match</v>
      </c>
      <c r="R782" t="str">
        <f t="shared" si="114"/>
        <v>Mismatch</v>
      </c>
      <c r="S782" t="str">
        <f t="shared" si="115"/>
        <v>Mismatch</v>
      </c>
    </row>
    <row r="783" spans="1:19" x14ac:dyDescent="0.25">
      <c r="A783" t="s">
        <v>744</v>
      </c>
      <c r="B783">
        <v>17500</v>
      </c>
      <c r="C783">
        <f t="shared" si="116"/>
        <v>175</v>
      </c>
      <c r="D783">
        <v>9</v>
      </c>
      <c r="E783">
        <v>6</v>
      </c>
      <c r="F783">
        <v>15800</v>
      </c>
      <c r="G783">
        <f t="shared" si="108"/>
        <v>158</v>
      </c>
      <c r="H783">
        <v>300</v>
      </c>
      <c r="I783" s="4">
        <f>Full_Data[[#This Row],[Selling Price]]/Full_Data[[#This Row],[Weight (g)]]</f>
        <v>0.52666666666666662</v>
      </c>
      <c r="J783" t="b">
        <v>0</v>
      </c>
      <c r="K783">
        <v>300</v>
      </c>
      <c r="L783">
        <f t="shared" si="109"/>
        <v>17</v>
      </c>
      <c r="M783" t="str">
        <f t="shared" si="110"/>
        <v>Medium</v>
      </c>
      <c r="N783" t="str">
        <f t="shared" si="111"/>
        <v>6-10%</v>
      </c>
      <c r="O783" t="str">
        <f t="shared" si="112"/>
        <v>OK</v>
      </c>
      <c r="P783">
        <f>IFERROR(Full_Data!G783/Full_Data!H783,"Check data")</f>
        <v>0.52666666666666662</v>
      </c>
      <c r="Q783" t="str">
        <f t="shared" si="113"/>
        <v>Match</v>
      </c>
      <c r="R783" t="str">
        <f t="shared" si="114"/>
        <v>Mismatch</v>
      </c>
      <c r="S783" t="str">
        <f t="shared" si="115"/>
        <v>Mismatch</v>
      </c>
    </row>
    <row r="784" spans="1:19" x14ac:dyDescent="0.25">
      <c r="A784" t="s">
        <v>745</v>
      </c>
      <c r="B784">
        <v>6000</v>
      </c>
      <c r="C784">
        <f t="shared" si="116"/>
        <v>60</v>
      </c>
      <c r="D784">
        <v>20</v>
      </c>
      <c r="E784">
        <v>6</v>
      </c>
      <c r="F784">
        <v>4800</v>
      </c>
      <c r="G784">
        <f t="shared" si="108"/>
        <v>48</v>
      </c>
      <c r="H784">
        <v>40</v>
      </c>
      <c r="I784" s="4">
        <f>Full_Data[[#This Row],[Selling Price]]/Full_Data[[#This Row],[Weight (g)]]</f>
        <v>1.2</v>
      </c>
      <c r="J784" t="b">
        <v>0</v>
      </c>
      <c r="K784">
        <v>40</v>
      </c>
      <c r="L784">
        <f t="shared" si="109"/>
        <v>12</v>
      </c>
      <c r="M784" t="str">
        <f t="shared" si="110"/>
        <v>Low</v>
      </c>
      <c r="N784" t="str">
        <f t="shared" si="111"/>
        <v>16-20%</v>
      </c>
      <c r="O784" t="str">
        <f t="shared" si="112"/>
        <v>OK</v>
      </c>
      <c r="P784">
        <f>IFERROR(Full_Data!G784/Full_Data!H784,"Check data")</f>
        <v>1.2</v>
      </c>
      <c r="Q784" t="str">
        <f t="shared" si="113"/>
        <v>Match</v>
      </c>
      <c r="R784" t="str">
        <f t="shared" si="114"/>
        <v>Match</v>
      </c>
      <c r="S784" t="str">
        <f t="shared" si="115"/>
        <v>Match</v>
      </c>
    </row>
    <row r="785" spans="1:19" x14ac:dyDescent="0.25">
      <c r="A785" t="s">
        <v>746</v>
      </c>
      <c r="B785">
        <v>27000</v>
      </c>
      <c r="C785">
        <f t="shared" si="116"/>
        <v>270</v>
      </c>
      <c r="D785">
        <v>0</v>
      </c>
      <c r="E785">
        <v>5</v>
      </c>
      <c r="F785">
        <v>27000</v>
      </c>
      <c r="G785">
        <f t="shared" si="108"/>
        <v>270</v>
      </c>
      <c r="H785">
        <v>24</v>
      </c>
      <c r="I785" s="4">
        <f>Full_Data[[#This Row],[Selling Price]]/Full_Data[[#This Row],[Weight (g)]]</f>
        <v>11.25</v>
      </c>
      <c r="J785" t="b">
        <v>0</v>
      </c>
      <c r="K785">
        <v>24</v>
      </c>
      <c r="L785">
        <f t="shared" si="109"/>
        <v>0</v>
      </c>
      <c r="M785" t="str">
        <f t="shared" si="110"/>
        <v>High</v>
      </c>
      <c r="N785" t="str">
        <f t="shared" si="111"/>
        <v>0-5%</v>
      </c>
      <c r="O785" t="str">
        <f t="shared" si="112"/>
        <v>OK</v>
      </c>
      <c r="P785">
        <f>IFERROR(Full_Data!G785/Full_Data!H785,"Check data")</f>
        <v>11.25</v>
      </c>
      <c r="Q785" t="str">
        <f t="shared" si="113"/>
        <v>Match</v>
      </c>
      <c r="R785" t="str">
        <f t="shared" si="114"/>
        <v>Match</v>
      </c>
      <c r="S785" t="str">
        <f t="shared" si="115"/>
        <v>Match</v>
      </c>
    </row>
    <row r="786" spans="1:19" x14ac:dyDescent="0.25">
      <c r="A786" t="s">
        <v>747</v>
      </c>
      <c r="B786">
        <v>5000</v>
      </c>
      <c r="C786">
        <f t="shared" si="116"/>
        <v>50</v>
      </c>
      <c r="D786">
        <v>10</v>
      </c>
      <c r="E786">
        <v>6</v>
      </c>
      <c r="F786">
        <v>4500</v>
      </c>
      <c r="G786">
        <f t="shared" si="108"/>
        <v>45</v>
      </c>
      <c r="H786">
        <v>160</v>
      </c>
      <c r="I786" s="4">
        <f>Full_Data[[#This Row],[Selling Price]]/Full_Data[[#This Row],[Weight (g)]]</f>
        <v>0.28125</v>
      </c>
      <c r="J786" t="b">
        <v>0</v>
      </c>
      <c r="K786">
        <v>160</v>
      </c>
      <c r="L786">
        <f t="shared" si="109"/>
        <v>5</v>
      </c>
      <c r="M786" t="str">
        <f t="shared" si="110"/>
        <v>Low</v>
      </c>
      <c r="N786" t="str">
        <f t="shared" si="111"/>
        <v>6-10%</v>
      </c>
      <c r="O786" t="str">
        <f t="shared" si="112"/>
        <v>OK</v>
      </c>
      <c r="P786">
        <f>IFERROR(Full_Data!G786/Full_Data!H786,"Check data")</f>
        <v>0.28125</v>
      </c>
      <c r="Q786" t="str">
        <f t="shared" si="113"/>
        <v>Match</v>
      </c>
      <c r="R786" t="str">
        <f t="shared" si="114"/>
        <v>Match</v>
      </c>
      <c r="S786" t="str">
        <f t="shared" si="115"/>
        <v>Match</v>
      </c>
    </row>
    <row r="787" spans="1:19" x14ac:dyDescent="0.25">
      <c r="A787" t="s">
        <v>748</v>
      </c>
      <c r="B787">
        <v>10000</v>
      </c>
      <c r="C787">
        <f t="shared" si="116"/>
        <v>100</v>
      </c>
      <c r="D787">
        <v>26</v>
      </c>
      <c r="E787">
        <v>6</v>
      </c>
      <c r="F787">
        <v>7400</v>
      </c>
      <c r="G787">
        <f t="shared" si="108"/>
        <v>74</v>
      </c>
      <c r="H787">
        <v>52</v>
      </c>
      <c r="I787" s="4">
        <f>Full_Data[[#This Row],[Selling Price]]/Full_Data[[#This Row],[Weight (g)]]</f>
        <v>1.4230769230769231</v>
      </c>
      <c r="J787" t="b">
        <v>0</v>
      </c>
      <c r="K787">
        <v>52</v>
      </c>
      <c r="L787">
        <f t="shared" si="109"/>
        <v>26</v>
      </c>
      <c r="M787" t="str">
        <f t="shared" si="110"/>
        <v>Medium</v>
      </c>
      <c r="N787" t="str">
        <f t="shared" si="111"/>
        <v>21%+</v>
      </c>
      <c r="O787" t="str">
        <f t="shared" si="112"/>
        <v>OK</v>
      </c>
      <c r="P787">
        <f>IFERROR(Full_Data!G787/Full_Data!H787,"Check data")</f>
        <v>1.4230769230769231</v>
      </c>
      <c r="Q787" t="str">
        <f t="shared" si="113"/>
        <v>Match</v>
      </c>
      <c r="R787" t="str">
        <f t="shared" si="114"/>
        <v>Match</v>
      </c>
      <c r="S787" t="str">
        <f t="shared" si="115"/>
        <v>Match</v>
      </c>
    </row>
    <row r="788" spans="1:19" x14ac:dyDescent="0.25">
      <c r="A788" t="s">
        <v>749</v>
      </c>
      <c r="B788">
        <v>7400</v>
      </c>
      <c r="C788">
        <f t="shared" si="116"/>
        <v>74</v>
      </c>
      <c r="D788">
        <v>6</v>
      </c>
      <c r="E788">
        <v>2</v>
      </c>
      <c r="F788">
        <v>6900</v>
      </c>
      <c r="G788">
        <f t="shared" si="108"/>
        <v>69</v>
      </c>
      <c r="H788">
        <v>300</v>
      </c>
      <c r="I788" s="4">
        <f>Full_Data[[#This Row],[Selling Price]]/Full_Data[[#This Row],[Weight (g)]]</f>
        <v>0.23</v>
      </c>
      <c r="J788" t="b">
        <v>0</v>
      </c>
      <c r="K788">
        <v>300</v>
      </c>
      <c r="L788">
        <f t="shared" si="109"/>
        <v>5</v>
      </c>
      <c r="M788" t="str">
        <f t="shared" si="110"/>
        <v>Medium</v>
      </c>
      <c r="N788" t="str">
        <f t="shared" si="111"/>
        <v>6-10%</v>
      </c>
      <c r="O788" t="str">
        <f t="shared" si="112"/>
        <v>OK</v>
      </c>
      <c r="P788">
        <f>IFERROR(Full_Data!G788/Full_Data!H788,"Check data")</f>
        <v>0.23</v>
      </c>
      <c r="Q788" t="str">
        <f t="shared" si="113"/>
        <v>Match</v>
      </c>
      <c r="R788" t="str">
        <f t="shared" si="114"/>
        <v>Mismatch</v>
      </c>
      <c r="S788" t="str">
        <f t="shared" si="115"/>
        <v>Mismatch</v>
      </c>
    </row>
    <row r="789" spans="1:19" x14ac:dyDescent="0.25">
      <c r="A789" t="s">
        <v>750</v>
      </c>
      <c r="B789">
        <v>32500</v>
      </c>
      <c r="C789">
        <f t="shared" si="116"/>
        <v>325</v>
      </c>
      <c r="D789">
        <v>4</v>
      </c>
      <c r="E789">
        <v>6</v>
      </c>
      <c r="F789">
        <v>30900</v>
      </c>
      <c r="G789">
        <f t="shared" si="108"/>
        <v>309</v>
      </c>
      <c r="H789">
        <v>400</v>
      </c>
      <c r="I789" s="4">
        <f>Full_Data[[#This Row],[Selling Price]]/Full_Data[[#This Row],[Weight (g)]]</f>
        <v>0.77249999999999996</v>
      </c>
      <c r="J789" t="b">
        <v>0</v>
      </c>
      <c r="K789">
        <v>400</v>
      </c>
      <c r="L789">
        <f t="shared" si="109"/>
        <v>16</v>
      </c>
      <c r="M789" t="str">
        <f t="shared" si="110"/>
        <v>High</v>
      </c>
      <c r="N789" t="str">
        <f t="shared" si="111"/>
        <v>0-5%</v>
      </c>
      <c r="O789" t="str">
        <f t="shared" si="112"/>
        <v>OK</v>
      </c>
      <c r="P789">
        <f>IFERROR(Full_Data!G789/Full_Data!H789,"Check data")</f>
        <v>0.77249999999999996</v>
      </c>
      <c r="Q789" t="str">
        <f t="shared" si="113"/>
        <v>Match</v>
      </c>
      <c r="R789" t="str">
        <f t="shared" si="114"/>
        <v>Mismatch</v>
      </c>
      <c r="S789" t="str">
        <f t="shared" si="115"/>
        <v>Mismatch</v>
      </c>
    </row>
    <row r="790" spans="1:19" x14ac:dyDescent="0.25">
      <c r="A790" t="s">
        <v>751</v>
      </c>
      <c r="B790">
        <v>5500</v>
      </c>
      <c r="C790">
        <f t="shared" si="116"/>
        <v>55</v>
      </c>
      <c r="D790">
        <v>25</v>
      </c>
      <c r="E790">
        <v>6</v>
      </c>
      <c r="F790">
        <v>4100</v>
      </c>
      <c r="G790">
        <f t="shared" si="108"/>
        <v>41</v>
      </c>
      <c r="H790">
        <v>27</v>
      </c>
      <c r="I790" s="4">
        <f>Full_Data[[#This Row],[Selling Price]]/Full_Data[[#This Row],[Weight (g)]]</f>
        <v>1.5185185185185186</v>
      </c>
      <c r="J790" t="b">
        <v>0</v>
      </c>
      <c r="K790">
        <v>27</v>
      </c>
      <c r="L790">
        <f t="shared" si="109"/>
        <v>14</v>
      </c>
      <c r="M790" t="str">
        <f t="shared" si="110"/>
        <v>Low</v>
      </c>
      <c r="N790" t="str">
        <f t="shared" si="111"/>
        <v>21%+</v>
      </c>
      <c r="O790" t="str">
        <f t="shared" si="112"/>
        <v>OK</v>
      </c>
      <c r="P790">
        <f>IFERROR(Full_Data!G790/Full_Data!H790,"Check data")</f>
        <v>1.5185185185185186</v>
      </c>
      <c r="Q790" t="str">
        <f t="shared" si="113"/>
        <v>Match</v>
      </c>
      <c r="R790" t="str">
        <f t="shared" si="114"/>
        <v>Mismatch</v>
      </c>
      <c r="S790" t="str">
        <f t="shared" si="115"/>
        <v>Match</v>
      </c>
    </row>
    <row r="791" spans="1:19" x14ac:dyDescent="0.25">
      <c r="A791" t="s">
        <v>752</v>
      </c>
      <c r="B791">
        <v>17000</v>
      </c>
      <c r="C791">
        <f t="shared" si="116"/>
        <v>170</v>
      </c>
      <c r="D791">
        <v>4</v>
      </c>
      <c r="E791">
        <v>3</v>
      </c>
      <c r="F791">
        <v>16200</v>
      </c>
      <c r="G791">
        <f t="shared" si="108"/>
        <v>162</v>
      </c>
      <c r="H791">
        <v>280</v>
      </c>
      <c r="I791" s="4">
        <f>Full_Data[[#This Row],[Selling Price]]/Full_Data[[#This Row],[Weight (g)]]</f>
        <v>0.57857142857142863</v>
      </c>
      <c r="J791" t="b">
        <v>0</v>
      </c>
      <c r="K791">
        <v>280</v>
      </c>
      <c r="L791">
        <f t="shared" si="109"/>
        <v>8</v>
      </c>
      <c r="M791" t="str">
        <f t="shared" si="110"/>
        <v>Medium</v>
      </c>
      <c r="N791" t="str">
        <f t="shared" si="111"/>
        <v>0-5%</v>
      </c>
      <c r="O791" t="str">
        <f t="shared" si="112"/>
        <v>OK</v>
      </c>
      <c r="P791">
        <f>IFERROR(Full_Data!G791/Full_Data!H791,"Check data")</f>
        <v>0.57857142857142863</v>
      </c>
      <c r="Q791" t="str">
        <f t="shared" si="113"/>
        <v>Match</v>
      </c>
      <c r="R791" t="str">
        <f t="shared" si="114"/>
        <v>Mismatch</v>
      </c>
      <c r="S791" t="str">
        <f t="shared" si="115"/>
        <v>Mismatch</v>
      </c>
    </row>
    <row r="792" spans="1:19" x14ac:dyDescent="0.25">
      <c r="A792" t="s">
        <v>753</v>
      </c>
      <c r="B792">
        <v>9900</v>
      </c>
      <c r="C792">
        <f t="shared" si="116"/>
        <v>99</v>
      </c>
      <c r="D792">
        <v>13</v>
      </c>
      <c r="E792">
        <v>6</v>
      </c>
      <c r="F792">
        <v>8600</v>
      </c>
      <c r="G792">
        <f t="shared" si="108"/>
        <v>86</v>
      </c>
      <c r="H792">
        <v>250</v>
      </c>
      <c r="I792" s="4">
        <f>Full_Data[[#This Row],[Selling Price]]/Full_Data[[#This Row],[Weight (g)]]</f>
        <v>0.34399999999999997</v>
      </c>
      <c r="J792" t="b">
        <v>0</v>
      </c>
      <c r="K792">
        <v>250</v>
      </c>
      <c r="L792">
        <f t="shared" si="109"/>
        <v>13</v>
      </c>
      <c r="M792" t="str">
        <f t="shared" si="110"/>
        <v>Medium</v>
      </c>
      <c r="N792" t="str">
        <f t="shared" si="111"/>
        <v>11-15%</v>
      </c>
      <c r="O792" t="str">
        <f t="shared" si="112"/>
        <v>OK</v>
      </c>
      <c r="P792">
        <f>IFERROR(Full_Data!G792/Full_Data!H792,"Check data")</f>
        <v>0.34399999999999997</v>
      </c>
      <c r="Q792" t="str">
        <f t="shared" si="113"/>
        <v>Match</v>
      </c>
      <c r="R792" t="str">
        <f t="shared" si="114"/>
        <v>Mismatch</v>
      </c>
      <c r="S792" t="str">
        <f t="shared" si="115"/>
        <v>Match</v>
      </c>
    </row>
    <row r="793" spans="1:19" x14ac:dyDescent="0.25">
      <c r="A793" t="s">
        <v>754</v>
      </c>
      <c r="B793">
        <v>4000</v>
      </c>
      <c r="C793">
        <f t="shared" si="116"/>
        <v>40</v>
      </c>
      <c r="D793">
        <v>0</v>
      </c>
      <c r="E793">
        <v>3</v>
      </c>
      <c r="F793">
        <v>4000</v>
      </c>
      <c r="G793">
        <f t="shared" si="108"/>
        <v>40</v>
      </c>
      <c r="H793">
        <v>46</v>
      </c>
      <c r="I793" s="4">
        <f>Full_Data[[#This Row],[Selling Price]]/Full_Data[[#This Row],[Weight (g)]]</f>
        <v>0.86956521739130432</v>
      </c>
      <c r="J793" t="b">
        <v>0</v>
      </c>
      <c r="K793">
        <v>46</v>
      </c>
      <c r="L793">
        <f t="shared" si="109"/>
        <v>0</v>
      </c>
      <c r="M793" t="str">
        <f t="shared" si="110"/>
        <v>Low</v>
      </c>
      <c r="N793" t="str">
        <f t="shared" si="111"/>
        <v>0-5%</v>
      </c>
      <c r="O793" t="str">
        <f t="shared" si="112"/>
        <v>OK</v>
      </c>
      <c r="P793">
        <f>IFERROR(Full_Data!G793/Full_Data!H793,"Check data")</f>
        <v>0.86956521739130432</v>
      </c>
      <c r="Q793" t="str">
        <f t="shared" si="113"/>
        <v>Match</v>
      </c>
      <c r="R793" t="str">
        <f t="shared" si="114"/>
        <v>Match</v>
      </c>
      <c r="S793" t="str">
        <f t="shared" si="115"/>
        <v>Match</v>
      </c>
    </row>
    <row r="794" spans="1:19" x14ac:dyDescent="0.25">
      <c r="A794" t="s">
        <v>755</v>
      </c>
      <c r="B794">
        <v>5500</v>
      </c>
      <c r="C794">
        <f t="shared" si="116"/>
        <v>55</v>
      </c>
      <c r="D794">
        <v>9</v>
      </c>
      <c r="E794">
        <v>2</v>
      </c>
      <c r="F794">
        <v>5000</v>
      </c>
      <c r="G794">
        <f t="shared" si="108"/>
        <v>50</v>
      </c>
      <c r="H794">
        <v>200</v>
      </c>
      <c r="I794" s="4">
        <f>Full_Data[[#This Row],[Selling Price]]/Full_Data[[#This Row],[Weight (g)]]</f>
        <v>0.25</v>
      </c>
      <c r="J794" t="b">
        <v>0</v>
      </c>
      <c r="K794">
        <v>200</v>
      </c>
      <c r="L794">
        <f t="shared" si="109"/>
        <v>5</v>
      </c>
      <c r="M794" t="str">
        <f t="shared" si="110"/>
        <v>Medium</v>
      </c>
      <c r="N794" t="str">
        <f t="shared" si="111"/>
        <v>6-10%</v>
      </c>
      <c r="O794" t="str">
        <f t="shared" si="112"/>
        <v>OK</v>
      </c>
      <c r="P794">
        <f>IFERROR(Full_Data!G794/Full_Data!H794,"Check data")</f>
        <v>0.25</v>
      </c>
      <c r="Q794" t="str">
        <f t="shared" si="113"/>
        <v>Match</v>
      </c>
      <c r="R794" t="str">
        <f t="shared" si="114"/>
        <v>Mismatch</v>
      </c>
      <c r="S794" t="str">
        <f t="shared" si="115"/>
        <v>Match</v>
      </c>
    </row>
    <row r="795" spans="1:19" x14ac:dyDescent="0.25">
      <c r="A795" t="s">
        <v>756</v>
      </c>
      <c r="B795">
        <v>16900</v>
      </c>
      <c r="C795">
        <f t="shared" si="116"/>
        <v>169</v>
      </c>
      <c r="D795">
        <v>8</v>
      </c>
      <c r="E795">
        <v>4</v>
      </c>
      <c r="F795">
        <v>15500</v>
      </c>
      <c r="G795">
        <f t="shared" si="108"/>
        <v>155</v>
      </c>
      <c r="H795">
        <v>300</v>
      </c>
      <c r="I795" s="4">
        <f>Full_Data[[#This Row],[Selling Price]]/Full_Data[[#This Row],[Weight (g)]]</f>
        <v>0.51666666666666672</v>
      </c>
      <c r="J795" t="b">
        <v>0</v>
      </c>
      <c r="K795">
        <v>300</v>
      </c>
      <c r="L795">
        <f t="shared" si="109"/>
        <v>14</v>
      </c>
      <c r="M795" t="str">
        <f t="shared" si="110"/>
        <v>Medium</v>
      </c>
      <c r="N795" t="str">
        <f t="shared" si="111"/>
        <v>6-10%</v>
      </c>
      <c r="O795" t="str">
        <f t="shared" si="112"/>
        <v>OK</v>
      </c>
      <c r="P795">
        <f>IFERROR(Full_Data!G795/Full_Data!H795,"Check data")</f>
        <v>0.51666666666666672</v>
      </c>
      <c r="Q795" t="str">
        <f t="shared" si="113"/>
        <v>Match</v>
      </c>
      <c r="R795" t="str">
        <f t="shared" si="114"/>
        <v>Mismatch</v>
      </c>
      <c r="S795" t="str">
        <f t="shared" si="115"/>
        <v>Match</v>
      </c>
    </row>
    <row r="796" spans="1:19" x14ac:dyDescent="0.25">
      <c r="A796" t="s">
        <v>757</v>
      </c>
      <c r="B796">
        <v>13000</v>
      </c>
      <c r="C796">
        <f t="shared" si="116"/>
        <v>130</v>
      </c>
      <c r="D796">
        <v>0</v>
      </c>
      <c r="E796">
        <v>6</v>
      </c>
      <c r="F796">
        <v>12900</v>
      </c>
      <c r="G796">
        <f t="shared" si="108"/>
        <v>129</v>
      </c>
      <c r="H796">
        <v>415</v>
      </c>
      <c r="I796" s="4">
        <f>Full_Data[[#This Row],[Selling Price]]/Full_Data[[#This Row],[Weight (g)]]</f>
        <v>0.31084337349397589</v>
      </c>
      <c r="J796" t="b">
        <v>0</v>
      </c>
      <c r="K796">
        <v>415</v>
      </c>
      <c r="L796">
        <f t="shared" si="109"/>
        <v>1</v>
      </c>
      <c r="M796" t="str">
        <f t="shared" si="110"/>
        <v>Medium</v>
      </c>
      <c r="N796" t="str">
        <f t="shared" si="111"/>
        <v>0-5%</v>
      </c>
      <c r="O796" t="str">
        <f t="shared" si="112"/>
        <v>OK</v>
      </c>
      <c r="P796">
        <f>IFERROR(Full_Data!G796/Full_Data!H796,"Check data")</f>
        <v>0.31084337349397589</v>
      </c>
      <c r="Q796" t="str">
        <f t="shared" si="113"/>
        <v>Match</v>
      </c>
      <c r="R796" t="str">
        <f t="shared" si="114"/>
        <v>Mismatch</v>
      </c>
      <c r="S796" t="str">
        <f t="shared" si="115"/>
        <v>Mismatch</v>
      </c>
    </row>
    <row r="797" spans="1:19" x14ac:dyDescent="0.25">
      <c r="A797" t="s">
        <v>758</v>
      </c>
      <c r="B797">
        <v>6000</v>
      </c>
      <c r="C797">
        <f t="shared" si="116"/>
        <v>60</v>
      </c>
      <c r="D797">
        <v>26</v>
      </c>
      <c r="E797">
        <v>6</v>
      </c>
      <c r="F797">
        <v>4400</v>
      </c>
      <c r="G797">
        <f t="shared" si="108"/>
        <v>44</v>
      </c>
      <c r="H797">
        <v>40</v>
      </c>
      <c r="I797" s="4">
        <f>Full_Data[[#This Row],[Selling Price]]/Full_Data[[#This Row],[Weight (g)]]</f>
        <v>1.1000000000000001</v>
      </c>
      <c r="J797" t="b">
        <v>0</v>
      </c>
      <c r="K797">
        <v>40</v>
      </c>
      <c r="L797">
        <f t="shared" si="109"/>
        <v>16</v>
      </c>
      <c r="M797" t="str">
        <f t="shared" si="110"/>
        <v>Low</v>
      </c>
      <c r="N797" t="str">
        <f t="shared" si="111"/>
        <v>21%+</v>
      </c>
      <c r="O797" t="str">
        <f t="shared" si="112"/>
        <v>OK</v>
      </c>
      <c r="P797">
        <f>IFERROR(Full_Data!G797/Full_Data!H797,"Check data")</f>
        <v>1.1000000000000001</v>
      </c>
      <c r="Q797" t="str">
        <f t="shared" si="113"/>
        <v>Match</v>
      </c>
      <c r="R797" t="str">
        <f t="shared" si="114"/>
        <v>Mismatch</v>
      </c>
      <c r="S797" t="str">
        <f t="shared" si="115"/>
        <v>Mismatch</v>
      </c>
    </row>
    <row r="798" spans="1:19" x14ac:dyDescent="0.25">
      <c r="A798" t="s">
        <v>759</v>
      </c>
      <c r="B798">
        <v>26000</v>
      </c>
      <c r="C798">
        <f t="shared" si="116"/>
        <v>260</v>
      </c>
      <c r="D798">
        <v>10</v>
      </c>
      <c r="E798">
        <v>4</v>
      </c>
      <c r="F798">
        <v>23400</v>
      </c>
      <c r="G798">
        <f t="shared" si="108"/>
        <v>234</v>
      </c>
      <c r="H798">
        <v>400</v>
      </c>
      <c r="I798" s="4">
        <f>Full_Data[[#This Row],[Selling Price]]/Full_Data[[#This Row],[Weight (g)]]</f>
        <v>0.58499999999999996</v>
      </c>
      <c r="J798" t="b">
        <v>0</v>
      </c>
      <c r="K798">
        <v>400</v>
      </c>
      <c r="L798">
        <f t="shared" si="109"/>
        <v>26</v>
      </c>
      <c r="M798" t="str">
        <f t="shared" si="110"/>
        <v>High</v>
      </c>
      <c r="N798" t="str">
        <f t="shared" si="111"/>
        <v>6-10%</v>
      </c>
      <c r="O798" t="str">
        <f t="shared" si="112"/>
        <v>OK</v>
      </c>
      <c r="P798">
        <f>IFERROR(Full_Data!G798/Full_Data!H798,"Check data")</f>
        <v>0.58499999999999996</v>
      </c>
      <c r="Q798" t="str">
        <f t="shared" si="113"/>
        <v>Match</v>
      </c>
      <c r="R798" t="str">
        <f t="shared" si="114"/>
        <v>Match</v>
      </c>
      <c r="S798" t="str">
        <f t="shared" si="115"/>
        <v>Match</v>
      </c>
    </row>
    <row r="799" spans="1:19" x14ac:dyDescent="0.25">
      <c r="A799" t="s">
        <v>746</v>
      </c>
      <c r="B799">
        <v>15000</v>
      </c>
      <c r="C799">
        <f t="shared" si="116"/>
        <v>150</v>
      </c>
      <c r="D799">
        <v>0</v>
      </c>
      <c r="E799">
        <v>5</v>
      </c>
      <c r="F799">
        <v>15000</v>
      </c>
      <c r="G799">
        <f t="shared" si="108"/>
        <v>150</v>
      </c>
      <c r="H799">
        <v>580</v>
      </c>
      <c r="I799" s="4">
        <f>Full_Data[[#This Row],[Selling Price]]/Full_Data[[#This Row],[Weight (g)]]</f>
        <v>0.25862068965517243</v>
      </c>
      <c r="J799" t="b">
        <v>0</v>
      </c>
      <c r="K799">
        <v>10</v>
      </c>
      <c r="L799">
        <f t="shared" si="109"/>
        <v>0</v>
      </c>
      <c r="M799" t="str">
        <f t="shared" si="110"/>
        <v>Medium</v>
      </c>
      <c r="N799" t="str">
        <f t="shared" si="111"/>
        <v>0-5%</v>
      </c>
      <c r="O799" t="str">
        <f t="shared" si="112"/>
        <v>OK</v>
      </c>
      <c r="P799">
        <f>IFERROR(Full_Data!G799/Full_Data!H799,"Check data")</f>
        <v>0.25862068965517243</v>
      </c>
      <c r="Q799" t="str">
        <f t="shared" si="113"/>
        <v>Match</v>
      </c>
      <c r="R799" t="str">
        <f t="shared" si="114"/>
        <v>Match</v>
      </c>
      <c r="S799" t="str">
        <f t="shared" si="115"/>
        <v>Match</v>
      </c>
    </row>
    <row r="800" spans="1:19" x14ac:dyDescent="0.25">
      <c r="A800" t="s">
        <v>760</v>
      </c>
      <c r="B800">
        <v>8500</v>
      </c>
      <c r="C800">
        <f t="shared" si="116"/>
        <v>85</v>
      </c>
      <c r="D800">
        <v>9</v>
      </c>
      <c r="E800">
        <v>2</v>
      </c>
      <c r="F800">
        <v>7700</v>
      </c>
      <c r="G800">
        <f t="shared" si="108"/>
        <v>77</v>
      </c>
      <c r="H800">
        <v>300</v>
      </c>
      <c r="I800" s="4">
        <f>Full_Data[[#This Row],[Selling Price]]/Full_Data[[#This Row],[Weight (g)]]</f>
        <v>0.25666666666666665</v>
      </c>
      <c r="J800" t="b">
        <v>0</v>
      </c>
      <c r="K800">
        <v>300</v>
      </c>
      <c r="L800">
        <f t="shared" si="109"/>
        <v>8</v>
      </c>
      <c r="M800" t="str">
        <f t="shared" si="110"/>
        <v>Medium</v>
      </c>
      <c r="N800" t="str">
        <f t="shared" si="111"/>
        <v>6-10%</v>
      </c>
      <c r="O800" t="str">
        <f t="shared" si="112"/>
        <v>OK</v>
      </c>
      <c r="P800">
        <f>IFERROR(Full_Data!G800/Full_Data!H800,"Check data")</f>
        <v>0.25666666666666665</v>
      </c>
      <c r="Q800" t="str">
        <f t="shared" si="113"/>
        <v>Match</v>
      </c>
      <c r="R800" t="str">
        <f t="shared" si="114"/>
        <v>Mismatch</v>
      </c>
      <c r="S800" t="str">
        <f t="shared" si="115"/>
        <v>Match</v>
      </c>
    </row>
    <row r="801" spans="1:19" x14ac:dyDescent="0.25">
      <c r="A801" t="s">
        <v>761</v>
      </c>
      <c r="B801">
        <v>10000</v>
      </c>
      <c r="C801">
        <f t="shared" si="116"/>
        <v>100</v>
      </c>
      <c r="D801">
        <v>26</v>
      </c>
      <c r="E801">
        <v>6</v>
      </c>
      <c r="F801">
        <v>7400</v>
      </c>
      <c r="G801">
        <f t="shared" si="108"/>
        <v>74</v>
      </c>
      <c r="H801">
        <v>52</v>
      </c>
      <c r="I801" s="4">
        <f>Full_Data[[#This Row],[Selling Price]]/Full_Data[[#This Row],[Weight (g)]]</f>
        <v>1.4230769230769231</v>
      </c>
      <c r="J801" t="b">
        <v>0</v>
      </c>
      <c r="K801">
        <v>52</v>
      </c>
      <c r="L801">
        <f t="shared" si="109"/>
        <v>26</v>
      </c>
      <c r="M801" t="str">
        <f t="shared" si="110"/>
        <v>Medium</v>
      </c>
      <c r="N801" t="str">
        <f t="shared" si="111"/>
        <v>21%+</v>
      </c>
      <c r="O801" t="str">
        <f t="shared" si="112"/>
        <v>OK</v>
      </c>
      <c r="P801">
        <f>IFERROR(Full_Data!G801/Full_Data!H801,"Check data")</f>
        <v>1.4230769230769231</v>
      </c>
      <c r="Q801" t="str">
        <f t="shared" si="113"/>
        <v>Match</v>
      </c>
      <c r="R801" t="str">
        <f t="shared" si="114"/>
        <v>Match</v>
      </c>
      <c r="S801" t="str">
        <f t="shared" si="115"/>
        <v>Match</v>
      </c>
    </row>
    <row r="802" spans="1:19" x14ac:dyDescent="0.25">
      <c r="A802" t="s">
        <v>762</v>
      </c>
      <c r="B802">
        <v>32500</v>
      </c>
      <c r="C802">
        <f t="shared" si="116"/>
        <v>325</v>
      </c>
      <c r="D802">
        <v>4</v>
      </c>
      <c r="E802">
        <v>6</v>
      </c>
      <c r="F802">
        <v>30900</v>
      </c>
      <c r="G802">
        <f t="shared" si="108"/>
        <v>309</v>
      </c>
      <c r="H802">
        <v>400</v>
      </c>
      <c r="I802" s="4">
        <f>Full_Data[[#This Row],[Selling Price]]/Full_Data[[#This Row],[Weight (g)]]</f>
        <v>0.77249999999999996</v>
      </c>
      <c r="J802" t="b">
        <v>0</v>
      </c>
      <c r="K802">
        <v>400</v>
      </c>
      <c r="L802">
        <f t="shared" si="109"/>
        <v>16</v>
      </c>
      <c r="M802" t="str">
        <f t="shared" si="110"/>
        <v>High</v>
      </c>
      <c r="N802" t="str">
        <f t="shared" si="111"/>
        <v>0-5%</v>
      </c>
      <c r="O802" t="str">
        <f t="shared" si="112"/>
        <v>OK</v>
      </c>
      <c r="P802">
        <f>IFERROR(Full_Data!G802/Full_Data!H802,"Check data")</f>
        <v>0.77249999999999996</v>
      </c>
      <c r="Q802" t="str">
        <f t="shared" si="113"/>
        <v>Match</v>
      </c>
      <c r="R802" t="str">
        <f t="shared" si="114"/>
        <v>Mismatch</v>
      </c>
      <c r="S802" t="str">
        <f t="shared" si="115"/>
        <v>Mismatch</v>
      </c>
    </row>
    <row r="803" spans="1:19" x14ac:dyDescent="0.25">
      <c r="A803" t="s">
        <v>763</v>
      </c>
      <c r="B803">
        <v>14100</v>
      </c>
      <c r="C803">
        <f t="shared" si="116"/>
        <v>141</v>
      </c>
      <c r="D803">
        <v>14</v>
      </c>
      <c r="E803">
        <v>4</v>
      </c>
      <c r="F803">
        <v>12100</v>
      </c>
      <c r="G803">
        <f t="shared" si="108"/>
        <v>121</v>
      </c>
      <c r="H803">
        <v>350</v>
      </c>
      <c r="I803" s="4">
        <f>Full_Data[[#This Row],[Selling Price]]/Full_Data[[#This Row],[Weight (g)]]</f>
        <v>0.3457142857142857</v>
      </c>
      <c r="J803" t="b">
        <v>0</v>
      </c>
      <c r="K803">
        <v>350</v>
      </c>
      <c r="L803">
        <f t="shared" si="109"/>
        <v>20</v>
      </c>
      <c r="M803" t="str">
        <f t="shared" si="110"/>
        <v>Medium</v>
      </c>
      <c r="N803" t="str">
        <f t="shared" si="111"/>
        <v>11-15%</v>
      </c>
      <c r="O803" t="str">
        <f t="shared" si="112"/>
        <v>OK</v>
      </c>
      <c r="P803">
        <f>IFERROR(Full_Data!G803/Full_Data!H803,"Check data")</f>
        <v>0.3457142857142857</v>
      </c>
      <c r="Q803" t="str">
        <f t="shared" si="113"/>
        <v>Match</v>
      </c>
      <c r="R803" t="str">
        <f t="shared" si="114"/>
        <v>Mismatch</v>
      </c>
      <c r="S803" t="str">
        <f t="shared" si="115"/>
        <v>Match</v>
      </c>
    </row>
    <row r="804" spans="1:19" x14ac:dyDescent="0.25">
      <c r="A804" t="s">
        <v>764</v>
      </c>
      <c r="B804">
        <v>12500</v>
      </c>
      <c r="C804">
        <f t="shared" si="116"/>
        <v>125</v>
      </c>
      <c r="D804">
        <v>15</v>
      </c>
      <c r="E804">
        <v>4</v>
      </c>
      <c r="F804">
        <v>10600</v>
      </c>
      <c r="G804">
        <f t="shared" si="108"/>
        <v>106</v>
      </c>
      <c r="H804">
        <v>60</v>
      </c>
      <c r="I804" s="4">
        <f>Full_Data[[#This Row],[Selling Price]]/Full_Data[[#This Row],[Weight (g)]]</f>
        <v>1.7666666666666666</v>
      </c>
      <c r="J804" t="b">
        <v>0</v>
      </c>
      <c r="K804">
        <v>60</v>
      </c>
      <c r="L804">
        <f t="shared" si="109"/>
        <v>19</v>
      </c>
      <c r="M804" t="str">
        <f t="shared" si="110"/>
        <v>Medium</v>
      </c>
      <c r="N804" t="str">
        <f t="shared" si="111"/>
        <v>11-15%</v>
      </c>
      <c r="O804" t="str">
        <f t="shared" si="112"/>
        <v>OK</v>
      </c>
      <c r="P804">
        <f>IFERROR(Full_Data!G804/Full_Data!H804,"Check data")</f>
        <v>1.7666666666666666</v>
      </c>
      <c r="Q804" t="str">
        <f t="shared" si="113"/>
        <v>Match</v>
      </c>
      <c r="R804" t="str">
        <f t="shared" si="114"/>
        <v>Mismatch</v>
      </c>
      <c r="S804" t="str">
        <f t="shared" si="115"/>
        <v>Match</v>
      </c>
    </row>
    <row r="805" spans="1:19" x14ac:dyDescent="0.25">
      <c r="A805" t="s">
        <v>765</v>
      </c>
      <c r="B805">
        <v>4000</v>
      </c>
      <c r="C805">
        <f t="shared" si="116"/>
        <v>40</v>
      </c>
      <c r="D805">
        <v>2</v>
      </c>
      <c r="E805">
        <v>3</v>
      </c>
      <c r="F805">
        <v>3900</v>
      </c>
      <c r="G805">
        <f t="shared" si="108"/>
        <v>39</v>
      </c>
      <c r="H805">
        <v>400</v>
      </c>
      <c r="I805" s="4">
        <f>Full_Data[[#This Row],[Selling Price]]/Full_Data[[#This Row],[Weight (g)]]</f>
        <v>9.7500000000000003E-2</v>
      </c>
      <c r="J805" t="b">
        <v>0</v>
      </c>
      <c r="K805">
        <v>400</v>
      </c>
      <c r="L805">
        <f t="shared" si="109"/>
        <v>1</v>
      </c>
      <c r="M805" t="str">
        <f t="shared" si="110"/>
        <v>Low</v>
      </c>
      <c r="N805" t="str">
        <f t="shared" si="111"/>
        <v>0-5%</v>
      </c>
      <c r="O805" t="str">
        <f t="shared" si="112"/>
        <v>OK</v>
      </c>
      <c r="P805">
        <f>IFERROR(Full_Data!G805/Full_Data!H805,"Check data")</f>
        <v>9.7500000000000003E-2</v>
      </c>
      <c r="Q805" t="str">
        <f t="shared" si="113"/>
        <v>Match</v>
      </c>
      <c r="R805" t="str">
        <f t="shared" si="114"/>
        <v>Mismatch</v>
      </c>
      <c r="S805" t="str">
        <f t="shared" si="115"/>
        <v>Mismatch</v>
      </c>
    </row>
    <row r="806" spans="1:19" x14ac:dyDescent="0.25">
      <c r="A806" t="s">
        <v>766</v>
      </c>
      <c r="B806">
        <v>1000</v>
      </c>
      <c r="C806">
        <f t="shared" si="116"/>
        <v>10</v>
      </c>
      <c r="D806">
        <v>0</v>
      </c>
      <c r="E806">
        <v>3</v>
      </c>
      <c r="F806">
        <v>1000</v>
      </c>
      <c r="G806">
        <f t="shared" si="108"/>
        <v>10</v>
      </c>
      <c r="H806">
        <v>15</v>
      </c>
      <c r="I806" s="4">
        <f>Full_Data[[#This Row],[Selling Price]]/Full_Data[[#This Row],[Weight (g)]]</f>
        <v>0.66666666666666663</v>
      </c>
      <c r="J806" t="b">
        <v>0</v>
      </c>
      <c r="K806">
        <v>15</v>
      </c>
      <c r="L806">
        <f t="shared" si="109"/>
        <v>0</v>
      </c>
      <c r="M806" t="str">
        <f t="shared" si="110"/>
        <v>Low</v>
      </c>
      <c r="N806" t="str">
        <f t="shared" si="111"/>
        <v>0-5%</v>
      </c>
      <c r="O806" t="str">
        <f t="shared" si="112"/>
        <v>OK</v>
      </c>
      <c r="P806">
        <f>IFERROR(Full_Data!G806/Full_Data!H806,"Check data")</f>
        <v>0.66666666666666663</v>
      </c>
      <c r="Q806" t="str">
        <f t="shared" si="113"/>
        <v>Match</v>
      </c>
      <c r="R806" t="str">
        <f t="shared" si="114"/>
        <v>Match</v>
      </c>
      <c r="S806" t="str">
        <f t="shared" si="115"/>
        <v>Match</v>
      </c>
    </row>
    <row r="807" spans="1:19" x14ac:dyDescent="0.25">
      <c r="A807" t="s">
        <v>767</v>
      </c>
      <c r="B807">
        <v>14500</v>
      </c>
      <c r="C807">
        <f t="shared" si="116"/>
        <v>145</v>
      </c>
      <c r="D807">
        <v>11</v>
      </c>
      <c r="E807">
        <v>3</v>
      </c>
      <c r="F807">
        <v>12900</v>
      </c>
      <c r="G807">
        <f t="shared" si="108"/>
        <v>129</v>
      </c>
      <c r="H807">
        <v>400</v>
      </c>
      <c r="I807" s="4">
        <f>Full_Data[[#This Row],[Selling Price]]/Full_Data[[#This Row],[Weight (g)]]</f>
        <v>0.32250000000000001</v>
      </c>
      <c r="J807" t="b">
        <v>0</v>
      </c>
      <c r="K807">
        <v>400</v>
      </c>
      <c r="L807">
        <f t="shared" si="109"/>
        <v>16</v>
      </c>
      <c r="M807" t="str">
        <f t="shared" si="110"/>
        <v>Medium</v>
      </c>
      <c r="N807" t="str">
        <f t="shared" si="111"/>
        <v>11-15%</v>
      </c>
      <c r="O807" t="str">
        <f t="shared" si="112"/>
        <v>OK</v>
      </c>
      <c r="P807">
        <f>IFERROR(Full_Data!G807/Full_Data!H807,"Check data")</f>
        <v>0.32250000000000001</v>
      </c>
      <c r="Q807" t="str">
        <f t="shared" si="113"/>
        <v>Match</v>
      </c>
      <c r="R807" t="str">
        <f t="shared" si="114"/>
        <v>Mismatch</v>
      </c>
      <c r="S807" t="str">
        <f t="shared" si="115"/>
        <v>Match</v>
      </c>
    </row>
    <row r="808" spans="1:19" x14ac:dyDescent="0.25">
      <c r="A808" t="s">
        <v>768</v>
      </c>
      <c r="B808">
        <v>33500</v>
      </c>
      <c r="C808">
        <f t="shared" si="116"/>
        <v>335</v>
      </c>
      <c r="D808">
        <v>11</v>
      </c>
      <c r="E808">
        <v>6</v>
      </c>
      <c r="F808">
        <v>29800</v>
      </c>
      <c r="G808">
        <f t="shared" si="108"/>
        <v>298</v>
      </c>
      <c r="H808">
        <v>500</v>
      </c>
      <c r="I808" s="4">
        <f>Full_Data[[#This Row],[Selling Price]]/Full_Data[[#This Row],[Weight (g)]]</f>
        <v>0.59599999999999997</v>
      </c>
      <c r="J808" t="b">
        <v>0</v>
      </c>
      <c r="K808">
        <v>500</v>
      </c>
      <c r="L808">
        <f t="shared" si="109"/>
        <v>37</v>
      </c>
      <c r="M808" t="str">
        <f t="shared" si="110"/>
        <v>High</v>
      </c>
      <c r="N808" t="str">
        <f t="shared" si="111"/>
        <v>11-15%</v>
      </c>
      <c r="O808" t="str">
        <f t="shared" si="112"/>
        <v>OK</v>
      </c>
      <c r="P808">
        <f>IFERROR(Full_Data!G808/Full_Data!H808,"Check data")</f>
        <v>0.59599999999999997</v>
      </c>
      <c r="Q808" t="str">
        <f t="shared" si="113"/>
        <v>Match</v>
      </c>
      <c r="R808" t="str">
        <f t="shared" si="114"/>
        <v>Mismatch</v>
      </c>
      <c r="S808" t="str">
        <f t="shared" si="115"/>
        <v>Match</v>
      </c>
    </row>
    <row r="809" spans="1:19" x14ac:dyDescent="0.25">
      <c r="A809" t="s">
        <v>769</v>
      </c>
      <c r="B809">
        <v>11900</v>
      </c>
      <c r="C809">
        <f t="shared" si="116"/>
        <v>119</v>
      </c>
      <c r="D809">
        <v>6</v>
      </c>
      <c r="E809">
        <v>6</v>
      </c>
      <c r="F809">
        <v>11100</v>
      </c>
      <c r="G809">
        <f t="shared" si="108"/>
        <v>111</v>
      </c>
      <c r="H809">
        <v>360</v>
      </c>
      <c r="I809" s="4">
        <f>Full_Data[[#This Row],[Selling Price]]/Full_Data[[#This Row],[Weight (g)]]</f>
        <v>0.30833333333333335</v>
      </c>
      <c r="J809" t="b">
        <v>0</v>
      </c>
      <c r="K809">
        <v>360</v>
      </c>
      <c r="L809">
        <f t="shared" si="109"/>
        <v>8</v>
      </c>
      <c r="M809" t="str">
        <f t="shared" si="110"/>
        <v>Medium</v>
      </c>
      <c r="N809" t="str">
        <f t="shared" si="111"/>
        <v>6-10%</v>
      </c>
      <c r="O809" t="str">
        <f t="shared" si="112"/>
        <v>OK</v>
      </c>
      <c r="P809">
        <f>IFERROR(Full_Data!G809/Full_Data!H809,"Check data")</f>
        <v>0.30833333333333335</v>
      </c>
      <c r="Q809" t="str">
        <f t="shared" si="113"/>
        <v>Match</v>
      </c>
      <c r="R809" t="str">
        <f t="shared" si="114"/>
        <v>Mismatch</v>
      </c>
      <c r="S809" t="str">
        <f t="shared" si="115"/>
        <v>Mismatch</v>
      </c>
    </row>
    <row r="810" spans="1:19" x14ac:dyDescent="0.25">
      <c r="A810" t="s">
        <v>770</v>
      </c>
      <c r="B810">
        <v>14900</v>
      </c>
      <c r="C810">
        <f t="shared" si="116"/>
        <v>149</v>
      </c>
      <c r="D810">
        <v>8</v>
      </c>
      <c r="E810">
        <v>6</v>
      </c>
      <c r="F810">
        <v>13700</v>
      </c>
      <c r="G810">
        <f t="shared" si="108"/>
        <v>137</v>
      </c>
      <c r="H810">
        <v>300</v>
      </c>
      <c r="I810" s="4">
        <f>Full_Data[[#This Row],[Selling Price]]/Full_Data[[#This Row],[Weight (g)]]</f>
        <v>0.45666666666666667</v>
      </c>
      <c r="J810" t="b">
        <v>0</v>
      </c>
      <c r="K810">
        <v>300</v>
      </c>
      <c r="L810">
        <f t="shared" si="109"/>
        <v>12</v>
      </c>
      <c r="M810" t="str">
        <f t="shared" si="110"/>
        <v>Medium</v>
      </c>
      <c r="N810" t="str">
        <f t="shared" si="111"/>
        <v>6-10%</v>
      </c>
      <c r="O810" t="str">
        <f t="shared" si="112"/>
        <v>OK</v>
      </c>
      <c r="P810">
        <f>IFERROR(Full_Data!G810/Full_Data!H810,"Check data")</f>
        <v>0.45666666666666667</v>
      </c>
      <c r="Q810" t="str">
        <f t="shared" si="113"/>
        <v>Match</v>
      </c>
      <c r="R810" t="str">
        <f t="shared" si="114"/>
        <v>Mismatch</v>
      </c>
      <c r="S810" t="str">
        <f t="shared" si="115"/>
        <v>Match</v>
      </c>
    </row>
    <row r="811" spans="1:19" x14ac:dyDescent="0.25">
      <c r="A811" t="s">
        <v>771</v>
      </c>
      <c r="B811">
        <v>13000</v>
      </c>
      <c r="C811">
        <f t="shared" si="116"/>
        <v>130</v>
      </c>
      <c r="D811">
        <v>0</v>
      </c>
      <c r="E811">
        <v>5</v>
      </c>
      <c r="F811">
        <v>13000</v>
      </c>
      <c r="G811">
        <f t="shared" si="108"/>
        <v>130</v>
      </c>
      <c r="H811">
        <v>200</v>
      </c>
      <c r="I811" s="4">
        <f>Full_Data[[#This Row],[Selling Price]]/Full_Data[[#This Row],[Weight (g)]]</f>
        <v>0.65</v>
      </c>
      <c r="J811" t="b">
        <v>0</v>
      </c>
      <c r="K811">
        <v>200</v>
      </c>
      <c r="L811">
        <f t="shared" si="109"/>
        <v>0</v>
      </c>
      <c r="M811" t="str">
        <f t="shared" si="110"/>
        <v>Medium</v>
      </c>
      <c r="N811" t="str">
        <f t="shared" si="111"/>
        <v>0-5%</v>
      </c>
      <c r="O811" t="str">
        <f t="shared" si="112"/>
        <v>OK</v>
      </c>
      <c r="P811">
        <f>IFERROR(Full_Data!G811/Full_Data!H811,"Check data")</f>
        <v>0.65</v>
      </c>
      <c r="Q811" t="str">
        <f t="shared" si="113"/>
        <v>Match</v>
      </c>
      <c r="R811" t="str">
        <f t="shared" si="114"/>
        <v>Match</v>
      </c>
      <c r="S811" t="str">
        <f t="shared" si="115"/>
        <v>Match</v>
      </c>
    </row>
    <row r="812" spans="1:19" x14ac:dyDescent="0.25">
      <c r="A812" t="s">
        <v>772</v>
      </c>
      <c r="B812">
        <v>5500</v>
      </c>
      <c r="C812">
        <f t="shared" si="116"/>
        <v>55</v>
      </c>
      <c r="D812">
        <v>3</v>
      </c>
      <c r="E812">
        <v>1</v>
      </c>
      <c r="F812">
        <v>5300</v>
      </c>
      <c r="G812">
        <f t="shared" si="108"/>
        <v>53</v>
      </c>
      <c r="H812">
        <v>43</v>
      </c>
      <c r="I812" s="4">
        <f>Full_Data[[#This Row],[Selling Price]]/Full_Data[[#This Row],[Weight (g)]]</f>
        <v>1.2325581395348837</v>
      </c>
      <c r="J812" t="b">
        <v>0</v>
      </c>
      <c r="K812">
        <v>43</v>
      </c>
      <c r="L812">
        <f t="shared" si="109"/>
        <v>2</v>
      </c>
      <c r="M812" t="str">
        <f t="shared" si="110"/>
        <v>Medium</v>
      </c>
      <c r="N812" t="str">
        <f t="shared" si="111"/>
        <v>0-5%</v>
      </c>
      <c r="O812" t="str">
        <f t="shared" si="112"/>
        <v>OK</v>
      </c>
      <c r="P812">
        <f>IFERROR(Full_Data!G812/Full_Data!H812,"Check data")</f>
        <v>1.2325581395348837</v>
      </c>
      <c r="Q812" t="str">
        <f t="shared" si="113"/>
        <v>Match</v>
      </c>
      <c r="R812" t="str">
        <f t="shared" si="114"/>
        <v>Mismatch</v>
      </c>
      <c r="S812" t="str">
        <f t="shared" si="115"/>
        <v>Mismatch</v>
      </c>
    </row>
    <row r="813" spans="1:19" x14ac:dyDescent="0.25">
      <c r="A813" t="s">
        <v>773</v>
      </c>
      <c r="B813">
        <v>16500</v>
      </c>
      <c r="C813">
        <f t="shared" si="116"/>
        <v>165</v>
      </c>
      <c r="D813">
        <v>9</v>
      </c>
      <c r="E813">
        <v>1</v>
      </c>
      <c r="F813">
        <v>14900</v>
      </c>
      <c r="G813">
        <f t="shared" si="108"/>
        <v>149</v>
      </c>
      <c r="H813">
        <v>500</v>
      </c>
      <c r="I813" s="4">
        <f>Full_Data[[#This Row],[Selling Price]]/Full_Data[[#This Row],[Weight (g)]]</f>
        <v>0.29799999999999999</v>
      </c>
      <c r="J813" t="b">
        <v>0</v>
      </c>
      <c r="K813">
        <v>500</v>
      </c>
      <c r="L813">
        <f t="shared" si="109"/>
        <v>16</v>
      </c>
      <c r="M813" t="str">
        <f t="shared" si="110"/>
        <v>Medium</v>
      </c>
      <c r="N813" t="str">
        <f t="shared" si="111"/>
        <v>6-10%</v>
      </c>
      <c r="O813" t="str">
        <f t="shared" si="112"/>
        <v>OK</v>
      </c>
      <c r="P813">
        <f>IFERROR(Full_Data!G813/Full_Data!H813,"Check data")</f>
        <v>0.29799999999999999</v>
      </c>
      <c r="Q813" t="str">
        <f t="shared" si="113"/>
        <v>Match</v>
      </c>
      <c r="R813" t="str">
        <f t="shared" si="114"/>
        <v>Mismatch</v>
      </c>
      <c r="S813" t="str">
        <f t="shared" si="115"/>
        <v>Mismatch</v>
      </c>
    </row>
    <row r="814" spans="1:19" x14ac:dyDescent="0.25">
      <c r="A814" t="s">
        <v>774</v>
      </c>
      <c r="B814">
        <v>8900</v>
      </c>
      <c r="C814">
        <f t="shared" si="116"/>
        <v>89</v>
      </c>
      <c r="D814">
        <v>0</v>
      </c>
      <c r="E814">
        <v>5</v>
      </c>
      <c r="F814">
        <v>8900</v>
      </c>
      <c r="G814">
        <f t="shared" si="108"/>
        <v>89</v>
      </c>
      <c r="H814">
        <v>480</v>
      </c>
      <c r="I814" s="4">
        <f>Full_Data[[#This Row],[Selling Price]]/Full_Data[[#This Row],[Weight (g)]]</f>
        <v>0.18541666666666667</v>
      </c>
      <c r="J814" t="b">
        <v>0</v>
      </c>
      <c r="K814">
        <v>480</v>
      </c>
      <c r="L814">
        <f t="shared" si="109"/>
        <v>0</v>
      </c>
      <c r="M814" t="str">
        <f t="shared" si="110"/>
        <v>Medium</v>
      </c>
      <c r="N814" t="str">
        <f t="shared" si="111"/>
        <v>0-5%</v>
      </c>
      <c r="O814" t="str">
        <f t="shared" si="112"/>
        <v>OK</v>
      </c>
      <c r="P814">
        <f>IFERROR(Full_Data!G814/Full_Data!H814,"Check data")</f>
        <v>0.18541666666666667</v>
      </c>
      <c r="Q814" t="str">
        <f t="shared" si="113"/>
        <v>Match</v>
      </c>
      <c r="R814" t="str">
        <f t="shared" si="114"/>
        <v>Match</v>
      </c>
      <c r="S814" t="str">
        <f t="shared" si="115"/>
        <v>Match</v>
      </c>
    </row>
    <row r="815" spans="1:19" x14ac:dyDescent="0.25">
      <c r="A815" t="s">
        <v>775</v>
      </c>
      <c r="B815">
        <v>65000</v>
      </c>
      <c r="C815">
        <f t="shared" si="116"/>
        <v>650</v>
      </c>
      <c r="D815">
        <v>0</v>
      </c>
      <c r="E815">
        <v>6</v>
      </c>
      <c r="F815">
        <v>65000</v>
      </c>
      <c r="G815">
        <f t="shared" si="108"/>
        <v>650</v>
      </c>
      <c r="H815">
        <v>400</v>
      </c>
      <c r="I815" s="4">
        <f>Full_Data[[#This Row],[Selling Price]]/Full_Data[[#This Row],[Weight (g)]]</f>
        <v>1.625</v>
      </c>
      <c r="J815" t="b">
        <v>0</v>
      </c>
      <c r="K815">
        <v>400</v>
      </c>
      <c r="L815">
        <f t="shared" si="109"/>
        <v>0</v>
      </c>
      <c r="M815" t="str">
        <f t="shared" si="110"/>
        <v>High</v>
      </c>
      <c r="N815" t="str">
        <f t="shared" si="111"/>
        <v>0-5%</v>
      </c>
      <c r="O815" t="str">
        <f t="shared" si="112"/>
        <v>OK</v>
      </c>
      <c r="P815">
        <f>IFERROR(Full_Data!G815/Full_Data!H815,"Check data")</f>
        <v>1.625</v>
      </c>
      <c r="Q815" t="str">
        <f t="shared" si="113"/>
        <v>Match</v>
      </c>
      <c r="R815" t="str">
        <f t="shared" si="114"/>
        <v>Match</v>
      </c>
      <c r="S815" t="str">
        <f t="shared" si="115"/>
        <v>Match</v>
      </c>
    </row>
    <row r="816" spans="1:19" x14ac:dyDescent="0.25">
      <c r="A816" t="s">
        <v>776</v>
      </c>
      <c r="B816">
        <v>12000</v>
      </c>
      <c r="C816">
        <f t="shared" si="116"/>
        <v>120</v>
      </c>
      <c r="D816">
        <v>7</v>
      </c>
      <c r="E816">
        <v>6</v>
      </c>
      <c r="F816">
        <v>11100</v>
      </c>
      <c r="G816">
        <f t="shared" si="108"/>
        <v>111</v>
      </c>
      <c r="H816">
        <v>400</v>
      </c>
      <c r="I816" s="4">
        <f>Full_Data[[#This Row],[Selling Price]]/Full_Data[[#This Row],[Weight (g)]]</f>
        <v>0.27750000000000002</v>
      </c>
      <c r="J816" t="b">
        <v>0</v>
      </c>
      <c r="K816">
        <v>400</v>
      </c>
      <c r="L816">
        <f t="shared" si="109"/>
        <v>9</v>
      </c>
      <c r="M816" t="str">
        <f t="shared" si="110"/>
        <v>Medium</v>
      </c>
      <c r="N816" t="str">
        <f t="shared" si="111"/>
        <v>6-10%</v>
      </c>
      <c r="O816" t="str">
        <f t="shared" si="112"/>
        <v>OK</v>
      </c>
      <c r="P816">
        <f>IFERROR(Full_Data!G816/Full_Data!H816,"Check data")</f>
        <v>0.27750000000000002</v>
      </c>
      <c r="Q816" t="str">
        <f t="shared" si="113"/>
        <v>Match</v>
      </c>
      <c r="R816" t="str">
        <f t="shared" si="114"/>
        <v>Mismatch</v>
      </c>
      <c r="S816" t="str">
        <f t="shared" si="115"/>
        <v>Mismatch</v>
      </c>
    </row>
    <row r="817" spans="1:19" x14ac:dyDescent="0.25">
      <c r="A817" t="s">
        <v>777</v>
      </c>
      <c r="B817">
        <v>33000</v>
      </c>
      <c r="C817">
        <f t="shared" si="116"/>
        <v>330</v>
      </c>
      <c r="D817">
        <v>10</v>
      </c>
      <c r="E817">
        <v>1</v>
      </c>
      <c r="F817">
        <v>29400</v>
      </c>
      <c r="G817">
        <f t="shared" si="108"/>
        <v>294</v>
      </c>
      <c r="H817">
        <v>450</v>
      </c>
      <c r="I817" s="4">
        <f>Full_Data[[#This Row],[Selling Price]]/Full_Data[[#This Row],[Weight (g)]]</f>
        <v>0.65333333333333332</v>
      </c>
      <c r="J817" t="b">
        <v>0</v>
      </c>
      <c r="K817">
        <v>450</v>
      </c>
      <c r="L817">
        <f t="shared" si="109"/>
        <v>36</v>
      </c>
      <c r="M817" t="str">
        <f t="shared" si="110"/>
        <v>High</v>
      </c>
      <c r="N817" t="str">
        <f t="shared" si="111"/>
        <v>6-10%</v>
      </c>
      <c r="O817" t="str">
        <f t="shared" si="112"/>
        <v>OK</v>
      </c>
      <c r="P817">
        <f>IFERROR(Full_Data!G817/Full_Data!H817,"Check data")</f>
        <v>0.65333333333333332</v>
      </c>
      <c r="Q817" t="str">
        <f t="shared" si="113"/>
        <v>Match</v>
      </c>
      <c r="R817" t="str">
        <f t="shared" si="114"/>
        <v>Mismatch</v>
      </c>
      <c r="S817" t="str">
        <f t="shared" si="115"/>
        <v>Mismatch</v>
      </c>
    </row>
    <row r="818" spans="1:19" x14ac:dyDescent="0.25">
      <c r="A818" t="s">
        <v>778</v>
      </c>
      <c r="B818">
        <v>13000</v>
      </c>
      <c r="C818">
        <f t="shared" si="116"/>
        <v>130</v>
      </c>
      <c r="D818">
        <v>10</v>
      </c>
      <c r="E818">
        <v>6</v>
      </c>
      <c r="F818">
        <v>11700</v>
      </c>
      <c r="G818">
        <f t="shared" si="108"/>
        <v>117</v>
      </c>
      <c r="H818">
        <v>250</v>
      </c>
      <c r="I818" s="4">
        <f>Full_Data[[#This Row],[Selling Price]]/Full_Data[[#This Row],[Weight (g)]]</f>
        <v>0.46800000000000003</v>
      </c>
      <c r="J818" t="b">
        <v>0</v>
      </c>
      <c r="K818">
        <v>250</v>
      </c>
      <c r="L818">
        <f t="shared" si="109"/>
        <v>13</v>
      </c>
      <c r="M818" t="str">
        <f t="shared" si="110"/>
        <v>Medium</v>
      </c>
      <c r="N818" t="str">
        <f t="shared" si="111"/>
        <v>6-10%</v>
      </c>
      <c r="O818" t="str">
        <f t="shared" si="112"/>
        <v>OK</v>
      </c>
      <c r="P818">
        <f>IFERROR(Full_Data!G818/Full_Data!H818,"Check data")</f>
        <v>0.46800000000000003</v>
      </c>
      <c r="Q818" t="str">
        <f t="shared" si="113"/>
        <v>Match</v>
      </c>
      <c r="R818" t="str">
        <f t="shared" si="114"/>
        <v>Match</v>
      </c>
      <c r="S818" t="str">
        <f t="shared" si="115"/>
        <v>Match</v>
      </c>
    </row>
    <row r="819" spans="1:19" x14ac:dyDescent="0.25">
      <c r="A819" t="s">
        <v>779</v>
      </c>
      <c r="B819">
        <v>3200</v>
      </c>
      <c r="C819">
        <f t="shared" si="116"/>
        <v>32</v>
      </c>
      <c r="D819">
        <v>0</v>
      </c>
      <c r="E819">
        <v>3</v>
      </c>
      <c r="F819">
        <v>3200</v>
      </c>
      <c r="G819">
        <f t="shared" si="108"/>
        <v>32</v>
      </c>
      <c r="H819">
        <v>150</v>
      </c>
      <c r="I819" s="4">
        <f>Full_Data[[#This Row],[Selling Price]]/Full_Data[[#This Row],[Weight (g)]]</f>
        <v>0.21333333333333335</v>
      </c>
      <c r="J819" t="b">
        <v>0</v>
      </c>
      <c r="K819">
        <v>150</v>
      </c>
      <c r="L819">
        <f t="shared" si="109"/>
        <v>0</v>
      </c>
      <c r="M819" t="str">
        <f t="shared" si="110"/>
        <v>Low</v>
      </c>
      <c r="N819" t="str">
        <f t="shared" si="111"/>
        <v>0-5%</v>
      </c>
      <c r="O819" t="str">
        <f t="shared" si="112"/>
        <v>OK</v>
      </c>
      <c r="P819">
        <f>IFERROR(Full_Data!G819/Full_Data!H819,"Check data")</f>
        <v>0.21333333333333335</v>
      </c>
      <c r="Q819" t="str">
        <f t="shared" si="113"/>
        <v>Match</v>
      </c>
      <c r="R819" t="str">
        <f t="shared" si="114"/>
        <v>Match</v>
      </c>
      <c r="S819" t="str">
        <f t="shared" si="115"/>
        <v>Match</v>
      </c>
    </row>
    <row r="820" spans="1:19" x14ac:dyDescent="0.25">
      <c r="A820" t="s">
        <v>780</v>
      </c>
      <c r="B820">
        <v>6000</v>
      </c>
      <c r="C820">
        <f t="shared" si="116"/>
        <v>60</v>
      </c>
      <c r="D820">
        <v>20</v>
      </c>
      <c r="E820">
        <v>6</v>
      </c>
      <c r="F820">
        <v>4800</v>
      </c>
      <c r="G820">
        <f t="shared" si="108"/>
        <v>48</v>
      </c>
      <c r="H820">
        <v>40</v>
      </c>
      <c r="I820" s="4">
        <f>Full_Data[[#This Row],[Selling Price]]/Full_Data[[#This Row],[Weight (g)]]</f>
        <v>1.2</v>
      </c>
      <c r="J820" t="b">
        <v>0</v>
      </c>
      <c r="K820">
        <v>40</v>
      </c>
      <c r="L820">
        <f t="shared" si="109"/>
        <v>12</v>
      </c>
      <c r="M820" t="str">
        <f t="shared" si="110"/>
        <v>Low</v>
      </c>
      <c r="N820" t="str">
        <f t="shared" si="111"/>
        <v>16-20%</v>
      </c>
      <c r="O820" t="str">
        <f t="shared" si="112"/>
        <v>OK</v>
      </c>
      <c r="P820">
        <f>IFERROR(Full_Data!G820/Full_Data!H820,"Check data")</f>
        <v>1.2</v>
      </c>
      <c r="Q820" t="str">
        <f t="shared" si="113"/>
        <v>Match</v>
      </c>
      <c r="R820" t="str">
        <f t="shared" si="114"/>
        <v>Match</v>
      </c>
      <c r="S820" t="str">
        <f t="shared" si="115"/>
        <v>Match</v>
      </c>
    </row>
    <row r="821" spans="1:19" x14ac:dyDescent="0.25">
      <c r="A821" t="s">
        <v>781</v>
      </c>
      <c r="B821">
        <v>8000</v>
      </c>
      <c r="C821">
        <f t="shared" si="116"/>
        <v>80</v>
      </c>
      <c r="D821">
        <v>10</v>
      </c>
      <c r="E821">
        <v>3</v>
      </c>
      <c r="F821">
        <v>7200</v>
      </c>
      <c r="G821">
        <f t="shared" si="108"/>
        <v>72</v>
      </c>
      <c r="H821">
        <v>320</v>
      </c>
      <c r="I821" s="4">
        <f>Full_Data[[#This Row],[Selling Price]]/Full_Data[[#This Row],[Weight (g)]]</f>
        <v>0.22500000000000001</v>
      </c>
      <c r="J821" t="b">
        <v>0</v>
      </c>
      <c r="K821">
        <v>320</v>
      </c>
      <c r="L821">
        <f t="shared" si="109"/>
        <v>8</v>
      </c>
      <c r="M821" t="str">
        <f t="shared" si="110"/>
        <v>Medium</v>
      </c>
      <c r="N821" t="str">
        <f t="shared" si="111"/>
        <v>6-10%</v>
      </c>
      <c r="O821" t="str">
        <f t="shared" si="112"/>
        <v>OK</v>
      </c>
      <c r="P821">
        <f>IFERROR(Full_Data!G821/Full_Data!H821,"Check data")</f>
        <v>0.22500000000000001</v>
      </c>
      <c r="Q821" t="str">
        <f t="shared" si="113"/>
        <v>Match</v>
      </c>
      <c r="R821" t="str">
        <f t="shared" si="114"/>
        <v>Match</v>
      </c>
      <c r="S821" t="str">
        <f t="shared" si="115"/>
        <v>Match</v>
      </c>
    </row>
    <row r="822" spans="1:19" x14ac:dyDescent="0.25">
      <c r="A822" t="s">
        <v>782</v>
      </c>
      <c r="B822">
        <v>4000</v>
      </c>
      <c r="C822">
        <f t="shared" si="116"/>
        <v>40</v>
      </c>
      <c r="D822">
        <v>0</v>
      </c>
      <c r="E822">
        <v>4</v>
      </c>
      <c r="F822">
        <v>4000</v>
      </c>
      <c r="G822">
        <f t="shared" si="108"/>
        <v>40</v>
      </c>
      <c r="H822">
        <v>46</v>
      </c>
      <c r="I822" s="4">
        <f>Full_Data[[#This Row],[Selling Price]]/Full_Data[[#This Row],[Weight (g)]]</f>
        <v>0.86956521739130432</v>
      </c>
      <c r="J822" t="b">
        <v>0</v>
      </c>
      <c r="K822">
        <v>46</v>
      </c>
      <c r="L822">
        <f t="shared" si="109"/>
        <v>0</v>
      </c>
      <c r="M822" t="str">
        <f t="shared" si="110"/>
        <v>Low</v>
      </c>
      <c r="N822" t="str">
        <f t="shared" si="111"/>
        <v>0-5%</v>
      </c>
      <c r="O822" t="str">
        <f t="shared" si="112"/>
        <v>OK</v>
      </c>
      <c r="P822">
        <f>IFERROR(Full_Data!G822/Full_Data!H822,"Check data")</f>
        <v>0.86956521739130432</v>
      </c>
      <c r="Q822" t="str">
        <f t="shared" si="113"/>
        <v>Match</v>
      </c>
      <c r="R822" t="str">
        <f t="shared" si="114"/>
        <v>Match</v>
      </c>
      <c r="S822" t="str">
        <f t="shared" si="115"/>
        <v>Match</v>
      </c>
    </row>
    <row r="823" spans="1:19" x14ac:dyDescent="0.25">
      <c r="A823" t="s">
        <v>783</v>
      </c>
      <c r="B823">
        <v>20000</v>
      </c>
      <c r="C823">
        <f t="shared" si="116"/>
        <v>200</v>
      </c>
      <c r="D823">
        <v>25</v>
      </c>
      <c r="E823">
        <v>1</v>
      </c>
      <c r="F823">
        <v>15000</v>
      </c>
      <c r="G823">
        <f t="shared" si="108"/>
        <v>150</v>
      </c>
      <c r="H823">
        <v>180</v>
      </c>
      <c r="I823" s="4">
        <f>Full_Data[[#This Row],[Selling Price]]/Full_Data[[#This Row],[Weight (g)]]</f>
        <v>0.83333333333333337</v>
      </c>
      <c r="J823" t="b">
        <v>0</v>
      </c>
      <c r="K823">
        <v>180</v>
      </c>
      <c r="L823">
        <f t="shared" si="109"/>
        <v>50</v>
      </c>
      <c r="M823" t="str">
        <f t="shared" si="110"/>
        <v>Medium</v>
      </c>
      <c r="N823" t="str">
        <f t="shared" si="111"/>
        <v>21%+</v>
      </c>
      <c r="O823" t="str">
        <f t="shared" si="112"/>
        <v>OK</v>
      </c>
      <c r="P823">
        <f>IFERROR(Full_Data!G823/Full_Data!H823,"Check data")</f>
        <v>0.83333333333333337</v>
      </c>
      <c r="Q823" t="str">
        <f t="shared" si="113"/>
        <v>Match</v>
      </c>
      <c r="R823" t="str">
        <f t="shared" si="114"/>
        <v>Match</v>
      </c>
      <c r="S823" t="str">
        <f t="shared" si="115"/>
        <v>Match</v>
      </c>
    </row>
    <row r="824" spans="1:19" x14ac:dyDescent="0.25">
      <c r="A824" t="s">
        <v>744</v>
      </c>
      <c r="B824">
        <v>55000</v>
      </c>
      <c r="C824">
        <f t="shared" si="116"/>
        <v>550</v>
      </c>
      <c r="D824">
        <v>5</v>
      </c>
      <c r="E824">
        <v>3</v>
      </c>
      <c r="F824">
        <v>52000</v>
      </c>
      <c r="G824">
        <f t="shared" si="108"/>
        <v>520</v>
      </c>
      <c r="H824">
        <v>1000</v>
      </c>
      <c r="I824" s="4">
        <f>Full_Data[[#This Row],[Selling Price]]/Full_Data[[#This Row],[Weight (g)]]</f>
        <v>0.52</v>
      </c>
      <c r="J824" t="b">
        <v>0</v>
      </c>
      <c r="K824">
        <v>1</v>
      </c>
      <c r="L824">
        <f t="shared" si="109"/>
        <v>30</v>
      </c>
      <c r="M824" t="str">
        <f t="shared" si="110"/>
        <v>High</v>
      </c>
      <c r="N824" t="str">
        <f t="shared" si="111"/>
        <v>0-5%</v>
      </c>
      <c r="O824" t="str">
        <f t="shared" si="112"/>
        <v>OK</v>
      </c>
      <c r="P824">
        <f>IFERROR(Full_Data!G824/Full_Data!H824,"Check data")</f>
        <v>0.52</v>
      </c>
      <c r="Q824" t="str">
        <f t="shared" si="113"/>
        <v>Match</v>
      </c>
      <c r="R824" t="str">
        <f t="shared" si="114"/>
        <v>Mismatch</v>
      </c>
      <c r="S824" t="str">
        <f t="shared" si="115"/>
        <v>Match</v>
      </c>
    </row>
    <row r="825" spans="1:19" x14ac:dyDescent="0.25">
      <c r="A825" t="s">
        <v>784</v>
      </c>
      <c r="B825">
        <v>33000</v>
      </c>
      <c r="C825">
        <f t="shared" si="116"/>
        <v>330</v>
      </c>
      <c r="D825">
        <v>10</v>
      </c>
      <c r="E825">
        <v>3</v>
      </c>
      <c r="F825">
        <v>29400</v>
      </c>
      <c r="G825">
        <f t="shared" si="108"/>
        <v>294</v>
      </c>
      <c r="H825">
        <v>450</v>
      </c>
      <c r="I825" s="4">
        <f>Full_Data[[#This Row],[Selling Price]]/Full_Data[[#This Row],[Weight (g)]]</f>
        <v>0.65333333333333332</v>
      </c>
      <c r="J825" t="b">
        <v>0</v>
      </c>
      <c r="K825">
        <v>450</v>
      </c>
      <c r="L825">
        <f t="shared" si="109"/>
        <v>36</v>
      </c>
      <c r="M825" t="str">
        <f t="shared" si="110"/>
        <v>High</v>
      </c>
      <c r="N825" t="str">
        <f t="shared" si="111"/>
        <v>6-10%</v>
      </c>
      <c r="O825" t="str">
        <f t="shared" si="112"/>
        <v>OK</v>
      </c>
      <c r="P825">
        <f>IFERROR(Full_Data!G825/Full_Data!H825,"Check data")</f>
        <v>0.65333333333333332</v>
      </c>
      <c r="Q825" t="str">
        <f t="shared" si="113"/>
        <v>Match</v>
      </c>
      <c r="R825" t="str">
        <f t="shared" si="114"/>
        <v>Mismatch</v>
      </c>
      <c r="S825" t="str">
        <f t="shared" si="115"/>
        <v>Mismatch</v>
      </c>
    </row>
    <row r="826" spans="1:19" x14ac:dyDescent="0.25">
      <c r="A826" t="s">
        <v>785</v>
      </c>
      <c r="B826">
        <v>16000</v>
      </c>
      <c r="C826">
        <f t="shared" si="116"/>
        <v>160</v>
      </c>
      <c r="D826">
        <v>20</v>
      </c>
      <c r="E826">
        <v>4</v>
      </c>
      <c r="F826">
        <v>12800</v>
      </c>
      <c r="G826">
        <f t="shared" si="108"/>
        <v>128</v>
      </c>
      <c r="H826">
        <v>180</v>
      </c>
      <c r="I826" s="4">
        <f>Full_Data[[#This Row],[Selling Price]]/Full_Data[[#This Row],[Weight (g)]]</f>
        <v>0.71111111111111114</v>
      </c>
      <c r="J826" t="b">
        <v>0</v>
      </c>
      <c r="K826">
        <v>180</v>
      </c>
      <c r="L826">
        <f t="shared" si="109"/>
        <v>32</v>
      </c>
      <c r="M826" t="str">
        <f t="shared" si="110"/>
        <v>Medium</v>
      </c>
      <c r="N826" t="str">
        <f t="shared" si="111"/>
        <v>16-20%</v>
      </c>
      <c r="O826" t="str">
        <f t="shared" si="112"/>
        <v>OK</v>
      </c>
      <c r="P826">
        <f>IFERROR(Full_Data!G826/Full_Data!H826,"Check data")</f>
        <v>0.71111111111111114</v>
      </c>
      <c r="Q826" t="str">
        <f t="shared" si="113"/>
        <v>Match</v>
      </c>
      <c r="R826" t="str">
        <f t="shared" si="114"/>
        <v>Match</v>
      </c>
      <c r="S826" t="str">
        <f t="shared" si="115"/>
        <v>Match</v>
      </c>
    </row>
    <row r="827" spans="1:19" x14ac:dyDescent="0.25">
      <c r="A827" t="s">
        <v>786</v>
      </c>
      <c r="B827">
        <v>1500</v>
      </c>
      <c r="C827">
        <f t="shared" si="116"/>
        <v>15</v>
      </c>
      <c r="D827">
        <v>0</v>
      </c>
      <c r="E827">
        <v>3</v>
      </c>
      <c r="F827">
        <v>1500</v>
      </c>
      <c r="G827">
        <f t="shared" si="108"/>
        <v>15</v>
      </c>
      <c r="H827">
        <v>60</v>
      </c>
      <c r="I827" s="4">
        <f>Full_Data[[#This Row],[Selling Price]]/Full_Data[[#This Row],[Weight (g)]]</f>
        <v>0.25</v>
      </c>
      <c r="J827" t="b">
        <v>0</v>
      </c>
      <c r="K827">
        <v>60</v>
      </c>
      <c r="L827">
        <f t="shared" si="109"/>
        <v>0</v>
      </c>
      <c r="M827" t="str">
        <f t="shared" si="110"/>
        <v>Low</v>
      </c>
      <c r="N827" t="str">
        <f t="shared" si="111"/>
        <v>0-5%</v>
      </c>
      <c r="O827" t="str">
        <f t="shared" si="112"/>
        <v>OK</v>
      </c>
      <c r="P827">
        <f>IFERROR(Full_Data!G827/Full_Data!H827,"Check data")</f>
        <v>0.25</v>
      </c>
      <c r="Q827" t="str">
        <f t="shared" si="113"/>
        <v>Match</v>
      </c>
      <c r="R827" t="str">
        <f t="shared" si="114"/>
        <v>Match</v>
      </c>
      <c r="S827" t="str">
        <f t="shared" si="115"/>
        <v>Match</v>
      </c>
    </row>
    <row r="828" spans="1:19" x14ac:dyDescent="0.25">
      <c r="A828" t="s">
        <v>787</v>
      </c>
      <c r="B828">
        <v>12500</v>
      </c>
      <c r="C828">
        <f t="shared" si="116"/>
        <v>125</v>
      </c>
      <c r="D828">
        <v>9</v>
      </c>
      <c r="E828">
        <v>6</v>
      </c>
      <c r="F828">
        <v>11300</v>
      </c>
      <c r="G828">
        <f t="shared" si="108"/>
        <v>113</v>
      </c>
      <c r="H828">
        <v>400</v>
      </c>
      <c r="I828" s="4">
        <f>Full_Data[[#This Row],[Selling Price]]/Full_Data[[#This Row],[Weight (g)]]</f>
        <v>0.28249999999999997</v>
      </c>
      <c r="J828" t="b">
        <v>0</v>
      </c>
      <c r="K828">
        <v>500</v>
      </c>
      <c r="L828">
        <f t="shared" si="109"/>
        <v>12</v>
      </c>
      <c r="M828" t="str">
        <f t="shared" si="110"/>
        <v>Medium</v>
      </c>
      <c r="N828" t="str">
        <f t="shared" si="111"/>
        <v>6-10%</v>
      </c>
      <c r="O828" t="str">
        <f t="shared" si="112"/>
        <v>OK</v>
      </c>
      <c r="P828">
        <f>IFERROR(Full_Data!G828/Full_Data!H828,"Check data")</f>
        <v>0.28249999999999997</v>
      </c>
      <c r="Q828" t="str">
        <f t="shared" si="113"/>
        <v>Match</v>
      </c>
      <c r="R828" t="str">
        <f t="shared" si="114"/>
        <v>Mismatch</v>
      </c>
      <c r="S828" t="str">
        <f t="shared" si="115"/>
        <v>Mismatch</v>
      </c>
    </row>
    <row r="829" spans="1:19" x14ac:dyDescent="0.25">
      <c r="A829" t="s">
        <v>788</v>
      </c>
      <c r="B829">
        <v>17500</v>
      </c>
      <c r="C829">
        <f t="shared" si="116"/>
        <v>175</v>
      </c>
      <c r="D829">
        <v>20</v>
      </c>
      <c r="E829">
        <v>6</v>
      </c>
      <c r="F829">
        <v>14000</v>
      </c>
      <c r="G829">
        <f t="shared" si="108"/>
        <v>140</v>
      </c>
      <c r="H829">
        <v>180</v>
      </c>
      <c r="I829" s="4">
        <f>Full_Data[[#This Row],[Selling Price]]/Full_Data[[#This Row],[Weight (g)]]</f>
        <v>0.77777777777777779</v>
      </c>
      <c r="J829" t="b">
        <v>0</v>
      </c>
      <c r="K829">
        <v>180</v>
      </c>
      <c r="L829">
        <f t="shared" si="109"/>
        <v>35</v>
      </c>
      <c r="M829" t="str">
        <f t="shared" si="110"/>
        <v>Medium</v>
      </c>
      <c r="N829" t="str">
        <f t="shared" si="111"/>
        <v>16-20%</v>
      </c>
      <c r="O829" t="str">
        <f t="shared" si="112"/>
        <v>OK</v>
      </c>
      <c r="P829">
        <f>IFERROR(Full_Data!G829/Full_Data!H829,"Check data")</f>
        <v>0.77777777777777779</v>
      </c>
      <c r="Q829" t="str">
        <f t="shared" si="113"/>
        <v>Match</v>
      </c>
      <c r="R829" t="str">
        <f t="shared" si="114"/>
        <v>Match</v>
      </c>
      <c r="S829" t="str">
        <f t="shared" si="115"/>
        <v>Match</v>
      </c>
    </row>
    <row r="830" spans="1:19" x14ac:dyDescent="0.25">
      <c r="A830" t="s">
        <v>789</v>
      </c>
      <c r="B830">
        <v>17000</v>
      </c>
      <c r="C830">
        <f t="shared" si="116"/>
        <v>170</v>
      </c>
      <c r="D830">
        <v>10</v>
      </c>
      <c r="E830">
        <v>1</v>
      </c>
      <c r="F830">
        <v>15300</v>
      </c>
      <c r="G830">
        <f t="shared" si="108"/>
        <v>153</v>
      </c>
      <c r="H830">
        <v>1000</v>
      </c>
      <c r="I830" s="4">
        <f>Full_Data[[#This Row],[Selling Price]]/Full_Data[[#This Row],[Weight (g)]]</f>
        <v>0.153</v>
      </c>
      <c r="J830" t="b">
        <v>0</v>
      </c>
      <c r="K830">
        <v>1</v>
      </c>
      <c r="L830">
        <f t="shared" si="109"/>
        <v>17</v>
      </c>
      <c r="M830" t="str">
        <f t="shared" si="110"/>
        <v>Medium</v>
      </c>
      <c r="N830" t="str">
        <f t="shared" si="111"/>
        <v>6-10%</v>
      </c>
      <c r="O830" t="str">
        <f t="shared" si="112"/>
        <v>OK</v>
      </c>
      <c r="P830">
        <f>IFERROR(Full_Data!G830/Full_Data!H830,"Check data")</f>
        <v>0.153</v>
      </c>
      <c r="Q830" t="str">
        <f t="shared" si="113"/>
        <v>Match</v>
      </c>
      <c r="R830" t="str">
        <f t="shared" si="114"/>
        <v>Match</v>
      </c>
      <c r="S830" t="str">
        <f t="shared" si="115"/>
        <v>Match</v>
      </c>
    </row>
    <row r="831" spans="1:19" x14ac:dyDescent="0.25">
      <c r="A831" t="s">
        <v>790</v>
      </c>
      <c r="B831">
        <v>1500</v>
      </c>
      <c r="C831">
        <f t="shared" si="116"/>
        <v>15</v>
      </c>
      <c r="D831">
        <v>0</v>
      </c>
      <c r="E831">
        <v>3</v>
      </c>
      <c r="F831">
        <v>1500</v>
      </c>
      <c r="G831">
        <f t="shared" si="108"/>
        <v>15</v>
      </c>
      <c r="H831">
        <v>15</v>
      </c>
      <c r="I831" s="4">
        <f>Full_Data[[#This Row],[Selling Price]]/Full_Data[[#This Row],[Weight (g)]]</f>
        <v>1</v>
      </c>
      <c r="J831" t="b">
        <v>0</v>
      </c>
      <c r="K831">
        <v>15</v>
      </c>
      <c r="L831">
        <f t="shared" si="109"/>
        <v>0</v>
      </c>
      <c r="M831" t="str">
        <f t="shared" si="110"/>
        <v>Low</v>
      </c>
      <c r="N831" t="str">
        <f t="shared" si="111"/>
        <v>0-5%</v>
      </c>
      <c r="O831" t="str">
        <f t="shared" si="112"/>
        <v>OK</v>
      </c>
      <c r="P831">
        <f>IFERROR(Full_Data!G831/Full_Data!H831,"Check data")</f>
        <v>1</v>
      </c>
      <c r="Q831" t="str">
        <f t="shared" si="113"/>
        <v>Match</v>
      </c>
      <c r="R831" t="str">
        <f t="shared" si="114"/>
        <v>Match</v>
      </c>
      <c r="S831" t="str">
        <f t="shared" si="115"/>
        <v>Match</v>
      </c>
    </row>
    <row r="832" spans="1:19" x14ac:dyDescent="0.25">
      <c r="A832" t="s">
        <v>791</v>
      </c>
      <c r="B832">
        <v>49900</v>
      </c>
      <c r="C832">
        <f t="shared" si="116"/>
        <v>499</v>
      </c>
      <c r="D832">
        <v>11</v>
      </c>
      <c r="E832">
        <v>6</v>
      </c>
      <c r="F832">
        <v>44400</v>
      </c>
      <c r="G832">
        <f t="shared" si="108"/>
        <v>444</v>
      </c>
      <c r="H832">
        <v>1200</v>
      </c>
      <c r="I832" s="4">
        <f>Full_Data[[#This Row],[Selling Price]]/Full_Data[[#This Row],[Weight (g)]]</f>
        <v>0.37</v>
      </c>
      <c r="J832" t="b">
        <v>0</v>
      </c>
      <c r="K832">
        <v>1</v>
      </c>
      <c r="L832">
        <f t="shared" si="109"/>
        <v>55</v>
      </c>
      <c r="M832" t="str">
        <f t="shared" si="110"/>
        <v>High</v>
      </c>
      <c r="N832" t="str">
        <f t="shared" si="111"/>
        <v>11-15%</v>
      </c>
      <c r="O832" t="str">
        <f t="shared" si="112"/>
        <v>OK</v>
      </c>
      <c r="P832">
        <f>IFERROR(Full_Data!G832/Full_Data!H832,"Check data")</f>
        <v>0.37</v>
      </c>
      <c r="Q832" t="str">
        <f t="shared" si="113"/>
        <v>Match</v>
      </c>
      <c r="R832" t="str">
        <f t="shared" si="114"/>
        <v>Mismatch</v>
      </c>
      <c r="S832" t="str">
        <f t="shared" si="115"/>
        <v>Match</v>
      </c>
    </row>
    <row r="833" spans="1:19" x14ac:dyDescent="0.25">
      <c r="A833" t="s">
        <v>787</v>
      </c>
      <c r="B833">
        <v>14900</v>
      </c>
      <c r="C833">
        <f t="shared" si="116"/>
        <v>149</v>
      </c>
      <c r="D833">
        <v>26</v>
      </c>
      <c r="E833">
        <v>4</v>
      </c>
      <c r="F833">
        <v>10900</v>
      </c>
      <c r="G833">
        <f t="shared" si="108"/>
        <v>109</v>
      </c>
      <c r="H833">
        <v>500</v>
      </c>
      <c r="I833" s="4">
        <f>Full_Data[[#This Row],[Selling Price]]/Full_Data[[#This Row],[Weight (g)]]</f>
        <v>0.218</v>
      </c>
      <c r="J833" t="b">
        <v>0</v>
      </c>
      <c r="K833">
        <v>500</v>
      </c>
      <c r="L833">
        <f t="shared" si="109"/>
        <v>40</v>
      </c>
      <c r="M833" t="str">
        <f t="shared" si="110"/>
        <v>Medium</v>
      </c>
      <c r="N833" t="str">
        <f t="shared" si="111"/>
        <v>21%+</v>
      </c>
      <c r="O833" t="str">
        <f t="shared" si="112"/>
        <v>OK</v>
      </c>
      <c r="P833">
        <f>IFERROR(Full_Data!G833/Full_Data!H833,"Check data")</f>
        <v>0.218</v>
      </c>
      <c r="Q833" t="str">
        <f t="shared" si="113"/>
        <v>Match</v>
      </c>
      <c r="R833" t="str">
        <f t="shared" si="114"/>
        <v>Mismatch</v>
      </c>
      <c r="S833" t="str">
        <f t="shared" si="115"/>
        <v>Mismatch</v>
      </c>
    </row>
    <row r="834" spans="1:19" x14ac:dyDescent="0.25">
      <c r="A834" t="s">
        <v>792</v>
      </c>
      <c r="B834">
        <v>6000</v>
      </c>
      <c r="C834">
        <f t="shared" si="116"/>
        <v>60</v>
      </c>
      <c r="D834">
        <v>0</v>
      </c>
      <c r="E834">
        <v>6</v>
      </c>
      <c r="F834">
        <v>6000</v>
      </c>
      <c r="G834">
        <f t="shared" ref="G834:G897" si="117">F834/100</f>
        <v>60</v>
      </c>
      <c r="H834">
        <v>240</v>
      </c>
      <c r="I834" s="4">
        <f>Full_Data[[#This Row],[Selling Price]]/Full_Data[[#This Row],[Weight (g)]]</f>
        <v>0.25</v>
      </c>
      <c r="J834" t="b">
        <v>0</v>
      </c>
      <c r="K834">
        <v>240</v>
      </c>
      <c r="L834">
        <f t="shared" ref="L834:L897" si="118">C834-G834</f>
        <v>0</v>
      </c>
      <c r="M834" t="str">
        <f t="shared" ref="M834:M897" si="119">IF(G834&lt;50,"Low",IF(G834&lt;200,"Medium","High"))</f>
        <v>Medium</v>
      </c>
      <c r="N834" t="str">
        <f t="shared" ref="N834:N897" si="120">IF(D834&lt;=5,"0-5%",
IF(D834&lt;=10,"6-10%",
IF(D834&lt;=15,"11-15%",
IF(D834&lt;=20,"16-20%","21%+"))))</f>
        <v>0-5%</v>
      </c>
      <c r="O834" t="str">
        <f t="shared" ref="O834:O897" si="121">IF(AND(C834=0,G834=0),"Review: Zero MRP and selling price",IF(C834&lt;=0,"Review: Invalid MRP",IF(G834&lt;0,"Review: Negative selling price",IF(G834=0,"Review: Zero selling price",IF(H834&lt;=0,"Review: Invalid weight","OK")))))</f>
        <v>OK</v>
      </c>
      <c r="P834">
        <f>IFERROR(Full_Data!G834/Full_Data!H834,"Check data")</f>
        <v>0.25</v>
      </c>
      <c r="Q834" t="str">
        <f t="shared" ref="Q834:Q897" si="122">IF(OR(H834="",H834&lt;=0),"Invalid weight",IF(G834="","Missing selling price",IF(ROUND(G834/H834,2)=ROUND(I834,2),"Match","Mismatch")))</f>
        <v>Match</v>
      </c>
      <c r="R834" t="str">
        <f t="shared" ref="R834:R897" si="123">IF(OR(C834&lt;=0,G834=""),"Check data",IF(ROUND((C834-G834)/C834*100,2)=ROUND(D834,2),"Match","Mismatch"))</f>
        <v>Match</v>
      </c>
      <c r="S834" t="str">
        <f t="shared" ref="S834:S897" si="124">IF(OR(C834&lt;=0,G834=""),"Check data",IF(ROUND((C834-G834)/C834*100,0)=D834,"Match","Mismatch"))</f>
        <v>Match</v>
      </c>
    </row>
    <row r="835" spans="1:19" x14ac:dyDescent="0.25">
      <c r="A835" t="s">
        <v>793</v>
      </c>
      <c r="B835">
        <v>31000</v>
      </c>
      <c r="C835">
        <f t="shared" ref="C835:C898" si="125">B835/100</f>
        <v>310</v>
      </c>
      <c r="D835">
        <v>6</v>
      </c>
      <c r="E835">
        <v>6</v>
      </c>
      <c r="F835">
        <v>29000</v>
      </c>
      <c r="G835">
        <f t="shared" si="117"/>
        <v>290</v>
      </c>
      <c r="H835">
        <v>875</v>
      </c>
      <c r="I835" s="4">
        <f>Full_Data[[#This Row],[Selling Price]]/Full_Data[[#This Row],[Weight (g)]]</f>
        <v>0.33142857142857141</v>
      </c>
      <c r="J835" t="b">
        <v>0</v>
      </c>
      <c r="K835">
        <v>875</v>
      </c>
      <c r="L835">
        <f t="shared" si="118"/>
        <v>20</v>
      </c>
      <c r="M835" t="str">
        <f t="shared" si="119"/>
        <v>High</v>
      </c>
      <c r="N835" t="str">
        <f t="shared" si="120"/>
        <v>6-10%</v>
      </c>
      <c r="O835" t="str">
        <f t="shared" si="121"/>
        <v>OK</v>
      </c>
      <c r="P835">
        <f>IFERROR(Full_Data!G835/Full_Data!H835,"Check data")</f>
        <v>0.33142857142857141</v>
      </c>
      <c r="Q835" t="str">
        <f t="shared" si="122"/>
        <v>Match</v>
      </c>
      <c r="R835" t="str">
        <f t="shared" si="123"/>
        <v>Mismatch</v>
      </c>
      <c r="S835" t="str">
        <f t="shared" si="124"/>
        <v>Match</v>
      </c>
    </row>
    <row r="836" spans="1:19" x14ac:dyDescent="0.25">
      <c r="A836" t="s">
        <v>794</v>
      </c>
      <c r="B836">
        <v>33000</v>
      </c>
      <c r="C836">
        <f t="shared" si="125"/>
        <v>330</v>
      </c>
      <c r="D836">
        <v>6</v>
      </c>
      <c r="E836">
        <v>6</v>
      </c>
      <c r="F836">
        <v>31000</v>
      </c>
      <c r="G836">
        <f t="shared" si="117"/>
        <v>310</v>
      </c>
      <c r="H836">
        <v>460</v>
      </c>
      <c r="I836" s="4">
        <f>Full_Data[[#This Row],[Selling Price]]/Full_Data[[#This Row],[Weight (g)]]</f>
        <v>0.67391304347826086</v>
      </c>
      <c r="J836" t="b">
        <v>0</v>
      </c>
      <c r="K836">
        <v>460</v>
      </c>
      <c r="L836">
        <f t="shared" si="118"/>
        <v>20</v>
      </c>
      <c r="M836" t="str">
        <f t="shared" si="119"/>
        <v>High</v>
      </c>
      <c r="N836" t="str">
        <f t="shared" si="120"/>
        <v>6-10%</v>
      </c>
      <c r="O836" t="str">
        <f t="shared" si="121"/>
        <v>OK</v>
      </c>
      <c r="P836">
        <f>IFERROR(Full_Data!G836/Full_Data!H836,"Check data")</f>
        <v>0.67391304347826086</v>
      </c>
      <c r="Q836" t="str">
        <f t="shared" si="122"/>
        <v>Match</v>
      </c>
      <c r="R836" t="str">
        <f t="shared" si="123"/>
        <v>Mismatch</v>
      </c>
      <c r="S836" t="str">
        <f t="shared" si="124"/>
        <v>Match</v>
      </c>
    </row>
    <row r="837" spans="1:19" x14ac:dyDescent="0.25">
      <c r="A837" t="s">
        <v>795</v>
      </c>
      <c r="B837">
        <v>29200</v>
      </c>
      <c r="C837">
        <f t="shared" si="125"/>
        <v>292</v>
      </c>
      <c r="D837">
        <v>0</v>
      </c>
      <c r="E837">
        <v>6</v>
      </c>
      <c r="F837">
        <v>29200</v>
      </c>
      <c r="G837">
        <f t="shared" si="117"/>
        <v>292</v>
      </c>
      <c r="H837">
        <v>300</v>
      </c>
      <c r="I837" s="4">
        <f>Full_Data[[#This Row],[Selling Price]]/Full_Data[[#This Row],[Weight (g)]]</f>
        <v>0.97333333333333338</v>
      </c>
      <c r="J837" t="b">
        <v>0</v>
      </c>
      <c r="K837">
        <v>300</v>
      </c>
      <c r="L837">
        <f t="shared" si="118"/>
        <v>0</v>
      </c>
      <c r="M837" t="str">
        <f t="shared" si="119"/>
        <v>High</v>
      </c>
      <c r="N837" t="str">
        <f t="shared" si="120"/>
        <v>0-5%</v>
      </c>
      <c r="O837" t="str">
        <f t="shared" si="121"/>
        <v>OK</v>
      </c>
      <c r="P837">
        <f>IFERROR(Full_Data!G837/Full_Data!H837,"Check data")</f>
        <v>0.97333333333333338</v>
      </c>
      <c r="Q837" t="str">
        <f t="shared" si="122"/>
        <v>Match</v>
      </c>
      <c r="R837" t="str">
        <f t="shared" si="123"/>
        <v>Match</v>
      </c>
      <c r="S837" t="str">
        <f t="shared" si="124"/>
        <v>Match</v>
      </c>
    </row>
    <row r="838" spans="1:19" x14ac:dyDescent="0.25">
      <c r="A838" t="s">
        <v>796</v>
      </c>
      <c r="B838">
        <v>2500</v>
      </c>
      <c r="C838">
        <f t="shared" si="125"/>
        <v>25</v>
      </c>
      <c r="D838">
        <v>0</v>
      </c>
      <c r="E838">
        <v>6</v>
      </c>
      <c r="F838">
        <v>2500</v>
      </c>
      <c r="G838">
        <f t="shared" si="117"/>
        <v>25</v>
      </c>
      <c r="H838">
        <v>60</v>
      </c>
      <c r="I838" s="4">
        <f>Full_Data[[#This Row],[Selling Price]]/Full_Data[[#This Row],[Weight (g)]]</f>
        <v>0.41666666666666669</v>
      </c>
      <c r="J838" t="b">
        <v>0</v>
      </c>
      <c r="K838">
        <v>60</v>
      </c>
      <c r="L838">
        <f t="shared" si="118"/>
        <v>0</v>
      </c>
      <c r="M838" t="str">
        <f t="shared" si="119"/>
        <v>Low</v>
      </c>
      <c r="N838" t="str">
        <f t="shared" si="120"/>
        <v>0-5%</v>
      </c>
      <c r="O838" t="str">
        <f t="shared" si="121"/>
        <v>OK</v>
      </c>
      <c r="P838">
        <f>IFERROR(Full_Data!G838/Full_Data!H838,"Check data")</f>
        <v>0.41666666666666669</v>
      </c>
      <c r="Q838" t="str">
        <f t="shared" si="122"/>
        <v>Match</v>
      </c>
      <c r="R838" t="str">
        <f t="shared" si="123"/>
        <v>Match</v>
      </c>
      <c r="S838" t="str">
        <f t="shared" si="124"/>
        <v>Match</v>
      </c>
    </row>
    <row r="839" spans="1:19" x14ac:dyDescent="0.25">
      <c r="A839" t="s">
        <v>774</v>
      </c>
      <c r="B839">
        <v>6800</v>
      </c>
      <c r="C839">
        <f t="shared" si="125"/>
        <v>68</v>
      </c>
      <c r="D839">
        <v>10</v>
      </c>
      <c r="E839">
        <v>5</v>
      </c>
      <c r="F839">
        <v>6100</v>
      </c>
      <c r="G839">
        <f t="shared" si="117"/>
        <v>61</v>
      </c>
      <c r="H839">
        <v>360</v>
      </c>
      <c r="I839" s="4">
        <f>Full_Data[[#This Row],[Selling Price]]/Full_Data[[#This Row],[Weight (g)]]</f>
        <v>0.16944444444444445</v>
      </c>
      <c r="J839" t="b">
        <v>0</v>
      </c>
      <c r="K839">
        <v>360</v>
      </c>
      <c r="L839">
        <f t="shared" si="118"/>
        <v>7</v>
      </c>
      <c r="M839" t="str">
        <f t="shared" si="119"/>
        <v>Medium</v>
      </c>
      <c r="N839" t="str">
        <f t="shared" si="120"/>
        <v>6-10%</v>
      </c>
      <c r="O839" t="str">
        <f t="shared" si="121"/>
        <v>OK</v>
      </c>
      <c r="P839">
        <f>IFERROR(Full_Data!G839/Full_Data!H839,"Check data")</f>
        <v>0.16944444444444445</v>
      </c>
      <c r="Q839" t="str">
        <f t="shared" si="122"/>
        <v>Match</v>
      </c>
      <c r="R839" t="str">
        <f t="shared" si="123"/>
        <v>Mismatch</v>
      </c>
      <c r="S839" t="str">
        <f t="shared" si="124"/>
        <v>Match</v>
      </c>
    </row>
    <row r="840" spans="1:19" x14ac:dyDescent="0.25">
      <c r="A840" t="s">
        <v>797</v>
      </c>
      <c r="B840">
        <v>5500</v>
      </c>
      <c r="C840">
        <f t="shared" si="125"/>
        <v>55</v>
      </c>
      <c r="D840">
        <v>0</v>
      </c>
      <c r="E840">
        <v>6</v>
      </c>
      <c r="F840">
        <v>5500</v>
      </c>
      <c r="G840">
        <f t="shared" si="117"/>
        <v>55</v>
      </c>
      <c r="H840">
        <v>53</v>
      </c>
      <c r="I840" s="4">
        <f>Full_Data[[#This Row],[Selling Price]]/Full_Data[[#This Row],[Weight (g)]]</f>
        <v>1.0377358490566038</v>
      </c>
      <c r="J840" t="b">
        <v>0</v>
      </c>
      <c r="K840">
        <v>53</v>
      </c>
      <c r="L840">
        <f t="shared" si="118"/>
        <v>0</v>
      </c>
      <c r="M840" t="str">
        <f t="shared" si="119"/>
        <v>Medium</v>
      </c>
      <c r="N840" t="str">
        <f t="shared" si="120"/>
        <v>0-5%</v>
      </c>
      <c r="O840" t="str">
        <f t="shared" si="121"/>
        <v>OK</v>
      </c>
      <c r="P840">
        <f>IFERROR(Full_Data!G840/Full_Data!H840,"Check data")</f>
        <v>1.0377358490566038</v>
      </c>
      <c r="Q840" t="str">
        <f t="shared" si="122"/>
        <v>Match</v>
      </c>
      <c r="R840" t="str">
        <f t="shared" si="123"/>
        <v>Match</v>
      </c>
      <c r="S840" t="str">
        <f t="shared" si="124"/>
        <v>Match</v>
      </c>
    </row>
    <row r="841" spans="1:19" x14ac:dyDescent="0.25">
      <c r="A841" t="s">
        <v>798</v>
      </c>
      <c r="B841">
        <v>42500</v>
      </c>
      <c r="C841">
        <f t="shared" si="125"/>
        <v>425</v>
      </c>
      <c r="D841">
        <v>9</v>
      </c>
      <c r="E841">
        <v>1</v>
      </c>
      <c r="F841">
        <v>38300</v>
      </c>
      <c r="G841">
        <f t="shared" si="117"/>
        <v>383</v>
      </c>
      <c r="H841">
        <v>1000</v>
      </c>
      <c r="I841" s="4">
        <f>Full_Data[[#This Row],[Selling Price]]/Full_Data[[#This Row],[Weight (g)]]</f>
        <v>0.38300000000000001</v>
      </c>
      <c r="J841" t="b">
        <v>0</v>
      </c>
      <c r="K841">
        <v>1</v>
      </c>
      <c r="L841">
        <f t="shared" si="118"/>
        <v>42</v>
      </c>
      <c r="M841" t="str">
        <f t="shared" si="119"/>
        <v>High</v>
      </c>
      <c r="N841" t="str">
        <f t="shared" si="120"/>
        <v>6-10%</v>
      </c>
      <c r="O841" t="str">
        <f t="shared" si="121"/>
        <v>OK</v>
      </c>
      <c r="P841">
        <f>IFERROR(Full_Data!G841/Full_Data!H841,"Check data")</f>
        <v>0.38300000000000001</v>
      </c>
      <c r="Q841" t="str">
        <f t="shared" si="122"/>
        <v>Match</v>
      </c>
      <c r="R841" t="str">
        <f t="shared" si="123"/>
        <v>Mismatch</v>
      </c>
      <c r="S841" t="str">
        <f t="shared" si="124"/>
        <v>Mismatch</v>
      </c>
    </row>
    <row r="842" spans="1:19" x14ac:dyDescent="0.25">
      <c r="A842" t="s">
        <v>799</v>
      </c>
      <c r="B842">
        <v>17000</v>
      </c>
      <c r="C842">
        <f t="shared" si="125"/>
        <v>170</v>
      </c>
      <c r="D842">
        <v>5</v>
      </c>
      <c r="E842">
        <v>4</v>
      </c>
      <c r="F842">
        <v>16000</v>
      </c>
      <c r="G842">
        <f t="shared" si="117"/>
        <v>160</v>
      </c>
      <c r="H842">
        <v>385</v>
      </c>
      <c r="I842" s="4">
        <f>Full_Data[[#This Row],[Selling Price]]/Full_Data[[#This Row],[Weight (g)]]</f>
        <v>0.41558441558441561</v>
      </c>
      <c r="J842" t="b">
        <v>0</v>
      </c>
      <c r="K842">
        <v>385</v>
      </c>
      <c r="L842">
        <f t="shared" si="118"/>
        <v>10</v>
      </c>
      <c r="M842" t="str">
        <f t="shared" si="119"/>
        <v>Medium</v>
      </c>
      <c r="N842" t="str">
        <f t="shared" si="120"/>
        <v>0-5%</v>
      </c>
      <c r="O842" t="str">
        <f t="shared" si="121"/>
        <v>OK</v>
      </c>
      <c r="P842">
        <f>IFERROR(Full_Data!G842/Full_Data!H842,"Check data")</f>
        <v>0.41558441558441561</v>
      </c>
      <c r="Q842" t="str">
        <f t="shared" si="122"/>
        <v>Match</v>
      </c>
      <c r="R842" t="str">
        <f t="shared" si="123"/>
        <v>Mismatch</v>
      </c>
      <c r="S842" t="str">
        <f t="shared" si="124"/>
        <v>Mismatch</v>
      </c>
    </row>
    <row r="843" spans="1:19" x14ac:dyDescent="0.25">
      <c r="A843" t="s">
        <v>800</v>
      </c>
      <c r="B843">
        <v>29000</v>
      </c>
      <c r="C843">
        <f t="shared" si="125"/>
        <v>290</v>
      </c>
      <c r="D843">
        <v>20</v>
      </c>
      <c r="E843">
        <v>6</v>
      </c>
      <c r="F843">
        <v>23200</v>
      </c>
      <c r="G843">
        <f t="shared" si="117"/>
        <v>232</v>
      </c>
      <c r="H843">
        <v>1200</v>
      </c>
      <c r="I843" s="4">
        <f>Full_Data[[#This Row],[Selling Price]]/Full_Data[[#This Row],[Weight (g)]]</f>
        <v>0.19333333333333333</v>
      </c>
      <c r="J843" t="b">
        <v>0</v>
      </c>
      <c r="K843">
        <v>1200</v>
      </c>
      <c r="L843">
        <f t="shared" si="118"/>
        <v>58</v>
      </c>
      <c r="M843" t="str">
        <f t="shared" si="119"/>
        <v>High</v>
      </c>
      <c r="N843" t="str">
        <f t="shared" si="120"/>
        <v>16-20%</v>
      </c>
      <c r="O843" t="str">
        <f t="shared" si="121"/>
        <v>OK</v>
      </c>
      <c r="P843">
        <f>IFERROR(Full_Data!G843/Full_Data!H843,"Check data")</f>
        <v>0.19333333333333333</v>
      </c>
      <c r="Q843" t="str">
        <f t="shared" si="122"/>
        <v>Match</v>
      </c>
      <c r="R843" t="str">
        <f t="shared" si="123"/>
        <v>Match</v>
      </c>
      <c r="S843" t="str">
        <f t="shared" si="124"/>
        <v>Match</v>
      </c>
    </row>
    <row r="844" spans="1:19" x14ac:dyDescent="0.25">
      <c r="A844" t="s">
        <v>801</v>
      </c>
      <c r="B844">
        <v>1500</v>
      </c>
      <c r="C844">
        <f t="shared" si="125"/>
        <v>15</v>
      </c>
      <c r="D844">
        <v>0</v>
      </c>
      <c r="E844">
        <v>5</v>
      </c>
      <c r="F844">
        <v>1500</v>
      </c>
      <c r="G844">
        <f t="shared" si="117"/>
        <v>15</v>
      </c>
      <c r="H844">
        <v>15</v>
      </c>
      <c r="I844" s="4">
        <f>Full_Data[[#This Row],[Selling Price]]/Full_Data[[#This Row],[Weight (g)]]</f>
        <v>1</v>
      </c>
      <c r="J844" t="b">
        <v>0</v>
      </c>
      <c r="K844">
        <v>15</v>
      </c>
      <c r="L844">
        <f t="shared" si="118"/>
        <v>0</v>
      </c>
      <c r="M844" t="str">
        <f t="shared" si="119"/>
        <v>Low</v>
      </c>
      <c r="N844" t="str">
        <f t="shared" si="120"/>
        <v>0-5%</v>
      </c>
      <c r="O844" t="str">
        <f t="shared" si="121"/>
        <v>OK</v>
      </c>
      <c r="P844">
        <f>IFERROR(Full_Data!G844/Full_Data!H844,"Check data")</f>
        <v>1</v>
      </c>
      <c r="Q844" t="str">
        <f t="shared" si="122"/>
        <v>Match</v>
      </c>
      <c r="R844" t="str">
        <f t="shared" si="123"/>
        <v>Match</v>
      </c>
      <c r="S844" t="str">
        <f t="shared" si="124"/>
        <v>Match</v>
      </c>
    </row>
    <row r="845" spans="1:19" x14ac:dyDescent="0.25">
      <c r="A845" t="s">
        <v>802</v>
      </c>
      <c r="B845">
        <v>26100</v>
      </c>
      <c r="C845">
        <f t="shared" si="125"/>
        <v>261</v>
      </c>
      <c r="D845">
        <v>0</v>
      </c>
      <c r="E845">
        <v>6</v>
      </c>
      <c r="F845">
        <v>26100</v>
      </c>
      <c r="G845">
        <f t="shared" si="117"/>
        <v>261</v>
      </c>
      <c r="H845">
        <v>300</v>
      </c>
      <c r="I845" s="4">
        <f>Full_Data[[#This Row],[Selling Price]]/Full_Data[[#This Row],[Weight (g)]]</f>
        <v>0.87</v>
      </c>
      <c r="J845" t="b">
        <v>0</v>
      </c>
      <c r="K845">
        <v>300</v>
      </c>
      <c r="L845">
        <f t="shared" si="118"/>
        <v>0</v>
      </c>
      <c r="M845" t="str">
        <f t="shared" si="119"/>
        <v>High</v>
      </c>
      <c r="N845" t="str">
        <f t="shared" si="120"/>
        <v>0-5%</v>
      </c>
      <c r="O845" t="str">
        <f t="shared" si="121"/>
        <v>OK</v>
      </c>
      <c r="P845">
        <f>IFERROR(Full_Data!G845/Full_Data!H845,"Check data")</f>
        <v>0.87</v>
      </c>
      <c r="Q845" t="str">
        <f t="shared" si="122"/>
        <v>Match</v>
      </c>
      <c r="R845" t="str">
        <f t="shared" si="123"/>
        <v>Match</v>
      </c>
      <c r="S845" t="str">
        <f t="shared" si="124"/>
        <v>Match</v>
      </c>
    </row>
    <row r="846" spans="1:19" x14ac:dyDescent="0.25">
      <c r="A846" t="s">
        <v>803</v>
      </c>
      <c r="B846">
        <v>66000</v>
      </c>
      <c r="C846">
        <f t="shared" si="125"/>
        <v>660</v>
      </c>
      <c r="D846">
        <v>40</v>
      </c>
      <c r="E846">
        <v>4</v>
      </c>
      <c r="F846">
        <v>39600</v>
      </c>
      <c r="G846">
        <f t="shared" si="117"/>
        <v>396</v>
      </c>
      <c r="H846">
        <v>1200</v>
      </c>
      <c r="I846" s="4">
        <f>Full_Data[[#This Row],[Selling Price]]/Full_Data[[#This Row],[Weight (g)]]</f>
        <v>0.33</v>
      </c>
      <c r="J846" t="b">
        <v>0</v>
      </c>
      <c r="K846">
        <v>1</v>
      </c>
      <c r="L846">
        <f t="shared" si="118"/>
        <v>264</v>
      </c>
      <c r="M846" t="str">
        <f t="shared" si="119"/>
        <v>High</v>
      </c>
      <c r="N846" t="str">
        <f t="shared" si="120"/>
        <v>21%+</v>
      </c>
      <c r="O846" t="str">
        <f t="shared" si="121"/>
        <v>OK</v>
      </c>
      <c r="P846">
        <f>IFERROR(Full_Data!G846/Full_Data!H846,"Check data")</f>
        <v>0.33</v>
      </c>
      <c r="Q846" t="str">
        <f t="shared" si="122"/>
        <v>Match</v>
      </c>
      <c r="R846" t="str">
        <f t="shared" si="123"/>
        <v>Match</v>
      </c>
      <c r="S846" t="str">
        <f t="shared" si="124"/>
        <v>Match</v>
      </c>
    </row>
    <row r="847" spans="1:19" x14ac:dyDescent="0.25">
      <c r="A847" t="s">
        <v>804</v>
      </c>
      <c r="B847">
        <v>17000</v>
      </c>
      <c r="C847">
        <f t="shared" si="125"/>
        <v>170</v>
      </c>
      <c r="D847">
        <v>4</v>
      </c>
      <c r="E847">
        <v>2</v>
      </c>
      <c r="F847">
        <v>16200</v>
      </c>
      <c r="G847">
        <f t="shared" si="117"/>
        <v>162</v>
      </c>
      <c r="H847">
        <v>210</v>
      </c>
      <c r="I847" s="4">
        <f>Full_Data[[#This Row],[Selling Price]]/Full_Data[[#This Row],[Weight (g)]]</f>
        <v>0.77142857142857146</v>
      </c>
      <c r="J847" t="b">
        <v>0</v>
      </c>
      <c r="K847">
        <v>210</v>
      </c>
      <c r="L847">
        <f t="shared" si="118"/>
        <v>8</v>
      </c>
      <c r="M847" t="str">
        <f t="shared" si="119"/>
        <v>Medium</v>
      </c>
      <c r="N847" t="str">
        <f t="shared" si="120"/>
        <v>0-5%</v>
      </c>
      <c r="O847" t="str">
        <f t="shared" si="121"/>
        <v>OK</v>
      </c>
      <c r="P847">
        <f>IFERROR(Full_Data!G847/Full_Data!H847,"Check data")</f>
        <v>0.77142857142857146</v>
      </c>
      <c r="Q847" t="str">
        <f t="shared" si="122"/>
        <v>Match</v>
      </c>
      <c r="R847" t="str">
        <f t="shared" si="123"/>
        <v>Mismatch</v>
      </c>
      <c r="S847" t="str">
        <f t="shared" si="124"/>
        <v>Mismatch</v>
      </c>
    </row>
    <row r="848" spans="1:19" x14ac:dyDescent="0.25">
      <c r="A848" t="s">
        <v>805</v>
      </c>
      <c r="B848">
        <v>13000</v>
      </c>
      <c r="C848">
        <f t="shared" si="125"/>
        <v>130</v>
      </c>
      <c r="D848">
        <v>30</v>
      </c>
      <c r="E848">
        <v>6</v>
      </c>
      <c r="F848">
        <v>9100</v>
      </c>
      <c r="G848">
        <f t="shared" si="117"/>
        <v>91</v>
      </c>
      <c r="H848">
        <v>285</v>
      </c>
      <c r="I848" s="4">
        <f>Full_Data[[#This Row],[Selling Price]]/Full_Data[[#This Row],[Weight (g)]]</f>
        <v>0.31929824561403508</v>
      </c>
      <c r="J848" t="b">
        <v>0</v>
      </c>
      <c r="K848">
        <v>285</v>
      </c>
      <c r="L848">
        <f t="shared" si="118"/>
        <v>39</v>
      </c>
      <c r="M848" t="str">
        <f t="shared" si="119"/>
        <v>Medium</v>
      </c>
      <c r="N848" t="str">
        <f t="shared" si="120"/>
        <v>21%+</v>
      </c>
      <c r="O848" t="str">
        <f t="shared" si="121"/>
        <v>OK</v>
      </c>
      <c r="P848">
        <f>IFERROR(Full_Data!G848/Full_Data!H848,"Check data")</f>
        <v>0.31929824561403508</v>
      </c>
      <c r="Q848" t="str">
        <f t="shared" si="122"/>
        <v>Match</v>
      </c>
      <c r="R848" t="str">
        <f t="shared" si="123"/>
        <v>Match</v>
      </c>
      <c r="S848" t="str">
        <f t="shared" si="124"/>
        <v>Match</v>
      </c>
    </row>
    <row r="849" spans="1:19" x14ac:dyDescent="0.25">
      <c r="A849" t="s">
        <v>806</v>
      </c>
      <c r="B849">
        <v>9900</v>
      </c>
      <c r="C849">
        <f t="shared" si="125"/>
        <v>99</v>
      </c>
      <c r="D849">
        <v>11</v>
      </c>
      <c r="E849">
        <v>6</v>
      </c>
      <c r="F849">
        <v>8800</v>
      </c>
      <c r="G849">
        <f t="shared" si="117"/>
        <v>88</v>
      </c>
      <c r="H849">
        <v>175</v>
      </c>
      <c r="I849" s="4">
        <f>Full_Data[[#This Row],[Selling Price]]/Full_Data[[#This Row],[Weight (g)]]</f>
        <v>0.50285714285714289</v>
      </c>
      <c r="J849" t="b">
        <v>0</v>
      </c>
      <c r="K849">
        <v>175</v>
      </c>
      <c r="L849">
        <f t="shared" si="118"/>
        <v>11</v>
      </c>
      <c r="M849" t="str">
        <f t="shared" si="119"/>
        <v>Medium</v>
      </c>
      <c r="N849" t="str">
        <f t="shared" si="120"/>
        <v>11-15%</v>
      </c>
      <c r="O849" t="str">
        <f t="shared" si="121"/>
        <v>OK</v>
      </c>
      <c r="P849">
        <f>IFERROR(Full_Data!G849/Full_Data!H849,"Check data")</f>
        <v>0.50285714285714289</v>
      </c>
      <c r="Q849" t="str">
        <f t="shared" si="122"/>
        <v>Match</v>
      </c>
      <c r="R849" t="str">
        <f t="shared" si="123"/>
        <v>Mismatch</v>
      </c>
      <c r="S849" t="str">
        <f t="shared" si="124"/>
        <v>Match</v>
      </c>
    </row>
    <row r="850" spans="1:19" x14ac:dyDescent="0.25">
      <c r="A850" t="s">
        <v>807</v>
      </c>
      <c r="B850">
        <v>16900</v>
      </c>
      <c r="C850">
        <f t="shared" si="125"/>
        <v>169</v>
      </c>
      <c r="D850">
        <v>5</v>
      </c>
      <c r="E850">
        <v>4</v>
      </c>
      <c r="F850">
        <v>16000</v>
      </c>
      <c r="G850">
        <f t="shared" si="117"/>
        <v>160</v>
      </c>
      <c r="H850">
        <v>250</v>
      </c>
      <c r="I850" s="4">
        <f>Full_Data[[#This Row],[Selling Price]]/Full_Data[[#This Row],[Weight (g)]]</f>
        <v>0.64</v>
      </c>
      <c r="J850" t="b">
        <v>0</v>
      </c>
      <c r="K850">
        <v>250</v>
      </c>
      <c r="L850">
        <f t="shared" si="118"/>
        <v>9</v>
      </c>
      <c r="M850" t="str">
        <f t="shared" si="119"/>
        <v>Medium</v>
      </c>
      <c r="N850" t="str">
        <f t="shared" si="120"/>
        <v>0-5%</v>
      </c>
      <c r="O850" t="str">
        <f t="shared" si="121"/>
        <v>OK</v>
      </c>
      <c r="P850">
        <f>IFERROR(Full_Data!G850/Full_Data!H850,"Check data")</f>
        <v>0.64</v>
      </c>
      <c r="Q850" t="str">
        <f t="shared" si="122"/>
        <v>Match</v>
      </c>
      <c r="R850" t="str">
        <f t="shared" si="123"/>
        <v>Mismatch</v>
      </c>
      <c r="S850" t="str">
        <f t="shared" si="124"/>
        <v>Match</v>
      </c>
    </row>
    <row r="851" spans="1:19" x14ac:dyDescent="0.25">
      <c r="A851" t="s">
        <v>808</v>
      </c>
      <c r="B851">
        <v>17900</v>
      </c>
      <c r="C851">
        <f t="shared" si="125"/>
        <v>179</v>
      </c>
      <c r="D851">
        <v>0</v>
      </c>
      <c r="E851">
        <v>6</v>
      </c>
      <c r="F851">
        <v>17900</v>
      </c>
      <c r="G851">
        <f t="shared" si="117"/>
        <v>179</v>
      </c>
      <c r="H851">
        <v>450</v>
      </c>
      <c r="I851" s="4">
        <f>Full_Data[[#This Row],[Selling Price]]/Full_Data[[#This Row],[Weight (g)]]</f>
        <v>0.39777777777777779</v>
      </c>
      <c r="J851" t="b">
        <v>0</v>
      </c>
      <c r="K851">
        <v>450</v>
      </c>
      <c r="L851">
        <f t="shared" si="118"/>
        <v>0</v>
      </c>
      <c r="M851" t="str">
        <f t="shared" si="119"/>
        <v>Medium</v>
      </c>
      <c r="N851" t="str">
        <f t="shared" si="120"/>
        <v>0-5%</v>
      </c>
      <c r="O851" t="str">
        <f t="shared" si="121"/>
        <v>OK</v>
      </c>
      <c r="P851">
        <f>IFERROR(Full_Data!G851/Full_Data!H851,"Check data")</f>
        <v>0.39777777777777779</v>
      </c>
      <c r="Q851" t="str">
        <f t="shared" si="122"/>
        <v>Match</v>
      </c>
      <c r="R851" t="str">
        <f t="shared" si="123"/>
        <v>Match</v>
      </c>
      <c r="S851" t="str">
        <f t="shared" si="124"/>
        <v>Match</v>
      </c>
    </row>
    <row r="852" spans="1:19" x14ac:dyDescent="0.25">
      <c r="A852" t="s">
        <v>809</v>
      </c>
      <c r="B852">
        <v>14900</v>
      </c>
      <c r="C852">
        <f t="shared" si="125"/>
        <v>149</v>
      </c>
      <c r="D852">
        <v>8</v>
      </c>
      <c r="E852">
        <v>6</v>
      </c>
      <c r="F852">
        <v>13700</v>
      </c>
      <c r="G852">
        <f t="shared" si="117"/>
        <v>137</v>
      </c>
      <c r="H852">
        <v>330</v>
      </c>
      <c r="I852" s="4">
        <f>Full_Data[[#This Row],[Selling Price]]/Full_Data[[#This Row],[Weight (g)]]</f>
        <v>0.41515151515151516</v>
      </c>
      <c r="J852" t="b">
        <v>0</v>
      </c>
      <c r="K852">
        <v>330</v>
      </c>
      <c r="L852">
        <f t="shared" si="118"/>
        <v>12</v>
      </c>
      <c r="M852" t="str">
        <f t="shared" si="119"/>
        <v>Medium</v>
      </c>
      <c r="N852" t="str">
        <f t="shared" si="120"/>
        <v>6-10%</v>
      </c>
      <c r="O852" t="str">
        <f t="shared" si="121"/>
        <v>OK</v>
      </c>
      <c r="P852">
        <f>IFERROR(Full_Data!G852/Full_Data!H852,"Check data")</f>
        <v>0.41515151515151516</v>
      </c>
      <c r="Q852" t="str">
        <f t="shared" si="122"/>
        <v>Match</v>
      </c>
      <c r="R852" t="str">
        <f t="shared" si="123"/>
        <v>Mismatch</v>
      </c>
      <c r="S852" t="str">
        <f t="shared" si="124"/>
        <v>Match</v>
      </c>
    </row>
    <row r="853" spans="1:19" x14ac:dyDescent="0.25">
      <c r="A853" t="s">
        <v>810</v>
      </c>
      <c r="B853">
        <v>6000</v>
      </c>
      <c r="C853">
        <f t="shared" si="125"/>
        <v>60</v>
      </c>
      <c r="D853">
        <v>20</v>
      </c>
      <c r="E853">
        <v>6</v>
      </c>
      <c r="F853">
        <v>4800</v>
      </c>
      <c r="G853">
        <f t="shared" si="117"/>
        <v>48</v>
      </c>
      <c r="H853">
        <v>40</v>
      </c>
      <c r="I853" s="4">
        <f>Full_Data[[#This Row],[Selling Price]]/Full_Data[[#This Row],[Weight (g)]]</f>
        <v>1.2</v>
      </c>
      <c r="J853" t="b">
        <v>0</v>
      </c>
      <c r="K853">
        <v>40</v>
      </c>
      <c r="L853">
        <f t="shared" si="118"/>
        <v>12</v>
      </c>
      <c r="M853" t="str">
        <f t="shared" si="119"/>
        <v>Low</v>
      </c>
      <c r="N853" t="str">
        <f t="shared" si="120"/>
        <v>16-20%</v>
      </c>
      <c r="O853" t="str">
        <f t="shared" si="121"/>
        <v>OK</v>
      </c>
      <c r="P853">
        <f>IFERROR(Full_Data!G853/Full_Data!H853,"Check data")</f>
        <v>1.2</v>
      </c>
      <c r="Q853" t="str">
        <f t="shared" si="122"/>
        <v>Match</v>
      </c>
      <c r="R853" t="str">
        <f t="shared" si="123"/>
        <v>Match</v>
      </c>
      <c r="S853" t="str">
        <f t="shared" si="124"/>
        <v>Match</v>
      </c>
    </row>
    <row r="854" spans="1:19" x14ac:dyDescent="0.25">
      <c r="A854" t="s">
        <v>811</v>
      </c>
      <c r="B854">
        <v>32500</v>
      </c>
      <c r="C854">
        <f t="shared" si="125"/>
        <v>325</v>
      </c>
      <c r="D854">
        <v>20</v>
      </c>
      <c r="E854">
        <v>6</v>
      </c>
      <c r="F854">
        <v>26000</v>
      </c>
      <c r="G854">
        <f t="shared" si="117"/>
        <v>260</v>
      </c>
      <c r="H854">
        <v>350</v>
      </c>
      <c r="I854" s="4">
        <f>Full_Data[[#This Row],[Selling Price]]/Full_Data[[#This Row],[Weight (g)]]</f>
        <v>0.74285714285714288</v>
      </c>
      <c r="J854" t="b">
        <v>0</v>
      </c>
      <c r="K854">
        <v>350</v>
      </c>
      <c r="L854">
        <f t="shared" si="118"/>
        <v>65</v>
      </c>
      <c r="M854" t="str">
        <f t="shared" si="119"/>
        <v>High</v>
      </c>
      <c r="N854" t="str">
        <f t="shared" si="120"/>
        <v>16-20%</v>
      </c>
      <c r="O854" t="str">
        <f t="shared" si="121"/>
        <v>OK</v>
      </c>
      <c r="P854">
        <f>IFERROR(Full_Data!G854/Full_Data!H854,"Check data")</f>
        <v>0.74285714285714288</v>
      </c>
      <c r="Q854" t="str">
        <f t="shared" si="122"/>
        <v>Match</v>
      </c>
      <c r="R854" t="str">
        <f t="shared" si="123"/>
        <v>Match</v>
      </c>
      <c r="S854" t="str">
        <f t="shared" si="124"/>
        <v>Match</v>
      </c>
    </row>
    <row r="855" spans="1:19" x14ac:dyDescent="0.25">
      <c r="A855" t="s">
        <v>812</v>
      </c>
      <c r="B855">
        <v>15000</v>
      </c>
      <c r="C855">
        <f t="shared" si="125"/>
        <v>150</v>
      </c>
      <c r="D855">
        <v>14</v>
      </c>
      <c r="E855">
        <v>5</v>
      </c>
      <c r="F855">
        <v>12800</v>
      </c>
      <c r="G855">
        <f t="shared" si="117"/>
        <v>128</v>
      </c>
      <c r="H855">
        <v>114</v>
      </c>
      <c r="I855" s="4">
        <f>Full_Data[[#This Row],[Selling Price]]/Full_Data[[#This Row],[Weight (g)]]</f>
        <v>1.1228070175438596</v>
      </c>
      <c r="J855" t="b">
        <v>0</v>
      </c>
      <c r="K855">
        <v>114</v>
      </c>
      <c r="L855">
        <f t="shared" si="118"/>
        <v>22</v>
      </c>
      <c r="M855" t="str">
        <f t="shared" si="119"/>
        <v>Medium</v>
      </c>
      <c r="N855" t="str">
        <f t="shared" si="120"/>
        <v>11-15%</v>
      </c>
      <c r="O855" t="str">
        <f t="shared" si="121"/>
        <v>OK</v>
      </c>
      <c r="P855">
        <f>IFERROR(Full_Data!G855/Full_Data!H855,"Check data")</f>
        <v>1.1228070175438596</v>
      </c>
      <c r="Q855" t="str">
        <f t="shared" si="122"/>
        <v>Match</v>
      </c>
      <c r="R855" t="str">
        <f t="shared" si="123"/>
        <v>Mismatch</v>
      </c>
      <c r="S855" t="str">
        <f t="shared" si="124"/>
        <v>Mismatch</v>
      </c>
    </row>
    <row r="856" spans="1:19" x14ac:dyDescent="0.25">
      <c r="A856" t="s">
        <v>813</v>
      </c>
      <c r="B856">
        <v>21000</v>
      </c>
      <c r="C856">
        <f t="shared" si="125"/>
        <v>210</v>
      </c>
      <c r="D856">
        <v>8</v>
      </c>
      <c r="E856">
        <v>5</v>
      </c>
      <c r="F856">
        <v>19200</v>
      </c>
      <c r="G856">
        <f t="shared" si="117"/>
        <v>192</v>
      </c>
      <c r="H856">
        <v>435</v>
      </c>
      <c r="I856" s="4">
        <f>Full_Data[[#This Row],[Selling Price]]/Full_Data[[#This Row],[Weight (g)]]</f>
        <v>0.44137931034482758</v>
      </c>
      <c r="J856" t="b">
        <v>0</v>
      </c>
      <c r="K856">
        <v>435</v>
      </c>
      <c r="L856">
        <f t="shared" si="118"/>
        <v>18</v>
      </c>
      <c r="M856" t="str">
        <f t="shared" si="119"/>
        <v>Medium</v>
      </c>
      <c r="N856" t="str">
        <f t="shared" si="120"/>
        <v>6-10%</v>
      </c>
      <c r="O856" t="str">
        <f t="shared" si="121"/>
        <v>OK</v>
      </c>
      <c r="P856">
        <f>IFERROR(Full_Data!G856/Full_Data!H856,"Check data")</f>
        <v>0.44137931034482758</v>
      </c>
      <c r="Q856" t="str">
        <f t="shared" si="122"/>
        <v>Match</v>
      </c>
      <c r="R856" t="str">
        <f t="shared" si="123"/>
        <v>Mismatch</v>
      </c>
      <c r="S856" t="str">
        <f t="shared" si="124"/>
        <v>Mismatch</v>
      </c>
    </row>
    <row r="857" spans="1:19" x14ac:dyDescent="0.25">
      <c r="A857" t="s">
        <v>814</v>
      </c>
      <c r="B857">
        <v>28000</v>
      </c>
      <c r="C857">
        <f t="shared" si="125"/>
        <v>280</v>
      </c>
      <c r="D857">
        <v>50</v>
      </c>
      <c r="E857">
        <v>5</v>
      </c>
      <c r="F857">
        <v>14000</v>
      </c>
      <c r="G857">
        <f t="shared" si="117"/>
        <v>140</v>
      </c>
      <c r="H857">
        <v>175</v>
      </c>
      <c r="I857" s="4">
        <f>Full_Data[[#This Row],[Selling Price]]/Full_Data[[#This Row],[Weight (g)]]</f>
        <v>0.8</v>
      </c>
      <c r="J857" t="b">
        <v>0</v>
      </c>
      <c r="K857">
        <v>175</v>
      </c>
      <c r="L857">
        <f t="shared" si="118"/>
        <v>140</v>
      </c>
      <c r="M857" t="str">
        <f t="shared" si="119"/>
        <v>Medium</v>
      </c>
      <c r="N857" t="str">
        <f t="shared" si="120"/>
        <v>21%+</v>
      </c>
      <c r="O857" t="str">
        <f t="shared" si="121"/>
        <v>OK</v>
      </c>
      <c r="P857">
        <f>IFERROR(Full_Data!G857/Full_Data!H857,"Check data")</f>
        <v>0.8</v>
      </c>
      <c r="Q857" t="str">
        <f t="shared" si="122"/>
        <v>Match</v>
      </c>
      <c r="R857" t="str">
        <f t="shared" si="123"/>
        <v>Match</v>
      </c>
      <c r="S857" t="str">
        <f t="shared" si="124"/>
        <v>Match</v>
      </c>
    </row>
    <row r="858" spans="1:19" x14ac:dyDescent="0.25">
      <c r="A858" t="s">
        <v>815</v>
      </c>
      <c r="B858">
        <v>5000</v>
      </c>
      <c r="C858">
        <f t="shared" si="125"/>
        <v>50</v>
      </c>
      <c r="D858">
        <v>10</v>
      </c>
      <c r="E858">
        <v>6</v>
      </c>
      <c r="F858">
        <v>4500</v>
      </c>
      <c r="G858">
        <f t="shared" si="117"/>
        <v>45</v>
      </c>
      <c r="H858">
        <v>100</v>
      </c>
      <c r="I858" s="4">
        <f>Full_Data[[#This Row],[Selling Price]]/Full_Data[[#This Row],[Weight (g)]]</f>
        <v>0.45</v>
      </c>
      <c r="J858" t="b">
        <v>0</v>
      </c>
      <c r="K858">
        <v>100</v>
      </c>
      <c r="L858">
        <f t="shared" si="118"/>
        <v>5</v>
      </c>
      <c r="M858" t="str">
        <f t="shared" si="119"/>
        <v>Low</v>
      </c>
      <c r="N858" t="str">
        <f t="shared" si="120"/>
        <v>6-10%</v>
      </c>
      <c r="O858" t="str">
        <f t="shared" si="121"/>
        <v>OK</v>
      </c>
      <c r="P858">
        <f>IFERROR(Full_Data!G858/Full_Data!H858,"Check data")</f>
        <v>0.45</v>
      </c>
      <c r="Q858" t="str">
        <f t="shared" si="122"/>
        <v>Match</v>
      </c>
      <c r="R858" t="str">
        <f t="shared" si="123"/>
        <v>Match</v>
      </c>
      <c r="S858" t="str">
        <f t="shared" si="124"/>
        <v>Match</v>
      </c>
    </row>
    <row r="859" spans="1:19" x14ac:dyDescent="0.25">
      <c r="A859" t="s">
        <v>816</v>
      </c>
      <c r="B859">
        <v>8000</v>
      </c>
      <c r="C859">
        <f t="shared" si="125"/>
        <v>80</v>
      </c>
      <c r="D859">
        <v>10</v>
      </c>
      <c r="E859">
        <v>6</v>
      </c>
      <c r="F859">
        <v>7200</v>
      </c>
      <c r="G859">
        <f t="shared" si="117"/>
        <v>72</v>
      </c>
      <c r="H859">
        <v>280</v>
      </c>
      <c r="I859" s="4">
        <f>Full_Data[[#This Row],[Selling Price]]/Full_Data[[#This Row],[Weight (g)]]</f>
        <v>0.25714285714285712</v>
      </c>
      <c r="J859" t="b">
        <v>0</v>
      </c>
      <c r="K859">
        <v>280</v>
      </c>
      <c r="L859">
        <f t="shared" si="118"/>
        <v>8</v>
      </c>
      <c r="M859" t="str">
        <f t="shared" si="119"/>
        <v>Medium</v>
      </c>
      <c r="N859" t="str">
        <f t="shared" si="120"/>
        <v>6-10%</v>
      </c>
      <c r="O859" t="str">
        <f t="shared" si="121"/>
        <v>OK</v>
      </c>
      <c r="P859">
        <f>IFERROR(Full_Data!G859/Full_Data!H859,"Check data")</f>
        <v>0.25714285714285712</v>
      </c>
      <c r="Q859" t="str">
        <f t="shared" si="122"/>
        <v>Match</v>
      </c>
      <c r="R859" t="str">
        <f t="shared" si="123"/>
        <v>Match</v>
      </c>
      <c r="S859" t="str">
        <f t="shared" si="124"/>
        <v>Match</v>
      </c>
    </row>
    <row r="860" spans="1:19" x14ac:dyDescent="0.25">
      <c r="A860" t="s">
        <v>817</v>
      </c>
      <c r="B860">
        <v>20000</v>
      </c>
      <c r="C860">
        <f t="shared" si="125"/>
        <v>200</v>
      </c>
      <c r="D860">
        <v>30</v>
      </c>
      <c r="E860">
        <v>1</v>
      </c>
      <c r="F860">
        <v>14000</v>
      </c>
      <c r="G860">
        <f t="shared" si="117"/>
        <v>140</v>
      </c>
      <c r="H860">
        <v>285</v>
      </c>
      <c r="I860" s="4">
        <f>Full_Data[[#This Row],[Selling Price]]/Full_Data[[#This Row],[Weight (g)]]</f>
        <v>0.49122807017543857</v>
      </c>
      <c r="J860" t="b">
        <v>0</v>
      </c>
      <c r="K860">
        <v>285</v>
      </c>
      <c r="L860">
        <f t="shared" si="118"/>
        <v>60</v>
      </c>
      <c r="M860" t="str">
        <f t="shared" si="119"/>
        <v>Medium</v>
      </c>
      <c r="N860" t="str">
        <f t="shared" si="120"/>
        <v>21%+</v>
      </c>
      <c r="O860" t="str">
        <f t="shared" si="121"/>
        <v>OK</v>
      </c>
      <c r="P860">
        <f>IFERROR(Full_Data!G860/Full_Data!H860,"Check data")</f>
        <v>0.49122807017543857</v>
      </c>
      <c r="Q860" t="str">
        <f t="shared" si="122"/>
        <v>Match</v>
      </c>
      <c r="R860" t="str">
        <f t="shared" si="123"/>
        <v>Match</v>
      </c>
      <c r="S860" t="str">
        <f t="shared" si="124"/>
        <v>Match</v>
      </c>
    </row>
    <row r="861" spans="1:19" x14ac:dyDescent="0.25">
      <c r="A861" t="s">
        <v>818</v>
      </c>
      <c r="B861">
        <v>19000</v>
      </c>
      <c r="C861">
        <f t="shared" si="125"/>
        <v>190</v>
      </c>
      <c r="D861">
        <v>0</v>
      </c>
      <c r="E861">
        <v>6</v>
      </c>
      <c r="F861">
        <v>19000</v>
      </c>
      <c r="G861">
        <f t="shared" si="117"/>
        <v>190</v>
      </c>
      <c r="H861">
        <v>300</v>
      </c>
      <c r="I861" s="4">
        <f>Full_Data[[#This Row],[Selling Price]]/Full_Data[[#This Row],[Weight (g)]]</f>
        <v>0.6333333333333333</v>
      </c>
      <c r="J861" t="b">
        <v>0</v>
      </c>
      <c r="K861">
        <v>300</v>
      </c>
      <c r="L861">
        <f t="shared" si="118"/>
        <v>0</v>
      </c>
      <c r="M861" t="str">
        <f t="shared" si="119"/>
        <v>Medium</v>
      </c>
      <c r="N861" t="str">
        <f t="shared" si="120"/>
        <v>0-5%</v>
      </c>
      <c r="O861" t="str">
        <f t="shared" si="121"/>
        <v>OK</v>
      </c>
      <c r="P861">
        <f>IFERROR(Full_Data!G861/Full_Data!H861,"Check data")</f>
        <v>0.6333333333333333</v>
      </c>
      <c r="Q861" t="str">
        <f t="shared" si="122"/>
        <v>Match</v>
      </c>
      <c r="R861" t="str">
        <f t="shared" si="123"/>
        <v>Match</v>
      </c>
      <c r="S861" t="str">
        <f t="shared" si="124"/>
        <v>Match</v>
      </c>
    </row>
    <row r="862" spans="1:19" x14ac:dyDescent="0.25">
      <c r="A862" t="s">
        <v>819</v>
      </c>
      <c r="B862">
        <v>11900</v>
      </c>
      <c r="C862">
        <f t="shared" si="125"/>
        <v>119</v>
      </c>
      <c r="D862">
        <v>5</v>
      </c>
      <c r="E862">
        <v>6</v>
      </c>
      <c r="F862">
        <v>11300</v>
      </c>
      <c r="G862">
        <f t="shared" si="117"/>
        <v>113</v>
      </c>
      <c r="H862">
        <v>400</v>
      </c>
      <c r="I862" s="4">
        <f>Full_Data[[#This Row],[Selling Price]]/Full_Data[[#This Row],[Weight (g)]]</f>
        <v>0.28249999999999997</v>
      </c>
      <c r="J862" t="b">
        <v>0</v>
      </c>
      <c r="K862">
        <v>400</v>
      </c>
      <c r="L862">
        <f t="shared" si="118"/>
        <v>6</v>
      </c>
      <c r="M862" t="str">
        <f t="shared" si="119"/>
        <v>Medium</v>
      </c>
      <c r="N862" t="str">
        <f t="shared" si="120"/>
        <v>0-5%</v>
      </c>
      <c r="O862" t="str">
        <f t="shared" si="121"/>
        <v>OK</v>
      </c>
      <c r="P862">
        <f>IFERROR(Full_Data!G862/Full_Data!H862,"Check data")</f>
        <v>0.28249999999999997</v>
      </c>
      <c r="Q862" t="str">
        <f t="shared" si="122"/>
        <v>Match</v>
      </c>
      <c r="R862" t="str">
        <f t="shared" si="123"/>
        <v>Mismatch</v>
      </c>
      <c r="S862" t="str">
        <f t="shared" si="124"/>
        <v>Match</v>
      </c>
    </row>
    <row r="863" spans="1:19" x14ac:dyDescent="0.25">
      <c r="A863" t="s">
        <v>820</v>
      </c>
      <c r="B863">
        <v>17000</v>
      </c>
      <c r="C863">
        <f t="shared" si="125"/>
        <v>170</v>
      </c>
      <c r="D863">
        <v>4</v>
      </c>
      <c r="E863">
        <v>4</v>
      </c>
      <c r="F863">
        <v>16200</v>
      </c>
      <c r="G863">
        <f t="shared" si="117"/>
        <v>162</v>
      </c>
      <c r="H863">
        <v>340</v>
      </c>
      <c r="I863" s="4">
        <f>Full_Data[[#This Row],[Selling Price]]/Full_Data[[#This Row],[Weight (g)]]</f>
        <v>0.47647058823529409</v>
      </c>
      <c r="J863" t="b">
        <v>0</v>
      </c>
      <c r="K863">
        <v>340</v>
      </c>
      <c r="L863">
        <f t="shared" si="118"/>
        <v>8</v>
      </c>
      <c r="M863" t="str">
        <f t="shared" si="119"/>
        <v>Medium</v>
      </c>
      <c r="N863" t="str">
        <f t="shared" si="120"/>
        <v>0-5%</v>
      </c>
      <c r="O863" t="str">
        <f t="shared" si="121"/>
        <v>OK</v>
      </c>
      <c r="P863">
        <f>IFERROR(Full_Data!G863/Full_Data!H863,"Check data")</f>
        <v>0.47647058823529409</v>
      </c>
      <c r="Q863" t="str">
        <f t="shared" si="122"/>
        <v>Match</v>
      </c>
      <c r="R863" t="str">
        <f t="shared" si="123"/>
        <v>Mismatch</v>
      </c>
      <c r="S863" t="str">
        <f t="shared" si="124"/>
        <v>Mismatch</v>
      </c>
    </row>
    <row r="864" spans="1:19" x14ac:dyDescent="0.25">
      <c r="A864" t="s">
        <v>821</v>
      </c>
      <c r="B864">
        <v>6000</v>
      </c>
      <c r="C864">
        <f t="shared" si="125"/>
        <v>60</v>
      </c>
      <c r="D864">
        <v>15</v>
      </c>
      <c r="E864">
        <v>1</v>
      </c>
      <c r="F864">
        <v>5100</v>
      </c>
      <c r="G864">
        <f t="shared" si="117"/>
        <v>51</v>
      </c>
      <c r="H864">
        <v>70</v>
      </c>
      <c r="I864" s="4">
        <f>Full_Data[[#This Row],[Selling Price]]/Full_Data[[#This Row],[Weight (g)]]</f>
        <v>0.72857142857142854</v>
      </c>
      <c r="J864" t="b">
        <v>0</v>
      </c>
      <c r="K864">
        <v>70</v>
      </c>
      <c r="L864">
        <f t="shared" si="118"/>
        <v>9</v>
      </c>
      <c r="M864" t="str">
        <f t="shared" si="119"/>
        <v>Medium</v>
      </c>
      <c r="N864" t="str">
        <f t="shared" si="120"/>
        <v>11-15%</v>
      </c>
      <c r="O864" t="str">
        <f t="shared" si="121"/>
        <v>OK</v>
      </c>
      <c r="P864">
        <f>IFERROR(Full_Data!G864/Full_Data!H864,"Check data")</f>
        <v>0.72857142857142854</v>
      </c>
      <c r="Q864" t="str">
        <f t="shared" si="122"/>
        <v>Match</v>
      </c>
      <c r="R864" t="str">
        <f t="shared" si="123"/>
        <v>Match</v>
      </c>
      <c r="S864" t="str">
        <f t="shared" si="124"/>
        <v>Match</v>
      </c>
    </row>
    <row r="865" spans="1:19" x14ac:dyDescent="0.25">
      <c r="A865" t="s">
        <v>822</v>
      </c>
      <c r="B865">
        <v>5500</v>
      </c>
      <c r="C865">
        <f t="shared" si="125"/>
        <v>55</v>
      </c>
      <c r="D865">
        <v>0</v>
      </c>
      <c r="E865">
        <v>3</v>
      </c>
      <c r="F865">
        <v>5500</v>
      </c>
      <c r="G865">
        <f t="shared" si="117"/>
        <v>55</v>
      </c>
      <c r="H865">
        <v>55</v>
      </c>
      <c r="I865" s="4">
        <f>Full_Data[[#This Row],[Selling Price]]/Full_Data[[#This Row],[Weight (g)]]</f>
        <v>1</v>
      </c>
      <c r="J865" t="b">
        <v>0</v>
      </c>
      <c r="K865">
        <v>55</v>
      </c>
      <c r="L865">
        <f t="shared" si="118"/>
        <v>0</v>
      </c>
      <c r="M865" t="str">
        <f t="shared" si="119"/>
        <v>Medium</v>
      </c>
      <c r="N865" t="str">
        <f t="shared" si="120"/>
        <v>0-5%</v>
      </c>
      <c r="O865" t="str">
        <f t="shared" si="121"/>
        <v>OK</v>
      </c>
      <c r="P865">
        <f>IFERROR(Full_Data!G865/Full_Data!H865,"Check data")</f>
        <v>1</v>
      </c>
      <c r="Q865" t="str">
        <f t="shared" si="122"/>
        <v>Match</v>
      </c>
      <c r="R865" t="str">
        <f t="shared" si="123"/>
        <v>Match</v>
      </c>
      <c r="S865" t="str">
        <f t="shared" si="124"/>
        <v>Match</v>
      </c>
    </row>
    <row r="866" spans="1:19" x14ac:dyDescent="0.25">
      <c r="A866" t="s">
        <v>823</v>
      </c>
      <c r="B866">
        <v>8500</v>
      </c>
      <c r="C866">
        <f t="shared" si="125"/>
        <v>85</v>
      </c>
      <c r="D866">
        <v>10</v>
      </c>
      <c r="E866">
        <v>6</v>
      </c>
      <c r="F866">
        <v>7600</v>
      </c>
      <c r="G866">
        <f t="shared" si="117"/>
        <v>76</v>
      </c>
      <c r="H866">
        <v>250</v>
      </c>
      <c r="I866" s="4">
        <f>Full_Data[[#This Row],[Selling Price]]/Full_Data[[#This Row],[Weight (g)]]</f>
        <v>0.30399999999999999</v>
      </c>
      <c r="J866" t="b">
        <v>0</v>
      </c>
      <c r="K866">
        <v>250</v>
      </c>
      <c r="L866">
        <f t="shared" si="118"/>
        <v>9</v>
      </c>
      <c r="M866" t="str">
        <f t="shared" si="119"/>
        <v>Medium</v>
      </c>
      <c r="N866" t="str">
        <f t="shared" si="120"/>
        <v>6-10%</v>
      </c>
      <c r="O866" t="str">
        <f t="shared" si="121"/>
        <v>OK</v>
      </c>
      <c r="P866">
        <f>IFERROR(Full_Data!G866/Full_Data!H866,"Check data")</f>
        <v>0.30399999999999999</v>
      </c>
      <c r="Q866" t="str">
        <f t="shared" si="122"/>
        <v>Match</v>
      </c>
      <c r="R866" t="str">
        <f t="shared" si="123"/>
        <v>Mismatch</v>
      </c>
      <c r="S866" t="str">
        <f t="shared" si="124"/>
        <v>Mismatch</v>
      </c>
    </row>
    <row r="867" spans="1:19" x14ac:dyDescent="0.25">
      <c r="A867" t="s">
        <v>744</v>
      </c>
      <c r="B867">
        <v>37000</v>
      </c>
      <c r="C867">
        <f t="shared" si="125"/>
        <v>370</v>
      </c>
      <c r="D867">
        <v>12</v>
      </c>
      <c r="E867">
        <v>3</v>
      </c>
      <c r="F867">
        <v>32400</v>
      </c>
      <c r="G867">
        <f t="shared" si="117"/>
        <v>324</v>
      </c>
      <c r="H867">
        <v>650</v>
      </c>
      <c r="I867" s="4">
        <f>Full_Data[[#This Row],[Selling Price]]/Full_Data[[#This Row],[Weight (g)]]</f>
        <v>0.49846153846153846</v>
      </c>
      <c r="J867" t="b">
        <v>0</v>
      </c>
      <c r="K867">
        <v>650</v>
      </c>
      <c r="L867">
        <f t="shared" si="118"/>
        <v>46</v>
      </c>
      <c r="M867" t="str">
        <f t="shared" si="119"/>
        <v>High</v>
      </c>
      <c r="N867" t="str">
        <f t="shared" si="120"/>
        <v>11-15%</v>
      </c>
      <c r="O867" t="str">
        <f t="shared" si="121"/>
        <v>OK</v>
      </c>
      <c r="P867">
        <f>IFERROR(Full_Data!G867/Full_Data!H867,"Check data")</f>
        <v>0.49846153846153846</v>
      </c>
      <c r="Q867" t="str">
        <f t="shared" si="122"/>
        <v>Match</v>
      </c>
      <c r="R867" t="str">
        <f t="shared" si="123"/>
        <v>Mismatch</v>
      </c>
      <c r="S867" t="str">
        <f t="shared" si="124"/>
        <v>Match</v>
      </c>
    </row>
    <row r="868" spans="1:19" x14ac:dyDescent="0.25">
      <c r="A868" t="s">
        <v>824</v>
      </c>
      <c r="B868">
        <v>16000</v>
      </c>
      <c r="C868">
        <f t="shared" si="125"/>
        <v>160</v>
      </c>
      <c r="D868">
        <v>30</v>
      </c>
      <c r="E868">
        <v>4</v>
      </c>
      <c r="F868">
        <v>11200</v>
      </c>
      <c r="G868">
        <f t="shared" si="117"/>
        <v>112</v>
      </c>
      <c r="H868">
        <v>285</v>
      </c>
      <c r="I868" s="4">
        <f>Full_Data[[#This Row],[Selling Price]]/Full_Data[[#This Row],[Weight (g)]]</f>
        <v>0.39298245614035088</v>
      </c>
      <c r="J868" t="b">
        <v>0</v>
      </c>
      <c r="K868">
        <v>285</v>
      </c>
      <c r="L868">
        <f t="shared" si="118"/>
        <v>48</v>
      </c>
      <c r="M868" t="str">
        <f t="shared" si="119"/>
        <v>Medium</v>
      </c>
      <c r="N868" t="str">
        <f t="shared" si="120"/>
        <v>21%+</v>
      </c>
      <c r="O868" t="str">
        <f t="shared" si="121"/>
        <v>OK</v>
      </c>
      <c r="P868">
        <f>IFERROR(Full_Data!G868/Full_Data!H868,"Check data")</f>
        <v>0.39298245614035088</v>
      </c>
      <c r="Q868" t="str">
        <f t="shared" si="122"/>
        <v>Match</v>
      </c>
      <c r="R868" t="str">
        <f t="shared" si="123"/>
        <v>Match</v>
      </c>
      <c r="S868" t="str">
        <f t="shared" si="124"/>
        <v>Match</v>
      </c>
    </row>
    <row r="869" spans="1:19" x14ac:dyDescent="0.25">
      <c r="A869" t="s">
        <v>825</v>
      </c>
      <c r="B869">
        <v>3000</v>
      </c>
      <c r="C869">
        <f t="shared" si="125"/>
        <v>30</v>
      </c>
      <c r="D869">
        <v>0</v>
      </c>
      <c r="E869">
        <v>5</v>
      </c>
      <c r="F869">
        <v>3000</v>
      </c>
      <c r="G869">
        <f t="shared" si="117"/>
        <v>30</v>
      </c>
      <c r="H869">
        <v>150</v>
      </c>
      <c r="I869" s="4">
        <f>Full_Data[[#This Row],[Selling Price]]/Full_Data[[#This Row],[Weight (g)]]</f>
        <v>0.2</v>
      </c>
      <c r="J869" t="b">
        <v>0</v>
      </c>
      <c r="K869">
        <v>150</v>
      </c>
      <c r="L869">
        <f t="shared" si="118"/>
        <v>0</v>
      </c>
      <c r="M869" t="str">
        <f t="shared" si="119"/>
        <v>Low</v>
      </c>
      <c r="N869" t="str">
        <f t="shared" si="120"/>
        <v>0-5%</v>
      </c>
      <c r="O869" t="str">
        <f t="shared" si="121"/>
        <v>OK</v>
      </c>
      <c r="P869">
        <f>IFERROR(Full_Data!G869/Full_Data!H869,"Check data")</f>
        <v>0.2</v>
      </c>
      <c r="Q869" t="str">
        <f t="shared" si="122"/>
        <v>Match</v>
      </c>
      <c r="R869" t="str">
        <f t="shared" si="123"/>
        <v>Match</v>
      </c>
      <c r="S869" t="str">
        <f t="shared" si="124"/>
        <v>Match</v>
      </c>
    </row>
    <row r="870" spans="1:19" x14ac:dyDescent="0.25">
      <c r="A870" t="s">
        <v>826</v>
      </c>
      <c r="B870">
        <v>6000</v>
      </c>
      <c r="C870">
        <f t="shared" si="125"/>
        <v>60</v>
      </c>
      <c r="D870">
        <v>10</v>
      </c>
      <c r="E870">
        <v>2</v>
      </c>
      <c r="F870">
        <v>5400</v>
      </c>
      <c r="G870">
        <f t="shared" si="117"/>
        <v>54</v>
      </c>
      <c r="H870">
        <v>100</v>
      </c>
      <c r="I870" s="4">
        <f>Full_Data[[#This Row],[Selling Price]]/Full_Data[[#This Row],[Weight (g)]]</f>
        <v>0.54</v>
      </c>
      <c r="J870" t="b">
        <v>0</v>
      </c>
      <c r="K870">
        <v>100</v>
      </c>
      <c r="L870">
        <f t="shared" si="118"/>
        <v>6</v>
      </c>
      <c r="M870" t="str">
        <f t="shared" si="119"/>
        <v>Medium</v>
      </c>
      <c r="N870" t="str">
        <f t="shared" si="120"/>
        <v>6-10%</v>
      </c>
      <c r="O870" t="str">
        <f t="shared" si="121"/>
        <v>OK</v>
      </c>
      <c r="P870">
        <f>IFERROR(Full_Data!G870/Full_Data!H870,"Check data")</f>
        <v>0.54</v>
      </c>
      <c r="Q870" t="str">
        <f t="shared" si="122"/>
        <v>Match</v>
      </c>
      <c r="R870" t="str">
        <f t="shared" si="123"/>
        <v>Match</v>
      </c>
      <c r="S870" t="str">
        <f t="shared" si="124"/>
        <v>Match</v>
      </c>
    </row>
    <row r="871" spans="1:19" x14ac:dyDescent="0.25">
      <c r="A871" t="s">
        <v>827</v>
      </c>
      <c r="B871">
        <v>5500</v>
      </c>
      <c r="C871">
        <f t="shared" si="125"/>
        <v>55</v>
      </c>
      <c r="D871">
        <v>9</v>
      </c>
      <c r="E871">
        <v>4</v>
      </c>
      <c r="F871">
        <v>5000</v>
      </c>
      <c r="G871">
        <f t="shared" si="117"/>
        <v>50</v>
      </c>
      <c r="H871">
        <v>200</v>
      </c>
      <c r="I871" s="4">
        <f>Full_Data[[#This Row],[Selling Price]]/Full_Data[[#This Row],[Weight (g)]]</f>
        <v>0.25</v>
      </c>
      <c r="J871" t="b">
        <v>0</v>
      </c>
      <c r="K871">
        <v>200</v>
      </c>
      <c r="L871">
        <f t="shared" si="118"/>
        <v>5</v>
      </c>
      <c r="M871" t="str">
        <f t="shared" si="119"/>
        <v>Medium</v>
      </c>
      <c r="N871" t="str">
        <f t="shared" si="120"/>
        <v>6-10%</v>
      </c>
      <c r="O871" t="str">
        <f t="shared" si="121"/>
        <v>OK</v>
      </c>
      <c r="P871">
        <f>IFERROR(Full_Data!G871/Full_Data!H871,"Check data")</f>
        <v>0.25</v>
      </c>
      <c r="Q871" t="str">
        <f t="shared" si="122"/>
        <v>Match</v>
      </c>
      <c r="R871" t="str">
        <f t="shared" si="123"/>
        <v>Mismatch</v>
      </c>
      <c r="S871" t="str">
        <f t="shared" si="124"/>
        <v>Match</v>
      </c>
    </row>
    <row r="872" spans="1:19" x14ac:dyDescent="0.25">
      <c r="A872" t="s">
        <v>828</v>
      </c>
      <c r="B872">
        <v>33000</v>
      </c>
      <c r="C872">
        <f t="shared" si="125"/>
        <v>330</v>
      </c>
      <c r="D872">
        <v>10</v>
      </c>
      <c r="E872">
        <v>6</v>
      </c>
      <c r="F872">
        <v>29400</v>
      </c>
      <c r="G872">
        <f t="shared" si="117"/>
        <v>294</v>
      </c>
      <c r="H872">
        <v>680</v>
      </c>
      <c r="I872" s="4">
        <f>Full_Data[[#This Row],[Selling Price]]/Full_Data[[#This Row],[Weight (g)]]</f>
        <v>0.43235294117647061</v>
      </c>
      <c r="J872" t="b">
        <v>0</v>
      </c>
      <c r="K872">
        <v>680</v>
      </c>
      <c r="L872">
        <f t="shared" si="118"/>
        <v>36</v>
      </c>
      <c r="M872" t="str">
        <f t="shared" si="119"/>
        <v>High</v>
      </c>
      <c r="N872" t="str">
        <f t="shared" si="120"/>
        <v>6-10%</v>
      </c>
      <c r="O872" t="str">
        <f t="shared" si="121"/>
        <v>OK</v>
      </c>
      <c r="P872">
        <f>IFERROR(Full_Data!G872/Full_Data!H872,"Check data")</f>
        <v>0.43235294117647061</v>
      </c>
      <c r="Q872" t="str">
        <f t="shared" si="122"/>
        <v>Match</v>
      </c>
      <c r="R872" t="str">
        <f t="shared" si="123"/>
        <v>Mismatch</v>
      </c>
      <c r="S872" t="str">
        <f t="shared" si="124"/>
        <v>Mismatch</v>
      </c>
    </row>
    <row r="873" spans="1:19" x14ac:dyDescent="0.25">
      <c r="A873" t="s">
        <v>829</v>
      </c>
      <c r="B873">
        <v>12000</v>
      </c>
      <c r="C873">
        <f t="shared" si="125"/>
        <v>120</v>
      </c>
      <c r="D873">
        <v>5</v>
      </c>
      <c r="E873">
        <v>1</v>
      </c>
      <c r="F873">
        <v>11400</v>
      </c>
      <c r="G873">
        <f t="shared" si="117"/>
        <v>114</v>
      </c>
      <c r="H873">
        <v>400</v>
      </c>
      <c r="I873" s="4">
        <f>Full_Data[[#This Row],[Selling Price]]/Full_Data[[#This Row],[Weight (g)]]</f>
        <v>0.28499999999999998</v>
      </c>
      <c r="J873" t="b">
        <v>0</v>
      </c>
      <c r="K873">
        <v>400</v>
      </c>
      <c r="L873">
        <f t="shared" si="118"/>
        <v>6</v>
      </c>
      <c r="M873" t="str">
        <f t="shared" si="119"/>
        <v>Medium</v>
      </c>
      <c r="N873" t="str">
        <f t="shared" si="120"/>
        <v>0-5%</v>
      </c>
      <c r="O873" t="str">
        <f t="shared" si="121"/>
        <v>OK</v>
      </c>
      <c r="P873">
        <f>IFERROR(Full_Data!G873/Full_Data!H873,"Check data")</f>
        <v>0.28499999999999998</v>
      </c>
      <c r="Q873" t="str">
        <f t="shared" si="122"/>
        <v>Match</v>
      </c>
      <c r="R873" t="str">
        <f t="shared" si="123"/>
        <v>Match</v>
      </c>
      <c r="S873" t="str">
        <f t="shared" si="124"/>
        <v>Match</v>
      </c>
    </row>
    <row r="874" spans="1:19" x14ac:dyDescent="0.25">
      <c r="A874" t="s">
        <v>830</v>
      </c>
      <c r="B874">
        <v>11000</v>
      </c>
      <c r="C874">
        <f t="shared" si="125"/>
        <v>110</v>
      </c>
      <c r="D874">
        <v>30</v>
      </c>
      <c r="E874">
        <v>2</v>
      </c>
      <c r="F874">
        <v>7700</v>
      </c>
      <c r="G874">
        <f t="shared" si="117"/>
        <v>77</v>
      </c>
      <c r="H874">
        <v>285</v>
      </c>
      <c r="I874" s="4">
        <f>Full_Data[[#This Row],[Selling Price]]/Full_Data[[#This Row],[Weight (g)]]</f>
        <v>0.27017543859649124</v>
      </c>
      <c r="J874" t="b">
        <v>0</v>
      </c>
      <c r="K874">
        <v>285</v>
      </c>
      <c r="L874">
        <f t="shared" si="118"/>
        <v>33</v>
      </c>
      <c r="M874" t="str">
        <f t="shared" si="119"/>
        <v>Medium</v>
      </c>
      <c r="N874" t="str">
        <f t="shared" si="120"/>
        <v>21%+</v>
      </c>
      <c r="O874" t="str">
        <f t="shared" si="121"/>
        <v>OK</v>
      </c>
      <c r="P874">
        <f>IFERROR(Full_Data!G874/Full_Data!H874,"Check data")</f>
        <v>0.27017543859649124</v>
      </c>
      <c r="Q874" t="str">
        <f t="shared" si="122"/>
        <v>Match</v>
      </c>
      <c r="R874" t="str">
        <f t="shared" si="123"/>
        <v>Match</v>
      </c>
      <c r="S874" t="str">
        <f t="shared" si="124"/>
        <v>Match</v>
      </c>
    </row>
    <row r="875" spans="1:19" x14ac:dyDescent="0.25">
      <c r="A875" t="s">
        <v>831</v>
      </c>
      <c r="B875">
        <v>27500</v>
      </c>
      <c r="C875">
        <f t="shared" si="125"/>
        <v>275</v>
      </c>
      <c r="D875">
        <v>14</v>
      </c>
      <c r="E875">
        <v>5</v>
      </c>
      <c r="F875">
        <v>23400</v>
      </c>
      <c r="G875">
        <f t="shared" si="117"/>
        <v>234</v>
      </c>
      <c r="H875">
        <v>200</v>
      </c>
      <c r="I875" s="4">
        <f>Full_Data[[#This Row],[Selling Price]]/Full_Data[[#This Row],[Weight (g)]]</f>
        <v>1.17</v>
      </c>
      <c r="J875" t="b">
        <v>0</v>
      </c>
      <c r="K875">
        <v>200</v>
      </c>
      <c r="L875">
        <f t="shared" si="118"/>
        <v>41</v>
      </c>
      <c r="M875" t="str">
        <f t="shared" si="119"/>
        <v>High</v>
      </c>
      <c r="N875" t="str">
        <f t="shared" si="120"/>
        <v>11-15%</v>
      </c>
      <c r="O875" t="str">
        <f t="shared" si="121"/>
        <v>OK</v>
      </c>
      <c r="P875">
        <f>IFERROR(Full_Data!G875/Full_Data!H875,"Check data")</f>
        <v>1.17</v>
      </c>
      <c r="Q875" t="str">
        <f t="shared" si="122"/>
        <v>Match</v>
      </c>
      <c r="R875" t="str">
        <f t="shared" si="123"/>
        <v>Mismatch</v>
      </c>
      <c r="S875" t="str">
        <f t="shared" si="124"/>
        <v>Mismatch</v>
      </c>
    </row>
    <row r="876" spans="1:19" x14ac:dyDescent="0.25">
      <c r="A876" t="s">
        <v>832</v>
      </c>
      <c r="B876">
        <v>5500</v>
      </c>
      <c r="C876">
        <f t="shared" si="125"/>
        <v>55</v>
      </c>
      <c r="D876">
        <v>0</v>
      </c>
      <c r="E876">
        <v>6</v>
      </c>
      <c r="F876">
        <v>5500</v>
      </c>
      <c r="G876">
        <f t="shared" si="117"/>
        <v>55</v>
      </c>
      <c r="H876">
        <v>55</v>
      </c>
      <c r="I876" s="4">
        <f>Full_Data[[#This Row],[Selling Price]]/Full_Data[[#This Row],[Weight (g)]]</f>
        <v>1</v>
      </c>
      <c r="J876" t="b">
        <v>0</v>
      </c>
      <c r="K876">
        <v>55</v>
      </c>
      <c r="L876">
        <f t="shared" si="118"/>
        <v>0</v>
      </c>
      <c r="M876" t="str">
        <f t="shared" si="119"/>
        <v>Medium</v>
      </c>
      <c r="N876" t="str">
        <f t="shared" si="120"/>
        <v>0-5%</v>
      </c>
      <c r="O876" t="str">
        <f t="shared" si="121"/>
        <v>OK</v>
      </c>
      <c r="P876">
        <f>IFERROR(Full_Data!G876/Full_Data!H876,"Check data")</f>
        <v>1</v>
      </c>
      <c r="Q876" t="str">
        <f t="shared" si="122"/>
        <v>Match</v>
      </c>
      <c r="R876" t="str">
        <f t="shared" si="123"/>
        <v>Match</v>
      </c>
      <c r="S876" t="str">
        <f t="shared" si="124"/>
        <v>Match</v>
      </c>
    </row>
    <row r="877" spans="1:19" x14ac:dyDescent="0.25">
      <c r="A877" t="s">
        <v>833</v>
      </c>
      <c r="B877">
        <v>22500</v>
      </c>
      <c r="C877">
        <f t="shared" si="125"/>
        <v>225</v>
      </c>
      <c r="D877">
        <v>15</v>
      </c>
      <c r="E877">
        <v>5</v>
      </c>
      <c r="F877">
        <v>19100</v>
      </c>
      <c r="G877">
        <f t="shared" si="117"/>
        <v>191</v>
      </c>
      <c r="H877">
        <v>190</v>
      </c>
      <c r="I877" s="4">
        <f>Full_Data[[#This Row],[Selling Price]]/Full_Data[[#This Row],[Weight (g)]]</f>
        <v>1.0052631578947369</v>
      </c>
      <c r="J877" t="b">
        <v>0</v>
      </c>
      <c r="K877">
        <v>190</v>
      </c>
      <c r="L877">
        <f t="shared" si="118"/>
        <v>34</v>
      </c>
      <c r="M877" t="str">
        <f t="shared" si="119"/>
        <v>Medium</v>
      </c>
      <c r="N877" t="str">
        <f t="shared" si="120"/>
        <v>11-15%</v>
      </c>
      <c r="O877" t="str">
        <f t="shared" si="121"/>
        <v>OK</v>
      </c>
      <c r="P877">
        <f>IFERROR(Full_Data!G877/Full_Data!H877,"Check data")</f>
        <v>1.0052631578947369</v>
      </c>
      <c r="Q877" t="str">
        <f t="shared" si="122"/>
        <v>Match</v>
      </c>
      <c r="R877" t="str">
        <f t="shared" si="123"/>
        <v>Mismatch</v>
      </c>
      <c r="S877" t="str">
        <f t="shared" si="124"/>
        <v>Match</v>
      </c>
    </row>
    <row r="878" spans="1:19" x14ac:dyDescent="0.25">
      <c r="A878" t="s">
        <v>834</v>
      </c>
      <c r="B878">
        <v>6500</v>
      </c>
      <c r="C878">
        <f t="shared" si="125"/>
        <v>65</v>
      </c>
      <c r="D878">
        <v>6</v>
      </c>
      <c r="E878">
        <v>6</v>
      </c>
      <c r="F878">
        <v>6100</v>
      </c>
      <c r="G878">
        <f t="shared" si="117"/>
        <v>61</v>
      </c>
      <c r="H878">
        <v>200</v>
      </c>
      <c r="I878" s="4">
        <f>Full_Data[[#This Row],[Selling Price]]/Full_Data[[#This Row],[Weight (g)]]</f>
        <v>0.30499999999999999</v>
      </c>
      <c r="J878" t="b">
        <v>0</v>
      </c>
      <c r="K878">
        <v>200</v>
      </c>
      <c r="L878">
        <f t="shared" si="118"/>
        <v>4</v>
      </c>
      <c r="M878" t="str">
        <f t="shared" si="119"/>
        <v>Medium</v>
      </c>
      <c r="N878" t="str">
        <f t="shared" si="120"/>
        <v>6-10%</v>
      </c>
      <c r="O878" t="str">
        <f t="shared" si="121"/>
        <v>OK</v>
      </c>
      <c r="P878">
        <f>IFERROR(Full_Data!G878/Full_Data!H878,"Check data")</f>
        <v>0.30499999999999999</v>
      </c>
      <c r="Q878" t="str">
        <f t="shared" si="122"/>
        <v>Match</v>
      </c>
      <c r="R878" t="str">
        <f t="shared" si="123"/>
        <v>Mismatch</v>
      </c>
      <c r="S878" t="str">
        <f t="shared" si="124"/>
        <v>Match</v>
      </c>
    </row>
    <row r="879" spans="1:19" x14ac:dyDescent="0.25">
      <c r="A879" t="s">
        <v>835</v>
      </c>
      <c r="B879">
        <v>4200</v>
      </c>
      <c r="C879">
        <f t="shared" si="125"/>
        <v>42</v>
      </c>
      <c r="D879">
        <v>0</v>
      </c>
      <c r="E879">
        <v>2</v>
      </c>
      <c r="F879">
        <v>4200</v>
      </c>
      <c r="G879">
        <f t="shared" si="117"/>
        <v>42</v>
      </c>
      <c r="H879">
        <v>400</v>
      </c>
      <c r="I879" s="4">
        <f>Full_Data[[#This Row],[Selling Price]]/Full_Data[[#This Row],[Weight (g)]]</f>
        <v>0.105</v>
      </c>
      <c r="J879" t="b">
        <v>0</v>
      </c>
      <c r="K879">
        <v>400</v>
      </c>
      <c r="L879">
        <f t="shared" si="118"/>
        <v>0</v>
      </c>
      <c r="M879" t="str">
        <f t="shared" si="119"/>
        <v>Low</v>
      </c>
      <c r="N879" t="str">
        <f t="shared" si="120"/>
        <v>0-5%</v>
      </c>
      <c r="O879" t="str">
        <f t="shared" si="121"/>
        <v>OK</v>
      </c>
      <c r="P879">
        <f>IFERROR(Full_Data!G879/Full_Data!H879,"Check data")</f>
        <v>0.105</v>
      </c>
      <c r="Q879" t="str">
        <f t="shared" si="122"/>
        <v>Match</v>
      </c>
      <c r="R879" t="str">
        <f t="shared" si="123"/>
        <v>Match</v>
      </c>
      <c r="S879" t="str">
        <f t="shared" si="124"/>
        <v>Match</v>
      </c>
    </row>
    <row r="880" spans="1:19" x14ac:dyDescent="0.25">
      <c r="A880" t="s">
        <v>836</v>
      </c>
      <c r="B880">
        <v>27500</v>
      </c>
      <c r="C880">
        <f t="shared" si="125"/>
        <v>275</v>
      </c>
      <c r="D880">
        <v>14</v>
      </c>
      <c r="E880">
        <v>4</v>
      </c>
      <c r="F880">
        <v>23400</v>
      </c>
      <c r="G880">
        <f t="shared" si="117"/>
        <v>234</v>
      </c>
      <c r="H880">
        <v>200</v>
      </c>
      <c r="I880" s="4">
        <f>Full_Data[[#This Row],[Selling Price]]/Full_Data[[#This Row],[Weight (g)]]</f>
        <v>1.17</v>
      </c>
      <c r="J880" t="b">
        <v>0</v>
      </c>
      <c r="K880">
        <v>200</v>
      </c>
      <c r="L880">
        <f t="shared" si="118"/>
        <v>41</v>
      </c>
      <c r="M880" t="str">
        <f t="shared" si="119"/>
        <v>High</v>
      </c>
      <c r="N880" t="str">
        <f t="shared" si="120"/>
        <v>11-15%</v>
      </c>
      <c r="O880" t="str">
        <f t="shared" si="121"/>
        <v>OK</v>
      </c>
      <c r="P880">
        <f>IFERROR(Full_Data!G880/Full_Data!H880,"Check data")</f>
        <v>1.17</v>
      </c>
      <c r="Q880" t="str">
        <f t="shared" si="122"/>
        <v>Match</v>
      </c>
      <c r="R880" t="str">
        <f t="shared" si="123"/>
        <v>Mismatch</v>
      </c>
      <c r="S880" t="str">
        <f t="shared" si="124"/>
        <v>Mismatch</v>
      </c>
    </row>
    <row r="881" spans="1:19" x14ac:dyDescent="0.25">
      <c r="A881" t="s">
        <v>837</v>
      </c>
      <c r="B881">
        <v>13500</v>
      </c>
      <c r="C881">
        <f t="shared" si="125"/>
        <v>135</v>
      </c>
      <c r="D881">
        <v>9</v>
      </c>
      <c r="E881">
        <v>2</v>
      </c>
      <c r="F881">
        <v>12200</v>
      </c>
      <c r="G881">
        <f t="shared" si="117"/>
        <v>122</v>
      </c>
      <c r="H881">
        <v>300</v>
      </c>
      <c r="I881" s="4">
        <f>Full_Data[[#This Row],[Selling Price]]/Full_Data[[#This Row],[Weight (g)]]</f>
        <v>0.40666666666666668</v>
      </c>
      <c r="J881" t="b">
        <v>0</v>
      </c>
      <c r="K881">
        <v>300</v>
      </c>
      <c r="L881">
        <f t="shared" si="118"/>
        <v>13</v>
      </c>
      <c r="M881" t="str">
        <f t="shared" si="119"/>
        <v>Medium</v>
      </c>
      <c r="N881" t="str">
        <f t="shared" si="120"/>
        <v>6-10%</v>
      </c>
      <c r="O881" t="str">
        <f t="shared" si="121"/>
        <v>OK</v>
      </c>
      <c r="P881">
        <f>IFERROR(Full_Data!G881/Full_Data!H881,"Check data")</f>
        <v>0.40666666666666668</v>
      </c>
      <c r="Q881" t="str">
        <f t="shared" si="122"/>
        <v>Match</v>
      </c>
      <c r="R881" t="str">
        <f t="shared" si="123"/>
        <v>Mismatch</v>
      </c>
      <c r="S881" t="str">
        <f t="shared" si="124"/>
        <v>Mismatch</v>
      </c>
    </row>
    <row r="882" spans="1:19" x14ac:dyDescent="0.25">
      <c r="A882" t="s">
        <v>838</v>
      </c>
      <c r="B882">
        <v>34000</v>
      </c>
      <c r="C882">
        <f t="shared" si="125"/>
        <v>340</v>
      </c>
      <c r="D882">
        <v>0</v>
      </c>
      <c r="E882">
        <v>2</v>
      </c>
      <c r="F882">
        <v>34000</v>
      </c>
      <c r="G882">
        <f t="shared" si="117"/>
        <v>340</v>
      </c>
      <c r="H882">
        <v>400</v>
      </c>
      <c r="I882" s="4">
        <f>Full_Data[[#This Row],[Selling Price]]/Full_Data[[#This Row],[Weight (g)]]</f>
        <v>0.85</v>
      </c>
      <c r="J882" t="b">
        <v>0</v>
      </c>
      <c r="K882">
        <v>400</v>
      </c>
      <c r="L882">
        <f t="shared" si="118"/>
        <v>0</v>
      </c>
      <c r="M882" t="str">
        <f t="shared" si="119"/>
        <v>High</v>
      </c>
      <c r="N882" t="str">
        <f t="shared" si="120"/>
        <v>0-5%</v>
      </c>
      <c r="O882" t="str">
        <f t="shared" si="121"/>
        <v>OK</v>
      </c>
      <c r="P882">
        <f>IFERROR(Full_Data!G882/Full_Data!H882,"Check data")</f>
        <v>0.85</v>
      </c>
      <c r="Q882" t="str">
        <f t="shared" si="122"/>
        <v>Match</v>
      </c>
      <c r="R882" t="str">
        <f t="shared" si="123"/>
        <v>Match</v>
      </c>
      <c r="S882" t="str">
        <f t="shared" si="124"/>
        <v>Match</v>
      </c>
    </row>
    <row r="883" spans="1:19" x14ac:dyDescent="0.25">
      <c r="A883" t="s">
        <v>839</v>
      </c>
      <c r="B883">
        <v>19000</v>
      </c>
      <c r="C883">
        <f t="shared" si="125"/>
        <v>190</v>
      </c>
      <c r="D883">
        <v>10</v>
      </c>
      <c r="E883">
        <v>6</v>
      </c>
      <c r="F883">
        <v>17100</v>
      </c>
      <c r="G883">
        <f t="shared" si="117"/>
        <v>171</v>
      </c>
      <c r="H883">
        <v>375</v>
      </c>
      <c r="I883" s="4">
        <f>Full_Data[[#This Row],[Selling Price]]/Full_Data[[#This Row],[Weight (g)]]</f>
        <v>0.45600000000000002</v>
      </c>
      <c r="J883" t="b">
        <v>0</v>
      </c>
      <c r="K883">
        <v>375</v>
      </c>
      <c r="L883">
        <f t="shared" si="118"/>
        <v>19</v>
      </c>
      <c r="M883" t="str">
        <f t="shared" si="119"/>
        <v>Medium</v>
      </c>
      <c r="N883" t="str">
        <f t="shared" si="120"/>
        <v>6-10%</v>
      </c>
      <c r="O883" t="str">
        <f t="shared" si="121"/>
        <v>OK</v>
      </c>
      <c r="P883">
        <f>IFERROR(Full_Data!G883/Full_Data!H883,"Check data")</f>
        <v>0.45600000000000002</v>
      </c>
      <c r="Q883" t="str">
        <f t="shared" si="122"/>
        <v>Match</v>
      </c>
      <c r="R883" t="str">
        <f t="shared" si="123"/>
        <v>Match</v>
      </c>
      <c r="S883" t="str">
        <f t="shared" si="124"/>
        <v>Match</v>
      </c>
    </row>
    <row r="884" spans="1:19" x14ac:dyDescent="0.25">
      <c r="A884" t="s">
        <v>840</v>
      </c>
      <c r="B884">
        <v>10400</v>
      </c>
      <c r="C884">
        <f t="shared" si="125"/>
        <v>104</v>
      </c>
      <c r="D884">
        <v>20</v>
      </c>
      <c r="E884">
        <v>3</v>
      </c>
      <c r="F884">
        <v>8300</v>
      </c>
      <c r="G884">
        <f t="shared" si="117"/>
        <v>83</v>
      </c>
      <c r="H884">
        <v>500</v>
      </c>
      <c r="I884" s="4">
        <f>Full_Data[[#This Row],[Selling Price]]/Full_Data[[#This Row],[Weight (g)]]</f>
        <v>0.16600000000000001</v>
      </c>
      <c r="J884" t="b">
        <v>0</v>
      </c>
      <c r="K884">
        <v>500</v>
      </c>
      <c r="L884">
        <f t="shared" si="118"/>
        <v>21</v>
      </c>
      <c r="M884" t="str">
        <f t="shared" si="119"/>
        <v>Medium</v>
      </c>
      <c r="N884" t="str">
        <f t="shared" si="120"/>
        <v>16-20%</v>
      </c>
      <c r="O884" t="str">
        <f t="shared" si="121"/>
        <v>OK</v>
      </c>
      <c r="P884">
        <f>IFERROR(Full_Data!G884/Full_Data!H884,"Check data")</f>
        <v>0.16600000000000001</v>
      </c>
      <c r="Q884" t="str">
        <f t="shared" si="122"/>
        <v>Match</v>
      </c>
      <c r="R884" t="str">
        <f t="shared" si="123"/>
        <v>Mismatch</v>
      </c>
      <c r="S884" t="str">
        <f t="shared" si="124"/>
        <v>Match</v>
      </c>
    </row>
    <row r="885" spans="1:19" x14ac:dyDescent="0.25">
      <c r="A885" t="s">
        <v>841</v>
      </c>
      <c r="B885">
        <v>6000</v>
      </c>
      <c r="C885">
        <f t="shared" si="125"/>
        <v>60</v>
      </c>
      <c r="D885">
        <v>0</v>
      </c>
      <c r="E885">
        <v>4</v>
      </c>
      <c r="F885">
        <v>6000</v>
      </c>
      <c r="G885">
        <f t="shared" si="117"/>
        <v>60</v>
      </c>
      <c r="H885">
        <v>50</v>
      </c>
      <c r="I885" s="4">
        <f>Full_Data[[#This Row],[Selling Price]]/Full_Data[[#This Row],[Weight (g)]]</f>
        <v>1.2</v>
      </c>
      <c r="J885" t="b">
        <v>0</v>
      </c>
      <c r="K885">
        <v>50</v>
      </c>
      <c r="L885">
        <f t="shared" si="118"/>
        <v>0</v>
      </c>
      <c r="M885" t="str">
        <f t="shared" si="119"/>
        <v>Medium</v>
      </c>
      <c r="N885" t="str">
        <f t="shared" si="120"/>
        <v>0-5%</v>
      </c>
      <c r="O885" t="str">
        <f t="shared" si="121"/>
        <v>OK</v>
      </c>
      <c r="P885">
        <f>IFERROR(Full_Data!G885/Full_Data!H885,"Check data")</f>
        <v>1.2</v>
      </c>
      <c r="Q885" t="str">
        <f t="shared" si="122"/>
        <v>Match</v>
      </c>
      <c r="R885" t="str">
        <f t="shared" si="123"/>
        <v>Match</v>
      </c>
      <c r="S885" t="str">
        <f t="shared" si="124"/>
        <v>Match</v>
      </c>
    </row>
    <row r="886" spans="1:19" x14ac:dyDescent="0.25">
      <c r="A886" t="s">
        <v>842</v>
      </c>
      <c r="B886">
        <v>32500</v>
      </c>
      <c r="C886">
        <f t="shared" si="125"/>
        <v>325</v>
      </c>
      <c r="D886">
        <v>0</v>
      </c>
      <c r="E886">
        <v>6</v>
      </c>
      <c r="F886">
        <v>32500</v>
      </c>
      <c r="G886">
        <f t="shared" si="117"/>
        <v>325</v>
      </c>
      <c r="H886">
        <v>500</v>
      </c>
      <c r="I886" s="4">
        <f>Full_Data[[#This Row],[Selling Price]]/Full_Data[[#This Row],[Weight (g)]]</f>
        <v>0.65</v>
      </c>
      <c r="J886" t="b">
        <v>0</v>
      </c>
      <c r="K886">
        <v>500</v>
      </c>
      <c r="L886">
        <f t="shared" si="118"/>
        <v>0</v>
      </c>
      <c r="M886" t="str">
        <f t="shared" si="119"/>
        <v>High</v>
      </c>
      <c r="N886" t="str">
        <f t="shared" si="120"/>
        <v>0-5%</v>
      </c>
      <c r="O886" t="str">
        <f t="shared" si="121"/>
        <v>OK</v>
      </c>
      <c r="P886">
        <f>IFERROR(Full_Data!G886/Full_Data!H886,"Check data")</f>
        <v>0.65</v>
      </c>
      <c r="Q886" t="str">
        <f t="shared" si="122"/>
        <v>Match</v>
      </c>
      <c r="R886" t="str">
        <f t="shared" si="123"/>
        <v>Match</v>
      </c>
      <c r="S886" t="str">
        <f t="shared" si="124"/>
        <v>Match</v>
      </c>
    </row>
    <row r="887" spans="1:19" x14ac:dyDescent="0.25">
      <c r="A887" t="s">
        <v>843</v>
      </c>
      <c r="B887">
        <v>9900</v>
      </c>
      <c r="C887">
        <f t="shared" si="125"/>
        <v>99</v>
      </c>
      <c r="D887">
        <v>0</v>
      </c>
      <c r="E887">
        <v>3</v>
      </c>
      <c r="F887">
        <v>9900</v>
      </c>
      <c r="G887">
        <f t="shared" si="117"/>
        <v>99</v>
      </c>
      <c r="H887">
        <v>400</v>
      </c>
      <c r="I887" s="4">
        <f>Full_Data[[#This Row],[Selling Price]]/Full_Data[[#This Row],[Weight (g)]]</f>
        <v>0.2475</v>
      </c>
      <c r="J887" t="b">
        <v>0</v>
      </c>
      <c r="K887">
        <v>400</v>
      </c>
      <c r="L887">
        <f t="shared" si="118"/>
        <v>0</v>
      </c>
      <c r="M887" t="str">
        <f t="shared" si="119"/>
        <v>Medium</v>
      </c>
      <c r="N887" t="str">
        <f t="shared" si="120"/>
        <v>0-5%</v>
      </c>
      <c r="O887" t="str">
        <f t="shared" si="121"/>
        <v>OK</v>
      </c>
      <c r="P887">
        <f>IFERROR(Full_Data!G887/Full_Data!H887,"Check data")</f>
        <v>0.2475</v>
      </c>
      <c r="Q887" t="str">
        <f t="shared" si="122"/>
        <v>Match</v>
      </c>
      <c r="R887" t="str">
        <f t="shared" si="123"/>
        <v>Match</v>
      </c>
      <c r="S887" t="str">
        <f t="shared" si="124"/>
        <v>Match</v>
      </c>
    </row>
    <row r="888" spans="1:19" x14ac:dyDescent="0.25">
      <c r="A888" t="s">
        <v>844</v>
      </c>
      <c r="B888">
        <v>22500</v>
      </c>
      <c r="C888">
        <f t="shared" si="125"/>
        <v>225</v>
      </c>
      <c r="D888">
        <v>15</v>
      </c>
      <c r="E888">
        <v>6</v>
      </c>
      <c r="F888">
        <v>19100</v>
      </c>
      <c r="G888">
        <f t="shared" si="117"/>
        <v>191</v>
      </c>
      <c r="H888">
        <v>200</v>
      </c>
      <c r="I888" s="4">
        <f>Full_Data[[#This Row],[Selling Price]]/Full_Data[[#This Row],[Weight (g)]]</f>
        <v>0.95499999999999996</v>
      </c>
      <c r="J888" t="b">
        <v>0</v>
      </c>
      <c r="K888">
        <v>200</v>
      </c>
      <c r="L888">
        <f t="shared" si="118"/>
        <v>34</v>
      </c>
      <c r="M888" t="str">
        <f t="shared" si="119"/>
        <v>Medium</v>
      </c>
      <c r="N888" t="str">
        <f t="shared" si="120"/>
        <v>11-15%</v>
      </c>
      <c r="O888" t="str">
        <f t="shared" si="121"/>
        <v>OK</v>
      </c>
      <c r="P888">
        <f>IFERROR(Full_Data!G888/Full_Data!H888,"Check data")</f>
        <v>0.95499999999999996</v>
      </c>
      <c r="Q888" t="str">
        <f t="shared" si="122"/>
        <v>Match</v>
      </c>
      <c r="R888" t="str">
        <f t="shared" si="123"/>
        <v>Mismatch</v>
      </c>
      <c r="S888" t="str">
        <f t="shared" si="124"/>
        <v>Match</v>
      </c>
    </row>
    <row r="889" spans="1:19" x14ac:dyDescent="0.25">
      <c r="A889" t="s">
        <v>845</v>
      </c>
      <c r="B889">
        <v>29500</v>
      </c>
      <c r="C889">
        <f t="shared" si="125"/>
        <v>295</v>
      </c>
      <c r="D889">
        <v>0</v>
      </c>
      <c r="E889">
        <v>3</v>
      </c>
      <c r="F889">
        <v>29500</v>
      </c>
      <c r="G889">
        <f t="shared" si="117"/>
        <v>295</v>
      </c>
      <c r="H889">
        <v>350</v>
      </c>
      <c r="I889" s="4">
        <f>Full_Data[[#This Row],[Selling Price]]/Full_Data[[#This Row],[Weight (g)]]</f>
        <v>0.84285714285714286</v>
      </c>
      <c r="J889" t="b">
        <v>0</v>
      </c>
      <c r="K889">
        <v>350</v>
      </c>
      <c r="L889">
        <f t="shared" si="118"/>
        <v>0</v>
      </c>
      <c r="M889" t="str">
        <f t="shared" si="119"/>
        <v>High</v>
      </c>
      <c r="N889" t="str">
        <f t="shared" si="120"/>
        <v>0-5%</v>
      </c>
      <c r="O889" t="str">
        <f t="shared" si="121"/>
        <v>OK</v>
      </c>
      <c r="P889">
        <f>IFERROR(Full_Data!G889/Full_Data!H889,"Check data")</f>
        <v>0.84285714285714286</v>
      </c>
      <c r="Q889" t="str">
        <f t="shared" si="122"/>
        <v>Match</v>
      </c>
      <c r="R889" t="str">
        <f t="shared" si="123"/>
        <v>Match</v>
      </c>
      <c r="S889" t="str">
        <f t="shared" si="124"/>
        <v>Match</v>
      </c>
    </row>
    <row r="890" spans="1:19" x14ac:dyDescent="0.25">
      <c r="A890" t="s">
        <v>846</v>
      </c>
      <c r="B890">
        <v>2500</v>
      </c>
      <c r="C890">
        <f t="shared" si="125"/>
        <v>25</v>
      </c>
      <c r="D890">
        <v>0</v>
      </c>
      <c r="E890">
        <v>6</v>
      </c>
      <c r="F890">
        <v>2500</v>
      </c>
      <c r="G890">
        <f t="shared" si="117"/>
        <v>25</v>
      </c>
      <c r="H890">
        <v>65</v>
      </c>
      <c r="I890" s="4">
        <f>Full_Data[[#This Row],[Selling Price]]/Full_Data[[#This Row],[Weight (g)]]</f>
        <v>0.38461538461538464</v>
      </c>
      <c r="J890" t="b">
        <v>0</v>
      </c>
      <c r="K890">
        <v>65</v>
      </c>
      <c r="L890">
        <f t="shared" si="118"/>
        <v>0</v>
      </c>
      <c r="M890" t="str">
        <f t="shared" si="119"/>
        <v>Low</v>
      </c>
      <c r="N890" t="str">
        <f t="shared" si="120"/>
        <v>0-5%</v>
      </c>
      <c r="O890" t="str">
        <f t="shared" si="121"/>
        <v>OK</v>
      </c>
      <c r="P890">
        <f>IFERROR(Full_Data!G890/Full_Data!H890,"Check data")</f>
        <v>0.38461538461538464</v>
      </c>
      <c r="Q890" t="str">
        <f t="shared" si="122"/>
        <v>Match</v>
      </c>
      <c r="R890" t="str">
        <f t="shared" si="123"/>
        <v>Match</v>
      </c>
      <c r="S890" t="str">
        <f t="shared" si="124"/>
        <v>Match</v>
      </c>
    </row>
    <row r="891" spans="1:19" x14ac:dyDescent="0.25">
      <c r="A891" t="s">
        <v>847</v>
      </c>
      <c r="B891">
        <v>9100</v>
      </c>
      <c r="C891">
        <f t="shared" si="125"/>
        <v>91</v>
      </c>
      <c r="D891">
        <v>0</v>
      </c>
      <c r="E891">
        <v>5</v>
      </c>
      <c r="F891">
        <v>9100</v>
      </c>
      <c r="G891">
        <f t="shared" si="117"/>
        <v>91</v>
      </c>
      <c r="H891">
        <v>360</v>
      </c>
      <c r="I891" s="4">
        <f>Full_Data[[#This Row],[Selling Price]]/Full_Data[[#This Row],[Weight (g)]]</f>
        <v>0.25277777777777777</v>
      </c>
      <c r="J891" t="b">
        <v>0</v>
      </c>
      <c r="K891">
        <v>360</v>
      </c>
      <c r="L891">
        <f t="shared" si="118"/>
        <v>0</v>
      </c>
      <c r="M891" t="str">
        <f t="shared" si="119"/>
        <v>Medium</v>
      </c>
      <c r="N891" t="str">
        <f t="shared" si="120"/>
        <v>0-5%</v>
      </c>
      <c r="O891" t="str">
        <f t="shared" si="121"/>
        <v>OK</v>
      </c>
      <c r="P891">
        <f>IFERROR(Full_Data!G891/Full_Data!H891,"Check data")</f>
        <v>0.25277777777777777</v>
      </c>
      <c r="Q891" t="str">
        <f t="shared" si="122"/>
        <v>Match</v>
      </c>
      <c r="R891" t="str">
        <f t="shared" si="123"/>
        <v>Match</v>
      </c>
      <c r="S891" t="str">
        <f t="shared" si="124"/>
        <v>Match</v>
      </c>
    </row>
    <row r="892" spans="1:19" x14ac:dyDescent="0.25">
      <c r="A892" t="s">
        <v>848</v>
      </c>
      <c r="B892">
        <v>22000</v>
      </c>
      <c r="C892">
        <f t="shared" si="125"/>
        <v>220</v>
      </c>
      <c r="D892">
        <v>6</v>
      </c>
      <c r="E892">
        <v>5</v>
      </c>
      <c r="F892">
        <v>20500</v>
      </c>
      <c r="G892">
        <f t="shared" si="117"/>
        <v>205</v>
      </c>
      <c r="H892">
        <v>425</v>
      </c>
      <c r="I892" s="4">
        <f>Full_Data[[#This Row],[Selling Price]]/Full_Data[[#This Row],[Weight (g)]]</f>
        <v>0.4823529411764706</v>
      </c>
      <c r="J892" t="b">
        <v>0</v>
      </c>
      <c r="K892">
        <v>425</v>
      </c>
      <c r="L892">
        <f t="shared" si="118"/>
        <v>15</v>
      </c>
      <c r="M892" t="str">
        <f t="shared" si="119"/>
        <v>High</v>
      </c>
      <c r="N892" t="str">
        <f t="shared" si="120"/>
        <v>6-10%</v>
      </c>
      <c r="O892" t="str">
        <f t="shared" si="121"/>
        <v>OK</v>
      </c>
      <c r="P892">
        <f>IFERROR(Full_Data!G892/Full_Data!H892,"Check data")</f>
        <v>0.4823529411764706</v>
      </c>
      <c r="Q892" t="str">
        <f t="shared" si="122"/>
        <v>Match</v>
      </c>
      <c r="R892" t="str">
        <f t="shared" si="123"/>
        <v>Mismatch</v>
      </c>
      <c r="S892" t="str">
        <f t="shared" si="124"/>
        <v>Mismatch</v>
      </c>
    </row>
    <row r="893" spans="1:19" x14ac:dyDescent="0.25">
      <c r="A893" t="s">
        <v>849</v>
      </c>
      <c r="B893">
        <v>15000</v>
      </c>
      <c r="C893">
        <f t="shared" si="125"/>
        <v>150</v>
      </c>
      <c r="D893">
        <v>0</v>
      </c>
      <c r="E893">
        <v>3</v>
      </c>
      <c r="F893">
        <v>15000</v>
      </c>
      <c r="G893">
        <f t="shared" si="117"/>
        <v>150</v>
      </c>
      <c r="H893">
        <v>250</v>
      </c>
      <c r="I893" s="4">
        <f>Full_Data[[#This Row],[Selling Price]]/Full_Data[[#This Row],[Weight (g)]]</f>
        <v>0.6</v>
      </c>
      <c r="J893" t="b">
        <v>0</v>
      </c>
      <c r="K893">
        <v>250</v>
      </c>
      <c r="L893">
        <f t="shared" si="118"/>
        <v>0</v>
      </c>
      <c r="M893" t="str">
        <f t="shared" si="119"/>
        <v>Medium</v>
      </c>
      <c r="N893" t="str">
        <f t="shared" si="120"/>
        <v>0-5%</v>
      </c>
      <c r="O893" t="str">
        <f t="shared" si="121"/>
        <v>OK</v>
      </c>
      <c r="P893">
        <f>IFERROR(Full_Data!G893/Full_Data!H893,"Check data")</f>
        <v>0.6</v>
      </c>
      <c r="Q893" t="str">
        <f t="shared" si="122"/>
        <v>Match</v>
      </c>
      <c r="R893" t="str">
        <f t="shared" si="123"/>
        <v>Match</v>
      </c>
      <c r="S893" t="str">
        <f t="shared" si="124"/>
        <v>Match</v>
      </c>
    </row>
    <row r="894" spans="1:19" x14ac:dyDescent="0.25">
      <c r="A894" t="s">
        <v>841</v>
      </c>
      <c r="B894">
        <v>15000</v>
      </c>
      <c r="C894">
        <f t="shared" si="125"/>
        <v>150</v>
      </c>
      <c r="D894">
        <v>14</v>
      </c>
      <c r="E894">
        <v>3</v>
      </c>
      <c r="F894">
        <v>12800</v>
      </c>
      <c r="G894">
        <f t="shared" si="117"/>
        <v>128</v>
      </c>
      <c r="H894">
        <v>114</v>
      </c>
      <c r="I894" s="4">
        <f>Full_Data[[#This Row],[Selling Price]]/Full_Data[[#This Row],[Weight (g)]]</f>
        <v>1.1228070175438596</v>
      </c>
      <c r="J894" t="b">
        <v>0</v>
      </c>
      <c r="K894">
        <v>114</v>
      </c>
      <c r="L894">
        <f t="shared" si="118"/>
        <v>22</v>
      </c>
      <c r="M894" t="str">
        <f t="shared" si="119"/>
        <v>Medium</v>
      </c>
      <c r="N894" t="str">
        <f t="shared" si="120"/>
        <v>11-15%</v>
      </c>
      <c r="O894" t="str">
        <f t="shared" si="121"/>
        <v>OK</v>
      </c>
      <c r="P894">
        <f>IFERROR(Full_Data!G894/Full_Data!H894,"Check data")</f>
        <v>1.1228070175438596</v>
      </c>
      <c r="Q894" t="str">
        <f t="shared" si="122"/>
        <v>Match</v>
      </c>
      <c r="R894" t="str">
        <f t="shared" si="123"/>
        <v>Mismatch</v>
      </c>
      <c r="S894" t="str">
        <f t="shared" si="124"/>
        <v>Mismatch</v>
      </c>
    </row>
    <row r="895" spans="1:19" x14ac:dyDescent="0.25">
      <c r="A895" t="s">
        <v>850</v>
      </c>
      <c r="B895">
        <v>33000</v>
      </c>
      <c r="C895">
        <f t="shared" si="125"/>
        <v>330</v>
      </c>
      <c r="D895">
        <v>10</v>
      </c>
      <c r="E895">
        <v>6</v>
      </c>
      <c r="F895">
        <v>29700</v>
      </c>
      <c r="G895">
        <f t="shared" si="117"/>
        <v>297</v>
      </c>
      <c r="H895">
        <v>400</v>
      </c>
      <c r="I895" s="4">
        <f>Full_Data[[#This Row],[Selling Price]]/Full_Data[[#This Row],[Weight (g)]]</f>
        <v>0.74250000000000005</v>
      </c>
      <c r="J895" t="b">
        <v>0</v>
      </c>
      <c r="K895">
        <v>400</v>
      </c>
      <c r="L895">
        <f t="shared" si="118"/>
        <v>33</v>
      </c>
      <c r="M895" t="str">
        <f t="shared" si="119"/>
        <v>High</v>
      </c>
      <c r="N895" t="str">
        <f t="shared" si="120"/>
        <v>6-10%</v>
      </c>
      <c r="O895" t="str">
        <f t="shared" si="121"/>
        <v>OK</v>
      </c>
      <c r="P895">
        <f>IFERROR(Full_Data!G895/Full_Data!H895,"Check data")</f>
        <v>0.74250000000000005</v>
      </c>
      <c r="Q895" t="str">
        <f t="shared" si="122"/>
        <v>Match</v>
      </c>
      <c r="R895" t="str">
        <f t="shared" si="123"/>
        <v>Match</v>
      </c>
      <c r="S895" t="str">
        <f t="shared" si="124"/>
        <v>Match</v>
      </c>
    </row>
    <row r="896" spans="1:19" x14ac:dyDescent="0.25">
      <c r="A896" t="s">
        <v>851</v>
      </c>
      <c r="B896">
        <v>29500</v>
      </c>
      <c r="C896">
        <f t="shared" si="125"/>
        <v>295</v>
      </c>
      <c r="D896">
        <v>0</v>
      </c>
      <c r="E896">
        <v>6</v>
      </c>
      <c r="F896">
        <v>29500</v>
      </c>
      <c r="G896">
        <f t="shared" si="117"/>
        <v>295</v>
      </c>
      <c r="H896">
        <v>24</v>
      </c>
      <c r="I896" s="4">
        <f>Full_Data[[#This Row],[Selling Price]]/Full_Data[[#This Row],[Weight (g)]]</f>
        <v>12.291666666666666</v>
      </c>
      <c r="J896" t="b">
        <v>0</v>
      </c>
      <c r="K896">
        <v>24</v>
      </c>
      <c r="L896">
        <f t="shared" si="118"/>
        <v>0</v>
      </c>
      <c r="M896" t="str">
        <f t="shared" si="119"/>
        <v>High</v>
      </c>
      <c r="N896" t="str">
        <f t="shared" si="120"/>
        <v>0-5%</v>
      </c>
      <c r="O896" t="str">
        <f t="shared" si="121"/>
        <v>OK</v>
      </c>
      <c r="P896">
        <f>IFERROR(Full_Data!G896/Full_Data!H896,"Check data")</f>
        <v>12.291666666666666</v>
      </c>
      <c r="Q896" t="str">
        <f t="shared" si="122"/>
        <v>Match</v>
      </c>
      <c r="R896" t="str">
        <f t="shared" si="123"/>
        <v>Match</v>
      </c>
      <c r="S896" t="str">
        <f t="shared" si="124"/>
        <v>Match</v>
      </c>
    </row>
    <row r="897" spans="1:19" x14ac:dyDescent="0.25">
      <c r="A897" t="s">
        <v>852</v>
      </c>
      <c r="B897">
        <v>14900</v>
      </c>
      <c r="C897">
        <f t="shared" si="125"/>
        <v>149</v>
      </c>
      <c r="D897">
        <v>8</v>
      </c>
      <c r="E897">
        <v>5</v>
      </c>
      <c r="F897">
        <v>13700</v>
      </c>
      <c r="G897">
        <f t="shared" si="117"/>
        <v>137</v>
      </c>
      <c r="H897">
        <v>320</v>
      </c>
      <c r="I897" s="4">
        <f>Full_Data[[#This Row],[Selling Price]]/Full_Data[[#This Row],[Weight (g)]]</f>
        <v>0.42812499999999998</v>
      </c>
      <c r="J897" t="b">
        <v>0</v>
      </c>
      <c r="K897">
        <v>320</v>
      </c>
      <c r="L897">
        <f t="shared" si="118"/>
        <v>12</v>
      </c>
      <c r="M897" t="str">
        <f t="shared" si="119"/>
        <v>Medium</v>
      </c>
      <c r="N897" t="str">
        <f t="shared" si="120"/>
        <v>6-10%</v>
      </c>
      <c r="O897" t="str">
        <f t="shared" si="121"/>
        <v>OK</v>
      </c>
      <c r="P897">
        <f>IFERROR(Full_Data!G897/Full_Data!H897,"Check data")</f>
        <v>0.42812499999999998</v>
      </c>
      <c r="Q897" t="str">
        <f t="shared" si="122"/>
        <v>Match</v>
      </c>
      <c r="R897" t="str">
        <f t="shared" si="123"/>
        <v>Mismatch</v>
      </c>
      <c r="S897" t="str">
        <f t="shared" si="124"/>
        <v>Match</v>
      </c>
    </row>
    <row r="898" spans="1:19" x14ac:dyDescent="0.25">
      <c r="A898" t="s">
        <v>825</v>
      </c>
      <c r="B898">
        <v>11500</v>
      </c>
      <c r="C898">
        <f t="shared" si="125"/>
        <v>115</v>
      </c>
      <c r="D898">
        <v>0</v>
      </c>
      <c r="E898">
        <v>6</v>
      </c>
      <c r="F898">
        <v>11500</v>
      </c>
      <c r="G898">
        <f t="shared" ref="G898:G961" si="126">F898/100</f>
        <v>115</v>
      </c>
      <c r="H898">
        <v>600</v>
      </c>
      <c r="I898" s="4">
        <f>Full_Data[[#This Row],[Selling Price]]/Full_Data[[#This Row],[Weight (g)]]</f>
        <v>0.19166666666666668</v>
      </c>
      <c r="J898" t="b">
        <v>0</v>
      </c>
      <c r="K898">
        <v>600</v>
      </c>
      <c r="L898">
        <f t="shared" ref="L898:L961" si="127">C898-G898</f>
        <v>0</v>
      </c>
      <c r="M898" t="str">
        <f t="shared" ref="M898:M961" si="128">IF(G898&lt;50,"Low",IF(G898&lt;200,"Medium","High"))</f>
        <v>Medium</v>
      </c>
      <c r="N898" t="str">
        <f t="shared" ref="N898:N961" si="129">IF(D898&lt;=5,"0-5%",
IF(D898&lt;=10,"6-10%",
IF(D898&lt;=15,"11-15%",
IF(D898&lt;=20,"16-20%","21%+"))))</f>
        <v>0-5%</v>
      </c>
      <c r="O898" t="str">
        <f t="shared" ref="O898:O961" si="130">IF(AND(C898=0,G898=0),"Review: Zero MRP and selling price",IF(C898&lt;=0,"Review: Invalid MRP",IF(G898&lt;0,"Review: Negative selling price",IF(G898=0,"Review: Zero selling price",IF(H898&lt;=0,"Review: Invalid weight","OK")))))</f>
        <v>OK</v>
      </c>
      <c r="P898">
        <f>IFERROR(Full_Data!G898/Full_Data!H898,"Check data")</f>
        <v>0.19166666666666668</v>
      </c>
      <c r="Q898" t="str">
        <f t="shared" ref="Q898:Q961" si="131">IF(OR(H898="",H898&lt;=0),"Invalid weight",IF(G898="","Missing selling price",IF(ROUND(G898/H898,2)=ROUND(I898,2),"Match","Mismatch")))</f>
        <v>Match</v>
      </c>
      <c r="R898" t="str">
        <f t="shared" ref="R898:R961" si="132">IF(OR(C898&lt;=0,G898=""),"Check data",IF(ROUND((C898-G898)/C898*100,2)=ROUND(D898,2),"Match","Mismatch"))</f>
        <v>Match</v>
      </c>
      <c r="S898" t="str">
        <f t="shared" ref="S898:S961" si="133">IF(OR(C898&lt;=0,G898=""),"Check data",IF(ROUND((C898-G898)/C898*100,0)=D898,"Match","Mismatch"))</f>
        <v>Match</v>
      </c>
    </row>
    <row r="899" spans="1:19" x14ac:dyDescent="0.25">
      <c r="A899" t="s">
        <v>853</v>
      </c>
      <c r="B899">
        <v>28000</v>
      </c>
      <c r="C899">
        <f t="shared" ref="C899:C962" si="134">B899/100</f>
        <v>280</v>
      </c>
      <c r="D899">
        <v>50</v>
      </c>
      <c r="E899">
        <v>5</v>
      </c>
      <c r="F899">
        <v>14000</v>
      </c>
      <c r="G899">
        <f t="shared" si="126"/>
        <v>140</v>
      </c>
      <c r="H899">
        <v>175</v>
      </c>
      <c r="I899" s="4">
        <f>Full_Data[[#This Row],[Selling Price]]/Full_Data[[#This Row],[Weight (g)]]</f>
        <v>0.8</v>
      </c>
      <c r="J899" t="b">
        <v>0</v>
      </c>
      <c r="K899">
        <v>175</v>
      </c>
      <c r="L899">
        <f t="shared" si="127"/>
        <v>140</v>
      </c>
      <c r="M899" t="str">
        <f t="shared" si="128"/>
        <v>Medium</v>
      </c>
      <c r="N899" t="str">
        <f t="shared" si="129"/>
        <v>21%+</v>
      </c>
      <c r="O899" t="str">
        <f t="shared" si="130"/>
        <v>OK</v>
      </c>
      <c r="P899">
        <f>IFERROR(Full_Data!G899/Full_Data!H899,"Check data")</f>
        <v>0.8</v>
      </c>
      <c r="Q899" t="str">
        <f t="shared" si="131"/>
        <v>Match</v>
      </c>
      <c r="R899" t="str">
        <f t="shared" si="132"/>
        <v>Match</v>
      </c>
      <c r="S899" t="str">
        <f t="shared" si="133"/>
        <v>Match</v>
      </c>
    </row>
    <row r="900" spans="1:19" x14ac:dyDescent="0.25">
      <c r="A900" t="s">
        <v>854</v>
      </c>
      <c r="B900">
        <v>17900</v>
      </c>
      <c r="C900">
        <f t="shared" si="134"/>
        <v>179</v>
      </c>
      <c r="D900">
        <v>0</v>
      </c>
      <c r="E900">
        <v>6</v>
      </c>
      <c r="F900">
        <v>17900</v>
      </c>
      <c r="G900">
        <f t="shared" si="126"/>
        <v>179</v>
      </c>
      <c r="H900">
        <v>450</v>
      </c>
      <c r="I900" s="4">
        <f>Full_Data[[#This Row],[Selling Price]]/Full_Data[[#This Row],[Weight (g)]]</f>
        <v>0.39777777777777779</v>
      </c>
      <c r="J900" t="b">
        <v>0</v>
      </c>
      <c r="K900">
        <v>450</v>
      </c>
      <c r="L900">
        <f t="shared" si="127"/>
        <v>0</v>
      </c>
      <c r="M900" t="str">
        <f t="shared" si="128"/>
        <v>Medium</v>
      </c>
      <c r="N900" t="str">
        <f t="shared" si="129"/>
        <v>0-5%</v>
      </c>
      <c r="O900" t="str">
        <f t="shared" si="130"/>
        <v>OK</v>
      </c>
      <c r="P900">
        <f>IFERROR(Full_Data!G900/Full_Data!H900,"Check data")</f>
        <v>0.39777777777777779</v>
      </c>
      <c r="Q900" t="str">
        <f t="shared" si="131"/>
        <v>Match</v>
      </c>
      <c r="R900" t="str">
        <f t="shared" si="132"/>
        <v>Match</v>
      </c>
      <c r="S900" t="str">
        <f t="shared" si="133"/>
        <v>Match</v>
      </c>
    </row>
    <row r="901" spans="1:19" x14ac:dyDescent="0.25">
      <c r="A901" t="s">
        <v>855</v>
      </c>
      <c r="B901">
        <v>14000</v>
      </c>
      <c r="C901">
        <f t="shared" si="134"/>
        <v>140</v>
      </c>
      <c r="D901">
        <v>10</v>
      </c>
      <c r="E901">
        <v>3</v>
      </c>
      <c r="F901">
        <v>12600</v>
      </c>
      <c r="G901">
        <f t="shared" si="126"/>
        <v>126</v>
      </c>
      <c r="H901">
        <v>500</v>
      </c>
      <c r="I901" s="4">
        <f>Full_Data[[#This Row],[Selling Price]]/Full_Data[[#This Row],[Weight (g)]]</f>
        <v>0.252</v>
      </c>
      <c r="J901" t="b">
        <v>0</v>
      </c>
      <c r="K901">
        <v>500</v>
      </c>
      <c r="L901">
        <f t="shared" si="127"/>
        <v>14</v>
      </c>
      <c r="M901" t="str">
        <f t="shared" si="128"/>
        <v>Medium</v>
      </c>
      <c r="N901" t="str">
        <f t="shared" si="129"/>
        <v>6-10%</v>
      </c>
      <c r="O901" t="str">
        <f t="shared" si="130"/>
        <v>OK</v>
      </c>
      <c r="P901">
        <f>IFERROR(Full_Data!G901/Full_Data!H901,"Check data")</f>
        <v>0.252</v>
      </c>
      <c r="Q901" t="str">
        <f t="shared" si="131"/>
        <v>Match</v>
      </c>
      <c r="R901" t="str">
        <f t="shared" si="132"/>
        <v>Match</v>
      </c>
      <c r="S901" t="str">
        <f t="shared" si="133"/>
        <v>Match</v>
      </c>
    </row>
    <row r="902" spans="1:19" x14ac:dyDescent="0.25">
      <c r="A902" t="s">
        <v>856</v>
      </c>
      <c r="B902">
        <v>32000</v>
      </c>
      <c r="C902">
        <f t="shared" si="134"/>
        <v>320</v>
      </c>
      <c r="D902">
        <v>0</v>
      </c>
      <c r="E902">
        <v>6</v>
      </c>
      <c r="F902">
        <v>32000</v>
      </c>
      <c r="G902">
        <f t="shared" si="126"/>
        <v>320</v>
      </c>
      <c r="H902">
        <v>500</v>
      </c>
      <c r="I902" s="4">
        <f>Full_Data[[#This Row],[Selling Price]]/Full_Data[[#This Row],[Weight (g)]]</f>
        <v>0.64</v>
      </c>
      <c r="J902" t="b">
        <v>0</v>
      </c>
      <c r="K902">
        <v>500</v>
      </c>
      <c r="L902">
        <f t="shared" si="127"/>
        <v>0</v>
      </c>
      <c r="M902" t="str">
        <f t="shared" si="128"/>
        <v>High</v>
      </c>
      <c r="N902" t="str">
        <f t="shared" si="129"/>
        <v>0-5%</v>
      </c>
      <c r="O902" t="str">
        <f t="shared" si="130"/>
        <v>OK</v>
      </c>
      <c r="P902">
        <f>IFERROR(Full_Data!G902/Full_Data!H902,"Check data")</f>
        <v>0.64</v>
      </c>
      <c r="Q902" t="str">
        <f t="shared" si="131"/>
        <v>Match</v>
      </c>
      <c r="R902" t="str">
        <f t="shared" si="132"/>
        <v>Match</v>
      </c>
      <c r="S902" t="str">
        <f t="shared" si="133"/>
        <v>Match</v>
      </c>
    </row>
    <row r="903" spans="1:19" x14ac:dyDescent="0.25">
      <c r="A903" t="s">
        <v>778</v>
      </c>
      <c r="B903">
        <v>29900</v>
      </c>
      <c r="C903">
        <f t="shared" si="134"/>
        <v>299</v>
      </c>
      <c r="D903">
        <v>10</v>
      </c>
      <c r="E903">
        <v>4</v>
      </c>
      <c r="F903">
        <v>26900</v>
      </c>
      <c r="G903">
        <f t="shared" si="126"/>
        <v>269</v>
      </c>
      <c r="H903">
        <v>700</v>
      </c>
      <c r="I903" s="4">
        <f>Full_Data[[#This Row],[Selling Price]]/Full_Data[[#This Row],[Weight (g)]]</f>
        <v>0.38428571428571429</v>
      </c>
      <c r="J903" t="b">
        <v>0</v>
      </c>
      <c r="K903">
        <v>700</v>
      </c>
      <c r="L903">
        <f t="shared" si="127"/>
        <v>30</v>
      </c>
      <c r="M903" t="str">
        <f t="shared" si="128"/>
        <v>High</v>
      </c>
      <c r="N903" t="str">
        <f t="shared" si="129"/>
        <v>6-10%</v>
      </c>
      <c r="O903" t="str">
        <f t="shared" si="130"/>
        <v>OK</v>
      </c>
      <c r="P903">
        <f>IFERROR(Full_Data!G903/Full_Data!H903,"Check data")</f>
        <v>0.38428571428571429</v>
      </c>
      <c r="Q903" t="str">
        <f t="shared" si="131"/>
        <v>Match</v>
      </c>
      <c r="R903" t="str">
        <f t="shared" si="132"/>
        <v>Mismatch</v>
      </c>
      <c r="S903" t="str">
        <f t="shared" si="133"/>
        <v>Match</v>
      </c>
    </row>
    <row r="904" spans="1:19" x14ac:dyDescent="0.25">
      <c r="A904" t="s">
        <v>857</v>
      </c>
      <c r="B904">
        <v>62000</v>
      </c>
      <c r="C904">
        <f t="shared" si="134"/>
        <v>620</v>
      </c>
      <c r="D904">
        <v>0</v>
      </c>
      <c r="E904">
        <v>1</v>
      </c>
      <c r="F904">
        <v>62000</v>
      </c>
      <c r="G904">
        <f t="shared" si="126"/>
        <v>620</v>
      </c>
      <c r="H904">
        <v>400</v>
      </c>
      <c r="I904" s="4">
        <f>Full_Data[[#This Row],[Selling Price]]/Full_Data[[#This Row],[Weight (g)]]</f>
        <v>1.55</v>
      </c>
      <c r="J904" t="b">
        <v>0</v>
      </c>
      <c r="K904">
        <v>400</v>
      </c>
      <c r="L904">
        <f t="shared" si="127"/>
        <v>0</v>
      </c>
      <c r="M904" t="str">
        <f t="shared" si="128"/>
        <v>High</v>
      </c>
      <c r="N904" t="str">
        <f t="shared" si="129"/>
        <v>0-5%</v>
      </c>
      <c r="O904" t="str">
        <f t="shared" si="130"/>
        <v>OK</v>
      </c>
      <c r="P904">
        <f>IFERROR(Full_Data!G904/Full_Data!H904,"Check data")</f>
        <v>1.55</v>
      </c>
      <c r="Q904" t="str">
        <f t="shared" si="131"/>
        <v>Match</v>
      </c>
      <c r="R904" t="str">
        <f t="shared" si="132"/>
        <v>Match</v>
      </c>
      <c r="S904" t="str">
        <f t="shared" si="133"/>
        <v>Match</v>
      </c>
    </row>
    <row r="905" spans="1:19" x14ac:dyDescent="0.25">
      <c r="A905" t="s">
        <v>858</v>
      </c>
      <c r="B905">
        <v>9900</v>
      </c>
      <c r="C905">
        <f t="shared" si="134"/>
        <v>99</v>
      </c>
      <c r="D905">
        <v>20</v>
      </c>
      <c r="E905">
        <v>6</v>
      </c>
      <c r="F905">
        <v>7900</v>
      </c>
      <c r="G905">
        <f t="shared" si="126"/>
        <v>79</v>
      </c>
      <c r="H905">
        <v>500</v>
      </c>
      <c r="I905" s="4">
        <f>Full_Data[[#This Row],[Selling Price]]/Full_Data[[#This Row],[Weight (g)]]</f>
        <v>0.158</v>
      </c>
      <c r="J905" t="b">
        <v>0</v>
      </c>
      <c r="K905">
        <v>500</v>
      </c>
      <c r="L905">
        <f t="shared" si="127"/>
        <v>20</v>
      </c>
      <c r="M905" t="str">
        <f t="shared" si="128"/>
        <v>Medium</v>
      </c>
      <c r="N905" t="str">
        <f t="shared" si="129"/>
        <v>16-20%</v>
      </c>
      <c r="O905" t="str">
        <f t="shared" si="130"/>
        <v>OK</v>
      </c>
      <c r="P905">
        <f>IFERROR(Full_Data!G905/Full_Data!H905,"Check data")</f>
        <v>0.158</v>
      </c>
      <c r="Q905" t="str">
        <f t="shared" si="131"/>
        <v>Match</v>
      </c>
      <c r="R905" t="str">
        <f t="shared" si="132"/>
        <v>Mismatch</v>
      </c>
      <c r="S905" t="str">
        <f t="shared" si="133"/>
        <v>Match</v>
      </c>
    </row>
    <row r="906" spans="1:19" x14ac:dyDescent="0.25">
      <c r="A906" t="s">
        <v>859</v>
      </c>
      <c r="B906">
        <v>8500</v>
      </c>
      <c r="C906">
        <f t="shared" si="134"/>
        <v>85</v>
      </c>
      <c r="D906">
        <v>4</v>
      </c>
      <c r="E906">
        <v>1</v>
      </c>
      <c r="F906">
        <v>8100</v>
      </c>
      <c r="G906">
        <f t="shared" si="126"/>
        <v>81</v>
      </c>
      <c r="H906">
        <v>680</v>
      </c>
      <c r="I906" s="4">
        <f>Full_Data[[#This Row],[Selling Price]]/Full_Data[[#This Row],[Weight (g)]]</f>
        <v>0.11911764705882352</v>
      </c>
      <c r="J906" t="b">
        <v>0</v>
      </c>
      <c r="K906">
        <v>680</v>
      </c>
      <c r="L906">
        <f t="shared" si="127"/>
        <v>4</v>
      </c>
      <c r="M906" t="str">
        <f t="shared" si="128"/>
        <v>Medium</v>
      </c>
      <c r="N906" t="str">
        <f t="shared" si="129"/>
        <v>0-5%</v>
      </c>
      <c r="O906" t="str">
        <f t="shared" si="130"/>
        <v>OK</v>
      </c>
      <c r="P906">
        <f>IFERROR(Full_Data!G906/Full_Data!H906,"Check data")</f>
        <v>0.11911764705882352</v>
      </c>
      <c r="Q906" t="str">
        <f t="shared" si="131"/>
        <v>Match</v>
      </c>
      <c r="R906" t="str">
        <f t="shared" si="132"/>
        <v>Mismatch</v>
      </c>
      <c r="S906" t="str">
        <f t="shared" si="133"/>
        <v>Mismatch</v>
      </c>
    </row>
    <row r="907" spans="1:19" x14ac:dyDescent="0.25">
      <c r="A907" t="s">
        <v>860</v>
      </c>
      <c r="B907">
        <v>5500</v>
      </c>
      <c r="C907">
        <f t="shared" si="134"/>
        <v>55</v>
      </c>
      <c r="D907">
        <v>0</v>
      </c>
      <c r="E907">
        <v>1</v>
      </c>
      <c r="F907">
        <v>5500</v>
      </c>
      <c r="G907">
        <f t="shared" si="126"/>
        <v>55</v>
      </c>
      <c r="H907">
        <v>400</v>
      </c>
      <c r="I907" s="4">
        <f>Full_Data[[#This Row],[Selling Price]]/Full_Data[[#This Row],[Weight (g)]]</f>
        <v>0.13750000000000001</v>
      </c>
      <c r="J907" t="b">
        <v>0</v>
      </c>
      <c r="K907">
        <v>400</v>
      </c>
      <c r="L907">
        <f t="shared" si="127"/>
        <v>0</v>
      </c>
      <c r="M907" t="str">
        <f t="shared" si="128"/>
        <v>Medium</v>
      </c>
      <c r="N907" t="str">
        <f t="shared" si="129"/>
        <v>0-5%</v>
      </c>
      <c r="O907" t="str">
        <f t="shared" si="130"/>
        <v>OK</v>
      </c>
      <c r="P907">
        <f>IFERROR(Full_Data!G907/Full_Data!H907,"Check data")</f>
        <v>0.13750000000000001</v>
      </c>
      <c r="Q907" t="str">
        <f t="shared" si="131"/>
        <v>Match</v>
      </c>
      <c r="R907" t="str">
        <f t="shared" si="132"/>
        <v>Match</v>
      </c>
      <c r="S907" t="str">
        <f t="shared" si="133"/>
        <v>Match</v>
      </c>
    </row>
    <row r="908" spans="1:19" x14ac:dyDescent="0.25">
      <c r="A908" t="s">
        <v>861</v>
      </c>
      <c r="B908">
        <v>12000</v>
      </c>
      <c r="C908">
        <f t="shared" si="134"/>
        <v>120</v>
      </c>
      <c r="D908">
        <v>10</v>
      </c>
      <c r="E908">
        <v>4</v>
      </c>
      <c r="F908">
        <v>10800</v>
      </c>
      <c r="G908">
        <f t="shared" si="126"/>
        <v>108</v>
      </c>
      <c r="H908">
        <v>400</v>
      </c>
      <c r="I908" s="4">
        <f>Full_Data[[#This Row],[Selling Price]]/Full_Data[[#This Row],[Weight (g)]]</f>
        <v>0.27</v>
      </c>
      <c r="J908" t="b">
        <v>0</v>
      </c>
      <c r="K908">
        <v>400</v>
      </c>
      <c r="L908">
        <f t="shared" si="127"/>
        <v>12</v>
      </c>
      <c r="M908" t="str">
        <f t="shared" si="128"/>
        <v>Medium</v>
      </c>
      <c r="N908" t="str">
        <f t="shared" si="129"/>
        <v>6-10%</v>
      </c>
      <c r="O908" t="str">
        <f t="shared" si="130"/>
        <v>OK</v>
      </c>
      <c r="P908">
        <f>IFERROR(Full_Data!G908/Full_Data!H908,"Check data")</f>
        <v>0.27</v>
      </c>
      <c r="Q908" t="str">
        <f t="shared" si="131"/>
        <v>Match</v>
      </c>
      <c r="R908" t="str">
        <f t="shared" si="132"/>
        <v>Match</v>
      </c>
      <c r="S908" t="str">
        <f t="shared" si="133"/>
        <v>Match</v>
      </c>
    </row>
    <row r="909" spans="1:19" x14ac:dyDescent="0.25">
      <c r="A909" t="s">
        <v>862</v>
      </c>
      <c r="B909">
        <v>11400</v>
      </c>
      <c r="C909">
        <f t="shared" si="134"/>
        <v>114</v>
      </c>
      <c r="D909">
        <v>0</v>
      </c>
      <c r="E909">
        <v>6</v>
      </c>
      <c r="F909">
        <v>11400</v>
      </c>
      <c r="G909">
        <f t="shared" si="126"/>
        <v>114</v>
      </c>
      <c r="H909">
        <v>480</v>
      </c>
      <c r="I909" s="4">
        <f>Full_Data[[#This Row],[Selling Price]]/Full_Data[[#This Row],[Weight (g)]]</f>
        <v>0.23749999999999999</v>
      </c>
      <c r="J909" t="b">
        <v>0</v>
      </c>
      <c r="K909">
        <v>480</v>
      </c>
      <c r="L909">
        <f t="shared" si="127"/>
        <v>0</v>
      </c>
      <c r="M909" t="str">
        <f t="shared" si="128"/>
        <v>Medium</v>
      </c>
      <c r="N909" t="str">
        <f t="shared" si="129"/>
        <v>0-5%</v>
      </c>
      <c r="O909" t="str">
        <f t="shared" si="130"/>
        <v>OK</v>
      </c>
      <c r="P909">
        <f>IFERROR(Full_Data!G909/Full_Data!H909,"Check data")</f>
        <v>0.23749999999999999</v>
      </c>
      <c r="Q909" t="str">
        <f t="shared" si="131"/>
        <v>Match</v>
      </c>
      <c r="R909" t="str">
        <f t="shared" si="132"/>
        <v>Match</v>
      </c>
      <c r="S909" t="str">
        <f t="shared" si="133"/>
        <v>Match</v>
      </c>
    </row>
    <row r="910" spans="1:19" x14ac:dyDescent="0.25">
      <c r="A910" t="s">
        <v>863</v>
      </c>
      <c r="B910">
        <v>29000</v>
      </c>
      <c r="C910">
        <f t="shared" si="134"/>
        <v>290</v>
      </c>
      <c r="D910">
        <v>7</v>
      </c>
      <c r="E910">
        <v>5</v>
      </c>
      <c r="F910">
        <v>26700</v>
      </c>
      <c r="G910">
        <f t="shared" si="126"/>
        <v>267</v>
      </c>
      <c r="H910">
        <v>630</v>
      </c>
      <c r="I910" s="4">
        <f>Full_Data[[#This Row],[Selling Price]]/Full_Data[[#This Row],[Weight (g)]]</f>
        <v>0.4238095238095238</v>
      </c>
      <c r="J910" t="b">
        <v>0</v>
      </c>
      <c r="K910">
        <v>630</v>
      </c>
      <c r="L910">
        <f t="shared" si="127"/>
        <v>23</v>
      </c>
      <c r="M910" t="str">
        <f t="shared" si="128"/>
        <v>High</v>
      </c>
      <c r="N910" t="str">
        <f t="shared" si="129"/>
        <v>6-10%</v>
      </c>
      <c r="O910" t="str">
        <f t="shared" si="130"/>
        <v>OK</v>
      </c>
      <c r="P910">
        <f>IFERROR(Full_Data!G910/Full_Data!H910,"Check data")</f>
        <v>0.4238095238095238</v>
      </c>
      <c r="Q910" t="str">
        <f t="shared" si="131"/>
        <v>Match</v>
      </c>
      <c r="R910" t="str">
        <f t="shared" si="132"/>
        <v>Mismatch</v>
      </c>
      <c r="S910" t="str">
        <f t="shared" si="133"/>
        <v>Mismatch</v>
      </c>
    </row>
    <row r="911" spans="1:19" x14ac:dyDescent="0.25">
      <c r="A911" t="s">
        <v>864</v>
      </c>
      <c r="B911">
        <v>13000</v>
      </c>
      <c r="C911">
        <f t="shared" si="134"/>
        <v>130</v>
      </c>
      <c r="D911">
        <v>4</v>
      </c>
      <c r="E911">
        <v>4</v>
      </c>
      <c r="F911">
        <v>12400</v>
      </c>
      <c r="G911">
        <f t="shared" si="126"/>
        <v>124</v>
      </c>
      <c r="H911">
        <v>230</v>
      </c>
      <c r="I911" s="4">
        <f>Full_Data[[#This Row],[Selling Price]]/Full_Data[[#This Row],[Weight (g)]]</f>
        <v>0.53913043478260869</v>
      </c>
      <c r="J911" t="b">
        <v>0</v>
      </c>
      <c r="K911">
        <v>230</v>
      </c>
      <c r="L911">
        <f t="shared" si="127"/>
        <v>6</v>
      </c>
      <c r="M911" t="str">
        <f t="shared" si="128"/>
        <v>Medium</v>
      </c>
      <c r="N911" t="str">
        <f t="shared" si="129"/>
        <v>0-5%</v>
      </c>
      <c r="O911" t="str">
        <f t="shared" si="130"/>
        <v>OK</v>
      </c>
      <c r="P911">
        <f>IFERROR(Full_Data!G911/Full_Data!H911,"Check data")</f>
        <v>0.53913043478260869</v>
      </c>
      <c r="Q911" t="str">
        <f t="shared" si="131"/>
        <v>Match</v>
      </c>
      <c r="R911" t="str">
        <f t="shared" si="132"/>
        <v>Mismatch</v>
      </c>
      <c r="S911" t="str">
        <f t="shared" si="133"/>
        <v>Mismatch</v>
      </c>
    </row>
    <row r="912" spans="1:19" x14ac:dyDescent="0.25">
      <c r="A912" t="s">
        <v>865</v>
      </c>
      <c r="B912">
        <v>18500</v>
      </c>
      <c r="C912">
        <f t="shared" si="134"/>
        <v>185</v>
      </c>
      <c r="D912">
        <v>10</v>
      </c>
      <c r="E912">
        <v>5</v>
      </c>
      <c r="F912">
        <v>16500</v>
      </c>
      <c r="G912">
        <f t="shared" si="126"/>
        <v>165</v>
      </c>
      <c r="H912">
        <v>250</v>
      </c>
      <c r="I912" s="4">
        <f>Full_Data[[#This Row],[Selling Price]]/Full_Data[[#This Row],[Weight (g)]]</f>
        <v>0.66</v>
      </c>
      <c r="J912" t="b">
        <v>0</v>
      </c>
      <c r="K912">
        <v>250</v>
      </c>
      <c r="L912">
        <f t="shared" si="127"/>
        <v>20</v>
      </c>
      <c r="M912" t="str">
        <f t="shared" si="128"/>
        <v>Medium</v>
      </c>
      <c r="N912" t="str">
        <f t="shared" si="129"/>
        <v>6-10%</v>
      </c>
      <c r="O912" t="str">
        <f t="shared" si="130"/>
        <v>OK</v>
      </c>
      <c r="P912">
        <f>IFERROR(Full_Data!G912/Full_Data!H912,"Check data")</f>
        <v>0.66</v>
      </c>
      <c r="Q912" t="str">
        <f t="shared" si="131"/>
        <v>Match</v>
      </c>
      <c r="R912" t="str">
        <f t="shared" si="132"/>
        <v>Mismatch</v>
      </c>
      <c r="S912" t="str">
        <f t="shared" si="133"/>
        <v>Mismatch</v>
      </c>
    </row>
    <row r="913" spans="1:19" x14ac:dyDescent="0.25">
      <c r="A913" t="s">
        <v>866</v>
      </c>
      <c r="B913">
        <v>59500</v>
      </c>
      <c r="C913">
        <f t="shared" si="134"/>
        <v>595</v>
      </c>
      <c r="D913">
        <v>9</v>
      </c>
      <c r="E913">
        <v>2</v>
      </c>
      <c r="F913">
        <v>53600</v>
      </c>
      <c r="G913">
        <f t="shared" si="126"/>
        <v>536</v>
      </c>
      <c r="H913">
        <v>500</v>
      </c>
      <c r="I913" s="4">
        <f>Full_Data[[#This Row],[Selling Price]]/Full_Data[[#This Row],[Weight (g)]]</f>
        <v>1.0720000000000001</v>
      </c>
      <c r="J913" t="b">
        <v>0</v>
      </c>
      <c r="K913">
        <v>500</v>
      </c>
      <c r="L913">
        <f t="shared" si="127"/>
        <v>59</v>
      </c>
      <c r="M913" t="str">
        <f t="shared" si="128"/>
        <v>High</v>
      </c>
      <c r="N913" t="str">
        <f t="shared" si="129"/>
        <v>6-10%</v>
      </c>
      <c r="O913" t="str">
        <f t="shared" si="130"/>
        <v>OK</v>
      </c>
      <c r="P913">
        <f>IFERROR(Full_Data!G913/Full_Data!H913,"Check data")</f>
        <v>1.0720000000000001</v>
      </c>
      <c r="Q913" t="str">
        <f t="shared" si="131"/>
        <v>Match</v>
      </c>
      <c r="R913" t="str">
        <f t="shared" si="132"/>
        <v>Mismatch</v>
      </c>
      <c r="S913" t="str">
        <f t="shared" si="133"/>
        <v>Mismatch</v>
      </c>
    </row>
    <row r="914" spans="1:19" x14ac:dyDescent="0.25">
      <c r="A914" t="s">
        <v>867</v>
      </c>
      <c r="B914">
        <v>20000</v>
      </c>
      <c r="C914">
        <f t="shared" si="134"/>
        <v>200</v>
      </c>
      <c r="D914">
        <v>0</v>
      </c>
      <c r="E914">
        <v>5</v>
      </c>
      <c r="F914">
        <v>20000</v>
      </c>
      <c r="G914">
        <f t="shared" si="126"/>
        <v>200</v>
      </c>
      <c r="H914">
        <v>130</v>
      </c>
      <c r="I914" s="4">
        <f>Full_Data[[#This Row],[Selling Price]]/Full_Data[[#This Row],[Weight (g)]]</f>
        <v>1.5384615384615385</v>
      </c>
      <c r="J914" t="b">
        <v>0</v>
      </c>
      <c r="K914">
        <v>130</v>
      </c>
      <c r="L914">
        <f t="shared" si="127"/>
        <v>0</v>
      </c>
      <c r="M914" t="str">
        <f t="shared" si="128"/>
        <v>High</v>
      </c>
      <c r="N914" t="str">
        <f t="shared" si="129"/>
        <v>0-5%</v>
      </c>
      <c r="O914" t="str">
        <f t="shared" si="130"/>
        <v>OK</v>
      </c>
      <c r="P914">
        <f>IFERROR(Full_Data!G914/Full_Data!H914,"Check data")</f>
        <v>1.5384615384615385</v>
      </c>
      <c r="Q914" t="str">
        <f t="shared" si="131"/>
        <v>Match</v>
      </c>
      <c r="R914" t="str">
        <f t="shared" si="132"/>
        <v>Match</v>
      </c>
      <c r="S914" t="str">
        <f t="shared" si="133"/>
        <v>Match</v>
      </c>
    </row>
    <row r="915" spans="1:19" x14ac:dyDescent="0.25">
      <c r="A915" t="s">
        <v>868</v>
      </c>
      <c r="B915">
        <v>49900</v>
      </c>
      <c r="C915">
        <f t="shared" si="134"/>
        <v>499</v>
      </c>
      <c r="D915">
        <v>0</v>
      </c>
      <c r="E915">
        <v>5</v>
      </c>
      <c r="F915">
        <v>49900</v>
      </c>
      <c r="G915">
        <f t="shared" si="126"/>
        <v>499</v>
      </c>
      <c r="H915">
        <v>750</v>
      </c>
      <c r="I915" s="4">
        <f>Full_Data[[#This Row],[Selling Price]]/Full_Data[[#This Row],[Weight (g)]]</f>
        <v>0.66533333333333333</v>
      </c>
      <c r="J915" t="b">
        <v>0</v>
      </c>
      <c r="K915">
        <v>750</v>
      </c>
      <c r="L915">
        <f t="shared" si="127"/>
        <v>0</v>
      </c>
      <c r="M915" t="str">
        <f t="shared" si="128"/>
        <v>High</v>
      </c>
      <c r="N915" t="str">
        <f t="shared" si="129"/>
        <v>0-5%</v>
      </c>
      <c r="O915" t="str">
        <f t="shared" si="130"/>
        <v>OK</v>
      </c>
      <c r="P915">
        <f>IFERROR(Full_Data!G915/Full_Data!H915,"Check data")</f>
        <v>0.66533333333333333</v>
      </c>
      <c r="Q915" t="str">
        <f t="shared" si="131"/>
        <v>Match</v>
      </c>
      <c r="R915" t="str">
        <f t="shared" si="132"/>
        <v>Match</v>
      </c>
      <c r="S915" t="str">
        <f t="shared" si="133"/>
        <v>Match</v>
      </c>
    </row>
    <row r="916" spans="1:19" x14ac:dyDescent="0.25">
      <c r="A916" t="s">
        <v>869</v>
      </c>
      <c r="B916">
        <v>11000</v>
      </c>
      <c r="C916">
        <f t="shared" si="134"/>
        <v>110</v>
      </c>
      <c r="D916">
        <v>30</v>
      </c>
      <c r="E916">
        <v>6</v>
      </c>
      <c r="F916">
        <v>7700</v>
      </c>
      <c r="G916">
        <f t="shared" si="126"/>
        <v>77</v>
      </c>
      <c r="H916">
        <v>285</v>
      </c>
      <c r="I916" s="4">
        <f>Full_Data[[#This Row],[Selling Price]]/Full_Data[[#This Row],[Weight (g)]]</f>
        <v>0.27017543859649124</v>
      </c>
      <c r="J916" t="b">
        <v>0</v>
      </c>
      <c r="K916">
        <v>285</v>
      </c>
      <c r="L916">
        <f t="shared" si="127"/>
        <v>33</v>
      </c>
      <c r="M916" t="str">
        <f t="shared" si="128"/>
        <v>Medium</v>
      </c>
      <c r="N916" t="str">
        <f t="shared" si="129"/>
        <v>21%+</v>
      </c>
      <c r="O916" t="str">
        <f t="shared" si="130"/>
        <v>OK</v>
      </c>
      <c r="P916">
        <f>IFERROR(Full_Data!G916/Full_Data!H916,"Check data")</f>
        <v>0.27017543859649124</v>
      </c>
      <c r="Q916" t="str">
        <f t="shared" si="131"/>
        <v>Match</v>
      </c>
      <c r="R916" t="str">
        <f t="shared" si="132"/>
        <v>Match</v>
      </c>
      <c r="S916" t="str">
        <f t="shared" si="133"/>
        <v>Match</v>
      </c>
    </row>
    <row r="917" spans="1:19" x14ac:dyDescent="0.25">
      <c r="A917" t="s">
        <v>870</v>
      </c>
      <c r="B917">
        <v>16900</v>
      </c>
      <c r="C917">
        <f t="shared" si="134"/>
        <v>169</v>
      </c>
      <c r="D917">
        <v>5</v>
      </c>
      <c r="E917">
        <v>6</v>
      </c>
      <c r="F917">
        <v>16000</v>
      </c>
      <c r="G917">
        <f t="shared" si="126"/>
        <v>160</v>
      </c>
      <c r="H917">
        <v>250</v>
      </c>
      <c r="I917" s="4">
        <f>Full_Data[[#This Row],[Selling Price]]/Full_Data[[#This Row],[Weight (g)]]</f>
        <v>0.64</v>
      </c>
      <c r="J917" t="b">
        <v>0</v>
      </c>
      <c r="K917">
        <v>250</v>
      </c>
      <c r="L917">
        <f t="shared" si="127"/>
        <v>9</v>
      </c>
      <c r="M917" t="str">
        <f t="shared" si="128"/>
        <v>Medium</v>
      </c>
      <c r="N917" t="str">
        <f t="shared" si="129"/>
        <v>0-5%</v>
      </c>
      <c r="O917" t="str">
        <f t="shared" si="130"/>
        <v>OK</v>
      </c>
      <c r="P917">
        <f>IFERROR(Full_Data!G917/Full_Data!H917,"Check data")</f>
        <v>0.64</v>
      </c>
      <c r="Q917" t="str">
        <f t="shared" si="131"/>
        <v>Match</v>
      </c>
      <c r="R917" t="str">
        <f t="shared" si="132"/>
        <v>Mismatch</v>
      </c>
      <c r="S917" t="str">
        <f t="shared" si="133"/>
        <v>Match</v>
      </c>
    </row>
    <row r="918" spans="1:19" x14ac:dyDescent="0.25">
      <c r="A918" t="s">
        <v>871</v>
      </c>
      <c r="B918">
        <v>32500</v>
      </c>
      <c r="C918">
        <f t="shared" si="134"/>
        <v>325</v>
      </c>
      <c r="D918">
        <v>15</v>
      </c>
      <c r="E918">
        <v>6</v>
      </c>
      <c r="F918">
        <v>27600</v>
      </c>
      <c r="G918">
        <f t="shared" si="126"/>
        <v>276</v>
      </c>
      <c r="H918">
        <v>200</v>
      </c>
      <c r="I918" s="4">
        <f>Full_Data[[#This Row],[Selling Price]]/Full_Data[[#This Row],[Weight (g)]]</f>
        <v>1.38</v>
      </c>
      <c r="J918" t="b">
        <v>0</v>
      </c>
      <c r="K918">
        <v>200</v>
      </c>
      <c r="L918">
        <f t="shared" si="127"/>
        <v>49</v>
      </c>
      <c r="M918" t="str">
        <f t="shared" si="128"/>
        <v>High</v>
      </c>
      <c r="N918" t="str">
        <f t="shared" si="129"/>
        <v>11-15%</v>
      </c>
      <c r="O918" t="str">
        <f t="shared" si="130"/>
        <v>OK</v>
      </c>
      <c r="P918">
        <f>IFERROR(Full_Data!G918/Full_Data!H918,"Check data")</f>
        <v>1.38</v>
      </c>
      <c r="Q918" t="str">
        <f t="shared" si="131"/>
        <v>Match</v>
      </c>
      <c r="R918" t="str">
        <f t="shared" si="132"/>
        <v>Mismatch</v>
      </c>
      <c r="S918" t="str">
        <f t="shared" si="133"/>
        <v>Match</v>
      </c>
    </row>
    <row r="919" spans="1:19" x14ac:dyDescent="0.25">
      <c r="A919" t="s">
        <v>872</v>
      </c>
      <c r="B919">
        <v>41000</v>
      </c>
      <c r="C919">
        <f t="shared" si="134"/>
        <v>410</v>
      </c>
      <c r="D919">
        <v>0</v>
      </c>
      <c r="E919">
        <v>1</v>
      </c>
      <c r="F919">
        <v>41000</v>
      </c>
      <c r="G919">
        <f t="shared" si="126"/>
        <v>410</v>
      </c>
      <c r="H919">
        <v>1200</v>
      </c>
      <c r="I919" s="4">
        <f>Full_Data[[#This Row],[Selling Price]]/Full_Data[[#This Row],[Weight (g)]]</f>
        <v>0.34166666666666667</v>
      </c>
      <c r="J919" t="b">
        <v>0</v>
      </c>
      <c r="K919">
        <v>1</v>
      </c>
      <c r="L919">
        <f t="shared" si="127"/>
        <v>0</v>
      </c>
      <c r="M919" t="str">
        <f t="shared" si="128"/>
        <v>High</v>
      </c>
      <c r="N919" t="str">
        <f t="shared" si="129"/>
        <v>0-5%</v>
      </c>
      <c r="O919" t="str">
        <f t="shared" si="130"/>
        <v>OK</v>
      </c>
      <c r="P919">
        <f>IFERROR(Full_Data!G919/Full_Data!H919,"Check data")</f>
        <v>0.34166666666666667</v>
      </c>
      <c r="Q919" t="str">
        <f t="shared" si="131"/>
        <v>Match</v>
      </c>
      <c r="R919" t="str">
        <f t="shared" si="132"/>
        <v>Match</v>
      </c>
      <c r="S919" t="str">
        <f t="shared" si="133"/>
        <v>Match</v>
      </c>
    </row>
    <row r="920" spans="1:19" x14ac:dyDescent="0.25">
      <c r="A920" t="s">
        <v>873</v>
      </c>
      <c r="B920">
        <v>20000</v>
      </c>
      <c r="C920">
        <f t="shared" si="134"/>
        <v>200</v>
      </c>
      <c r="D920">
        <v>30</v>
      </c>
      <c r="E920">
        <v>4</v>
      </c>
      <c r="F920">
        <v>14000</v>
      </c>
      <c r="G920">
        <f t="shared" si="126"/>
        <v>140</v>
      </c>
      <c r="H920">
        <v>285</v>
      </c>
      <c r="I920" s="4">
        <f>Full_Data[[#This Row],[Selling Price]]/Full_Data[[#This Row],[Weight (g)]]</f>
        <v>0.49122807017543857</v>
      </c>
      <c r="J920" t="b">
        <v>0</v>
      </c>
      <c r="K920">
        <v>285</v>
      </c>
      <c r="L920">
        <f t="shared" si="127"/>
        <v>60</v>
      </c>
      <c r="M920" t="str">
        <f t="shared" si="128"/>
        <v>Medium</v>
      </c>
      <c r="N920" t="str">
        <f t="shared" si="129"/>
        <v>21%+</v>
      </c>
      <c r="O920" t="str">
        <f t="shared" si="130"/>
        <v>OK</v>
      </c>
      <c r="P920">
        <f>IFERROR(Full_Data!G920/Full_Data!H920,"Check data")</f>
        <v>0.49122807017543857</v>
      </c>
      <c r="Q920" t="str">
        <f t="shared" si="131"/>
        <v>Match</v>
      </c>
      <c r="R920" t="str">
        <f t="shared" si="132"/>
        <v>Match</v>
      </c>
      <c r="S920" t="str">
        <f t="shared" si="133"/>
        <v>Match</v>
      </c>
    </row>
    <row r="921" spans="1:19" x14ac:dyDescent="0.25">
      <c r="A921" t="s">
        <v>874</v>
      </c>
      <c r="B921">
        <v>29900</v>
      </c>
      <c r="C921">
        <f t="shared" si="134"/>
        <v>299</v>
      </c>
      <c r="D921">
        <v>10</v>
      </c>
      <c r="E921">
        <v>6</v>
      </c>
      <c r="F921">
        <v>26900</v>
      </c>
      <c r="G921">
        <f t="shared" si="126"/>
        <v>269</v>
      </c>
      <c r="H921">
        <v>400</v>
      </c>
      <c r="I921" s="4">
        <f>Full_Data[[#This Row],[Selling Price]]/Full_Data[[#This Row],[Weight (g)]]</f>
        <v>0.67249999999999999</v>
      </c>
      <c r="J921" t="b">
        <v>0</v>
      </c>
      <c r="K921">
        <v>400</v>
      </c>
      <c r="L921">
        <f t="shared" si="127"/>
        <v>30</v>
      </c>
      <c r="M921" t="str">
        <f t="shared" si="128"/>
        <v>High</v>
      </c>
      <c r="N921" t="str">
        <f t="shared" si="129"/>
        <v>6-10%</v>
      </c>
      <c r="O921" t="str">
        <f t="shared" si="130"/>
        <v>OK</v>
      </c>
      <c r="P921">
        <f>IFERROR(Full_Data!G921/Full_Data!H921,"Check data")</f>
        <v>0.67249999999999999</v>
      </c>
      <c r="Q921" t="str">
        <f t="shared" si="131"/>
        <v>Match</v>
      </c>
      <c r="R921" t="str">
        <f t="shared" si="132"/>
        <v>Mismatch</v>
      </c>
      <c r="S921" t="str">
        <f t="shared" si="133"/>
        <v>Match</v>
      </c>
    </row>
    <row r="922" spans="1:19" x14ac:dyDescent="0.25">
      <c r="A922" t="s">
        <v>875</v>
      </c>
      <c r="B922">
        <v>4000</v>
      </c>
      <c r="C922">
        <f t="shared" si="134"/>
        <v>40</v>
      </c>
      <c r="D922">
        <v>0</v>
      </c>
      <c r="E922">
        <v>6</v>
      </c>
      <c r="F922">
        <v>4000</v>
      </c>
      <c r="G922">
        <f t="shared" si="126"/>
        <v>40</v>
      </c>
      <c r="H922">
        <v>46</v>
      </c>
      <c r="I922" s="4">
        <f>Full_Data[[#This Row],[Selling Price]]/Full_Data[[#This Row],[Weight (g)]]</f>
        <v>0.86956521739130432</v>
      </c>
      <c r="J922" t="b">
        <v>0</v>
      </c>
      <c r="K922">
        <v>46</v>
      </c>
      <c r="L922">
        <f t="shared" si="127"/>
        <v>0</v>
      </c>
      <c r="M922" t="str">
        <f t="shared" si="128"/>
        <v>Low</v>
      </c>
      <c r="N922" t="str">
        <f t="shared" si="129"/>
        <v>0-5%</v>
      </c>
      <c r="O922" t="str">
        <f t="shared" si="130"/>
        <v>OK</v>
      </c>
      <c r="P922">
        <f>IFERROR(Full_Data!G922/Full_Data!H922,"Check data")</f>
        <v>0.86956521739130432</v>
      </c>
      <c r="Q922" t="str">
        <f t="shared" si="131"/>
        <v>Match</v>
      </c>
      <c r="R922" t="str">
        <f t="shared" si="132"/>
        <v>Match</v>
      </c>
      <c r="S922" t="str">
        <f t="shared" si="133"/>
        <v>Match</v>
      </c>
    </row>
    <row r="923" spans="1:19" x14ac:dyDescent="0.25">
      <c r="A923" t="s">
        <v>876</v>
      </c>
      <c r="B923">
        <v>42500</v>
      </c>
      <c r="C923">
        <f t="shared" si="134"/>
        <v>425</v>
      </c>
      <c r="D923">
        <v>9</v>
      </c>
      <c r="E923">
        <v>3</v>
      </c>
      <c r="F923">
        <v>38300</v>
      </c>
      <c r="G923">
        <f t="shared" si="126"/>
        <v>383</v>
      </c>
      <c r="H923">
        <v>750</v>
      </c>
      <c r="I923" s="4">
        <f>Full_Data[[#This Row],[Selling Price]]/Full_Data[[#This Row],[Weight (g)]]</f>
        <v>0.51066666666666671</v>
      </c>
      <c r="J923" t="b">
        <v>0</v>
      </c>
      <c r="K923">
        <v>750</v>
      </c>
      <c r="L923">
        <f t="shared" si="127"/>
        <v>42</v>
      </c>
      <c r="M923" t="str">
        <f t="shared" si="128"/>
        <v>High</v>
      </c>
      <c r="N923" t="str">
        <f t="shared" si="129"/>
        <v>6-10%</v>
      </c>
      <c r="O923" t="str">
        <f t="shared" si="130"/>
        <v>OK</v>
      </c>
      <c r="P923">
        <f>IFERROR(Full_Data!G923/Full_Data!H923,"Check data")</f>
        <v>0.51066666666666671</v>
      </c>
      <c r="Q923" t="str">
        <f t="shared" si="131"/>
        <v>Match</v>
      </c>
      <c r="R923" t="str">
        <f t="shared" si="132"/>
        <v>Mismatch</v>
      </c>
      <c r="S923" t="str">
        <f t="shared" si="133"/>
        <v>Mismatch</v>
      </c>
    </row>
    <row r="924" spans="1:19" x14ac:dyDescent="0.25">
      <c r="A924" t="s">
        <v>877</v>
      </c>
      <c r="B924">
        <v>23000</v>
      </c>
      <c r="C924">
        <f t="shared" si="134"/>
        <v>230</v>
      </c>
      <c r="D924">
        <v>0</v>
      </c>
      <c r="E924">
        <v>6</v>
      </c>
      <c r="F924">
        <v>23000</v>
      </c>
      <c r="G924">
        <f t="shared" si="126"/>
        <v>230</v>
      </c>
      <c r="H924">
        <v>241</v>
      </c>
      <c r="I924" s="4">
        <f>Full_Data[[#This Row],[Selling Price]]/Full_Data[[#This Row],[Weight (g)]]</f>
        <v>0.9543568464730291</v>
      </c>
      <c r="J924" t="b">
        <v>0</v>
      </c>
      <c r="K924">
        <v>241</v>
      </c>
      <c r="L924">
        <f t="shared" si="127"/>
        <v>0</v>
      </c>
      <c r="M924" t="str">
        <f t="shared" si="128"/>
        <v>High</v>
      </c>
      <c r="N924" t="str">
        <f t="shared" si="129"/>
        <v>0-5%</v>
      </c>
      <c r="O924" t="str">
        <f t="shared" si="130"/>
        <v>OK</v>
      </c>
      <c r="P924">
        <f>IFERROR(Full_Data!G924/Full_Data!H924,"Check data")</f>
        <v>0.9543568464730291</v>
      </c>
      <c r="Q924" t="str">
        <f t="shared" si="131"/>
        <v>Match</v>
      </c>
      <c r="R924" t="str">
        <f t="shared" si="132"/>
        <v>Match</v>
      </c>
      <c r="S924" t="str">
        <f t="shared" si="133"/>
        <v>Match</v>
      </c>
    </row>
    <row r="925" spans="1:19" x14ac:dyDescent="0.25">
      <c r="A925" t="s">
        <v>859</v>
      </c>
      <c r="B925">
        <v>10500</v>
      </c>
      <c r="C925">
        <f t="shared" si="134"/>
        <v>105</v>
      </c>
      <c r="D925">
        <v>0</v>
      </c>
      <c r="E925">
        <v>6</v>
      </c>
      <c r="F925">
        <v>10500</v>
      </c>
      <c r="G925">
        <f t="shared" si="126"/>
        <v>105</v>
      </c>
      <c r="H925">
        <v>425</v>
      </c>
      <c r="I925" s="4">
        <f>Full_Data[[#This Row],[Selling Price]]/Full_Data[[#This Row],[Weight (g)]]</f>
        <v>0.24705882352941178</v>
      </c>
      <c r="J925" t="b">
        <v>0</v>
      </c>
      <c r="K925">
        <v>425</v>
      </c>
      <c r="L925">
        <f t="shared" si="127"/>
        <v>0</v>
      </c>
      <c r="M925" t="str">
        <f t="shared" si="128"/>
        <v>Medium</v>
      </c>
      <c r="N925" t="str">
        <f t="shared" si="129"/>
        <v>0-5%</v>
      </c>
      <c r="O925" t="str">
        <f t="shared" si="130"/>
        <v>OK</v>
      </c>
      <c r="P925">
        <f>IFERROR(Full_Data!G925/Full_Data!H925,"Check data")</f>
        <v>0.24705882352941178</v>
      </c>
      <c r="Q925" t="str">
        <f t="shared" si="131"/>
        <v>Match</v>
      </c>
      <c r="R925" t="str">
        <f t="shared" si="132"/>
        <v>Match</v>
      </c>
      <c r="S925" t="str">
        <f t="shared" si="133"/>
        <v>Match</v>
      </c>
    </row>
    <row r="926" spans="1:19" x14ac:dyDescent="0.25">
      <c r="A926" t="s">
        <v>878</v>
      </c>
      <c r="B926">
        <v>59500</v>
      </c>
      <c r="C926">
        <f t="shared" si="134"/>
        <v>595</v>
      </c>
      <c r="D926">
        <v>0</v>
      </c>
      <c r="E926">
        <v>1</v>
      </c>
      <c r="F926">
        <v>59500</v>
      </c>
      <c r="G926">
        <f t="shared" si="126"/>
        <v>595</v>
      </c>
      <c r="H926">
        <v>1000</v>
      </c>
      <c r="I926" s="4">
        <f>Full_Data[[#This Row],[Selling Price]]/Full_Data[[#This Row],[Weight (g)]]</f>
        <v>0.59499999999999997</v>
      </c>
      <c r="J926" t="b">
        <v>0</v>
      </c>
      <c r="K926">
        <v>1</v>
      </c>
      <c r="L926">
        <f t="shared" si="127"/>
        <v>0</v>
      </c>
      <c r="M926" t="str">
        <f t="shared" si="128"/>
        <v>High</v>
      </c>
      <c r="N926" t="str">
        <f t="shared" si="129"/>
        <v>0-5%</v>
      </c>
      <c r="O926" t="str">
        <f t="shared" si="130"/>
        <v>OK</v>
      </c>
      <c r="P926">
        <f>IFERROR(Full_Data!G926/Full_Data!H926,"Check data")</f>
        <v>0.59499999999999997</v>
      </c>
      <c r="Q926" t="str">
        <f t="shared" si="131"/>
        <v>Match</v>
      </c>
      <c r="R926" t="str">
        <f t="shared" si="132"/>
        <v>Match</v>
      </c>
      <c r="S926" t="str">
        <f t="shared" si="133"/>
        <v>Match</v>
      </c>
    </row>
    <row r="927" spans="1:19" x14ac:dyDescent="0.25">
      <c r="A927" t="s">
        <v>879</v>
      </c>
      <c r="B927">
        <v>1500</v>
      </c>
      <c r="C927">
        <f t="shared" si="134"/>
        <v>15</v>
      </c>
      <c r="D927">
        <v>0</v>
      </c>
      <c r="E927">
        <v>3</v>
      </c>
      <c r="F927">
        <v>1500</v>
      </c>
      <c r="G927">
        <f t="shared" si="126"/>
        <v>15</v>
      </c>
      <c r="H927">
        <v>20</v>
      </c>
      <c r="I927" s="4">
        <f>Full_Data[[#This Row],[Selling Price]]/Full_Data[[#This Row],[Weight (g)]]</f>
        <v>0.75</v>
      </c>
      <c r="J927" t="b">
        <v>0</v>
      </c>
      <c r="K927">
        <v>20</v>
      </c>
      <c r="L927">
        <f t="shared" si="127"/>
        <v>0</v>
      </c>
      <c r="M927" t="str">
        <f t="shared" si="128"/>
        <v>Low</v>
      </c>
      <c r="N927" t="str">
        <f t="shared" si="129"/>
        <v>0-5%</v>
      </c>
      <c r="O927" t="str">
        <f t="shared" si="130"/>
        <v>OK</v>
      </c>
      <c r="P927">
        <f>IFERROR(Full_Data!G927/Full_Data!H927,"Check data")</f>
        <v>0.75</v>
      </c>
      <c r="Q927" t="str">
        <f t="shared" si="131"/>
        <v>Match</v>
      </c>
      <c r="R927" t="str">
        <f t="shared" si="132"/>
        <v>Match</v>
      </c>
      <c r="S927" t="str">
        <f t="shared" si="133"/>
        <v>Match</v>
      </c>
    </row>
    <row r="928" spans="1:19" x14ac:dyDescent="0.25">
      <c r="A928" t="s">
        <v>880</v>
      </c>
      <c r="B928">
        <v>14000</v>
      </c>
      <c r="C928">
        <f t="shared" si="134"/>
        <v>140</v>
      </c>
      <c r="D928">
        <v>5</v>
      </c>
      <c r="E928">
        <v>1</v>
      </c>
      <c r="F928">
        <v>13300</v>
      </c>
      <c r="G928">
        <f t="shared" si="126"/>
        <v>133</v>
      </c>
      <c r="H928">
        <v>290</v>
      </c>
      <c r="I928" s="4">
        <f>Full_Data[[#This Row],[Selling Price]]/Full_Data[[#This Row],[Weight (g)]]</f>
        <v>0.45862068965517239</v>
      </c>
      <c r="J928" t="b">
        <v>0</v>
      </c>
      <c r="K928">
        <v>290</v>
      </c>
      <c r="L928">
        <f t="shared" si="127"/>
        <v>7</v>
      </c>
      <c r="M928" t="str">
        <f t="shared" si="128"/>
        <v>Medium</v>
      </c>
      <c r="N928" t="str">
        <f t="shared" si="129"/>
        <v>0-5%</v>
      </c>
      <c r="O928" t="str">
        <f t="shared" si="130"/>
        <v>OK</v>
      </c>
      <c r="P928">
        <f>IFERROR(Full_Data!G928/Full_Data!H928,"Check data")</f>
        <v>0.45862068965517239</v>
      </c>
      <c r="Q928" t="str">
        <f t="shared" si="131"/>
        <v>Match</v>
      </c>
      <c r="R928" t="str">
        <f t="shared" si="132"/>
        <v>Match</v>
      </c>
      <c r="S928" t="str">
        <f t="shared" si="133"/>
        <v>Match</v>
      </c>
    </row>
    <row r="929" spans="1:19" x14ac:dyDescent="0.25">
      <c r="A929" t="s">
        <v>881</v>
      </c>
      <c r="B929">
        <v>28000</v>
      </c>
      <c r="C929">
        <f t="shared" si="134"/>
        <v>280</v>
      </c>
      <c r="D929">
        <v>50</v>
      </c>
      <c r="E929">
        <v>5</v>
      </c>
      <c r="F929">
        <v>14000</v>
      </c>
      <c r="G929">
        <f t="shared" si="126"/>
        <v>140</v>
      </c>
      <c r="H929">
        <v>175</v>
      </c>
      <c r="I929" s="4">
        <f>Full_Data[[#This Row],[Selling Price]]/Full_Data[[#This Row],[Weight (g)]]</f>
        <v>0.8</v>
      </c>
      <c r="J929" t="b">
        <v>0</v>
      </c>
      <c r="K929">
        <v>175</v>
      </c>
      <c r="L929">
        <f t="shared" si="127"/>
        <v>140</v>
      </c>
      <c r="M929" t="str">
        <f t="shared" si="128"/>
        <v>Medium</v>
      </c>
      <c r="N929" t="str">
        <f t="shared" si="129"/>
        <v>21%+</v>
      </c>
      <c r="O929" t="str">
        <f t="shared" si="130"/>
        <v>OK</v>
      </c>
      <c r="P929">
        <f>IFERROR(Full_Data!G929/Full_Data!H929,"Check data")</f>
        <v>0.8</v>
      </c>
      <c r="Q929" t="str">
        <f t="shared" si="131"/>
        <v>Match</v>
      </c>
      <c r="R929" t="str">
        <f t="shared" si="132"/>
        <v>Match</v>
      </c>
      <c r="S929" t="str">
        <f t="shared" si="133"/>
        <v>Match</v>
      </c>
    </row>
    <row r="930" spans="1:19" x14ac:dyDescent="0.25">
      <c r="A930" t="s">
        <v>882</v>
      </c>
      <c r="B930">
        <v>17500</v>
      </c>
      <c r="C930">
        <f t="shared" si="134"/>
        <v>175</v>
      </c>
      <c r="D930">
        <v>4</v>
      </c>
      <c r="E930">
        <v>6</v>
      </c>
      <c r="F930">
        <v>16700</v>
      </c>
      <c r="G930">
        <f t="shared" si="126"/>
        <v>167</v>
      </c>
      <c r="H930">
        <v>150</v>
      </c>
      <c r="I930" s="4">
        <f>Full_Data[[#This Row],[Selling Price]]/Full_Data[[#This Row],[Weight (g)]]</f>
        <v>1.1133333333333333</v>
      </c>
      <c r="J930" t="b">
        <v>0</v>
      </c>
      <c r="K930">
        <v>150</v>
      </c>
      <c r="L930">
        <f t="shared" si="127"/>
        <v>8</v>
      </c>
      <c r="M930" t="str">
        <f t="shared" si="128"/>
        <v>Medium</v>
      </c>
      <c r="N930" t="str">
        <f t="shared" si="129"/>
        <v>0-5%</v>
      </c>
      <c r="O930" t="str">
        <f t="shared" si="130"/>
        <v>OK</v>
      </c>
      <c r="P930">
        <f>IFERROR(Full_Data!G930/Full_Data!H930,"Check data")</f>
        <v>1.1133333333333333</v>
      </c>
      <c r="Q930" t="str">
        <f t="shared" si="131"/>
        <v>Match</v>
      </c>
      <c r="R930" t="str">
        <f t="shared" si="132"/>
        <v>Mismatch</v>
      </c>
      <c r="S930" t="str">
        <f t="shared" si="133"/>
        <v>Mismatch</v>
      </c>
    </row>
    <row r="931" spans="1:19" x14ac:dyDescent="0.25">
      <c r="A931" t="s">
        <v>883</v>
      </c>
      <c r="B931">
        <v>10500</v>
      </c>
      <c r="C931">
        <f t="shared" si="134"/>
        <v>105</v>
      </c>
      <c r="D931">
        <v>0</v>
      </c>
      <c r="E931">
        <v>4</v>
      </c>
      <c r="F931">
        <v>10500</v>
      </c>
      <c r="G931">
        <f t="shared" si="126"/>
        <v>105</v>
      </c>
      <c r="H931">
        <v>440</v>
      </c>
      <c r="I931" s="4">
        <f>Full_Data[[#This Row],[Selling Price]]/Full_Data[[#This Row],[Weight (g)]]</f>
        <v>0.23863636363636365</v>
      </c>
      <c r="J931" t="b">
        <v>0</v>
      </c>
      <c r="K931">
        <v>440</v>
      </c>
      <c r="L931">
        <f t="shared" si="127"/>
        <v>0</v>
      </c>
      <c r="M931" t="str">
        <f t="shared" si="128"/>
        <v>Medium</v>
      </c>
      <c r="N931" t="str">
        <f t="shared" si="129"/>
        <v>0-5%</v>
      </c>
      <c r="O931" t="str">
        <f t="shared" si="130"/>
        <v>OK</v>
      </c>
      <c r="P931">
        <f>IFERROR(Full_Data!G931/Full_Data!H931,"Check data")</f>
        <v>0.23863636363636365</v>
      </c>
      <c r="Q931" t="str">
        <f t="shared" si="131"/>
        <v>Match</v>
      </c>
      <c r="R931" t="str">
        <f t="shared" si="132"/>
        <v>Match</v>
      </c>
      <c r="S931" t="str">
        <f t="shared" si="133"/>
        <v>Match</v>
      </c>
    </row>
    <row r="932" spans="1:19" x14ac:dyDescent="0.25">
      <c r="A932" t="s">
        <v>884</v>
      </c>
      <c r="B932">
        <v>5500</v>
      </c>
      <c r="C932">
        <f t="shared" si="134"/>
        <v>55</v>
      </c>
      <c r="D932">
        <v>0</v>
      </c>
      <c r="E932">
        <v>5</v>
      </c>
      <c r="F932">
        <v>5500</v>
      </c>
      <c r="G932">
        <f t="shared" si="126"/>
        <v>55</v>
      </c>
      <c r="H932">
        <v>55</v>
      </c>
      <c r="I932" s="4">
        <f>Full_Data[[#This Row],[Selling Price]]/Full_Data[[#This Row],[Weight (g)]]</f>
        <v>1</v>
      </c>
      <c r="J932" t="b">
        <v>0</v>
      </c>
      <c r="K932">
        <v>55</v>
      </c>
      <c r="L932">
        <f t="shared" si="127"/>
        <v>0</v>
      </c>
      <c r="M932" t="str">
        <f t="shared" si="128"/>
        <v>Medium</v>
      </c>
      <c r="N932" t="str">
        <f t="shared" si="129"/>
        <v>0-5%</v>
      </c>
      <c r="O932" t="str">
        <f t="shared" si="130"/>
        <v>OK</v>
      </c>
      <c r="P932">
        <f>IFERROR(Full_Data!G932/Full_Data!H932,"Check data")</f>
        <v>1</v>
      </c>
      <c r="Q932" t="str">
        <f t="shared" si="131"/>
        <v>Match</v>
      </c>
      <c r="R932" t="str">
        <f t="shared" si="132"/>
        <v>Match</v>
      </c>
      <c r="S932" t="str">
        <f t="shared" si="133"/>
        <v>Match</v>
      </c>
    </row>
    <row r="933" spans="1:19" x14ac:dyDescent="0.25">
      <c r="A933" t="s">
        <v>885</v>
      </c>
      <c r="B933">
        <v>20000</v>
      </c>
      <c r="C933">
        <f t="shared" si="134"/>
        <v>200</v>
      </c>
      <c r="D933">
        <v>0</v>
      </c>
      <c r="E933">
        <v>6</v>
      </c>
      <c r="F933">
        <v>20000</v>
      </c>
      <c r="G933">
        <f t="shared" si="126"/>
        <v>200</v>
      </c>
      <c r="H933">
        <v>130</v>
      </c>
      <c r="I933" s="4">
        <f>Full_Data[[#This Row],[Selling Price]]/Full_Data[[#This Row],[Weight (g)]]</f>
        <v>1.5384615384615385</v>
      </c>
      <c r="J933" t="b">
        <v>0</v>
      </c>
      <c r="K933">
        <v>130</v>
      </c>
      <c r="L933">
        <f t="shared" si="127"/>
        <v>0</v>
      </c>
      <c r="M933" t="str">
        <f t="shared" si="128"/>
        <v>High</v>
      </c>
      <c r="N933" t="str">
        <f t="shared" si="129"/>
        <v>0-5%</v>
      </c>
      <c r="O933" t="str">
        <f t="shared" si="130"/>
        <v>OK</v>
      </c>
      <c r="P933">
        <f>IFERROR(Full_Data!G933/Full_Data!H933,"Check data")</f>
        <v>1.5384615384615385</v>
      </c>
      <c r="Q933" t="str">
        <f t="shared" si="131"/>
        <v>Match</v>
      </c>
      <c r="R933" t="str">
        <f t="shared" si="132"/>
        <v>Match</v>
      </c>
      <c r="S933" t="str">
        <f t="shared" si="133"/>
        <v>Match</v>
      </c>
    </row>
    <row r="934" spans="1:19" x14ac:dyDescent="0.25">
      <c r="A934" t="s">
        <v>886</v>
      </c>
      <c r="B934">
        <v>5500</v>
      </c>
      <c r="C934">
        <f t="shared" si="134"/>
        <v>55</v>
      </c>
      <c r="D934">
        <v>30</v>
      </c>
      <c r="E934">
        <v>5</v>
      </c>
      <c r="F934">
        <v>3800</v>
      </c>
      <c r="G934">
        <f t="shared" si="126"/>
        <v>38</v>
      </c>
      <c r="H934">
        <v>80</v>
      </c>
      <c r="I934" s="4">
        <f>Full_Data[[#This Row],[Selling Price]]/Full_Data[[#This Row],[Weight (g)]]</f>
        <v>0.47499999999999998</v>
      </c>
      <c r="J934" t="b">
        <v>0</v>
      </c>
      <c r="K934">
        <v>80</v>
      </c>
      <c r="L934">
        <f t="shared" si="127"/>
        <v>17</v>
      </c>
      <c r="M934" t="str">
        <f t="shared" si="128"/>
        <v>Low</v>
      </c>
      <c r="N934" t="str">
        <f t="shared" si="129"/>
        <v>21%+</v>
      </c>
      <c r="O934" t="str">
        <f t="shared" si="130"/>
        <v>OK</v>
      </c>
      <c r="P934">
        <f>IFERROR(Full_Data!G934/Full_Data!H934,"Check data")</f>
        <v>0.47499999999999998</v>
      </c>
      <c r="Q934" t="str">
        <f t="shared" si="131"/>
        <v>Match</v>
      </c>
      <c r="R934" t="str">
        <f t="shared" si="132"/>
        <v>Mismatch</v>
      </c>
      <c r="S934" t="str">
        <f t="shared" si="133"/>
        <v>Mismatch</v>
      </c>
    </row>
    <row r="935" spans="1:19" x14ac:dyDescent="0.25">
      <c r="A935" t="s">
        <v>887</v>
      </c>
      <c r="B935">
        <v>25000</v>
      </c>
      <c r="C935">
        <f t="shared" si="134"/>
        <v>250</v>
      </c>
      <c r="D935">
        <v>0</v>
      </c>
      <c r="E935">
        <v>1</v>
      </c>
      <c r="F935">
        <v>25000</v>
      </c>
      <c r="G935">
        <f t="shared" si="126"/>
        <v>250</v>
      </c>
      <c r="H935">
        <v>450</v>
      </c>
      <c r="I935" s="4">
        <f>Full_Data[[#This Row],[Selling Price]]/Full_Data[[#This Row],[Weight (g)]]</f>
        <v>0.55555555555555558</v>
      </c>
      <c r="J935" t="b">
        <v>0</v>
      </c>
      <c r="K935">
        <v>450</v>
      </c>
      <c r="L935">
        <f t="shared" si="127"/>
        <v>0</v>
      </c>
      <c r="M935" t="str">
        <f t="shared" si="128"/>
        <v>High</v>
      </c>
      <c r="N935" t="str">
        <f t="shared" si="129"/>
        <v>0-5%</v>
      </c>
      <c r="O935" t="str">
        <f t="shared" si="130"/>
        <v>OK</v>
      </c>
      <c r="P935">
        <f>IFERROR(Full_Data!G935/Full_Data!H935,"Check data")</f>
        <v>0.55555555555555558</v>
      </c>
      <c r="Q935" t="str">
        <f t="shared" si="131"/>
        <v>Match</v>
      </c>
      <c r="R935" t="str">
        <f t="shared" si="132"/>
        <v>Match</v>
      </c>
      <c r="S935" t="str">
        <f t="shared" si="133"/>
        <v>Match</v>
      </c>
    </row>
    <row r="936" spans="1:19" x14ac:dyDescent="0.25">
      <c r="A936" t="s">
        <v>888</v>
      </c>
      <c r="B936">
        <v>22000</v>
      </c>
      <c r="C936">
        <f t="shared" si="134"/>
        <v>220</v>
      </c>
      <c r="D936">
        <v>30</v>
      </c>
      <c r="E936">
        <v>5</v>
      </c>
      <c r="F936">
        <v>15400</v>
      </c>
      <c r="G936">
        <f t="shared" si="126"/>
        <v>154</v>
      </c>
      <c r="H936">
        <v>285</v>
      </c>
      <c r="I936" s="4">
        <f>Full_Data[[#This Row],[Selling Price]]/Full_Data[[#This Row],[Weight (g)]]</f>
        <v>0.54035087719298247</v>
      </c>
      <c r="J936" t="b">
        <v>0</v>
      </c>
      <c r="K936">
        <v>285</v>
      </c>
      <c r="L936">
        <f t="shared" si="127"/>
        <v>66</v>
      </c>
      <c r="M936" t="str">
        <f t="shared" si="128"/>
        <v>Medium</v>
      </c>
      <c r="N936" t="str">
        <f t="shared" si="129"/>
        <v>21%+</v>
      </c>
      <c r="O936" t="str">
        <f t="shared" si="130"/>
        <v>OK</v>
      </c>
      <c r="P936">
        <f>IFERROR(Full_Data!G936/Full_Data!H936,"Check data")</f>
        <v>0.54035087719298247</v>
      </c>
      <c r="Q936" t="str">
        <f t="shared" si="131"/>
        <v>Match</v>
      </c>
      <c r="R936" t="str">
        <f t="shared" si="132"/>
        <v>Match</v>
      </c>
      <c r="S936" t="str">
        <f t="shared" si="133"/>
        <v>Match</v>
      </c>
    </row>
    <row r="937" spans="1:19" x14ac:dyDescent="0.25">
      <c r="A937" t="s">
        <v>889</v>
      </c>
      <c r="B937">
        <v>28800</v>
      </c>
      <c r="C937">
        <f t="shared" si="134"/>
        <v>288</v>
      </c>
      <c r="D937">
        <v>0</v>
      </c>
      <c r="E937">
        <v>6</v>
      </c>
      <c r="F937">
        <v>28800</v>
      </c>
      <c r="G937">
        <f t="shared" si="126"/>
        <v>288</v>
      </c>
      <c r="H937">
        <v>300</v>
      </c>
      <c r="I937" s="4">
        <f>Full_Data[[#This Row],[Selling Price]]/Full_Data[[#This Row],[Weight (g)]]</f>
        <v>0.96</v>
      </c>
      <c r="J937" t="b">
        <v>0</v>
      </c>
      <c r="K937">
        <v>300</v>
      </c>
      <c r="L937">
        <f t="shared" si="127"/>
        <v>0</v>
      </c>
      <c r="M937" t="str">
        <f t="shared" si="128"/>
        <v>High</v>
      </c>
      <c r="N937" t="str">
        <f t="shared" si="129"/>
        <v>0-5%</v>
      </c>
      <c r="O937" t="str">
        <f t="shared" si="130"/>
        <v>OK</v>
      </c>
      <c r="P937">
        <f>IFERROR(Full_Data!G937/Full_Data!H937,"Check data")</f>
        <v>0.96</v>
      </c>
      <c r="Q937" t="str">
        <f t="shared" si="131"/>
        <v>Match</v>
      </c>
      <c r="R937" t="str">
        <f t="shared" si="132"/>
        <v>Match</v>
      </c>
      <c r="S937" t="str">
        <f t="shared" si="133"/>
        <v>Match</v>
      </c>
    </row>
    <row r="938" spans="1:19" x14ac:dyDescent="0.25">
      <c r="A938" t="s">
        <v>890</v>
      </c>
      <c r="B938">
        <v>32500</v>
      </c>
      <c r="C938">
        <f t="shared" si="134"/>
        <v>325</v>
      </c>
      <c r="D938">
        <v>20</v>
      </c>
      <c r="E938">
        <v>6</v>
      </c>
      <c r="F938">
        <v>26000</v>
      </c>
      <c r="G938">
        <f t="shared" si="126"/>
        <v>260</v>
      </c>
      <c r="H938">
        <v>350</v>
      </c>
      <c r="I938" s="4">
        <f>Full_Data[[#This Row],[Selling Price]]/Full_Data[[#This Row],[Weight (g)]]</f>
        <v>0.74285714285714288</v>
      </c>
      <c r="J938" t="b">
        <v>0</v>
      </c>
      <c r="K938">
        <v>350</v>
      </c>
      <c r="L938">
        <f t="shared" si="127"/>
        <v>65</v>
      </c>
      <c r="M938" t="str">
        <f t="shared" si="128"/>
        <v>High</v>
      </c>
      <c r="N938" t="str">
        <f t="shared" si="129"/>
        <v>16-20%</v>
      </c>
      <c r="O938" t="str">
        <f t="shared" si="130"/>
        <v>OK</v>
      </c>
      <c r="P938">
        <f>IFERROR(Full_Data!G938/Full_Data!H938,"Check data")</f>
        <v>0.74285714285714288</v>
      </c>
      <c r="Q938" t="str">
        <f t="shared" si="131"/>
        <v>Match</v>
      </c>
      <c r="R938" t="str">
        <f t="shared" si="132"/>
        <v>Match</v>
      </c>
      <c r="S938" t="str">
        <f t="shared" si="133"/>
        <v>Match</v>
      </c>
    </row>
    <row r="939" spans="1:19" x14ac:dyDescent="0.25">
      <c r="A939" t="s">
        <v>891</v>
      </c>
      <c r="B939">
        <v>20000</v>
      </c>
      <c r="C939">
        <f t="shared" si="134"/>
        <v>200</v>
      </c>
      <c r="D939">
        <v>0</v>
      </c>
      <c r="E939">
        <v>6</v>
      </c>
      <c r="F939">
        <v>20000</v>
      </c>
      <c r="G939">
        <f t="shared" si="126"/>
        <v>200</v>
      </c>
      <c r="H939">
        <v>130</v>
      </c>
      <c r="I939" s="4">
        <f>Full_Data[[#This Row],[Selling Price]]/Full_Data[[#This Row],[Weight (g)]]</f>
        <v>1.5384615384615385</v>
      </c>
      <c r="J939" t="b">
        <v>0</v>
      </c>
      <c r="K939">
        <v>130</v>
      </c>
      <c r="L939">
        <f t="shared" si="127"/>
        <v>0</v>
      </c>
      <c r="M939" t="str">
        <f t="shared" si="128"/>
        <v>High</v>
      </c>
      <c r="N939" t="str">
        <f t="shared" si="129"/>
        <v>0-5%</v>
      </c>
      <c r="O939" t="str">
        <f t="shared" si="130"/>
        <v>OK</v>
      </c>
      <c r="P939">
        <f>IFERROR(Full_Data!G939/Full_Data!H939,"Check data")</f>
        <v>1.5384615384615385</v>
      </c>
      <c r="Q939" t="str">
        <f t="shared" si="131"/>
        <v>Match</v>
      </c>
      <c r="R939" t="str">
        <f t="shared" si="132"/>
        <v>Match</v>
      </c>
      <c r="S939" t="str">
        <f t="shared" si="133"/>
        <v>Match</v>
      </c>
    </row>
    <row r="940" spans="1:19" x14ac:dyDescent="0.25">
      <c r="A940" t="s">
        <v>892</v>
      </c>
      <c r="B940">
        <v>7500</v>
      </c>
      <c r="C940">
        <f t="shared" si="134"/>
        <v>75</v>
      </c>
      <c r="D940">
        <v>0</v>
      </c>
      <c r="E940">
        <v>6</v>
      </c>
      <c r="F940">
        <v>7500</v>
      </c>
      <c r="G940">
        <f t="shared" si="126"/>
        <v>75</v>
      </c>
      <c r="H940">
        <v>70</v>
      </c>
      <c r="I940" s="4">
        <f>Full_Data[[#This Row],[Selling Price]]/Full_Data[[#This Row],[Weight (g)]]</f>
        <v>1.0714285714285714</v>
      </c>
      <c r="J940" t="b">
        <v>0</v>
      </c>
      <c r="K940">
        <v>70</v>
      </c>
      <c r="L940">
        <f t="shared" si="127"/>
        <v>0</v>
      </c>
      <c r="M940" t="str">
        <f t="shared" si="128"/>
        <v>Medium</v>
      </c>
      <c r="N940" t="str">
        <f t="shared" si="129"/>
        <v>0-5%</v>
      </c>
      <c r="O940" t="str">
        <f t="shared" si="130"/>
        <v>OK</v>
      </c>
      <c r="P940">
        <f>IFERROR(Full_Data!G940/Full_Data!H940,"Check data")</f>
        <v>1.0714285714285714</v>
      </c>
      <c r="Q940" t="str">
        <f t="shared" si="131"/>
        <v>Match</v>
      </c>
      <c r="R940" t="str">
        <f t="shared" si="132"/>
        <v>Match</v>
      </c>
      <c r="S940" t="str">
        <f t="shared" si="133"/>
        <v>Match</v>
      </c>
    </row>
    <row r="941" spans="1:19" x14ac:dyDescent="0.25">
      <c r="A941" t="s">
        <v>893</v>
      </c>
      <c r="B941">
        <v>12000</v>
      </c>
      <c r="C941">
        <f t="shared" si="134"/>
        <v>120</v>
      </c>
      <c r="D941">
        <v>0</v>
      </c>
      <c r="E941">
        <v>1</v>
      </c>
      <c r="F941">
        <v>12000</v>
      </c>
      <c r="G941">
        <f t="shared" si="126"/>
        <v>120</v>
      </c>
      <c r="H941">
        <v>400</v>
      </c>
      <c r="I941" s="4">
        <f>Full_Data[[#This Row],[Selling Price]]/Full_Data[[#This Row],[Weight (g)]]</f>
        <v>0.3</v>
      </c>
      <c r="J941" t="b">
        <v>0</v>
      </c>
      <c r="K941">
        <v>400</v>
      </c>
      <c r="L941">
        <f t="shared" si="127"/>
        <v>0</v>
      </c>
      <c r="M941" t="str">
        <f t="shared" si="128"/>
        <v>Medium</v>
      </c>
      <c r="N941" t="str">
        <f t="shared" si="129"/>
        <v>0-5%</v>
      </c>
      <c r="O941" t="str">
        <f t="shared" si="130"/>
        <v>OK</v>
      </c>
      <c r="P941">
        <f>IFERROR(Full_Data!G941/Full_Data!H941,"Check data")</f>
        <v>0.3</v>
      </c>
      <c r="Q941" t="str">
        <f t="shared" si="131"/>
        <v>Match</v>
      </c>
      <c r="R941" t="str">
        <f t="shared" si="132"/>
        <v>Match</v>
      </c>
      <c r="S941" t="str">
        <f t="shared" si="133"/>
        <v>Match</v>
      </c>
    </row>
    <row r="942" spans="1:19" x14ac:dyDescent="0.25">
      <c r="A942" t="s">
        <v>894</v>
      </c>
      <c r="B942">
        <v>20000</v>
      </c>
      <c r="C942">
        <f t="shared" si="134"/>
        <v>200</v>
      </c>
      <c r="D942">
        <v>0</v>
      </c>
      <c r="E942">
        <v>6</v>
      </c>
      <c r="F942">
        <v>20000</v>
      </c>
      <c r="G942">
        <f t="shared" si="126"/>
        <v>200</v>
      </c>
      <c r="H942">
        <v>130</v>
      </c>
      <c r="I942" s="4">
        <f>Full_Data[[#This Row],[Selling Price]]/Full_Data[[#This Row],[Weight (g)]]</f>
        <v>1.5384615384615385</v>
      </c>
      <c r="J942" t="b">
        <v>0</v>
      </c>
      <c r="K942">
        <v>130</v>
      </c>
      <c r="L942">
        <f t="shared" si="127"/>
        <v>0</v>
      </c>
      <c r="M942" t="str">
        <f t="shared" si="128"/>
        <v>High</v>
      </c>
      <c r="N942" t="str">
        <f t="shared" si="129"/>
        <v>0-5%</v>
      </c>
      <c r="O942" t="str">
        <f t="shared" si="130"/>
        <v>OK</v>
      </c>
      <c r="P942">
        <f>IFERROR(Full_Data!G942/Full_Data!H942,"Check data")</f>
        <v>1.5384615384615385</v>
      </c>
      <c r="Q942" t="str">
        <f t="shared" si="131"/>
        <v>Match</v>
      </c>
      <c r="R942" t="str">
        <f t="shared" si="132"/>
        <v>Match</v>
      </c>
      <c r="S942" t="str">
        <f t="shared" si="133"/>
        <v>Match</v>
      </c>
    </row>
    <row r="943" spans="1:19" x14ac:dyDescent="0.25">
      <c r="A943" t="s">
        <v>880</v>
      </c>
      <c r="B943">
        <v>39900</v>
      </c>
      <c r="C943">
        <f t="shared" si="134"/>
        <v>399</v>
      </c>
      <c r="D943">
        <v>11</v>
      </c>
      <c r="E943">
        <v>6</v>
      </c>
      <c r="F943">
        <v>35500</v>
      </c>
      <c r="G943">
        <f t="shared" si="126"/>
        <v>355</v>
      </c>
      <c r="H943">
        <v>900</v>
      </c>
      <c r="I943" s="4">
        <f>Full_Data[[#This Row],[Selling Price]]/Full_Data[[#This Row],[Weight (g)]]</f>
        <v>0.39444444444444443</v>
      </c>
      <c r="J943" t="b">
        <v>0</v>
      </c>
      <c r="K943">
        <v>900</v>
      </c>
      <c r="L943">
        <f t="shared" si="127"/>
        <v>44</v>
      </c>
      <c r="M943" t="str">
        <f t="shared" si="128"/>
        <v>High</v>
      </c>
      <c r="N943" t="str">
        <f t="shared" si="129"/>
        <v>11-15%</v>
      </c>
      <c r="O943" t="str">
        <f t="shared" si="130"/>
        <v>OK</v>
      </c>
      <c r="P943">
        <f>IFERROR(Full_Data!G943/Full_Data!H943,"Check data")</f>
        <v>0.39444444444444443</v>
      </c>
      <c r="Q943" t="str">
        <f t="shared" si="131"/>
        <v>Match</v>
      </c>
      <c r="R943" t="str">
        <f t="shared" si="132"/>
        <v>Mismatch</v>
      </c>
      <c r="S943" t="str">
        <f t="shared" si="133"/>
        <v>Match</v>
      </c>
    </row>
    <row r="944" spans="1:19" x14ac:dyDescent="0.25">
      <c r="A944" t="s">
        <v>895</v>
      </c>
      <c r="B944">
        <v>5500</v>
      </c>
      <c r="C944">
        <f t="shared" si="134"/>
        <v>55</v>
      </c>
      <c r="D944">
        <v>0</v>
      </c>
      <c r="E944">
        <v>2</v>
      </c>
      <c r="F944">
        <v>5500</v>
      </c>
      <c r="G944">
        <f t="shared" si="126"/>
        <v>55</v>
      </c>
      <c r="H944">
        <v>42</v>
      </c>
      <c r="I944" s="4">
        <f>Full_Data[[#This Row],[Selling Price]]/Full_Data[[#This Row],[Weight (g)]]</f>
        <v>1.3095238095238095</v>
      </c>
      <c r="J944" t="b">
        <v>0</v>
      </c>
      <c r="K944">
        <v>42</v>
      </c>
      <c r="L944">
        <f t="shared" si="127"/>
        <v>0</v>
      </c>
      <c r="M944" t="str">
        <f t="shared" si="128"/>
        <v>Medium</v>
      </c>
      <c r="N944" t="str">
        <f t="shared" si="129"/>
        <v>0-5%</v>
      </c>
      <c r="O944" t="str">
        <f t="shared" si="130"/>
        <v>OK</v>
      </c>
      <c r="P944">
        <f>IFERROR(Full_Data!G944/Full_Data!H944,"Check data")</f>
        <v>1.3095238095238095</v>
      </c>
      <c r="Q944" t="str">
        <f t="shared" si="131"/>
        <v>Match</v>
      </c>
      <c r="R944" t="str">
        <f t="shared" si="132"/>
        <v>Match</v>
      </c>
      <c r="S944" t="str">
        <f t="shared" si="133"/>
        <v>Match</v>
      </c>
    </row>
    <row r="945" spans="1:19" x14ac:dyDescent="0.25">
      <c r="A945" t="s">
        <v>896</v>
      </c>
      <c r="B945">
        <v>5500</v>
      </c>
      <c r="C945">
        <f t="shared" si="134"/>
        <v>55</v>
      </c>
      <c r="D945">
        <v>0</v>
      </c>
      <c r="E945">
        <v>6</v>
      </c>
      <c r="F945">
        <v>5500</v>
      </c>
      <c r="G945">
        <f t="shared" si="126"/>
        <v>55</v>
      </c>
      <c r="H945">
        <v>55</v>
      </c>
      <c r="I945" s="4">
        <f>Full_Data[[#This Row],[Selling Price]]/Full_Data[[#This Row],[Weight (g)]]</f>
        <v>1</v>
      </c>
      <c r="J945" t="b">
        <v>0</v>
      </c>
      <c r="K945">
        <v>55</v>
      </c>
      <c r="L945">
        <f t="shared" si="127"/>
        <v>0</v>
      </c>
      <c r="M945" t="str">
        <f t="shared" si="128"/>
        <v>Medium</v>
      </c>
      <c r="N945" t="str">
        <f t="shared" si="129"/>
        <v>0-5%</v>
      </c>
      <c r="O945" t="str">
        <f t="shared" si="130"/>
        <v>OK</v>
      </c>
      <c r="P945">
        <f>IFERROR(Full_Data!G945/Full_Data!H945,"Check data")</f>
        <v>1</v>
      </c>
      <c r="Q945" t="str">
        <f t="shared" si="131"/>
        <v>Match</v>
      </c>
      <c r="R945" t="str">
        <f t="shared" si="132"/>
        <v>Match</v>
      </c>
      <c r="S945" t="str">
        <f t="shared" si="133"/>
        <v>Match</v>
      </c>
    </row>
    <row r="946" spans="1:19" x14ac:dyDescent="0.25">
      <c r="A946" t="s">
        <v>897</v>
      </c>
      <c r="B946">
        <v>32000</v>
      </c>
      <c r="C946">
        <f t="shared" si="134"/>
        <v>320</v>
      </c>
      <c r="D946">
        <v>10</v>
      </c>
      <c r="E946">
        <v>5</v>
      </c>
      <c r="F946">
        <v>28800</v>
      </c>
      <c r="G946">
        <f t="shared" si="126"/>
        <v>288</v>
      </c>
      <c r="H946">
        <v>500</v>
      </c>
      <c r="I946" s="4">
        <f>Full_Data[[#This Row],[Selling Price]]/Full_Data[[#This Row],[Weight (g)]]</f>
        <v>0.57599999999999996</v>
      </c>
      <c r="J946" t="b">
        <v>0</v>
      </c>
      <c r="K946">
        <v>500</v>
      </c>
      <c r="L946">
        <f t="shared" si="127"/>
        <v>32</v>
      </c>
      <c r="M946" t="str">
        <f t="shared" si="128"/>
        <v>High</v>
      </c>
      <c r="N946" t="str">
        <f t="shared" si="129"/>
        <v>6-10%</v>
      </c>
      <c r="O946" t="str">
        <f t="shared" si="130"/>
        <v>OK</v>
      </c>
      <c r="P946">
        <f>IFERROR(Full_Data!G946/Full_Data!H946,"Check data")</f>
        <v>0.57599999999999996</v>
      </c>
      <c r="Q946" t="str">
        <f t="shared" si="131"/>
        <v>Match</v>
      </c>
      <c r="R946" t="str">
        <f t="shared" si="132"/>
        <v>Match</v>
      </c>
      <c r="S946" t="str">
        <f t="shared" si="133"/>
        <v>Match</v>
      </c>
    </row>
    <row r="947" spans="1:19" x14ac:dyDescent="0.25">
      <c r="A947" t="s">
        <v>898</v>
      </c>
      <c r="B947">
        <v>6500</v>
      </c>
      <c r="C947">
        <f t="shared" si="134"/>
        <v>65</v>
      </c>
      <c r="D947">
        <v>6</v>
      </c>
      <c r="E947">
        <v>6</v>
      </c>
      <c r="F947">
        <v>6100</v>
      </c>
      <c r="G947">
        <f t="shared" si="126"/>
        <v>61</v>
      </c>
      <c r="H947">
        <v>200</v>
      </c>
      <c r="I947" s="4">
        <f>Full_Data[[#This Row],[Selling Price]]/Full_Data[[#This Row],[Weight (g)]]</f>
        <v>0.30499999999999999</v>
      </c>
      <c r="J947" t="b">
        <v>0</v>
      </c>
      <c r="K947">
        <v>200</v>
      </c>
      <c r="L947">
        <f t="shared" si="127"/>
        <v>4</v>
      </c>
      <c r="M947" t="str">
        <f t="shared" si="128"/>
        <v>Medium</v>
      </c>
      <c r="N947" t="str">
        <f t="shared" si="129"/>
        <v>6-10%</v>
      </c>
      <c r="O947" t="str">
        <f t="shared" si="130"/>
        <v>OK</v>
      </c>
      <c r="P947">
        <f>IFERROR(Full_Data!G947/Full_Data!H947,"Check data")</f>
        <v>0.30499999999999999</v>
      </c>
      <c r="Q947" t="str">
        <f t="shared" si="131"/>
        <v>Match</v>
      </c>
      <c r="R947" t="str">
        <f t="shared" si="132"/>
        <v>Mismatch</v>
      </c>
      <c r="S947" t="str">
        <f t="shared" si="133"/>
        <v>Match</v>
      </c>
    </row>
    <row r="948" spans="1:19" x14ac:dyDescent="0.25">
      <c r="A948" t="s">
        <v>899</v>
      </c>
      <c r="B948">
        <v>11000</v>
      </c>
      <c r="C948">
        <f t="shared" si="134"/>
        <v>110</v>
      </c>
      <c r="D948">
        <v>30</v>
      </c>
      <c r="E948">
        <v>1</v>
      </c>
      <c r="F948">
        <v>7700</v>
      </c>
      <c r="G948">
        <f t="shared" si="126"/>
        <v>77</v>
      </c>
      <c r="H948">
        <v>285</v>
      </c>
      <c r="I948" s="4">
        <f>Full_Data[[#This Row],[Selling Price]]/Full_Data[[#This Row],[Weight (g)]]</f>
        <v>0.27017543859649124</v>
      </c>
      <c r="J948" t="b">
        <v>0</v>
      </c>
      <c r="K948">
        <v>285</v>
      </c>
      <c r="L948">
        <f t="shared" si="127"/>
        <v>33</v>
      </c>
      <c r="M948" t="str">
        <f t="shared" si="128"/>
        <v>Medium</v>
      </c>
      <c r="N948" t="str">
        <f t="shared" si="129"/>
        <v>21%+</v>
      </c>
      <c r="O948" t="str">
        <f t="shared" si="130"/>
        <v>OK</v>
      </c>
      <c r="P948">
        <f>IFERROR(Full_Data!G948/Full_Data!H948,"Check data")</f>
        <v>0.27017543859649124</v>
      </c>
      <c r="Q948" t="str">
        <f t="shared" si="131"/>
        <v>Match</v>
      </c>
      <c r="R948" t="str">
        <f t="shared" si="132"/>
        <v>Match</v>
      </c>
      <c r="S948" t="str">
        <f t="shared" si="133"/>
        <v>Match</v>
      </c>
    </row>
    <row r="949" spans="1:19" x14ac:dyDescent="0.25">
      <c r="A949" t="s">
        <v>892</v>
      </c>
      <c r="B949">
        <v>5500</v>
      </c>
      <c r="C949">
        <f t="shared" si="134"/>
        <v>55</v>
      </c>
      <c r="D949">
        <v>30</v>
      </c>
      <c r="E949">
        <v>6</v>
      </c>
      <c r="F949">
        <v>3800</v>
      </c>
      <c r="G949">
        <f t="shared" si="126"/>
        <v>38</v>
      </c>
      <c r="H949">
        <v>80</v>
      </c>
      <c r="I949" s="4">
        <f>Full_Data[[#This Row],[Selling Price]]/Full_Data[[#This Row],[Weight (g)]]</f>
        <v>0.47499999999999998</v>
      </c>
      <c r="J949" t="b">
        <v>0</v>
      </c>
      <c r="K949">
        <v>80</v>
      </c>
      <c r="L949">
        <f t="shared" si="127"/>
        <v>17</v>
      </c>
      <c r="M949" t="str">
        <f t="shared" si="128"/>
        <v>Low</v>
      </c>
      <c r="N949" t="str">
        <f t="shared" si="129"/>
        <v>21%+</v>
      </c>
      <c r="O949" t="str">
        <f t="shared" si="130"/>
        <v>OK</v>
      </c>
      <c r="P949">
        <f>IFERROR(Full_Data!G949/Full_Data!H949,"Check data")</f>
        <v>0.47499999999999998</v>
      </c>
      <c r="Q949" t="str">
        <f t="shared" si="131"/>
        <v>Match</v>
      </c>
      <c r="R949" t="str">
        <f t="shared" si="132"/>
        <v>Mismatch</v>
      </c>
      <c r="S949" t="str">
        <f t="shared" si="133"/>
        <v>Mismatch</v>
      </c>
    </row>
    <row r="950" spans="1:19" x14ac:dyDescent="0.25">
      <c r="A950" t="s">
        <v>900</v>
      </c>
      <c r="B950">
        <v>5500</v>
      </c>
      <c r="C950">
        <f t="shared" si="134"/>
        <v>55</v>
      </c>
      <c r="D950">
        <v>0</v>
      </c>
      <c r="E950">
        <v>3</v>
      </c>
      <c r="F950">
        <v>5500</v>
      </c>
      <c r="G950">
        <f t="shared" si="126"/>
        <v>55</v>
      </c>
      <c r="H950">
        <v>190</v>
      </c>
      <c r="I950" s="4">
        <f>Full_Data[[#This Row],[Selling Price]]/Full_Data[[#This Row],[Weight (g)]]</f>
        <v>0.28947368421052633</v>
      </c>
      <c r="J950" t="b">
        <v>0</v>
      </c>
      <c r="K950">
        <v>190</v>
      </c>
      <c r="L950">
        <f t="shared" si="127"/>
        <v>0</v>
      </c>
      <c r="M950" t="str">
        <f t="shared" si="128"/>
        <v>Medium</v>
      </c>
      <c r="N950" t="str">
        <f t="shared" si="129"/>
        <v>0-5%</v>
      </c>
      <c r="O950" t="str">
        <f t="shared" si="130"/>
        <v>OK</v>
      </c>
      <c r="P950">
        <f>IFERROR(Full_Data!G950/Full_Data!H950,"Check data")</f>
        <v>0.28947368421052633</v>
      </c>
      <c r="Q950" t="str">
        <f t="shared" si="131"/>
        <v>Match</v>
      </c>
      <c r="R950" t="str">
        <f t="shared" si="132"/>
        <v>Match</v>
      </c>
      <c r="S950" t="str">
        <f t="shared" si="133"/>
        <v>Match</v>
      </c>
    </row>
    <row r="951" spans="1:19" x14ac:dyDescent="0.25">
      <c r="A951" t="s">
        <v>901</v>
      </c>
      <c r="B951">
        <v>66000</v>
      </c>
      <c r="C951">
        <f t="shared" si="134"/>
        <v>660</v>
      </c>
      <c r="D951">
        <v>10</v>
      </c>
      <c r="E951">
        <v>1</v>
      </c>
      <c r="F951">
        <v>59400</v>
      </c>
      <c r="G951">
        <f t="shared" si="126"/>
        <v>594</v>
      </c>
      <c r="H951">
        <v>3000</v>
      </c>
      <c r="I951" s="4">
        <f>Full_Data[[#This Row],[Selling Price]]/Full_Data[[#This Row],[Weight (g)]]</f>
        <v>0.19800000000000001</v>
      </c>
      <c r="J951" t="b">
        <v>0</v>
      </c>
      <c r="K951">
        <v>3</v>
      </c>
      <c r="L951">
        <f t="shared" si="127"/>
        <v>66</v>
      </c>
      <c r="M951" t="str">
        <f t="shared" si="128"/>
        <v>High</v>
      </c>
      <c r="N951" t="str">
        <f t="shared" si="129"/>
        <v>6-10%</v>
      </c>
      <c r="O951" t="str">
        <f t="shared" si="130"/>
        <v>OK</v>
      </c>
      <c r="P951">
        <f>IFERROR(Full_Data!G951/Full_Data!H951,"Check data")</f>
        <v>0.19800000000000001</v>
      </c>
      <c r="Q951" t="str">
        <f t="shared" si="131"/>
        <v>Match</v>
      </c>
      <c r="R951" t="str">
        <f t="shared" si="132"/>
        <v>Match</v>
      </c>
      <c r="S951" t="str">
        <f t="shared" si="133"/>
        <v>Match</v>
      </c>
    </row>
    <row r="952" spans="1:19" x14ac:dyDescent="0.25">
      <c r="A952" t="s">
        <v>793</v>
      </c>
      <c r="B952">
        <v>18500</v>
      </c>
      <c r="C952">
        <f t="shared" si="134"/>
        <v>185</v>
      </c>
      <c r="D952">
        <v>5</v>
      </c>
      <c r="E952">
        <v>6</v>
      </c>
      <c r="F952">
        <v>17500</v>
      </c>
      <c r="G952">
        <f t="shared" si="126"/>
        <v>175</v>
      </c>
      <c r="H952">
        <v>475</v>
      </c>
      <c r="I952" s="4">
        <f>Full_Data[[#This Row],[Selling Price]]/Full_Data[[#This Row],[Weight (g)]]</f>
        <v>0.36842105263157893</v>
      </c>
      <c r="J952" t="b">
        <v>0</v>
      </c>
      <c r="K952">
        <v>475</v>
      </c>
      <c r="L952">
        <f t="shared" si="127"/>
        <v>10</v>
      </c>
      <c r="M952" t="str">
        <f t="shared" si="128"/>
        <v>Medium</v>
      </c>
      <c r="N952" t="str">
        <f t="shared" si="129"/>
        <v>0-5%</v>
      </c>
      <c r="O952" t="str">
        <f t="shared" si="130"/>
        <v>OK</v>
      </c>
      <c r="P952">
        <f>IFERROR(Full_Data!G952/Full_Data!H952,"Check data")</f>
        <v>0.36842105263157893</v>
      </c>
      <c r="Q952" t="str">
        <f t="shared" si="131"/>
        <v>Match</v>
      </c>
      <c r="R952" t="str">
        <f t="shared" si="132"/>
        <v>Mismatch</v>
      </c>
      <c r="S952" t="str">
        <f t="shared" si="133"/>
        <v>Match</v>
      </c>
    </row>
    <row r="953" spans="1:19" x14ac:dyDescent="0.25">
      <c r="A953" t="s">
        <v>800</v>
      </c>
      <c r="B953">
        <v>69000</v>
      </c>
      <c r="C953">
        <f t="shared" si="134"/>
        <v>690</v>
      </c>
      <c r="D953">
        <v>6</v>
      </c>
      <c r="E953">
        <v>2</v>
      </c>
      <c r="F953">
        <v>64800</v>
      </c>
      <c r="G953">
        <f t="shared" si="126"/>
        <v>648</v>
      </c>
      <c r="H953">
        <v>3000</v>
      </c>
      <c r="I953" s="4">
        <f>Full_Data[[#This Row],[Selling Price]]/Full_Data[[#This Row],[Weight (g)]]</f>
        <v>0.216</v>
      </c>
      <c r="J953" t="b">
        <v>0</v>
      </c>
      <c r="K953">
        <v>3</v>
      </c>
      <c r="L953">
        <f t="shared" si="127"/>
        <v>42</v>
      </c>
      <c r="M953" t="str">
        <f t="shared" si="128"/>
        <v>High</v>
      </c>
      <c r="N953" t="str">
        <f t="shared" si="129"/>
        <v>6-10%</v>
      </c>
      <c r="O953" t="str">
        <f t="shared" si="130"/>
        <v>OK</v>
      </c>
      <c r="P953">
        <f>IFERROR(Full_Data!G953/Full_Data!H953,"Check data")</f>
        <v>0.216</v>
      </c>
      <c r="Q953" t="str">
        <f t="shared" si="131"/>
        <v>Match</v>
      </c>
      <c r="R953" t="str">
        <f t="shared" si="132"/>
        <v>Mismatch</v>
      </c>
      <c r="S953" t="str">
        <f t="shared" si="133"/>
        <v>Match</v>
      </c>
    </row>
    <row r="954" spans="1:19" x14ac:dyDescent="0.25">
      <c r="A954" t="s">
        <v>902</v>
      </c>
      <c r="B954">
        <v>11000</v>
      </c>
      <c r="C954">
        <f t="shared" si="134"/>
        <v>110</v>
      </c>
      <c r="D954">
        <v>30</v>
      </c>
      <c r="E954">
        <v>5</v>
      </c>
      <c r="F954">
        <v>7700</v>
      </c>
      <c r="G954">
        <f t="shared" si="126"/>
        <v>77</v>
      </c>
      <c r="H954">
        <v>285</v>
      </c>
      <c r="I954" s="4">
        <f>Full_Data[[#This Row],[Selling Price]]/Full_Data[[#This Row],[Weight (g)]]</f>
        <v>0.27017543859649124</v>
      </c>
      <c r="J954" t="b">
        <v>0</v>
      </c>
      <c r="K954">
        <v>285</v>
      </c>
      <c r="L954">
        <f t="shared" si="127"/>
        <v>33</v>
      </c>
      <c r="M954" t="str">
        <f t="shared" si="128"/>
        <v>Medium</v>
      </c>
      <c r="N954" t="str">
        <f t="shared" si="129"/>
        <v>21%+</v>
      </c>
      <c r="O954" t="str">
        <f t="shared" si="130"/>
        <v>OK</v>
      </c>
      <c r="P954">
        <f>IFERROR(Full_Data!G954/Full_Data!H954,"Check data")</f>
        <v>0.27017543859649124</v>
      </c>
      <c r="Q954" t="str">
        <f t="shared" si="131"/>
        <v>Match</v>
      </c>
      <c r="R954" t="str">
        <f t="shared" si="132"/>
        <v>Match</v>
      </c>
      <c r="S954" t="str">
        <f t="shared" si="133"/>
        <v>Match</v>
      </c>
    </row>
    <row r="955" spans="1:19" x14ac:dyDescent="0.25">
      <c r="A955" t="s">
        <v>903</v>
      </c>
      <c r="B955">
        <v>11000</v>
      </c>
      <c r="C955">
        <f t="shared" si="134"/>
        <v>110</v>
      </c>
      <c r="D955">
        <v>30</v>
      </c>
      <c r="E955">
        <v>2</v>
      </c>
      <c r="F955">
        <v>7700</v>
      </c>
      <c r="G955">
        <f t="shared" si="126"/>
        <v>77</v>
      </c>
      <c r="H955">
        <v>285</v>
      </c>
      <c r="I955" s="4">
        <f>Full_Data[[#This Row],[Selling Price]]/Full_Data[[#This Row],[Weight (g)]]</f>
        <v>0.27017543859649124</v>
      </c>
      <c r="J955" t="b">
        <v>0</v>
      </c>
      <c r="K955">
        <v>285</v>
      </c>
      <c r="L955">
        <f t="shared" si="127"/>
        <v>33</v>
      </c>
      <c r="M955" t="str">
        <f t="shared" si="128"/>
        <v>Medium</v>
      </c>
      <c r="N955" t="str">
        <f t="shared" si="129"/>
        <v>21%+</v>
      </c>
      <c r="O955" t="str">
        <f t="shared" si="130"/>
        <v>OK</v>
      </c>
      <c r="P955">
        <f>IFERROR(Full_Data!G955/Full_Data!H955,"Check data")</f>
        <v>0.27017543859649124</v>
      </c>
      <c r="Q955" t="str">
        <f t="shared" si="131"/>
        <v>Match</v>
      </c>
      <c r="R955" t="str">
        <f t="shared" si="132"/>
        <v>Match</v>
      </c>
      <c r="S955" t="str">
        <f t="shared" si="133"/>
        <v>Match</v>
      </c>
    </row>
    <row r="956" spans="1:19" x14ac:dyDescent="0.25">
      <c r="A956" t="s">
        <v>904</v>
      </c>
      <c r="B956">
        <v>17900</v>
      </c>
      <c r="C956">
        <f t="shared" si="134"/>
        <v>179</v>
      </c>
      <c r="D956">
        <v>0</v>
      </c>
      <c r="E956">
        <v>6</v>
      </c>
      <c r="F956">
        <v>17900</v>
      </c>
      <c r="G956">
        <f t="shared" si="126"/>
        <v>179</v>
      </c>
      <c r="H956">
        <v>450</v>
      </c>
      <c r="I956" s="4">
        <f>Full_Data[[#This Row],[Selling Price]]/Full_Data[[#This Row],[Weight (g)]]</f>
        <v>0.39777777777777779</v>
      </c>
      <c r="J956" t="b">
        <v>0</v>
      </c>
      <c r="K956">
        <v>450</v>
      </c>
      <c r="L956">
        <f t="shared" si="127"/>
        <v>0</v>
      </c>
      <c r="M956" t="str">
        <f t="shared" si="128"/>
        <v>Medium</v>
      </c>
      <c r="N956" t="str">
        <f t="shared" si="129"/>
        <v>0-5%</v>
      </c>
      <c r="O956" t="str">
        <f t="shared" si="130"/>
        <v>OK</v>
      </c>
      <c r="P956">
        <f>IFERROR(Full_Data!G956/Full_Data!H956,"Check data")</f>
        <v>0.39777777777777779</v>
      </c>
      <c r="Q956" t="str">
        <f t="shared" si="131"/>
        <v>Match</v>
      </c>
      <c r="R956" t="str">
        <f t="shared" si="132"/>
        <v>Match</v>
      </c>
      <c r="S956" t="str">
        <f t="shared" si="133"/>
        <v>Match</v>
      </c>
    </row>
    <row r="957" spans="1:19" x14ac:dyDescent="0.25">
      <c r="A957" t="s">
        <v>905</v>
      </c>
      <c r="B957">
        <v>14000</v>
      </c>
      <c r="C957">
        <f t="shared" si="134"/>
        <v>140</v>
      </c>
      <c r="D957">
        <v>15</v>
      </c>
      <c r="E957">
        <v>6</v>
      </c>
      <c r="F957">
        <v>11900</v>
      </c>
      <c r="G957">
        <f t="shared" si="126"/>
        <v>119</v>
      </c>
      <c r="H957">
        <v>60</v>
      </c>
      <c r="I957" s="4">
        <f>Full_Data[[#This Row],[Selling Price]]/Full_Data[[#This Row],[Weight (g)]]</f>
        <v>1.9833333333333334</v>
      </c>
      <c r="J957" t="b">
        <v>0</v>
      </c>
      <c r="K957">
        <v>60</v>
      </c>
      <c r="L957">
        <f t="shared" si="127"/>
        <v>21</v>
      </c>
      <c r="M957" t="str">
        <f t="shared" si="128"/>
        <v>Medium</v>
      </c>
      <c r="N957" t="str">
        <f t="shared" si="129"/>
        <v>11-15%</v>
      </c>
      <c r="O957" t="str">
        <f t="shared" si="130"/>
        <v>OK</v>
      </c>
      <c r="P957">
        <f>IFERROR(Full_Data!G957/Full_Data!H957,"Check data")</f>
        <v>1.9833333333333334</v>
      </c>
      <c r="Q957" t="str">
        <f t="shared" si="131"/>
        <v>Match</v>
      </c>
      <c r="R957" t="str">
        <f t="shared" si="132"/>
        <v>Match</v>
      </c>
      <c r="S957" t="str">
        <f t="shared" si="133"/>
        <v>Match</v>
      </c>
    </row>
    <row r="958" spans="1:19" x14ac:dyDescent="0.25">
      <c r="A958" t="s">
        <v>906</v>
      </c>
      <c r="B958">
        <v>14900</v>
      </c>
      <c r="C958">
        <f t="shared" si="134"/>
        <v>149</v>
      </c>
      <c r="D958">
        <v>26</v>
      </c>
      <c r="E958">
        <v>6</v>
      </c>
      <c r="F958">
        <v>10900</v>
      </c>
      <c r="G958">
        <f t="shared" si="126"/>
        <v>109</v>
      </c>
      <c r="H958">
        <v>500</v>
      </c>
      <c r="I958" s="4">
        <f>Full_Data[[#This Row],[Selling Price]]/Full_Data[[#This Row],[Weight (g)]]</f>
        <v>0.218</v>
      </c>
      <c r="J958" t="b">
        <v>0</v>
      </c>
      <c r="K958">
        <v>500</v>
      </c>
      <c r="L958">
        <f t="shared" si="127"/>
        <v>40</v>
      </c>
      <c r="M958" t="str">
        <f t="shared" si="128"/>
        <v>Medium</v>
      </c>
      <c r="N958" t="str">
        <f t="shared" si="129"/>
        <v>21%+</v>
      </c>
      <c r="O958" t="str">
        <f t="shared" si="130"/>
        <v>OK</v>
      </c>
      <c r="P958">
        <f>IFERROR(Full_Data!G958/Full_Data!H958,"Check data")</f>
        <v>0.218</v>
      </c>
      <c r="Q958" t="str">
        <f t="shared" si="131"/>
        <v>Match</v>
      </c>
      <c r="R958" t="str">
        <f t="shared" si="132"/>
        <v>Mismatch</v>
      </c>
      <c r="S958" t="str">
        <f t="shared" si="133"/>
        <v>Mismatch</v>
      </c>
    </row>
    <row r="959" spans="1:19" x14ac:dyDescent="0.25">
      <c r="A959" t="s">
        <v>907</v>
      </c>
      <c r="B959">
        <v>27900</v>
      </c>
      <c r="C959">
        <f t="shared" si="134"/>
        <v>279</v>
      </c>
      <c r="D959">
        <v>0</v>
      </c>
      <c r="E959">
        <v>5</v>
      </c>
      <c r="F959">
        <v>27900</v>
      </c>
      <c r="G959">
        <f t="shared" si="126"/>
        <v>279</v>
      </c>
      <c r="H959">
        <v>300</v>
      </c>
      <c r="I959" s="4">
        <f>Full_Data[[#This Row],[Selling Price]]/Full_Data[[#This Row],[Weight (g)]]</f>
        <v>0.93</v>
      </c>
      <c r="J959" t="b">
        <v>0</v>
      </c>
      <c r="K959">
        <v>300</v>
      </c>
      <c r="L959">
        <f t="shared" si="127"/>
        <v>0</v>
      </c>
      <c r="M959" t="str">
        <f t="shared" si="128"/>
        <v>High</v>
      </c>
      <c r="N959" t="str">
        <f t="shared" si="129"/>
        <v>0-5%</v>
      </c>
      <c r="O959" t="str">
        <f t="shared" si="130"/>
        <v>OK</v>
      </c>
      <c r="P959">
        <f>IFERROR(Full_Data!G959/Full_Data!H959,"Check data")</f>
        <v>0.93</v>
      </c>
      <c r="Q959" t="str">
        <f t="shared" si="131"/>
        <v>Match</v>
      </c>
      <c r="R959" t="str">
        <f t="shared" si="132"/>
        <v>Match</v>
      </c>
      <c r="S959" t="str">
        <f t="shared" si="133"/>
        <v>Match</v>
      </c>
    </row>
    <row r="960" spans="1:19" x14ac:dyDescent="0.25">
      <c r="A960" t="s">
        <v>908</v>
      </c>
      <c r="B960">
        <v>14000</v>
      </c>
      <c r="C960">
        <f t="shared" si="134"/>
        <v>140</v>
      </c>
      <c r="D960">
        <v>20</v>
      </c>
      <c r="E960">
        <v>6</v>
      </c>
      <c r="F960">
        <v>11200</v>
      </c>
      <c r="G960">
        <f t="shared" si="126"/>
        <v>112</v>
      </c>
      <c r="H960">
        <v>80</v>
      </c>
      <c r="I960" s="4">
        <f>Full_Data[[#This Row],[Selling Price]]/Full_Data[[#This Row],[Weight (g)]]</f>
        <v>1.4</v>
      </c>
      <c r="J960" t="b">
        <v>0</v>
      </c>
      <c r="K960">
        <v>80</v>
      </c>
      <c r="L960">
        <f t="shared" si="127"/>
        <v>28</v>
      </c>
      <c r="M960" t="str">
        <f t="shared" si="128"/>
        <v>Medium</v>
      </c>
      <c r="N960" t="str">
        <f t="shared" si="129"/>
        <v>16-20%</v>
      </c>
      <c r="O960" t="str">
        <f t="shared" si="130"/>
        <v>OK</v>
      </c>
      <c r="P960">
        <f>IFERROR(Full_Data!G960/Full_Data!H960,"Check data")</f>
        <v>1.4</v>
      </c>
      <c r="Q960" t="str">
        <f t="shared" si="131"/>
        <v>Match</v>
      </c>
      <c r="R960" t="str">
        <f t="shared" si="132"/>
        <v>Match</v>
      </c>
      <c r="S960" t="str">
        <f t="shared" si="133"/>
        <v>Match</v>
      </c>
    </row>
    <row r="961" spans="1:19" x14ac:dyDescent="0.25">
      <c r="A961" t="s">
        <v>909</v>
      </c>
      <c r="B961">
        <v>16100</v>
      </c>
      <c r="C961">
        <f t="shared" si="134"/>
        <v>161</v>
      </c>
      <c r="D961">
        <v>0</v>
      </c>
      <c r="E961">
        <v>6</v>
      </c>
      <c r="F961">
        <v>16100</v>
      </c>
      <c r="G961">
        <f t="shared" si="126"/>
        <v>161</v>
      </c>
      <c r="H961">
        <v>300</v>
      </c>
      <c r="I961" s="4">
        <f>Full_Data[[#This Row],[Selling Price]]/Full_Data[[#This Row],[Weight (g)]]</f>
        <v>0.53666666666666663</v>
      </c>
      <c r="J961" t="b">
        <v>0</v>
      </c>
      <c r="K961">
        <v>300</v>
      </c>
      <c r="L961">
        <f t="shared" si="127"/>
        <v>0</v>
      </c>
      <c r="M961" t="str">
        <f t="shared" si="128"/>
        <v>Medium</v>
      </c>
      <c r="N961" t="str">
        <f t="shared" si="129"/>
        <v>0-5%</v>
      </c>
      <c r="O961" t="str">
        <f t="shared" si="130"/>
        <v>OK</v>
      </c>
      <c r="P961">
        <f>IFERROR(Full_Data!G961/Full_Data!H961,"Check data")</f>
        <v>0.53666666666666663</v>
      </c>
      <c r="Q961" t="str">
        <f t="shared" si="131"/>
        <v>Match</v>
      </c>
      <c r="R961" t="str">
        <f t="shared" si="132"/>
        <v>Match</v>
      </c>
      <c r="S961" t="str">
        <f t="shared" si="133"/>
        <v>Match</v>
      </c>
    </row>
    <row r="962" spans="1:19" x14ac:dyDescent="0.25">
      <c r="A962" t="s">
        <v>910</v>
      </c>
      <c r="B962">
        <v>22500</v>
      </c>
      <c r="C962">
        <f t="shared" si="134"/>
        <v>225</v>
      </c>
      <c r="D962">
        <v>15</v>
      </c>
      <c r="E962">
        <v>6</v>
      </c>
      <c r="F962">
        <v>19100</v>
      </c>
      <c r="G962">
        <f t="shared" ref="G962:G1025" si="135">F962/100</f>
        <v>191</v>
      </c>
      <c r="H962">
        <v>200</v>
      </c>
      <c r="I962" s="4">
        <f>Full_Data[[#This Row],[Selling Price]]/Full_Data[[#This Row],[Weight (g)]]</f>
        <v>0.95499999999999996</v>
      </c>
      <c r="J962" t="b">
        <v>0</v>
      </c>
      <c r="K962">
        <v>200</v>
      </c>
      <c r="L962">
        <f t="shared" ref="L962:L1025" si="136">C962-G962</f>
        <v>34</v>
      </c>
      <c r="M962" t="str">
        <f t="shared" ref="M962:M1025" si="137">IF(G962&lt;50,"Low",IF(G962&lt;200,"Medium","High"))</f>
        <v>Medium</v>
      </c>
      <c r="N962" t="str">
        <f t="shared" ref="N962:N1025" si="138">IF(D962&lt;=5,"0-5%",
IF(D962&lt;=10,"6-10%",
IF(D962&lt;=15,"11-15%",
IF(D962&lt;=20,"16-20%","21%+"))))</f>
        <v>11-15%</v>
      </c>
      <c r="O962" t="str">
        <f t="shared" ref="O962:O1025" si="139">IF(AND(C962=0,G962=0),"Review: Zero MRP and selling price",IF(C962&lt;=0,"Review: Invalid MRP",IF(G962&lt;0,"Review: Negative selling price",IF(G962=0,"Review: Zero selling price",IF(H962&lt;=0,"Review: Invalid weight","OK")))))</f>
        <v>OK</v>
      </c>
      <c r="P962">
        <f>IFERROR(Full_Data!G962/Full_Data!H962,"Check data")</f>
        <v>0.95499999999999996</v>
      </c>
      <c r="Q962" t="str">
        <f t="shared" ref="Q962:Q1025" si="140">IF(OR(H962="",H962&lt;=0),"Invalid weight",IF(G962="","Missing selling price",IF(ROUND(G962/H962,2)=ROUND(I962,2),"Match","Mismatch")))</f>
        <v>Match</v>
      </c>
      <c r="R962" t="str">
        <f t="shared" ref="R962:R1025" si="141">IF(OR(C962&lt;=0,G962=""),"Check data",IF(ROUND((C962-G962)/C962*100,2)=ROUND(D962,2),"Match","Mismatch"))</f>
        <v>Mismatch</v>
      </c>
      <c r="S962" t="str">
        <f t="shared" ref="S962:S1025" si="142">IF(OR(C962&lt;=0,G962=""),"Check data",IF(ROUND((C962-G962)/C962*100,0)=D962,"Match","Mismatch"))</f>
        <v>Match</v>
      </c>
    </row>
    <row r="963" spans="1:19" x14ac:dyDescent="0.25">
      <c r="A963" t="s">
        <v>911</v>
      </c>
      <c r="B963">
        <v>12300</v>
      </c>
      <c r="C963">
        <f t="shared" ref="C963:C1026" si="143">B963/100</f>
        <v>123</v>
      </c>
      <c r="D963">
        <v>0</v>
      </c>
      <c r="E963">
        <v>6</v>
      </c>
      <c r="F963">
        <v>12300</v>
      </c>
      <c r="G963">
        <f t="shared" si="135"/>
        <v>123</v>
      </c>
      <c r="H963">
        <v>600</v>
      </c>
      <c r="I963" s="4">
        <f>Full_Data[[#This Row],[Selling Price]]/Full_Data[[#This Row],[Weight (g)]]</f>
        <v>0.20499999999999999</v>
      </c>
      <c r="J963" t="b">
        <v>0</v>
      </c>
      <c r="K963">
        <v>600</v>
      </c>
      <c r="L963">
        <f t="shared" si="136"/>
        <v>0</v>
      </c>
      <c r="M963" t="str">
        <f t="shared" si="137"/>
        <v>Medium</v>
      </c>
      <c r="N963" t="str">
        <f t="shared" si="138"/>
        <v>0-5%</v>
      </c>
      <c r="O963" t="str">
        <f t="shared" si="139"/>
        <v>OK</v>
      </c>
      <c r="P963">
        <f>IFERROR(Full_Data!G963/Full_Data!H963,"Check data")</f>
        <v>0.20499999999999999</v>
      </c>
      <c r="Q963" t="str">
        <f t="shared" si="140"/>
        <v>Match</v>
      </c>
      <c r="R963" t="str">
        <f t="shared" si="141"/>
        <v>Match</v>
      </c>
      <c r="S963" t="str">
        <f t="shared" si="142"/>
        <v>Match</v>
      </c>
    </row>
    <row r="964" spans="1:19" x14ac:dyDescent="0.25">
      <c r="A964" t="s">
        <v>912</v>
      </c>
      <c r="B964">
        <v>27500</v>
      </c>
      <c r="C964">
        <f t="shared" si="143"/>
        <v>275</v>
      </c>
      <c r="D964">
        <v>10</v>
      </c>
      <c r="E964">
        <v>6</v>
      </c>
      <c r="F964">
        <v>24500</v>
      </c>
      <c r="G964">
        <f t="shared" si="135"/>
        <v>245</v>
      </c>
      <c r="H964">
        <v>200</v>
      </c>
      <c r="I964" s="4">
        <f>Full_Data[[#This Row],[Selling Price]]/Full_Data[[#This Row],[Weight (g)]]</f>
        <v>1.2250000000000001</v>
      </c>
      <c r="J964" t="b">
        <v>0</v>
      </c>
      <c r="K964">
        <v>200</v>
      </c>
      <c r="L964">
        <f t="shared" si="136"/>
        <v>30</v>
      </c>
      <c r="M964" t="str">
        <f t="shared" si="137"/>
        <v>High</v>
      </c>
      <c r="N964" t="str">
        <f t="shared" si="138"/>
        <v>6-10%</v>
      </c>
      <c r="O964" t="str">
        <f t="shared" si="139"/>
        <v>OK</v>
      </c>
      <c r="P964">
        <f>IFERROR(Full_Data!G964/Full_Data!H964,"Check data")</f>
        <v>1.2250000000000001</v>
      </c>
      <c r="Q964" t="str">
        <f t="shared" si="140"/>
        <v>Match</v>
      </c>
      <c r="R964" t="str">
        <f t="shared" si="141"/>
        <v>Mismatch</v>
      </c>
      <c r="S964" t="str">
        <f t="shared" si="142"/>
        <v>Mismatch</v>
      </c>
    </row>
    <row r="965" spans="1:19" x14ac:dyDescent="0.25">
      <c r="A965" t="s">
        <v>913</v>
      </c>
      <c r="B965">
        <v>7500</v>
      </c>
      <c r="C965">
        <f t="shared" si="143"/>
        <v>75</v>
      </c>
      <c r="D965">
        <v>0</v>
      </c>
      <c r="E965">
        <v>6</v>
      </c>
      <c r="F965">
        <v>7500</v>
      </c>
      <c r="G965">
        <f t="shared" si="135"/>
        <v>75</v>
      </c>
      <c r="H965">
        <v>180</v>
      </c>
      <c r="I965" s="4">
        <f>Full_Data[[#This Row],[Selling Price]]/Full_Data[[#This Row],[Weight (g)]]</f>
        <v>0.41666666666666669</v>
      </c>
      <c r="J965" t="b">
        <v>0</v>
      </c>
      <c r="K965">
        <v>180</v>
      </c>
      <c r="L965">
        <f t="shared" si="136"/>
        <v>0</v>
      </c>
      <c r="M965" t="str">
        <f t="shared" si="137"/>
        <v>Medium</v>
      </c>
      <c r="N965" t="str">
        <f t="shared" si="138"/>
        <v>0-5%</v>
      </c>
      <c r="O965" t="str">
        <f t="shared" si="139"/>
        <v>OK</v>
      </c>
      <c r="P965">
        <f>IFERROR(Full_Data!G965/Full_Data!H965,"Check data")</f>
        <v>0.41666666666666669</v>
      </c>
      <c r="Q965" t="str">
        <f t="shared" si="140"/>
        <v>Match</v>
      </c>
      <c r="R965" t="str">
        <f t="shared" si="141"/>
        <v>Match</v>
      </c>
      <c r="S965" t="str">
        <f t="shared" si="142"/>
        <v>Match</v>
      </c>
    </row>
    <row r="966" spans="1:19" x14ac:dyDescent="0.25">
      <c r="A966" t="s">
        <v>914</v>
      </c>
      <c r="B966">
        <v>35000</v>
      </c>
      <c r="C966">
        <f t="shared" si="143"/>
        <v>350</v>
      </c>
      <c r="D966">
        <v>0</v>
      </c>
      <c r="E966">
        <v>6</v>
      </c>
      <c r="F966">
        <v>35000</v>
      </c>
      <c r="G966">
        <f t="shared" si="135"/>
        <v>350</v>
      </c>
      <c r="H966">
        <v>880</v>
      </c>
      <c r="I966" s="4">
        <f>Full_Data[[#This Row],[Selling Price]]/Full_Data[[#This Row],[Weight (g)]]</f>
        <v>0.39772727272727271</v>
      </c>
      <c r="J966" t="b">
        <v>0</v>
      </c>
      <c r="K966">
        <v>800</v>
      </c>
      <c r="L966">
        <f t="shared" si="136"/>
        <v>0</v>
      </c>
      <c r="M966" t="str">
        <f t="shared" si="137"/>
        <v>High</v>
      </c>
      <c r="N966" t="str">
        <f t="shared" si="138"/>
        <v>0-5%</v>
      </c>
      <c r="O966" t="str">
        <f t="shared" si="139"/>
        <v>OK</v>
      </c>
      <c r="P966">
        <f>IFERROR(Full_Data!G966/Full_Data!H966,"Check data")</f>
        <v>0.39772727272727271</v>
      </c>
      <c r="Q966" t="str">
        <f t="shared" si="140"/>
        <v>Match</v>
      </c>
      <c r="R966" t="str">
        <f t="shared" si="141"/>
        <v>Match</v>
      </c>
      <c r="S966" t="str">
        <f t="shared" si="142"/>
        <v>Match</v>
      </c>
    </row>
    <row r="967" spans="1:19" x14ac:dyDescent="0.25">
      <c r="A967" t="s">
        <v>915</v>
      </c>
      <c r="B967">
        <v>13500</v>
      </c>
      <c r="C967">
        <f t="shared" si="143"/>
        <v>135</v>
      </c>
      <c r="D967">
        <v>11</v>
      </c>
      <c r="E967">
        <v>6</v>
      </c>
      <c r="F967">
        <v>12000</v>
      </c>
      <c r="G967">
        <f t="shared" si="135"/>
        <v>120</v>
      </c>
      <c r="H967">
        <v>300</v>
      </c>
      <c r="I967" s="4">
        <f>Full_Data[[#This Row],[Selling Price]]/Full_Data[[#This Row],[Weight (g)]]</f>
        <v>0.4</v>
      </c>
      <c r="J967" t="b">
        <v>0</v>
      </c>
      <c r="K967">
        <v>300</v>
      </c>
      <c r="L967">
        <f t="shared" si="136"/>
        <v>15</v>
      </c>
      <c r="M967" t="str">
        <f t="shared" si="137"/>
        <v>Medium</v>
      </c>
      <c r="N967" t="str">
        <f t="shared" si="138"/>
        <v>11-15%</v>
      </c>
      <c r="O967" t="str">
        <f t="shared" si="139"/>
        <v>OK</v>
      </c>
      <c r="P967">
        <f>IFERROR(Full_Data!G967/Full_Data!H967,"Check data")</f>
        <v>0.4</v>
      </c>
      <c r="Q967" t="str">
        <f t="shared" si="140"/>
        <v>Match</v>
      </c>
      <c r="R967" t="str">
        <f t="shared" si="141"/>
        <v>Mismatch</v>
      </c>
      <c r="S967" t="str">
        <f t="shared" si="142"/>
        <v>Match</v>
      </c>
    </row>
    <row r="968" spans="1:19" x14ac:dyDescent="0.25">
      <c r="A968" t="s">
        <v>916</v>
      </c>
      <c r="B968">
        <v>5500</v>
      </c>
      <c r="C968">
        <f t="shared" si="143"/>
        <v>55</v>
      </c>
      <c r="D968">
        <v>0</v>
      </c>
      <c r="E968">
        <v>5</v>
      </c>
      <c r="F968">
        <v>5500</v>
      </c>
      <c r="G968">
        <f t="shared" si="135"/>
        <v>55</v>
      </c>
      <c r="H968">
        <v>190</v>
      </c>
      <c r="I968" s="4">
        <f>Full_Data[[#This Row],[Selling Price]]/Full_Data[[#This Row],[Weight (g)]]</f>
        <v>0.28947368421052633</v>
      </c>
      <c r="J968" t="b">
        <v>0</v>
      </c>
      <c r="K968">
        <v>190</v>
      </c>
      <c r="L968">
        <f t="shared" si="136"/>
        <v>0</v>
      </c>
      <c r="M968" t="str">
        <f t="shared" si="137"/>
        <v>Medium</v>
      </c>
      <c r="N968" t="str">
        <f t="shared" si="138"/>
        <v>0-5%</v>
      </c>
      <c r="O968" t="str">
        <f t="shared" si="139"/>
        <v>OK</v>
      </c>
      <c r="P968">
        <f>IFERROR(Full_Data!G968/Full_Data!H968,"Check data")</f>
        <v>0.28947368421052633</v>
      </c>
      <c r="Q968" t="str">
        <f t="shared" si="140"/>
        <v>Match</v>
      </c>
      <c r="R968" t="str">
        <f t="shared" si="141"/>
        <v>Match</v>
      </c>
      <c r="S968" t="str">
        <f t="shared" si="142"/>
        <v>Match</v>
      </c>
    </row>
    <row r="969" spans="1:19" x14ac:dyDescent="0.25">
      <c r="A969" t="s">
        <v>812</v>
      </c>
      <c r="B969">
        <v>6000</v>
      </c>
      <c r="C969">
        <f t="shared" si="143"/>
        <v>60</v>
      </c>
      <c r="D969">
        <v>6</v>
      </c>
      <c r="E969">
        <v>6</v>
      </c>
      <c r="F969">
        <v>5600</v>
      </c>
      <c r="G969">
        <f t="shared" si="135"/>
        <v>56</v>
      </c>
      <c r="H969">
        <v>50</v>
      </c>
      <c r="I969" s="4">
        <f>Full_Data[[#This Row],[Selling Price]]/Full_Data[[#This Row],[Weight (g)]]</f>
        <v>1.1200000000000001</v>
      </c>
      <c r="J969" t="b">
        <v>0</v>
      </c>
      <c r="K969">
        <v>50</v>
      </c>
      <c r="L969">
        <f t="shared" si="136"/>
        <v>4</v>
      </c>
      <c r="M969" t="str">
        <f t="shared" si="137"/>
        <v>Medium</v>
      </c>
      <c r="N969" t="str">
        <f t="shared" si="138"/>
        <v>6-10%</v>
      </c>
      <c r="O969" t="str">
        <f t="shared" si="139"/>
        <v>OK</v>
      </c>
      <c r="P969">
        <f>IFERROR(Full_Data!G969/Full_Data!H969,"Check data")</f>
        <v>1.1200000000000001</v>
      </c>
      <c r="Q969" t="str">
        <f t="shared" si="140"/>
        <v>Match</v>
      </c>
      <c r="R969" t="str">
        <f t="shared" si="141"/>
        <v>Mismatch</v>
      </c>
      <c r="S969" t="str">
        <f t="shared" si="142"/>
        <v>Mismatch</v>
      </c>
    </row>
    <row r="970" spans="1:19" x14ac:dyDescent="0.25">
      <c r="A970" t="s">
        <v>917</v>
      </c>
      <c r="B970">
        <v>11000</v>
      </c>
      <c r="C970">
        <f t="shared" si="143"/>
        <v>110</v>
      </c>
      <c r="D970">
        <v>0</v>
      </c>
      <c r="E970">
        <v>5</v>
      </c>
      <c r="F970">
        <v>11000</v>
      </c>
      <c r="G970">
        <f t="shared" si="135"/>
        <v>110</v>
      </c>
      <c r="H970">
        <v>300</v>
      </c>
      <c r="I970" s="4">
        <f>Full_Data[[#This Row],[Selling Price]]/Full_Data[[#This Row],[Weight (g)]]</f>
        <v>0.36666666666666664</v>
      </c>
      <c r="J970" t="b">
        <v>0</v>
      </c>
      <c r="K970">
        <v>300</v>
      </c>
      <c r="L970">
        <f t="shared" si="136"/>
        <v>0</v>
      </c>
      <c r="M970" t="str">
        <f t="shared" si="137"/>
        <v>Medium</v>
      </c>
      <c r="N970" t="str">
        <f t="shared" si="138"/>
        <v>0-5%</v>
      </c>
      <c r="O970" t="str">
        <f t="shared" si="139"/>
        <v>OK</v>
      </c>
      <c r="P970">
        <f>IFERROR(Full_Data!G970/Full_Data!H970,"Check data")</f>
        <v>0.36666666666666664</v>
      </c>
      <c r="Q970" t="str">
        <f t="shared" si="140"/>
        <v>Match</v>
      </c>
      <c r="R970" t="str">
        <f t="shared" si="141"/>
        <v>Match</v>
      </c>
      <c r="S970" t="str">
        <f t="shared" si="142"/>
        <v>Match</v>
      </c>
    </row>
    <row r="971" spans="1:19" x14ac:dyDescent="0.25">
      <c r="A971" t="s">
        <v>918</v>
      </c>
      <c r="B971">
        <v>27500</v>
      </c>
      <c r="C971">
        <f t="shared" si="143"/>
        <v>275</v>
      </c>
      <c r="D971">
        <v>14</v>
      </c>
      <c r="E971">
        <v>6</v>
      </c>
      <c r="F971">
        <v>23400</v>
      </c>
      <c r="G971">
        <f t="shared" si="135"/>
        <v>234</v>
      </c>
      <c r="H971">
        <v>200</v>
      </c>
      <c r="I971" s="4">
        <f>Full_Data[[#This Row],[Selling Price]]/Full_Data[[#This Row],[Weight (g)]]</f>
        <v>1.17</v>
      </c>
      <c r="J971" t="b">
        <v>0</v>
      </c>
      <c r="K971">
        <v>200</v>
      </c>
      <c r="L971">
        <f t="shared" si="136"/>
        <v>41</v>
      </c>
      <c r="M971" t="str">
        <f t="shared" si="137"/>
        <v>High</v>
      </c>
      <c r="N971" t="str">
        <f t="shared" si="138"/>
        <v>11-15%</v>
      </c>
      <c r="O971" t="str">
        <f t="shared" si="139"/>
        <v>OK</v>
      </c>
      <c r="P971">
        <f>IFERROR(Full_Data!G971/Full_Data!H971,"Check data")</f>
        <v>1.17</v>
      </c>
      <c r="Q971" t="str">
        <f t="shared" si="140"/>
        <v>Match</v>
      </c>
      <c r="R971" t="str">
        <f t="shared" si="141"/>
        <v>Mismatch</v>
      </c>
      <c r="S971" t="str">
        <f t="shared" si="142"/>
        <v>Mismatch</v>
      </c>
    </row>
    <row r="972" spans="1:19" x14ac:dyDescent="0.25">
      <c r="A972" t="s">
        <v>919</v>
      </c>
      <c r="B972">
        <v>11400</v>
      </c>
      <c r="C972">
        <f t="shared" si="143"/>
        <v>114</v>
      </c>
      <c r="D972">
        <v>0</v>
      </c>
      <c r="E972">
        <v>6</v>
      </c>
      <c r="F972">
        <v>11400</v>
      </c>
      <c r="G972">
        <f t="shared" si="135"/>
        <v>114</v>
      </c>
      <c r="H972">
        <v>480</v>
      </c>
      <c r="I972" s="4">
        <f>Full_Data[[#This Row],[Selling Price]]/Full_Data[[#This Row],[Weight (g)]]</f>
        <v>0.23749999999999999</v>
      </c>
      <c r="J972" t="b">
        <v>0</v>
      </c>
      <c r="K972">
        <v>480</v>
      </c>
      <c r="L972">
        <f t="shared" si="136"/>
        <v>0</v>
      </c>
      <c r="M972" t="str">
        <f t="shared" si="137"/>
        <v>Medium</v>
      </c>
      <c r="N972" t="str">
        <f t="shared" si="138"/>
        <v>0-5%</v>
      </c>
      <c r="O972" t="str">
        <f t="shared" si="139"/>
        <v>OK</v>
      </c>
      <c r="P972">
        <f>IFERROR(Full_Data!G972/Full_Data!H972,"Check data")</f>
        <v>0.23749999999999999</v>
      </c>
      <c r="Q972" t="str">
        <f t="shared" si="140"/>
        <v>Match</v>
      </c>
      <c r="R972" t="str">
        <f t="shared" si="141"/>
        <v>Match</v>
      </c>
      <c r="S972" t="str">
        <f t="shared" si="142"/>
        <v>Match</v>
      </c>
    </row>
    <row r="973" spans="1:19" x14ac:dyDescent="0.25">
      <c r="A973" t="s">
        <v>920</v>
      </c>
      <c r="B973">
        <v>23000</v>
      </c>
      <c r="C973">
        <f t="shared" si="143"/>
        <v>230</v>
      </c>
      <c r="D973">
        <v>0</v>
      </c>
      <c r="E973">
        <v>6</v>
      </c>
      <c r="F973">
        <v>23000</v>
      </c>
      <c r="G973">
        <f t="shared" si="135"/>
        <v>230</v>
      </c>
      <c r="H973">
        <v>250</v>
      </c>
      <c r="I973" s="4">
        <f>Full_Data[[#This Row],[Selling Price]]/Full_Data[[#This Row],[Weight (g)]]</f>
        <v>0.92</v>
      </c>
      <c r="J973" t="b">
        <v>0</v>
      </c>
      <c r="K973">
        <v>250</v>
      </c>
      <c r="L973">
        <f t="shared" si="136"/>
        <v>0</v>
      </c>
      <c r="M973" t="str">
        <f t="shared" si="137"/>
        <v>High</v>
      </c>
      <c r="N973" t="str">
        <f t="shared" si="138"/>
        <v>0-5%</v>
      </c>
      <c r="O973" t="str">
        <f t="shared" si="139"/>
        <v>OK</v>
      </c>
      <c r="P973">
        <f>IFERROR(Full_Data!G973/Full_Data!H973,"Check data")</f>
        <v>0.92</v>
      </c>
      <c r="Q973" t="str">
        <f t="shared" si="140"/>
        <v>Match</v>
      </c>
      <c r="R973" t="str">
        <f t="shared" si="141"/>
        <v>Match</v>
      </c>
      <c r="S973" t="str">
        <f t="shared" si="142"/>
        <v>Match</v>
      </c>
    </row>
    <row r="974" spans="1:19" x14ac:dyDescent="0.25">
      <c r="A974" t="s">
        <v>921</v>
      </c>
      <c r="B974">
        <v>23000</v>
      </c>
      <c r="C974">
        <f t="shared" si="143"/>
        <v>230</v>
      </c>
      <c r="D974">
        <v>0</v>
      </c>
      <c r="E974">
        <v>4</v>
      </c>
      <c r="F974">
        <v>23000</v>
      </c>
      <c r="G974">
        <f t="shared" si="135"/>
        <v>230</v>
      </c>
      <c r="H974">
        <v>400</v>
      </c>
      <c r="I974" s="4">
        <f>Full_Data[[#This Row],[Selling Price]]/Full_Data[[#This Row],[Weight (g)]]</f>
        <v>0.57499999999999996</v>
      </c>
      <c r="J974" t="b">
        <v>0</v>
      </c>
      <c r="K974">
        <v>400</v>
      </c>
      <c r="L974">
        <f t="shared" si="136"/>
        <v>0</v>
      </c>
      <c r="M974" t="str">
        <f t="shared" si="137"/>
        <v>High</v>
      </c>
      <c r="N974" t="str">
        <f t="shared" si="138"/>
        <v>0-5%</v>
      </c>
      <c r="O974" t="str">
        <f t="shared" si="139"/>
        <v>OK</v>
      </c>
      <c r="P974">
        <f>IFERROR(Full_Data!G974/Full_Data!H974,"Check data")</f>
        <v>0.57499999999999996</v>
      </c>
      <c r="Q974" t="str">
        <f t="shared" si="140"/>
        <v>Match</v>
      </c>
      <c r="R974" t="str">
        <f t="shared" si="141"/>
        <v>Match</v>
      </c>
      <c r="S974" t="str">
        <f t="shared" si="142"/>
        <v>Match</v>
      </c>
    </row>
    <row r="975" spans="1:19" x14ac:dyDescent="0.25">
      <c r="A975" t="s">
        <v>922</v>
      </c>
      <c r="B975">
        <v>11000</v>
      </c>
      <c r="C975">
        <f t="shared" si="143"/>
        <v>110</v>
      </c>
      <c r="D975">
        <v>0</v>
      </c>
      <c r="E975">
        <v>4</v>
      </c>
      <c r="F975">
        <v>11000</v>
      </c>
      <c r="G975">
        <f t="shared" si="135"/>
        <v>110</v>
      </c>
      <c r="H975">
        <v>300</v>
      </c>
      <c r="I975" s="4">
        <f>Full_Data[[#This Row],[Selling Price]]/Full_Data[[#This Row],[Weight (g)]]</f>
        <v>0.36666666666666664</v>
      </c>
      <c r="J975" t="b">
        <v>0</v>
      </c>
      <c r="K975">
        <v>300</v>
      </c>
      <c r="L975">
        <f t="shared" si="136"/>
        <v>0</v>
      </c>
      <c r="M975" t="str">
        <f t="shared" si="137"/>
        <v>Medium</v>
      </c>
      <c r="N975" t="str">
        <f t="shared" si="138"/>
        <v>0-5%</v>
      </c>
      <c r="O975" t="str">
        <f t="shared" si="139"/>
        <v>OK</v>
      </c>
      <c r="P975">
        <f>IFERROR(Full_Data!G975/Full_Data!H975,"Check data")</f>
        <v>0.36666666666666664</v>
      </c>
      <c r="Q975" t="str">
        <f t="shared" si="140"/>
        <v>Match</v>
      </c>
      <c r="R975" t="str">
        <f t="shared" si="141"/>
        <v>Match</v>
      </c>
      <c r="S975" t="str">
        <f t="shared" si="142"/>
        <v>Match</v>
      </c>
    </row>
    <row r="976" spans="1:19" x14ac:dyDescent="0.25">
      <c r="A976" t="s">
        <v>923</v>
      </c>
      <c r="B976">
        <v>11000</v>
      </c>
      <c r="C976">
        <f t="shared" si="143"/>
        <v>110</v>
      </c>
      <c r="D976">
        <v>0</v>
      </c>
      <c r="E976">
        <v>6</v>
      </c>
      <c r="F976">
        <v>11000</v>
      </c>
      <c r="G976">
        <f t="shared" si="135"/>
        <v>110</v>
      </c>
      <c r="H976">
        <v>300</v>
      </c>
      <c r="I976" s="4">
        <f>Full_Data[[#This Row],[Selling Price]]/Full_Data[[#This Row],[Weight (g)]]</f>
        <v>0.36666666666666664</v>
      </c>
      <c r="J976" t="b">
        <v>0</v>
      </c>
      <c r="K976">
        <v>300</v>
      </c>
      <c r="L976">
        <f t="shared" si="136"/>
        <v>0</v>
      </c>
      <c r="M976" t="str">
        <f t="shared" si="137"/>
        <v>Medium</v>
      </c>
      <c r="N976" t="str">
        <f t="shared" si="138"/>
        <v>0-5%</v>
      </c>
      <c r="O976" t="str">
        <f t="shared" si="139"/>
        <v>OK</v>
      </c>
      <c r="P976">
        <f>IFERROR(Full_Data!G976/Full_Data!H976,"Check data")</f>
        <v>0.36666666666666664</v>
      </c>
      <c r="Q976" t="str">
        <f t="shared" si="140"/>
        <v>Match</v>
      </c>
      <c r="R976" t="str">
        <f t="shared" si="141"/>
        <v>Match</v>
      </c>
      <c r="S976" t="str">
        <f t="shared" si="142"/>
        <v>Match</v>
      </c>
    </row>
    <row r="977" spans="1:19" x14ac:dyDescent="0.25">
      <c r="A977" t="s">
        <v>924</v>
      </c>
      <c r="B977">
        <v>27200</v>
      </c>
      <c r="C977">
        <f t="shared" si="143"/>
        <v>272</v>
      </c>
      <c r="D977">
        <v>0</v>
      </c>
      <c r="E977">
        <v>1</v>
      </c>
      <c r="F977">
        <v>27200</v>
      </c>
      <c r="G977">
        <f t="shared" si="135"/>
        <v>272</v>
      </c>
      <c r="H977">
        <v>300</v>
      </c>
      <c r="I977" s="4">
        <f>Full_Data[[#This Row],[Selling Price]]/Full_Data[[#This Row],[Weight (g)]]</f>
        <v>0.90666666666666662</v>
      </c>
      <c r="J977" t="b">
        <v>0</v>
      </c>
      <c r="K977">
        <v>300</v>
      </c>
      <c r="L977">
        <f t="shared" si="136"/>
        <v>0</v>
      </c>
      <c r="M977" t="str">
        <f t="shared" si="137"/>
        <v>High</v>
      </c>
      <c r="N977" t="str">
        <f t="shared" si="138"/>
        <v>0-5%</v>
      </c>
      <c r="O977" t="str">
        <f t="shared" si="139"/>
        <v>OK</v>
      </c>
      <c r="P977">
        <f>IFERROR(Full_Data!G977/Full_Data!H977,"Check data")</f>
        <v>0.90666666666666662</v>
      </c>
      <c r="Q977" t="str">
        <f t="shared" si="140"/>
        <v>Match</v>
      </c>
      <c r="R977" t="str">
        <f t="shared" si="141"/>
        <v>Match</v>
      </c>
      <c r="S977" t="str">
        <f t="shared" si="142"/>
        <v>Match</v>
      </c>
    </row>
    <row r="978" spans="1:19" x14ac:dyDescent="0.25">
      <c r="A978" t="s">
        <v>925</v>
      </c>
      <c r="B978">
        <v>25000</v>
      </c>
      <c r="C978">
        <f t="shared" si="143"/>
        <v>250</v>
      </c>
      <c r="D978">
        <v>0</v>
      </c>
      <c r="E978">
        <v>6</v>
      </c>
      <c r="F978">
        <v>25000</v>
      </c>
      <c r="G978">
        <f t="shared" si="135"/>
        <v>250</v>
      </c>
      <c r="H978">
        <v>250</v>
      </c>
      <c r="I978" s="4">
        <f>Full_Data[[#This Row],[Selling Price]]/Full_Data[[#This Row],[Weight (g)]]</f>
        <v>1</v>
      </c>
      <c r="J978" t="b">
        <v>0</v>
      </c>
      <c r="K978">
        <v>250</v>
      </c>
      <c r="L978">
        <f t="shared" si="136"/>
        <v>0</v>
      </c>
      <c r="M978" t="str">
        <f t="shared" si="137"/>
        <v>High</v>
      </c>
      <c r="N978" t="str">
        <f t="shared" si="138"/>
        <v>0-5%</v>
      </c>
      <c r="O978" t="str">
        <f t="shared" si="139"/>
        <v>OK</v>
      </c>
      <c r="P978">
        <f>IFERROR(Full_Data!G978/Full_Data!H978,"Check data")</f>
        <v>1</v>
      </c>
      <c r="Q978" t="str">
        <f t="shared" si="140"/>
        <v>Match</v>
      </c>
      <c r="R978" t="str">
        <f t="shared" si="141"/>
        <v>Match</v>
      </c>
      <c r="S978" t="str">
        <f t="shared" si="142"/>
        <v>Match</v>
      </c>
    </row>
    <row r="979" spans="1:19" x14ac:dyDescent="0.25">
      <c r="A979" t="s">
        <v>926</v>
      </c>
      <c r="B979">
        <v>33000</v>
      </c>
      <c r="C979">
        <f t="shared" si="143"/>
        <v>330</v>
      </c>
      <c r="D979">
        <v>0</v>
      </c>
      <c r="E979">
        <v>6</v>
      </c>
      <c r="F979">
        <v>33000</v>
      </c>
      <c r="G979">
        <f t="shared" si="135"/>
        <v>330</v>
      </c>
      <c r="H979">
        <v>500</v>
      </c>
      <c r="I979" s="4">
        <f>Full_Data[[#This Row],[Selling Price]]/Full_Data[[#This Row],[Weight (g)]]</f>
        <v>0.66</v>
      </c>
      <c r="J979" t="b">
        <v>0</v>
      </c>
      <c r="K979">
        <v>500</v>
      </c>
      <c r="L979">
        <f t="shared" si="136"/>
        <v>0</v>
      </c>
      <c r="M979" t="str">
        <f t="shared" si="137"/>
        <v>High</v>
      </c>
      <c r="N979" t="str">
        <f t="shared" si="138"/>
        <v>0-5%</v>
      </c>
      <c r="O979" t="str">
        <f t="shared" si="139"/>
        <v>OK</v>
      </c>
      <c r="P979">
        <f>IFERROR(Full_Data!G979/Full_Data!H979,"Check data")</f>
        <v>0.66</v>
      </c>
      <c r="Q979" t="str">
        <f t="shared" si="140"/>
        <v>Match</v>
      </c>
      <c r="R979" t="str">
        <f t="shared" si="141"/>
        <v>Match</v>
      </c>
      <c r="S979" t="str">
        <f t="shared" si="142"/>
        <v>Match</v>
      </c>
    </row>
    <row r="980" spans="1:19" x14ac:dyDescent="0.25">
      <c r="A980" t="s">
        <v>927</v>
      </c>
      <c r="B980">
        <v>17500</v>
      </c>
      <c r="C980">
        <f t="shared" si="143"/>
        <v>175</v>
      </c>
      <c r="D980">
        <v>9</v>
      </c>
      <c r="E980">
        <v>4</v>
      </c>
      <c r="F980">
        <v>15800</v>
      </c>
      <c r="G980">
        <f t="shared" si="135"/>
        <v>158</v>
      </c>
      <c r="H980">
        <v>375</v>
      </c>
      <c r="I980" s="4">
        <f>Full_Data[[#This Row],[Selling Price]]/Full_Data[[#This Row],[Weight (g)]]</f>
        <v>0.42133333333333334</v>
      </c>
      <c r="J980" t="b">
        <v>0</v>
      </c>
      <c r="K980">
        <v>375</v>
      </c>
      <c r="L980">
        <f t="shared" si="136"/>
        <v>17</v>
      </c>
      <c r="M980" t="str">
        <f t="shared" si="137"/>
        <v>Medium</v>
      </c>
      <c r="N980" t="str">
        <f t="shared" si="138"/>
        <v>6-10%</v>
      </c>
      <c r="O980" t="str">
        <f t="shared" si="139"/>
        <v>OK</v>
      </c>
      <c r="P980">
        <f>IFERROR(Full_Data!G980/Full_Data!H980,"Check data")</f>
        <v>0.42133333333333334</v>
      </c>
      <c r="Q980" t="str">
        <f t="shared" si="140"/>
        <v>Match</v>
      </c>
      <c r="R980" t="str">
        <f t="shared" si="141"/>
        <v>Mismatch</v>
      </c>
      <c r="S980" t="str">
        <f t="shared" si="142"/>
        <v>Mismatch</v>
      </c>
    </row>
    <row r="981" spans="1:19" x14ac:dyDescent="0.25">
      <c r="A981" t="s">
        <v>928</v>
      </c>
      <c r="B981">
        <v>12000</v>
      </c>
      <c r="C981">
        <f t="shared" si="143"/>
        <v>120</v>
      </c>
      <c r="D981">
        <v>0</v>
      </c>
      <c r="E981">
        <v>6</v>
      </c>
      <c r="F981">
        <v>12000</v>
      </c>
      <c r="G981">
        <f t="shared" si="135"/>
        <v>120</v>
      </c>
      <c r="H981">
        <v>160</v>
      </c>
      <c r="I981" s="4">
        <f>Full_Data[[#This Row],[Selling Price]]/Full_Data[[#This Row],[Weight (g)]]</f>
        <v>0.75</v>
      </c>
      <c r="J981" t="b">
        <v>0</v>
      </c>
      <c r="K981">
        <v>160</v>
      </c>
      <c r="L981">
        <f t="shared" si="136"/>
        <v>0</v>
      </c>
      <c r="M981" t="str">
        <f t="shared" si="137"/>
        <v>Medium</v>
      </c>
      <c r="N981" t="str">
        <f t="shared" si="138"/>
        <v>0-5%</v>
      </c>
      <c r="O981" t="str">
        <f t="shared" si="139"/>
        <v>OK</v>
      </c>
      <c r="P981">
        <f>IFERROR(Full_Data!G981/Full_Data!H981,"Check data")</f>
        <v>0.75</v>
      </c>
      <c r="Q981" t="str">
        <f t="shared" si="140"/>
        <v>Match</v>
      </c>
      <c r="R981" t="str">
        <f t="shared" si="141"/>
        <v>Match</v>
      </c>
      <c r="S981" t="str">
        <f t="shared" si="142"/>
        <v>Match</v>
      </c>
    </row>
    <row r="982" spans="1:19" x14ac:dyDescent="0.25">
      <c r="A982" t="s">
        <v>929</v>
      </c>
      <c r="B982">
        <v>28000</v>
      </c>
      <c r="C982">
        <f t="shared" si="143"/>
        <v>280</v>
      </c>
      <c r="D982">
        <v>50</v>
      </c>
      <c r="E982">
        <v>6</v>
      </c>
      <c r="F982">
        <v>14000</v>
      </c>
      <c r="G982">
        <f t="shared" si="135"/>
        <v>140</v>
      </c>
      <c r="H982">
        <v>175</v>
      </c>
      <c r="I982" s="4">
        <f>Full_Data[[#This Row],[Selling Price]]/Full_Data[[#This Row],[Weight (g)]]</f>
        <v>0.8</v>
      </c>
      <c r="J982" t="b">
        <v>0</v>
      </c>
      <c r="K982">
        <v>175</v>
      </c>
      <c r="L982">
        <f t="shared" si="136"/>
        <v>140</v>
      </c>
      <c r="M982" t="str">
        <f t="shared" si="137"/>
        <v>Medium</v>
      </c>
      <c r="N982" t="str">
        <f t="shared" si="138"/>
        <v>21%+</v>
      </c>
      <c r="O982" t="str">
        <f t="shared" si="139"/>
        <v>OK</v>
      </c>
      <c r="P982">
        <f>IFERROR(Full_Data!G982/Full_Data!H982,"Check data")</f>
        <v>0.8</v>
      </c>
      <c r="Q982" t="str">
        <f t="shared" si="140"/>
        <v>Match</v>
      </c>
      <c r="R982" t="str">
        <f t="shared" si="141"/>
        <v>Match</v>
      </c>
      <c r="S982" t="str">
        <f t="shared" si="142"/>
        <v>Match</v>
      </c>
    </row>
    <row r="983" spans="1:19" x14ac:dyDescent="0.25">
      <c r="A983" t="s">
        <v>930</v>
      </c>
      <c r="B983">
        <v>66000</v>
      </c>
      <c r="C983">
        <f t="shared" si="143"/>
        <v>660</v>
      </c>
      <c r="D983">
        <v>7</v>
      </c>
      <c r="E983">
        <v>2</v>
      </c>
      <c r="F983">
        <v>60800</v>
      </c>
      <c r="G983">
        <f t="shared" si="135"/>
        <v>608</v>
      </c>
      <c r="H983">
        <v>3000</v>
      </c>
      <c r="I983" s="4">
        <f>Full_Data[[#This Row],[Selling Price]]/Full_Data[[#This Row],[Weight (g)]]</f>
        <v>0.20266666666666666</v>
      </c>
      <c r="J983" t="b">
        <v>0</v>
      </c>
      <c r="K983">
        <v>3</v>
      </c>
      <c r="L983">
        <f t="shared" si="136"/>
        <v>52</v>
      </c>
      <c r="M983" t="str">
        <f t="shared" si="137"/>
        <v>High</v>
      </c>
      <c r="N983" t="str">
        <f t="shared" si="138"/>
        <v>6-10%</v>
      </c>
      <c r="O983" t="str">
        <f t="shared" si="139"/>
        <v>OK</v>
      </c>
      <c r="P983">
        <f>IFERROR(Full_Data!G983/Full_Data!H983,"Check data")</f>
        <v>0.20266666666666666</v>
      </c>
      <c r="Q983" t="str">
        <f t="shared" si="140"/>
        <v>Match</v>
      </c>
      <c r="R983" t="str">
        <f t="shared" si="141"/>
        <v>Mismatch</v>
      </c>
      <c r="S983" t="str">
        <f t="shared" si="142"/>
        <v>Mismatch</v>
      </c>
    </row>
    <row r="984" spans="1:19" x14ac:dyDescent="0.25">
      <c r="A984" t="s">
        <v>931</v>
      </c>
      <c r="B984">
        <v>22500</v>
      </c>
      <c r="C984">
        <f t="shared" si="143"/>
        <v>225</v>
      </c>
      <c r="D984">
        <v>15</v>
      </c>
      <c r="E984">
        <v>6</v>
      </c>
      <c r="F984">
        <v>19100</v>
      </c>
      <c r="G984">
        <f t="shared" si="135"/>
        <v>191</v>
      </c>
      <c r="H984">
        <v>200</v>
      </c>
      <c r="I984" s="4">
        <f>Full_Data[[#This Row],[Selling Price]]/Full_Data[[#This Row],[Weight (g)]]</f>
        <v>0.95499999999999996</v>
      </c>
      <c r="J984" t="b">
        <v>0</v>
      </c>
      <c r="K984">
        <v>200</v>
      </c>
      <c r="L984">
        <f t="shared" si="136"/>
        <v>34</v>
      </c>
      <c r="M984" t="str">
        <f t="shared" si="137"/>
        <v>Medium</v>
      </c>
      <c r="N984" t="str">
        <f t="shared" si="138"/>
        <v>11-15%</v>
      </c>
      <c r="O984" t="str">
        <f t="shared" si="139"/>
        <v>OK</v>
      </c>
      <c r="P984">
        <f>IFERROR(Full_Data!G984/Full_Data!H984,"Check data")</f>
        <v>0.95499999999999996</v>
      </c>
      <c r="Q984" t="str">
        <f t="shared" si="140"/>
        <v>Match</v>
      </c>
      <c r="R984" t="str">
        <f t="shared" si="141"/>
        <v>Mismatch</v>
      </c>
      <c r="S984" t="str">
        <f t="shared" si="142"/>
        <v>Match</v>
      </c>
    </row>
    <row r="985" spans="1:19" x14ac:dyDescent="0.25">
      <c r="A985" t="s">
        <v>932</v>
      </c>
      <c r="B985">
        <v>27500</v>
      </c>
      <c r="C985">
        <f t="shared" si="143"/>
        <v>275</v>
      </c>
      <c r="D985">
        <v>14</v>
      </c>
      <c r="E985">
        <v>6</v>
      </c>
      <c r="F985">
        <v>23400</v>
      </c>
      <c r="G985">
        <f t="shared" si="135"/>
        <v>234</v>
      </c>
      <c r="H985">
        <v>200</v>
      </c>
      <c r="I985" s="4">
        <f>Full_Data[[#This Row],[Selling Price]]/Full_Data[[#This Row],[Weight (g)]]</f>
        <v>1.17</v>
      </c>
      <c r="J985" t="b">
        <v>0</v>
      </c>
      <c r="K985">
        <v>200</v>
      </c>
      <c r="L985">
        <f t="shared" si="136"/>
        <v>41</v>
      </c>
      <c r="M985" t="str">
        <f t="shared" si="137"/>
        <v>High</v>
      </c>
      <c r="N985" t="str">
        <f t="shared" si="138"/>
        <v>11-15%</v>
      </c>
      <c r="O985" t="str">
        <f t="shared" si="139"/>
        <v>OK</v>
      </c>
      <c r="P985">
        <f>IFERROR(Full_Data!G985/Full_Data!H985,"Check data")</f>
        <v>1.17</v>
      </c>
      <c r="Q985" t="str">
        <f t="shared" si="140"/>
        <v>Match</v>
      </c>
      <c r="R985" t="str">
        <f t="shared" si="141"/>
        <v>Mismatch</v>
      </c>
      <c r="S985" t="str">
        <f t="shared" si="142"/>
        <v>Mismatch</v>
      </c>
    </row>
    <row r="986" spans="1:19" x14ac:dyDescent="0.25">
      <c r="A986" t="s">
        <v>933</v>
      </c>
      <c r="B986">
        <v>27500</v>
      </c>
      <c r="C986">
        <f t="shared" si="143"/>
        <v>275</v>
      </c>
      <c r="D986">
        <v>14</v>
      </c>
      <c r="E986">
        <v>6</v>
      </c>
      <c r="F986">
        <v>23400</v>
      </c>
      <c r="G986">
        <f t="shared" si="135"/>
        <v>234</v>
      </c>
      <c r="H986">
        <v>200</v>
      </c>
      <c r="I986" s="4">
        <f>Full_Data[[#This Row],[Selling Price]]/Full_Data[[#This Row],[Weight (g)]]</f>
        <v>1.17</v>
      </c>
      <c r="J986" t="b">
        <v>0</v>
      </c>
      <c r="K986">
        <v>200</v>
      </c>
      <c r="L986">
        <f t="shared" si="136"/>
        <v>41</v>
      </c>
      <c r="M986" t="str">
        <f t="shared" si="137"/>
        <v>High</v>
      </c>
      <c r="N986" t="str">
        <f t="shared" si="138"/>
        <v>11-15%</v>
      </c>
      <c r="O986" t="str">
        <f t="shared" si="139"/>
        <v>OK</v>
      </c>
      <c r="P986">
        <f>IFERROR(Full_Data!G986/Full_Data!H986,"Check data")</f>
        <v>1.17</v>
      </c>
      <c r="Q986" t="str">
        <f t="shared" si="140"/>
        <v>Match</v>
      </c>
      <c r="R986" t="str">
        <f t="shared" si="141"/>
        <v>Mismatch</v>
      </c>
      <c r="S986" t="str">
        <f t="shared" si="142"/>
        <v>Mismatch</v>
      </c>
    </row>
    <row r="987" spans="1:19" x14ac:dyDescent="0.25">
      <c r="A987" t="s">
        <v>934</v>
      </c>
      <c r="B987">
        <v>14000</v>
      </c>
      <c r="C987">
        <f t="shared" si="143"/>
        <v>140</v>
      </c>
      <c r="D987">
        <v>15</v>
      </c>
      <c r="E987">
        <v>6</v>
      </c>
      <c r="F987">
        <v>11900</v>
      </c>
      <c r="G987">
        <f t="shared" si="135"/>
        <v>119</v>
      </c>
      <c r="H987">
        <v>60</v>
      </c>
      <c r="I987" s="4">
        <f>Full_Data[[#This Row],[Selling Price]]/Full_Data[[#This Row],[Weight (g)]]</f>
        <v>1.9833333333333334</v>
      </c>
      <c r="J987" t="b">
        <v>0</v>
      </c>
      <c r="K987">
        <v>60</v>
      </c>
      <c r="L987">
        <f t="shared" si="136"/>
        <v>21</v>
      </c>
      <c r="M987" t="str">
        <f t="shared" si="137"/>
        <v>Medium</v>
      </c>
      <c r="N987" t="str">
        <f t="shared" si="138"/>
        <v>11-15%</v>
      </c>
      <c r="O987" t="str">
        <f t="shared" si="139"/>
        <v>OK</v>
      </c>
      <c r="P987">
        <f>IFERROR(Full_Data!G987/Full_Data!H987,"Check data")</f>
        <v>1.9833333333333334</v>
      </c>
      <c r="Q987" t="str">
        <f t="shared" si="140"/>
        <v>Match</v>
      </c>
      <c r="R987" t="str">
        <f t="shared" si="141"/>
        <v>Match</v>
      </c>
      <c r="S987" t="str">
        <f t="shared" si="142"/>
        <v>Match</v>
      </c>
    </row>
    <row r="988" spans="1:19" x14ac:dyDescent="0.25">
      <c r="A988" t="s">
        <v>935</v>
      </c>
      <c r="B988">
        <v>32500</v>
      </c>
      <c r="C988">
        <f t="shared" si="143"/>
        <v>325</v>
      </c>
      <c r="D988">
        <v>9</v>
      </c>
      <c r="E988">
        <v>5</v>
      </c>
      <c r="F988">
        <v>29300</v>
      </c>
      <c r="G988">
        <f t="shared" si="135"/>
        <v>293</v>
      </c>
      <c r="H988">
        <v>200</v>
      </c>
      <c r="I988" s="4">
        <f>Full_Data[[#This Row],[Selling Price]]/Full_Data[[#This Row],[Weight (g)]]</f>
        <v>1.4650000000000001</v>
      </c>
      <c r="J988" t="b">
        <v>0</v>
      </c>
      <c r="K988">
        <v>200</v>
      </c>
      <c r="L988">
        <f t="shared" si="136"/>
        <v>32</v>
      </c>
      <c r="M988" t="str">
        <f t="shared" si="137"/>
        <v>High</v>
      </c>
      <c r="N988" t="str">
        <f t="shared" si="138"/>
        <v>6-10%</v>
      </c>
      <c r="O988" t="str">
        <f t="shared" si="139"/>
        <v>OK</v>
      </c>
      <c r="P988">
        <f>IFERROR(Full_Data!G988/Full_Data!H988,"Check data")</f>
        <v>1.4650000000000001</v>
      </c>
      <c r="Q988" t="str">
        <f t="shared" si="140"/>
        <v>Match</v>
      </c>
      <c r="R988" t="str">
        <f t="shared" si="141"/>
        <v>Mismatch</v>
      </c>
      <c r="S988" t="str">
        <f t="shared" si="142"/>
        <v>Mismatch</v>
      </c>
    </row>
    <row r="989" spans="1:19" x14ac:dyDescent="0.25">
      <c r="A989" t="s">
        <v>936</v>
      </c>
      <c r="B989">
        <v>27500</v>
      </c>
      <c r="C989">
        <f t="shared" si="143"/>
        <v>275</v>
      </c>
      <c r="D989">
        <v>14</v>
      </c>
      <c r="E989">
        <v>6</v>
      </c>
      <c r="F989">
        <v>23400</v>
      </c>
      <c r="G989">
        <f t="shared" si="135"/>
        <v>234</v>
      </c>
      <c r="H989">
        <v>200</v>
      </c>
      <c r="I989" s="4">
        <f>Full_Data[[#This Row],[Selling Price]]/Full_Data[[#This Row],[Weight (g)]]</f>
        <v>1.17</v>
      </c>
      <c r="J989" t="b">
        <v>0</v>
      </c>
      <c r="K989">
        <v>200</v>
      </c>
      <c r="L989">
        <f t="shared" si="136"/>
        <v>41</v>
      </c>
      <c r="M989" t="str">
        <f t="shared" si="137"/>
        <v>High</v>
      </c>
      <c r="N989" t="str">
        <f t="shared" si="138"/>
        <v>11-15%</v>
      </c>
      <c r="O989" t="str">
        <f t="shared" si="139"/>
        <v>OK</v>
      </c>
      <c r="P989">
        <f>IFERROR(Full_Data!G989/Full_Data!H989,"Check data")</f>
        <v>1.17</v>
      </c>
      <c r="Q989" t="str">
        <f t="shared" si="140"/>
        <v>Match</v>
      </c>
      <c r="R989" t="str">
        <f t="shared" si="141"/>
        <v>Mismatch</v>
      </c>
      <c r="S989" t="str">
        <f t="shared" si="142"/>
        <v>Mismatch</v>
      </c>
    </row>
    <row r="990" spans="1:19" x14ac:dyDescent="0.25">
      <c r="A990" t="s">
        <v>937</v>
      </c>
      <c r="B990">
        <v>11400</v>
      </c>
      <c r="C990">
        <f t="shared" si="143"/>
        <v>114</v>
      </c>
      <c r="D990">
        <v>0</v>
      </c>
      <c r="E990">
        <v>6</v>
      </c>
      <c r="F990">
        <v>11400</v>
      </c>
      <c r="G990">
        <f t="shared" si="135"/>
        <v>114</v>
      </c>
      <c r="H990">
        <v>480</v>
      </c>
      <c r="I990" s="4">
        <f>Full_Data[[#This Row],[Selling Price]]/Full_Data[[#This Row],[Weight (g)]]</f>
        <v>0.23749999999999999</v>
      </c>
      <c r="J990" t="b">
        <v>0</v>
      </c>
      <c r="K990">
        <v>480</v>
      </c>
      <c r="L990">
        <f t="shared" si="136"/>
        <v>0</v>
      </c>
      <c r="M990" t="str">
        <f t="shared" si="137"/>
        <v>Medium</v>
      </c>
      <c r="N990" t="str">
        <f t="shared" si="138"/>
        <v>0-5%</v>
      </c>
      <c r="O990" t="str">
        <f t="shared" si="139"/>
        <v>OK</v>
      </c>
      <c r="P990">
        <f>IFERROR(Full_Data!G990/Full_Data!H990,"Check data")</f>
        <v>0.23749999999999999</v>
      </c>
      <c r="Q990" t="str">
        <f t="shared" si="140"/>
        <v>Match</v>
      </c>
      <c r="R990" t="str">
        <f t="shared" si="141"/>
        <v>Match</v>
      </c>
      <c r="S990" t="str">
        <f t="shared" si="142"/>
        <v>Match</v>
      </c>
    </row>
    <row r="991" spans="1:19" x14ac:dyDescent="0.25">
      <c r="A991" t="s">
        <v>938</v>
      </c>
      <c r="B991">
        <v>61000</v>
      </c>
      <c r="C991">
        <f t="shared" si="143"/>
        <v>610</v>
      </c>
      <c r="D991">
        <v>0</v>
      </c>
      <c r="E991">
        <v>2</v>
      </c>
      <c r="F991">
        <v>61000</v>
      </c>
      <c r="G991">
        <f t="shared" si="135"/>
        <v>610</v>
      </c>
      <c r="H991">
        <v>400</v>
      </c>
      <c r="I991" s="4">
        <f>Full_Data[[#This Row],[Selling Price]]/Full_Data[[#This Row],[Weight (g)]]</f>
        <v>1.5249999999999999</v>
      </c>
      <c r="J991" t="b">
        <v>0</v>
      </c>
      <c r="K991">
        <v>400</v>
      </c>
      <c r="L991">
        <f t="shared" si="136"/>
        <v>0</v>
      </c>
      <c r="M991" t="str">
        <f t="shared" si="137"/>
        <v>High</v>
      </c>
      <c r="N991" t="str">
        <f t="shared" si="138"/>
        <v>0-5%</v>
      </c>
      <c r="O991" t="str">
        <f t="shared" si="139"/>
        <v>OK</v>
      </c>
      <c r="P991">
        <f>IFERROR(Full_Data!G991/Full_Data!H991,"Check data")</f>
        <v>1.5249999999999999</v>
      </c>
      <c r="Q991" t="str">
        <f t="shared" si="140"/>
        <v>Match</v>
      </c>
      <c r="R991" t="str">
        <f t="shared" si="141"/>
        <v>Match</v>
      </c>
      <c r="S991" t="str">
        <f t="shared" si="142"/>
        <v>Match</v>
      </c>
    </row>
    <row r="992" spans="1:19" x14ac:dyDescent="0.25">
      <c r="A992" t="s">
        <v>939</v>
      </c>
      <c r="B992">
        <v>9100</v>
      </c>
      <c r="C992">
        <f t="shared" si="143"/>
        <v>91</v>
      </c>
      <c r="D992">
        <v>0</v>
      </c>
      <c r="E992">
        <v>6</v>
      </c>
      <c r="F992">
        <v>9100</v>
      </c>
      <c r="G992">
        <f t="shared" si="135"/>
        <v>91</v>
      </c>
      <c r="H992">
        <v>60</v>
      </c>
      <c r="I992" s="4">
        <f>Full_Data[[#This Row],[Selling Price]]/Full_Data[[#This Row],[Weight (g)]]</f>
        <v>1.5166666666666666</v>
      </c>
      <c r="J992" t="b">
        <v>0</v>
      </c>
      <c r="K992">
        <v>60</v>
      </c>
      <c r="L992">
        <f t="shared" si="136"/>
        <v>0</v>
      </c>
      <c r="M992" t="str">
        <f t="shared" si="137"/>
        <v>Medium</v>
      </c>
      <c r="N992" t="str">
        <f t="shared" si="138"/>
        <v>0-5%</v>
      </c>
      <c r="O992" t="str">
        <f t="shared" si="139"/>
        <v>OK</v>
      </c>
      <c r="P992">
        <f>IFERROR(Full_Data!G992/Full_Data!H992,"Check data")</f>
        <v>1.5166666666666666</v>
      </c>
      <c r="Q992" t="str">
        <f t="shared" si="140"/>
        <v>Match</v>
      </c>
      <c r="R992" t="str">
        <f t="shared" si="141"/>
        <v>Match</v>
      </c>
      <c r="S992" t="str">
        <f t="shared" si="142"/>
        <v>Match</v>
      </c>
    </row>
    <row r="993" spans="1:19" x14ac:dyDescent="0.25">
      <c r="A993" t="s">
        <v>940</v>
      </c>
      <c r="B993">
        <v>23000</v>
      </c>
      <c r="C993">
        <f t="shared" si="143"/>
        <v>230</v>
      </c>
      <c r="D993">
        <v>0</v>
      </c>
      <c r="E993">
        <v>4</v>
      </c>
      <c r="F993">
        <v>23000</v>
      </c>
      <c r="G993">
        <f t="shared" si="135"/>
        <v>230</v>
      </c>
      <c r="H993">
        <v>400</v>
      </c>
      <c r="I993" s="4">
        <f>Full_Data[[#This Row],[Selling Price]]/Full_Data[[#This Row],[Weight (g)]]</f>
        <v>0.57499999999999996</v>
      </c>
      <c r="J993" t="b">
        <v>0</v>
      </c>
      <c r="K993">
        <v>400</v>
      </c>
      <c r="L993">
        <f t="shared" si="136"/>
        <v>0</v>
      </c>
      <c r="M993" t="str">
        <f t="shared" si="137"/>
        <v>High</v>
      </c>
      <c r="N993" t="str">
        <f t="shared" si="138"/>
        <v>0-5%</v>
      </c>
      <c r="O993" t="str">
        <f t="shared" si="139"/>
        <v>OK</v>
      </c>
      <c r="P993">
        <f>IFERROR(Full_Data!G993/Full_Data!H993,"Check data")</f>
        <v>0.57499999999999996</v>
      </c>
      <c r="Q993" t="str">
        <f t="shared" si="140"/>
        <v>Match</v>
      </c>
      <c r="R993" t="str">
        <f t="shared" si="141"/>
        <v>Match</v>
      </c>
      <c r="S993" t="str">
        <f t="shared" si="142"/>
        <v>Match</v>
      </c>
    </row>
    <row r="994" spans="1:19" x14ac:dyDescent="0.25">
      <c r="A994" t="s">
        <v>941</v>
      </c>
      <c r="B994">
        <v>27500</v>
      </c>
      <c r="C994">
        <f t="shared" si="143"/>
        <v>275</v>
      </c>
      <c r="D994">
        <v>14</v>
      </c>
      <c r="E994">
        <v>6</v>
      </c>
      <c r="F994">
        <v>23400</v>
      </c>
      <c r="G994">
        <f t="shared" si="135"/>
        <v>234</v>
      </c>
      <c r="H994">
        <v>200</v>
      </c>
      <c r="I994" s="4">
        <f>Full_Data[[#This Row],[Selling Price]]/Full_Data[[#This Row],[Weight (g)]]</f>
        <v>1.17</v>
      </c>
      <c r="J994" t="b">
        <v>0</v>
      </c>
      <c r="K994">
        <v>200</v>
      </c>
      <c r="L994">
        <f t="shared" si="136"/>
        <v>41</v>
      </c>
      <c r="M994" t="str">
        <f t="shared" si="137"/>
        <v>High</v>
      </c>
      <c r="N994" t="str">
        <f t="shared" si="138"/>
        <v>11-15%</v>
      </c>
      <c r="O994" t="str">
        <f t="shared" si="139"/>
        <v>OK</v>
      </c>
      <c r="P994">
        <f>IFERROR(Full_Data!G994/Full_Data!H994,"Check data")</f>
        <v>1.17</v>
      </c>
      <c r="Q994" t="str">
        <f t="shared" si="140"/>
        <v>Match</v>
      </c>
      <c r="R994" t="str">
        <f t="shared" si="141"/>
        <v>Mismatch</v>
      </c>
      <c r="S994" t="str">
        <f t="shared" si="142"/>
        <v>Mismatch</v>
      </c>
    </row>
    <row r="995" spans="1:19" x14ac:dyDescent="0.25">
      <c r="A995" t="s">
        <v>942</v>
      </c>
      <c r="B995">
        <v>6500</v>
      </c>
      <c r="C995">
        <f t="shared" si="143"/>
        <v>65</v>
      </c>
      <c r="D995">
        <v>6</v>
      </c>
      <c r="E995">
        <v>3</v>
      </c>
      <c r="F995">
        <v>6100</v>
      </c>
      <c r="G995">
        <f t="shared" si="135"/>
        <v>61</v>
      </c>
      <c r="H995">
        <v>52</v>
      </c>
      <c r="I995" s="4">
        <f>Full_Data[[#This Row],[Selling Price]]/Full_Data[[#This Row],[Weight (g)]]</f>
        <v>1.1730769230769231</v>
      </c>
      <c r="J995" t="b">
        <v>0</v>
      </c>
      <c r="K995">
        <v>52</v>
      </c>
      <c r="L995">
        <f t="shared" si="136"/>
        <v>4</v>
      </c>
      <c r="M995" t="str">
        <f t="shared" si="137"/>
        <v>Medium</v>
      </c>
      <c r="N995" t="str">
        <f t="shared" si="138"/>
        <v>6-10%</v>
      </c>
      <c r="O995" t="str">
        <f t="shared" si="139"/>
        <v>OK</v>
      </c>
      <c r="P995">
        <f>IFERROR(Full_Data!G995/Full_Data!H995,"Check data")</f>
        <v>1.1730769230769231</v>
      </c>
      <c r="Q995" t="str">
        <f t="shared" si="140"/>
        <v>Match</v>
      </c>
      <c r="R995" t="str">
        <f t="shared" si="141"/>
        <v>Mismatch</v>
      </c>
      <c r="S995" t="str">
        <f t="shared" si="142"/>
        <v>Match</v>
      </c>
    </row>
    <row r="996" spans="1:19" x14ac:dyDescent="0.25">
      <c r="A996" t="s">
        <v>943</v>
      </c>
      <c r="B996">
        <v>59500</v>
      </c>
      <c r="C996">
        <f t="shared" si="143"/>
        <v>595</v>
      </c>
      <c r="D996">
        <v>0</v>
      </c>
      <c r="E996">
        <v>5</v>
      </c>
      <c r="F996">
        <v>59500</v>
      </c>
      <c r="G996">
        <f t="shared" si="135"/>
        <v>595</v>
      </c>
      <c r="H996">
        <v>1000</v>
      </c>
      <c r="I996" s="4">
        <f>Full_Data[[#This Row],[Selling Price]]/Full_Data[[#This Row],[Weight (g)]]</f>
        <v>0.59499999999999997</v>
      </c>
      <c r="J996" t="b">
        <v>0</v>
      </c>
      <c r="K996">
        <v>1</v>
      </c>
      <c r="L996">
        <f t="shared" si="136"/>
        <v>0</v>
      </c>
      <c r="M996" t="str">
        <f t="shared" si="137"/>
        <v>High</v>
      </c>
      <c r="N996" t="str">
        <f t="shared" si="138"/>
        <v>0-5%</v>
      </c>
      <c r="O996" t="str">
        <f t="shared" si="139"/>
        <v>OK</v>
      </c>
      <c r="P996">
        <f>IFERROR(Full_Data!G996/Full_Data!H996,"Check data")</f>
        <v>0.59499999999999997</v>
      </c>
      <c r="Q996" t="str">
        <f t="shared" si="140"/>
        <v>Match</v>
      </c>
      <c r="R996" t="str">
        <f t="shared" si="141"/>
        <v>Match</v>
      </c>
      <c r="S996" t="str">
        <f t="shared" si="142"/>
        <v>Match</v>
      </c>
    </row>
    <row r="997" spans="1:19" x14ac:dyDescent="0.25">
      <c r="A997" t="s">
        <v>860</v>
      </c>
      <c r="B997">
        <v>10500</v>
      </c>
      <c r="C997">
        <f t="shared" si="143"/>
        <v>105</v>
      </c>
      <c r="D997">
        <v>0</v>
      </c>
      <c r="E997">
        <v>4</v>
      </c>
      <c r="F997">
        <v>10500</v>
      </c>
      <c r="G997">
        <f t="shared" si="135"/>
        <v>105</v>
      </c>
      <c r="H997">
        <v>850</v>
      </c>
      <c r="I997" s="4">
        <f>Full_Data[[#This Row],[Selling Price]]/Full_Data[[#This Row],[Weight (g)]]</f>
        <v>0.12352941176470589</v>
      </c>
      <c r="J997" t="b">
        <v>0</v>
      </c>
      <c r="K997">
        <v>850</v>
      </c>
      <c r="L997">
        <f t="shared" si="136"/>
        <v>0</v>
      </c>
      <c r="M997" t="str">
        <f t="shared" si="137"/>
        <v>Medium</v>
      </c>
      <c r="N997" t="str">
        <f t="shared" si="138"/>
        <v>0-5%</v>
      </c>
      <c r="O997" t="str">
        <f t="shared" si="139"/>
        <v>OK</v>
      </c>
      <c r="P997">
        <f>IFERROR(Full_Data!G997/Full_Data!H997,"Check data")</f>
        <v>0.12352941176470589</v>
      </c>
      <c r="Q997" t="str">
        <f t="shared" si="140"/>
        <v>Match</v>
      </c>
      <c r="R997" t="str">
        <f t="shared" si="141"/>
        <v>Match</v>
      </c>
      <c r="S997" t="str">
        <f t="shared" si="142"/>
        <v>Match</v>
      </c>
    </row>
    <row r="998" spans="1:19" x14ac:dyDescent="0.25">
      <c r="A998" t="s">
        <v>944</v>
      </c>
      <c r="B998">
        <v>2000</v>
      </c>
      <c r="C998">
        <f t="shared" si="143"/>
        <v>20</v>
      </c>
      <c r="D998">
        <v>0</v>
      </c>
      <c r="E998">
        <v>0</v>
      </c>
      <c r="F998">
        <v>2000</v>
      </c>
      <c r="G998">
        <f t="shared" si="135"/>
        <v>20</v>
      </c>
      <c r="H998">
        <v>90</v>
      </c>
      <c r="I998" s="4">
        <f>Full_Data[[#This Row],[Selling Price]]/Full_Data[[#This Row],[Weight (g)]]</f>
        <v>0.22222222222222221</v>
      </c>
      <c r="J998" t="b">
        <v>1</v>
      </c>
      <c r="K998">
        <v>90</v>
      </c>
      <c r="L998">
        <f t="shared" si="136"/>
        <v>0</v>
      </c>
      <c r="M998" t="str">
        <f t="shared" si="137"/>
        <v>Low</v>
      </c>
      <c r="N998" t="str">
        <f t="shared" si="138"/>
        <v>0-5%</v>
      </c>
      <c r="O998" t="str">
        <f t="shared" si="139"/>
        <v>OK</v>
      </c>
      <c r="P998">
        <f>IFERROR(Full_Data!G998/Full_Data!H998,"Check data")</f>
        <v>0.22222222222222221</v>
      </c>
      <c r="Q998" t="str">
        <f t="shared" si="140"/>
        <v>Match</v>
      </c>
      <c r="R998" t="str">
        <f t="shared" si="141"/>
        <v>Match</v>
      </c>
      <c r="S998" t="str">
        <f t="shared" si="142"/>
        <v>Match</v>
      </c>
    </row>
    <row r="999" spans="1:19" x14ac:dyDescent="0.25">
      <c r="A999" t="s">
        <v>945</v>
      </c>
      <c r="B999">
        <v>6000</v>
      </c>
      <c r="C999">
        <f t="shared" si="143"/>
        <v>60</v>
      </c>
      <c r="D999">
        <v>6</v>
      </c>
      <c r="E999">
        <v>0</v>
      </c>
      <c r="F999">
        <v>5600</v>
      </c>
      <c r="G999">
        <f t="shared" si="135"/>
        <v>56</v>
      </c>
      <c r="H999">
        <v>156</v>
      </c>
      <c r="I999" s="4">
        <f>Full_Data[[#This Row],[Selling Price]]/Full_Data[[#This Row],[Weight (g)]]</f>
        <v>0.35897435897435898</v>
      </c>
      <c r="J999" t="b">
        <v>1</v>
      </c>
      <c r="K999">
        <v>156</v>
      </c>
      <c r="L999">
        <f t="shared" si="136"/>
        <v>4</v>
      </c>
      <c r="M999" t="str">
        <f t="shared" si="137"/>
        <v>Medium</v>
      </c>
      <c r="N999" t="str">
        <f t="shared" si="138"/>
        <v>6-10%</v>
      </c>
      <c r="O999" t="str">
        <f t="shared" si="139"/>
        <v>OK</v>
      </c>
      <c r="P999">
        <f>IFERROR(Full_Data!G999/Full_Data!H999,"Check data")</f>
        <v>0.35897435897435898</v>
      </c>
      <c r="Q999" t="str">
        <f t="shared" si="140"/>
        <v>Match</v>
      </c>
      <c r="R999" t="str">
        <f t="shared" si="141"/>
        <v>Mismatch</v>
      </c>
      <c r="S999" t="str">
        <f t="shared" si="142"/>
        <v>Mismatch</v>
      </c>
    </row>
    <row r="1000" spans="1:19" x14ac:dyDescent="0.25">
      <c r="A1000" t="s">
        <v>946</v>
      </c>
      <c r="B1000">
        <v>15500</v>
      </c>
      <c r="C1000">
        <f t="shared" si="143"/>
        <v>155</v>
      </c>
      <c r="D1000">
        <v>0</v>
      </c>
      <c r="E1000">
        <v>0</v>
      </c>
      <c r="F1000">
        <v>15500</v>
      </c>
      <c r="G1000">
        <f t="shared" si="135"/>
        <v>155</v>
      </c>
      <c r="H1000">
        <v>500</v>
      </c>
      <c r="I1000" s="4">
        <f>Full_Data[[#This Row],[Selling Price]]/Full_Data[[#This Row],[Weight (g)]]</f>
        <v>0.31</v>
      </c>
      <c r="J1000" t="b">
        <v>1</v>
      </c>
      <c r="K1000">
        <v>500</v>
      </c>
      <c r="L1000">
        <f t="shared" si="136"/>
        <v>0</v>
      </c>
      <c r="M1000" t="str">
        <f t="shared" si="137"/>
        <v>Medium</v>
      </c>
      <c r="N1000" t="str">
        <f t="shared" si="138"/>
        <v>0-5%</v>
      </c>
      <c r="O1000" t="str">
        <f t="shared" si="139"/>
        <v>OK</v>
      </c>
      <c r="P1000">
        <f>IFERROR(Full_Data!G1000/Full_Data!H1000,"Check data")</f>
        <v>0.31</v>
      </c>
      <c r="Q1000" t="str">
        <f t="shared" si="140"/>
        <v>Match</v>
      </c>
      <c r="R1000" t="str">
        <f t="shared" si="141"/>
        <v>Match</v>
      </c>
      <c r="S1000" t="str">
        <f t="shared" si="142"/>
        <v>Match</v>
      </c>
    </row>
    <row r="1001" spans="1:19" x14ac:dyDescent="0.25">
      <c r="A1001" t="s">
        <v>947</v>
      </c>
      <c r="B1001">
        <v>6000</v>
      </c>
      <c r="C1001">
        <f t="shared" si="143"/>
        <v>60</v>
      </c>
      <c r="D1001">
        <v>5</v>
      </c>
      <c r="E1001">
        <v>0</v>
      </c>
      <c r="F1001">
        <v>5700</v>
      </c>
      <c r="G1001">
        <f t="shared" si="135"/>
        <v>57</v>
      </c>
      <c r="H1001">
        <v>200</v>
      </c>
      <c r="I1001" s="4">
        <f>Full_Data[[#This Row],[Selling Price]]/Full_Data[[#This Row],[Weight (g)]]</f>
        <v>0.28499999999999998</v>
      </c>
      <c r="J1001" t="b">
        <v>1</v>
      </c>
      <c r="K1001">
        <v>200</v>
      </c>
      <c r="L1001">
        <f t="shared" si="136"/>
        <v>3</v>
      </c>
      <c r="M1001" t="str">
        <f t="shared" si="137"/>
        <v>Medium</v>
      </c>
      <c r="N1001" t="str">
        <f t="shared" si="138"/>
        <v>0-5%</v>
      </c>
      <c r="O1001" t="str">
        <f t="shared" si="139"/>
        <v>OK</v>
      </c>
      <c r="P1001">
        <f>IFERROR(Full_Data!G1001/Full_Data!H1001,"Check data")</f>
        <v>0.28499999999999998</v>
      </c>
      <c r="Q1001" t="str">
        <f t="shared" si="140"/>
        <v>Match</v>
      </c>
      <c r="R1001" t="str">
        <f t="shared" si="141"/>
        <v>Match</v>
      </c>
      <c r="S1001" t="str">
        <f t="shared" si="142"/>
        <v>Match</v>
      </c>
    </row>
    <row r="1002" spans="1:19" x14ac:dyDescent="0.25">
      <c r="A1002" t="s">
        <v>948</v>
      </c>
      <c r="B1002">
        <v>5000</v>
      </c>
      <c r="C1002">
        <f t="shared" si="143"/>
        <v>50</v>
      </c>
      <c r="D1002">
        <v>24</v>
      </c>
      <c r="E1002">
        <v>0</v>
      </c>
      <c r="F1002">
        <v>3800</v>
      </c>
      <c r="G1002">
        <f t="shared" si="135"/>
        <v>38</v>
      </c>
      <c r="H1002">
        <v>200</v>
      </c>
      <c r="I1002" s="4">
        <f>Full_Data[[#This Row],[Selling Price]]/Full_Data[[#This Row],[Weight (g)]]</f>
        <v>0.19</v>
      </c>
      <c r="J1002" t="b">
        <v>1</v>
      </c>
      <c r="K1002">
        <v>200</v>
      </c>
      <c r="L1002">
        <f t="shared" si="136"/>
        <v>12</v>
      </c>
      <c r="M1002" t="str">
        <f t="shared" si="137"/>
        <v>Low</v>
      </c>
      <c r="N1002" t="str">
        <f t="shared" si="138"/>
        <v>21%+</v>
      </c>
      <c r="O1002" t="str">
        <f t="shared" si="139"/>
        <v>OK</v>
      </c>
      <c r="P1002">
        <f>IFERROR(Full_Data!G1002/Full_Data!H1002,"Check data")</f>
        <v>0.19</v>
      </c>
      <c r="Q1002" t="str">
        <f t="shared" si="140"/>
        <v>Match</v>
      </c>
      <c r="R1002" t="str">
        <f t="shared" si="141"/>
        <v>Match</v>
      </c>
      <c r="S1002" t="str">
        <f t="shared" si="142"/>
        <v>Match</v>
      </c>
    </row>
    <row r="1003" spans="1:19" x14ac:dyDescent="0.25">
      <c r="A1003" t="s">
        <v>949</v>
      </c>
      <c r="B1003">
        <v>4000</v>
      </c>
      <c r="C1003">
        <f t="shared" si="143"/>
        <v>40</v>
      </c>
      <c r="D1003">
        <v>2</v>
      </c>
      <c r="E1003">
        <v>0</v>
      </c>
      <c r="F1003">
        <v>3900</v>
      </c>
      <c r="G1003">
        <f t="shared" si="135"/>
        <v>39</v>
      </c>
      <c r="H1003">
        <v>40</v>
      </c>
      <c r="I1003" s="4">
        <f>Full_Data[[#This Row],[Selling Price]]/Full_Data[[#This Row],[Weight (g)]]</f>
        <v>0.97499999999999998</v>
      </c>
      <c r="J1003" t="b">
        <v>1</v>
      </c>
      <c r="K1003">
        <v>40</v>
      </c>
      <c r="L1003">
        <f t="shared" si="136"/>
        <v>1</v>
      </c>
      <c r="M1003" t="str">
        <f t="shared" si="137"/>
        <v>Low</v>
      </c>
      <c r="N1003" t="str">
        <f t="shared" si="138"/>
        <v>0-5%</v>
      </c>
      <c r="O1003" t="str">
        <f t="shared" si="139"/>
        <v>OK</v>
      </c>
      <c r="P1003">
        <f>IFERROR(Full_Data!G1003/Full_Data!H1003,"Check data")</f>
        <v>0.97499999999999998</v>
      </c>
      <c r="Q1003" t="str">
        <f t="shared" si="140"/>
        <v>Match</v>
      </c>
      <c r="R1003" t="str">
        <f t="shared" si="141"/>
        <v>Mismatch</v>
      </c>
      <c r="S1003" t="str">
        <f t="shared" si="142"/>
        <v>Mismatch</v>
      </c>
    </row>
    <row r="1004" spans="1:19" x14ac:dyDescent="0.25">
      <c r="A1004" t="s">
        <v>950</v>
      </c>
      <c r="B1004">
        <v>3500</v>
      </c>
      <c r="C1004">
        <f t="shared" si="143"/>
        <v>35</v>
      </c>
      <c r="D1004">
        <v>2</v>
      </c>
      <c r="E1004">
        <v>0</v>
      </c>
      <c r="F1004">
        <v>3400</v>
      </c>
      <c r="G1004">
        <f t="shared" si="135"/>
        <v>34</v>
      </c>
      <c r="H1004">
        <v>70</v>
      </c>
      <c r="I1004" s="4">
        <f>Full_Data[[#This Row],[Selling Price]]/Full_Data[[#This Row],[Weight (g)]]</f>
        <v>0.48571428571428571</v>
      </c>
      <c r="J1004" t="b">
        <v>1</v>
      </c>
      <c r="K1004">
        <v>70</v>
      </c>
      <c r="L1004">
        <f t="shared" si="136"/>
        <v>1</v>
      </c>
      <c r="M1004" t="str">
        <f t="shared" si="137"/>
        <v>Low</v>
      </c>
      <c r="N1004" t="str">
        <f t="shared" si="138"/>
        <v>0-5%</v>
      </c>
      <c r="O1004" t="str">
        <f t="shared" si="139"/>
        <v>OK</v>
      </c>
      <c r="P1004">
        <f>IFERROR(Full_Data!G1004/Full_Data!H1004,"Check data")</f>
        <v>0.48571428571428571</v>
      </c>
      <c r="Q1004" t="str">
        <f t="shared" si="140"/>
        <v>Match</v>
      </c>
      <c r="R1004" t="str">
        <f t="shared" si="141"/>
        <v>Mismatch</v>
      </c>
      <c r="S1004" t="str">
        <f t="shared" si="142"/>
        <v>Mismatch</v>
      </c>
    </row>
    <row r="1005" spans="1:19" x14ac:dyDescent="0.25">
      <c r="A1005" t="s">
        <v>951</v>
      </c>
      <c r="B1005">
        <v>6000</v>
      </c>
      <c r="C1005">
        <f t="shared" si="143"/>
        <v>60</v>
      </c>
      <c r="D1005">
        <v>5</v>
      </c>
      <c r="E1005">
        <v>0</v>
      </c>
      <c r="F1005">
        <v>5700</v>
      </c>
      <c r="G1005">
        <f t="shared" si="135"/>
        <v>57</v>
      </c>
      <c r="H1005">
        <v>200</v>
      </c>
      <c r="I1005" s="4">
        <f>Full_Data[[#This Row],[Selling Price]]/Full_Data[[#This Row],[Weight (g)]]</f>
        <v>0.28499999999999998</v>
      </c>
      <c r="J1005" t="b">
        <v>1</v>
      </c>
      <c r="K1005">
        <v>200</v>
      </c>
      <c r="L1005">
        <f t="shared" si="136"/>
        <v>3</v>
      </c>
      <c r="M1005" t="str">
        <f t="shared" si="137"/>
        <v>Medium</v>
      </c>
      <c r="N1005" t="str">
        <f t="shared" si="138"/>
        <v>0-5%</v>
      </c>
      <c r="O1005" t="str">
        <f t="shared" si="139"/>
        <v>OK</v>
      </c>
      <c r="P1005">
        <f>IFERROR(Full_Data!G1005/Full_Data!H1005,"Check data")</f>
        <v>0.28499999999999998</v>
      </c>
      <c r="Q1005" t="str">
        <f t="shared" si="140"/>
        <v>Match</v>
      </c>
      <c r="R1005" t="str">
        <f t="shared" si="141"/>
        <v>Match</v>
      </c>
      <c r="S1005" t="str">
        <f t="shared" si="142"/>
        <v>Match</v>
      </c>
    </row>
    <row r="1006" spans="1:19" x14ac:dyDescent="0.25">
      <c r="A1006" t="s">
        <v>952</v>
      </c>
      <c r="B1006">
        <v>3100</v>
      </c>
      <c r="C1006">
        <f t="shared" si="143"/>
        <v>31</v>
      </c>
      <c r="D1006">
        <v>9</v>
      </c>
      <c r="E1006">
        <v>0</v>
      </c>
      <c r="F1006">
        <v>2800</v>
      </c>
      <c r="G1006">
        <f t="shared" si="135"/>
        <v>28</v>
      </c>
      <c r="H1006">
        <v>70</v>
      </c>
      <c r="I1006" s="4">
        <f>Full_Data[[#This Row],[Selling Price]]/Full_Data[[#This Row],[Weight (g)]]</f>
        <v>0.4</v>
      </c>
      <c r="J1006" t="b">
        <v>1</v>
      </c>
      <c r="K1006">
        <v>70</v>
      </c>
      <c r="L1006">
        <f t="shared" si="136"/>
        <v>3</v>
      </c>
      <c r="M1006" t="str">
        <f t="shared" si="137"/>
        <v>Low</v>
      </c>
      <c r="N1006" t="str">
        <f t="shared" si="138"/>
        <v>6-10%</v>
      </c>
      <c r="O1006" t="str">
        <f t="shared" si="139"/>
        <v>OK</v>
      </c>
      <c r="P1006">
        <f>IFERROR(Full_Data!G1006/Full_Data!H1006,"Check data")</f>
        <v>0.4</v>
      </c>
      <c r="Q1006" t="str">
        <f t="shared" si="140"/>
        <v>Match</v>
      </c>
      <c r="R1006" t="str">
        <f t="shared" si="141"/>
        <v>Mismatch</v>
      </c>
      <c r="S1006" t="str">
        <f t="shared" si="142"/>
        <v>Mismatch</v>
      </c>
    </row>
    <row r="1007" spans="1:19" x14ac:dyDescent="0.25">
      <c r="A1007" t="s">
        <v>953</v>
      </c>
      <c r="B1007">
        <v>6900</v>
      </c>
      <c r="C1007">
        <f t="shared" si="143"/>
        <v>69</v>
      </c>
      <c r="D1007">
        <v>8</v>
      </c>
      <c r="E1007">
        <v>0</v>
      </c>
      <c r="F1007">
        <v>6300</v>
      </c>
      <c r="G1007">
        <f t="shared" si="135"/>
        <v>63</v>
      </c>
      <c r="H1007">
        <v>250</v>
      </c>
      <c r="I1007" s="4">
        <f>Full_Data[[#This Row],[Selling Price]]/Full_Data[[#This Row],[Weight (g)]]</f>
        <v>0.252</v>
      </c>
      <c r="J1007" t="b">
        <v>1</v>
      </c>
      <c r="K1007">
        <v>250</v>
      </c>
      <c r="L1007">
        <f t="shared" si="136"/>
        <v>6</v>
      </c>
      <c r="M1007" t="str">
        <f t="shared" si="137"/>
        <v>Medium</v>
      </c>
      <c r="N1007" t="str">
        <f t="shared" si="138"/>
        <v>6-10%</v>
      </c>
      <c r="O1007" t="str">
        <f t="shared" si="139"/>
        <v>OK</v>
      </c>
      <c r="P1007">
        <f>IFERROR(Full_Data!G1007/Full_Data!H1007,"Check data")</f>
        <v>0.252</v>
      </c>
      <c r="Q1007" t="str">
        <f t="shared" si="140"/>
        <v>Match</v>
      </c>
      <c r="R1007" t="str">
        <f t="shared" si="141"/>
        <v>Mismatch</v>
      </c>
      <c r="S1007" t="str">
        <f t="shared" si="142"/>
        <v>Mismatch</v>
      </c>
    </row>
    <row r="1008" spans="1:19" x14ac:dyDescent="0.25">
      <c r="A1008" t="s">
        <v>954</v>
      </c>
      <c r="B1008">
        <v>26500</v>
      </c>
      <c r="C1008">
        <f t="shared" si="143"/>
        <v>265</v>
      </c>
      <c r="D1008">
        <v>10</v>
      </c>
      <c r="E1008">
        <v>0</v>
      </c>
      <c r="F1008">
        <v>23600</v>
      </c>
      <c r="G1008">
        <f t="shared" si="135"/>
        <v>236</v>
      </c>
      <c r="H1008">
        <v>575</v>
      </c>
      <c r="I1008" s="4">
        <f>Full_Data[[#This Row],[Selling Price]]/Full_Data[[#This Row],[Weight (g)]]</f>
        <v>0.41043478260869565</v>
      </c>
      <c r="J1008" t="b">
        <v>1</v>
      </c>
      <c r="K1008">
        <v>575</v>
      </c>
      <c r="L1008">
        <f t="shared" si="136"/>
        <v>29</v>
      </c>
      <c r="M1008" t="str">
        <f t="shared" si="137"/>
        <v>High</v>
      </c>
      <c r="N1008" t="str">
        <f t="shared" si="138"/>
        <v>6-10%</v>
      </c>
      <c r="O1008" t="str">
        <f t="shared" si="139"/>
        <v>OK</v>
      </c>
      <c r="P1008">
        <f>IFERROR(Full_Data!G1008/Full_Data!H1008,"Check data")</f>
        <v>0.41043478260869565</v>
      </c>
      <c r="Q1008" t="str">
        <f t="shared" si="140"/>
        <v>Match</v>
      </c>
      <c r="R1008" t="str">
        <f t="shared" si="141"/>
        <v>Mismatch</v>
      </c>
      <c r="S1008" t="str">
        <f t="shared" si="142"/>
        <v>Mismatch</v>
      </c>
    </row>
    <row r="1009" spans="1:19" x14ac:dyDescent="0.25">
      <c r="A1009" t="s">
        <v>955</v>
      </c>
      <c r="B1009">
        <v>3100</v>
      </c>
      <c r="C1009">
        <f t="shared" si="143"/>
        <v>31</v>
      </c>
      <c r="D1009">
        <v>9</v>
      </c>
      <c r="E1009">
        <v>0</v>
      </c>
      <c r="F1009">
        <v>2800</v>
      </c>
      <c r="G1009">
        <f t="shared" si="135"/>
        <v>28</v>
      </c>
      <c r="H1009">
        <v>70</v>
      </c>
      <c r="I1009" s="4">
        <f>Full_Data[[#This Row],[Selling Price]]/Full_Data[[#This Row],[Weight (g)]]</f>
        <v>0.4</v>
      </c>
      <c r="J1009" t="b">
        <v>1</v>
      </c>
      <c r="K1009">
        <v>75</v>
      </c>
      <c r="L1009">
        <f t="shared" si="136"/>
        <v>3</v>
      </c>
      <c r="M1009" t="str">
        <f t="shared" si="137"/>
        <v>Low</v>
      </c>
      <c r="N1009" t="str">
        <f t="shared" si="138"/>
        <v>6-10%</v>
      </c>
      <c r="O1009" t="str">
        <f t="shared" si="139"/>
        <v>OK</v>
      </c>
      <c r="P1009">
        <f>IFERROR(Full_Data!G1009/Full_Data!H1009,"Check data")</f>
        <v>0.4</v>
      </c>
      <c r="Q1009" t="str">
        <f t="shared" si="140"/>
        <v>Match</v>
      </c>
      <c r="R1009" t="str">
        <f t="shared" si="141"/>
        <v>Mismatch</v>
      </c>
      <c r="S1009" t="str">
        <f t="shared" si="142"/>
        <v>Mismatch</v>
      </c>
    </row>
    <row r="1010" spans="1:19" x14ac:dyDescent="0.25">
      <c r="A1010" t="s">
        <v>956</v>
      </c>
      <c r="B1010">
        <v>2400</v>
      </c>
      <c r="C1010">
        <f t="shared" si="143"/>
        <v>24</v>
      </c>
      <c r="D1010">
        <v>0</v>
      </c>
      <c r="E1010">
        <v>0</v>
      </c>
      <c r="F1010">
        <v>2400</v>
      </c>
      <c r="G1010">
        <f t="shared" si="135"/>
        <v>24</v>
      </c>
      <c r="H1010">
        <v>75</v>
      </c>
      <c r="I1010" s="4">
        <f>Full_Data[[#This Row],[Selling Price]]/Full_Data[[#This Row],[Weight (g)]]</f>
        <v>0.32</v>
      </c>
      <c r="J1010" t="b">
        <v>1</v>
      </c>
      <c r="K1010">
        <v>75</v>
      </c>
      <c r="L1010">
        <f t="shared" si="136"/>
        <v>0</v>
      </c>
      <c r="M1010" t="str">
        <f t="shared" si="137"/>
        <v>Low</v>
      </c>
      <c r="N1010" t="str">
        <f t="shared" si="138"/>
        <v>0-5%</v>
      </c>
      <c r="O1010" t="str">
        <f t="shared" si="139"/>
        <v>OK</v>
      </c>
      <c r="P1010">
        <f>IFERROR(Full_Data!G1010/Full_Data!H1010,"Check data")</f>
        <v>0.32</v>
      </c>
      <c r="Q1010" t="str">
        <f t="shared" si="140"/>
        <v>Match</v>
      </c>
      <c r="R1010" t="str">
        <f t="shared" si="141"/>
        <v>Match</v>
      </c>
      <c r="S1010" t="str">
        <f t="shared" si="142"/>
        <v>Match</v>
      </c>
    </row>
    <row r="1011" spans="1:19" x14ac:dyDescent="0.25">
      <c r="A1011" t="s">
        <v>957</v>
      </c>
      <c r="B1011">
        <v>2000</v>
      </c>
      <c r="C1011">
        <f t="shared" si="143"/>
        <v>20</v>
      </c>
      <c r="D1011">
        <v>10</v>
      </c>
      <c r="E1011">
        <v>0</v>
      </c>
      <c r="F1011">
        <v>1800</v>
      </c>
      <c r="G1011">
        <f t="shared" si="135"/>
        <v>18</v>
      </c>
      <c r="H1011">
        <v>100</v>
      </c>
      <c r="I1011" s="4">
        <f>Full_Data[[#This Row],[Selling Price]]/Full_Data[[#This Row],[Weight (g)]]</f>
        <v>0.18</v>
      </c>
      <c r="J1011" t="b">
        <v>1</v>
      </c>
      <c r="K1011">
        <v>100</v>
      </c>
      <c r="L1011">
        <f t="shared" si="136"/>
        <v>2</v>
      </c>
      <c r="M1011" t="str">
        <f t="shared" si="137"/>
        <v>Low</v>
      </c>
      <c r="N1011" t="str">
        <f t="shared" si="138"/>
        <v>6-10%</v>
      </c>
      <c r="O1011" t="str">
        <f t="shared" si="139"/>
        <v>OK</v>
      </c>
      <c r="P1011">
        <f>IFERROR(Full_Data!G1011/Full_Data!H1011,"Check data")</f>
        <v>0.18</v>
      </c>
      <c r="Q1011" t="str">
        <f t="shared" si="140"/>
        <v>Match</v>
      </c>
      <c r="R1011" t="str">
        <f t="shared" si="141"/>
        <v>Match</v>
      </c>
      <c r="S1011" t="str">
        <f t="shared" si="142"/>
        <v>Match</v>
      </c>
    </row>
    <row r="1012" spans="1:19" x14ac:dyDescent="0.25">
      <c r="A1012" t="s">
        <v>958</v>
      </c>
      <c r="B1012">
        <v>2500</v>
      </c>
      <c r="C1012">
        <f t="shared" si="143"/>
        <v>25</v>
      </c>
      <c r="D1012">
        <v>0</v>
      </c>
      <c r="E1012">
        <v>0</v>
      </c>
      <c r="F1012">
        <v>2500</v>
      </c>
      <c r="G1012">
        <f t="shared" si="135"/>
        <v>25</v>
      </c>
      <c r="H1012">
        <v>60</v>
      </c>
      <c r="I1012" s="4">
        <f>Full_Data[[#This Row],[Selling Price]]/Full_Data[[#This Row],[Weight (g)]]</f>
        <v>0.41666666666666669</v>
      </c>
      <c r="J1012" t="b">
        <v>1</v>
      </c>
      <c r="K1012">
        <v>60</v>
      </c>
      <c r="L1012">
        <f t="shared" si="136"/>
        <v>0</v>
      </c>
      <c r="M1012" t="str">
        <f t="shared" si="137"/>
        <v>Low</v>
      </c>
      <c r="N1012" t="str">
        <f t="shared" si="138"/>
        <v>0-5%</v>
      </c>
      <c r="O1012" t="str">
        <f t="shared" si="139"/>
        <v>OK</v>
      </c>
      <c r="P1012">
        <f>IFERROR(Full_Data!G1012/Full_Data!H1012,"Check data")</f>
        <v>0.41666666666666669</v>
      </c>
      <c r="Q1012" t="str">
        <f t="shared" si="140"/>
        <v>Match</v>
      </c>
      <c r="R1012" t="str">
        <f t="shared" si="141"/>
        <v>Match</v>
      </c>
      <c r="S1012" t="str">
        <f t="shared" si="142"/>
        <v>Match</v>
      </c>
    </row>
    <row r="1013" spans="1:19" x14ac:dyDescent="0.25">
      <c r="A1013" t="s">
        <v>959</v>
      </c>
      <c r="B1013">
        <v>12000</v>
      </c>
      <c r="C1013">
        <f t="shared" si="143"/>
        <v>120</v>
      </c>
      <c r="D1013">
        <v>7</v>
      </c>
      <c r="E1013">
        <v>0</v>
      </c>
      <c r="F1013">
        <v>11100</v>
      </c>
      <c r="G1013">
        <f t="shared" si="135"/>
        <v>111</v>
      </c>
      <c r="H1013">
        <v>950</v>
      </c>
      <c r="I1013" s="4">
        <f>Full_Data[[#This Row],[Selling Price]]/Full_Data[[#This Row],[Weight (g)]]</f>
        <v>0.1168421052631579</v>
      </c>
      <c r="J1013" t="b">
        <v>1</v>
      </c>
      <c r="K1013">
        <v>950</v>
      </c>
      <c r="L1013">
        <f t="shared" si="136"/>
        <v>9</v>
      </c>
      <c r="M1013" t="str">
        <f t="shared" si="137"/>
        <v>Medium</v>
      </c>
      <c r="N1013" t="str">
        <f t="shared" si="138"/>
        <v>6-10%</v>
      </c>
      <c r="O1013" t="str">
        <f t="shared" si="139"/>
        <v>OK</v>
      </c>
      <c r="P1013">
        <f>IFERROR(Full_Data!G1013/Full_Data!H1013,"Check data")</f>
        <v>0.1168421052631579</v>
      </c>
      <c r="Q1013" t="str">
        <f t="shared" si="140"/>
        <v>Match</v>
      </c>
      <c r="R1013" t="str">
        <f t="shared" si="141"/>
        <v>Mismatch</v>
      </c>
      <c r="S1013" t="str">
        <f t="shared" si="142"/>
        <v>Mismatch</v>
      </c>
    </row>
    <row r="1014" spans="1:19" x14ac:dyDescent="0.25">
      <c r="A1014" t="s">
        <v>960</v>
      </c>
      <c r="B1014">
        <v>5500</v>
      </c>
      <c r="C1014">
        <f t="shared" si="143"/>
        <v>55</v>
      </c>
      <c r="D1014">
        <v>3</v>
      </c>
      <c r="E1014">
        <v>0</v>
      </c>
      <c r="F1014">
        <v>5300</v>
      </c>
      <c r="G1014">
        <f t="shared" si="135"/>
        <v>53</v>
      </c>
      <c r="H1014">
        <v>180</v>
      </c>
      <c r="I1014" s="4">
        <f>Full_Data[[#This Row],[Selling Price]]/Full_Data[[#This Row],[Weight (g)]]</f>
        <v>0.29444444444444445</v>
      </c>
      <c r="J1014" t="b">
        <v>1</v>
      </c>
      <c r="K1014">
        <v>180</v>
      </c>
      <c r="L1014">
        <f t="shared" si="136"/>
        <v>2</v>
      </c>
      <c r="M1014" t="str">
        <f t="shared" si="137"/>
        <v>Medium</v>
      </c>
      <c r="N1014" t="str">
        <f t="shared" si="138"/>
        <v>0-5%</v>
      </c>
      <c r="O1014" t="str">
        <f t="shared" si="139"/>
        <v>OK</v>
      </c>
      <c r="P1014">
        <f>IFERROR(Full_Data!G1014/Full_Data!H1014,"Check data")</f>
        <v>0.29444444444444445</v>
      </c>
      <c r="Q1014" t="str">
        <f t="shared" si="140"/>
        <v>Match</v>
      </c>
      <c r="R1014" t="str">
        <f t="shared" si="141"/>
        <v>Mismatch</v>
      </c>
      <c r="S1014" t="str">
        <f t="shared" si="142"/>
        <v>Mismatch</v>
      </c>
    </row>
    <row r="1015" spans="1:19" x14ac:dyDescent="0.25">
      <c r="A1015" t="s">
        <v>961</v>
      </c>
      <c r="B1015">
        <v>13500</v>
      </c>
      <c r="C1015">
        <f t="shared" si="143"/>
        <v>135</v>
      </c>
      <c r="D1015">
        <v>6</v>
      </c>
      <c r="E1015">
        <v>0</v>
      </c>
      <c r="F1015">
        <v>12600</v>
      </c>
      <c r="G1015">
        <f t="shared" si="135"/>
        <v>126</v>
      </c>
      <c r="H1015">
        <v>500</v>
      </c>
      <c r="I1015" s="4">
        <f>Full_Data[[#This Row],[Selling Price]]/Full_Data[[#This Row],[Weight (g)]]</f>
        <v>0.252</v>
      </c>
      <c r="J1015" t="b">
        <v>1</v>
      </c>
      <c r="K1015">
        <v>500</v>
      </c>
      <c r="L1015">
        <f t="shared" si="136"/>
        <v>9</v>
      </c>
      <c r="M1015" t="str">
        <f t="shared" si="137"/>
        <v>Medium</v>
      </c>
      <c r="N1015" t="str">
        <f t="shared" si="138"/>
        <v>6-10%</v>
      </c>
      <c r="O1015" t="str">
        <f t="shared" si="139"/>
        <v>OK</v>
      </c>
      <c r="P1015">
        <f>IFERROR(Full_Data!G1015/Full_Data!H1015,"Check data")</f>
        <v>0.252</v>
      </c>
      <c r="Q1015" t="str">
        <f t="shared" si="140"/>
        <v>Match</v>
      </c>
      <c r="R1015" t="str">
        <f t="shared" si="141"/>
        <v>Mismatch</v>
      </c>
      <c r="S1015" t="str">
        <f t="shared" si="142"/>
        <v>Mismatch</v>
      </c>
    </row>
    <row r="1016" spans="1:19" x14ac:dyDescent="0.25">
      <c r="A1016" t="s">
        <v>962</v>
      </c>
      <c r="B1016">
        <v>16000</v>
      </c>
      <c r="C1016">
        <f t="shared" si="143"/>
        <v>160</v>
      </c>
      <c r="D1016">
        <v>5</v>
      </c>
      <c r="E1016">
        <v>0</v>
      </c>
      <c r="F1016">
        <v>15200</v>
      </c>
      <c r="G1016">
        <f t="shared" si="135"/>
        <v>152</v>
      </c>
      <c r="H1016">
        <v>320</v>
      </c>
      <c r="I1016" s="4">
        <f>Full_Data[[#This Row],[Selling Price]]/Full_Data[[#This Row],[Weight (g)]]</f>
        <v>0.47499999999999998</v>
      </c>
      <c r="J1016" t="b">
        <v>1</v>
      </c>
      <c r="K1016">
        <v>320</v>
      </c>
      <c r="L1016">
        <f t="shared" si="136"/>
        <v>8</v>
      </c>
      <c r="M1016" t="str">
        <f t="shared" si="137"/>
        <v>Medium</v>
      </c>
      <c r="N1016" t="str">
        <f t="shared" si="138"/>
        <v>0-5%</v>
      </c>
      <c r="O1016" t="str">
        <f t="shared" si="139"/>
        <v>OK</v>
      </c>
      <c r="P1016">
        <f>IFERROR(Full_Data!G1016/Full_Data!H1016,"Check data")</f>
        <v>0.47499999999999998</v>
      </c>
      <c r="Q1016" t="str">
        <f t="shared" si="140"/>
        <v>Match</v>
      </c>
      <c r="R1016" t="str">
        <f t="shared" si="141"/>
        <v>Match</v>
      </c>
      <c r="S1016" t="str">
        <f t="shared" si="142"/>
        <v>Match</v>
      </c>
    </row>
    <row r="1017" spans="1:19" x14ac:dyDescent="0.25">
      <c r="A1017" t="s">
        <v>963</v>
      </c>
      <c r="B1017">
        <v>11500</v>
      </c>
      <c r="C1017">
        <f t="shared" si="143"/>
        <v>115</v>
      </c>
      <c r="D1017">
        <v>4</v>
      </c>
      <c r="E1017">
        <v>0</v>
      </c>
      <c r="F1017">
        <v>11000</v>
      </c>
      <c r="G1017">
        <f t="shared" si="135"/>
        <v>110</v>
      </c>
      <c r="H1017">
        <v>400</v>
      </c>
      <c r="I1017" s="4">
        <f>Full_Data[[#This Row],[Selling Price]]/Full_Data[[#This Row],[Weight (g)]]</f>
        <v>0.27500000000000002</v>
      </c>
      <c r="J1017" t="b">
        <v>1</v>
      </c>
      <c r="K1017">
        <v>400</v>
      </c>
      <c r="L1017">
        <f t="shared" si="136"/>
        <v>5</v>
      </c>
      <c r="M1017" t="str">
        <f t="shared" si="137"/>
        <v>Medium</v>
      </c>
      <c r="N1017" t="str">
        <f t="shared" si="138"/>
        <v>0-5%</v>
      </c>
      <c r="O1017" t="str">
        <f t="shared" si="139"/>
        <v>OK</v>
      </c>
      <c r="P1017">
        <f>IFERROR(Full_Data!G1017/Full_Data!H1017,"Check data")</f>
        <v>0.27500000000000002</v>
      </c>
      <c r="Q1017" t="str">
        <f t="shared" si="140"/>
        <v>Match</v>
      </c>
      <c r="R1017" t="str">
        <f t="shared" si="141"/>
        <v>Mismatch</v>
      </c>
      <c r="S1017" t="str">
        <f t="shared" si="142"/>
        <v>Match</v>
      </c>
    </row>
    <row r="1018" spans="1:19" x14ac:dyDescent="0.25">
      <c r="A1018" t="s">
        <v>964</v>
      </c>
      <c r="B1018">
        <v>29500</v>
      </c>
      <c r="C1018">
        <f t="shared" si="143"/>
        <v>295</v>
      </c>
      <c r="D1018">
        <v>9</v>
      </c>
      <c r="E1018">
        <v>0</v>
      </c>
      <c r="F1018">
        <v>26600</v>
      </c>
      <c r="G1018">
        <f t="shared" si="135"/>
        <v>266</v>
      </c>
      <c r="H1018">
        <v>350</v>
      </c>
      <c r="I1018" s="4">
        <f>Full_Data[[#This Row],[Selling Price]]/Full_Data[[#This Row],[Weight (g)]]</f>
        <v>0.76</v>
      </c>
      <c r="J1018" t="b">
        <v>1</v>
      </c>
      <c r="K1018">
        <v>350</v>
      </c>
      <c r="L1018">
        <f t="shared" si="136"/>
        <v>29</v>
      </c>
      <c r="M1018" t="str">
        <f t="shared" si="137"/>
        <v>High</v>
      </c>
      <c r="N1018" t="str">
        <f t="shared" si="138"/>
        <v>6-10%</v>
      </c>
      <c r="O1018" t="str">
        <f t="shared" si="139"/>
        <v>OK</v>
      </c>
      <c r="P1018">
        <f>IFERROR(Full_Data!G1018/Full_Data!H1018,"Check data")</f>
        <v>0.76</v>
      </c>
      <c r="Q1018" t="str">
        <f t="shared" si="140"/>
        <v>Match</v>
      </c>
      <c r="R1018" t="str">
        <f t="shared" si="141"/>
        <v>Mismatch</v>
      </c>
      <c r="S1018" t="str">
        <f t="shared" si="142"/>
        <v>Mismatch</v>
      </c>
    </row>
    <row r="1019" spans="1:19" x14ac:dyDescent="0.25">
      <c r="A1019" t="s">
        <v>965</v>
      </c>
      <c r="B1019">
        <v>5500</v>
      </c>
      <c r="C1019">
        <f t="shared" si="143"/>
        <v>55</v>
      </c>
      <c r="D1019">
        <v>0</v>
      </c>
      <c r="E1019">
        <v>0</v>
      </c>
      <c r="F1019">
        <v>5500</v>
      </c>
      <c r="G1019">
        <f t="shared" si="135"/>
        <v>55</v>
      </c>
      <c r="H1019">
        <v>190</v>
      </c>
      <c r="I1019" s="4">
        <f>Full_Data[[#This Row],[Selling Price]]/Full_Data[[#This Row],[Weight (g)]]</f>
        <v>0.28947368421052633</v>
      </c>
      <c r="J1019" t="b">
        <v>1</v>
      </c>
      <c r="K1019">
        <v>190</v>
      </c>
      <c r="L1019">
        <f t="shared" si="136"/>
        <v>0</v>
      </c>
      <c r="M1019" t="str">
        <f t="shared" si="137"/>
        <v>Medium</v>
      </c>
      <c r="N1019" t="str">
        <f t="shared" si="138"/>
        <v>0-5%</v>
      </c>
      <c r="O1019" t="str">
        <f t="shared" si="139"/>
        <v>OK</v>
      </c>
      <c r="P1019">
        <f>IFERROR(Full_Data!G1019/Full_Data!H1019,"Check data")</f>
        <v>0.28947368421052633</v>
      </c>
      <c r="Q1019" t="str">
        <f t="shared" si="140"/>
        <v>Match</v>
      </c>
      <c r="R1019" t="str">
        <f t="shared" si="141"/>
        <v>Match</v>
      </c>
      <c r="S1019" t="str">
        <f t="shared" si="142"/>
        <v>Match</v>
      </c>
    </row>
    <row r="1020" spans="1:19" x14ac:dyDescent="0.25">
      <c r="A1020" t="s">
        <v>966</v>
      </c>
      <c r="B1020">
        <v>13500</v>
      </c>
      <c r="C1020">
        <f t="shared" si="143"/>
        <v>135</v>
      </c>
      <c r="D1020">
        <v>0</v>
      </c>
      <c r="E1020">
        <v>0</v>
      </c>
      <c r="F1020">
        <v>13500</v>
      </c>
      <c r="G1020">
        <f t="shared" si="135"/>
        <v>135</v>
      </c>
      <c r="H1020">
        <v>500</v>
      </c>
      <c r="I1020" s="4">
        <f>Full_Data[[#This Row],[Selling Price]]/Full_Data[[#This Row],[Weight (g)]]</f>
        <v>0.27</v>
      </c>
      <c r="J1020" t="b">
        <v>1</v>
      </c>
      <c r="K1020">
        <v>500</v>
      </c>
      <c r="L1020">
        <f t="shared" si="136"/>
        <v>0</v>
      </c>
      <c r="M1020" t="str">
        <f t="shared" si="137"/>
        <v>Medium</v>
      </c>
      <c r="N1020" t="str">
        <f t="shared" si="138"/>
        <v>0-5%</v>
      </c>
      <c r="O1020" t="str">
        <f t="shared" si="139"/>
        <v>OK</v>
      </c>
      <c r="P1020">
        <f>IFERROR(Full_Data!G1020/Full_Data!H1020,"Check data")</f>
        <v>0.27</v>
      </c>
      <c r="Q1020" t="str">
        <f t="shared" si="140"/>
        <v>Match</v>
      </c>
      <c r="R1020" t="str">
        <f t="shared" si="141"/>
        <v>Match</v>
      </c>
      <c r="S1020" t="str">
        <f t="shared" si="142"/>
        <v>Match</v>
      </c>
    </row>
    <row r="1021" spans="1:19" x14ac:dyDescent="0.25">
      <c r="A1021" t="s">
        <v>966</v>
      </c>
      <c r="B1021">
        <v>25000</v>
      </c>
      <c r="C1021">
        <f t="shared" si="143"/>
        <v>250</v>
      </c>
      <c r="D1021">
        <v>0</v>
      </c>
      <c r="E1021">
        <v>0</v>
      </c>
      <c r="F1021">
        <v>25000</v>
      </c>
      <c r="G1021">
        <f t="shared" si="135"/>
        <v>250</v>
      </c>
      <c r="H1021">
        <v>1000</v>
      </c>
      <c r="I1021" s="4">
        <f>Full_Data[[#This Row],[Selling Price]]/Full_Data[[#This Row],[Weight (g)]]</f>
        <v>0.25</v>
      </c>
      <c r="J1021" t="b">
        <v>1</v>
      </c>
      <c r="K1021">
        <v>1</v>
      </c>
      <c r="L1021">
        <f t="shared" si="136"/>
        <v>0</v>
      </c>
      <c r="M1021" t="str">
        <f t="shared" si="137"/>
        <v>High</v>
      </c>
      <c r="N1021" t="str">
        <f t="shared" si="138"/>
        <v>0-5%</v>
      </c>
      <c r="O1021" t="str">
        <f t="shared" si="139"/>
        <v>OK</v>
      </c>
      <c r="P1021">
        <f>IFERROR(Full_Data!G1021/Full_Data!H1021,"Check data")</f>
        <v>0.25</v>
      </c>
      <c r="Q1021" t="str">
        <f t="shared" si="140"/>
        <v>Match</v>
      </c>
      <c r="R1021" t="str">
        <f t="shared" si="141"/>
        <v>Match</v>
      </c>
      <c r="S1021" t="str">
        <f t="shared" si="142"/>
        <v>Match</v>
      </c>
    </row>
    <row r="1022" spans="1:19" x14ac:dyDescent="0.25">
      <c r="A1022" t="s">
        <v>967</v>
      </c>
      <c r="B1022">
        <v>8500</v>
      </c>
      <c r="C1022">
        <f t="shared" si="143"/>
        <v>85</v>
      </c>
      <c r="D1022">
        <v>0</v>
      </c>
      <c r="E1022">
        <v>0</v>
      </c>
      <c r="F1022">
        <v>8500</v>
      </c>
      <c r="G1022">
        <f t="shared" si="135"/>
        <v>85</v>
      </c>
      <c r="H1022">
        <v>400</v>
      </c>
      <c r="I1022" s="4">
        <f>Full_Data[[#This Row],[Selling Price]]/Full_Data[[#This Row],[Weight (g)]]</f>
        <v>0.21249999999999999</v>
      </c>
      <c r="J1022" t="b">
        <v>1</v>
      </c>
      <c r="K1022">
        <v>400</v>
      </c>
      <c r="L1022">
        <f t="shared" si="136"/>
        <v>0</v>
      </c>
      <c r="M1022" t="str">
        <f t="shared" si="137"/>
        <v>Medium</v>
      </c>
      <c r="N1022" t="str">
        <f t="shared" si="138"/>
        <v>0-5%</v>
      </c>
      <c r="O1022" t="str">
        <f t="shared" si="139"/>
        <v>OK</v>
      </c>
      <c r="P1022">
        <f>IFERROR(Full_Data!G1022/Full_Data!H1022,"Check data")</f>
        <v>0.21249999999999999</v>
      </c>
      <c r="Q1022" t="str">
        <f t="shared" si="140"/>
        <v>Match</v>
      </c>
      <c r="R1022" t="str">
        <f t="shared" si="141"/>
        <v>Match</v>
      </c>
      <c r="S1022" t="str">
        <f t="shared" si="142"/>
        <v>Match</v>
      </c>
    </row>
    <row r="1023" spans="1:19" x14ac:dyDescent="0.25">
      <c r="A1023" t="s">
        <v>968</v>
      </c>
      <c r="B1023">
        <v>7900</v>
      </c>
      <c r="C1023">
        <f t="shared" si="143"/>
        <v>79</v>
      </c>
      <c r="D1023">
        <v>0</v>
      </c>
      <c r="E1023">
        <v>0</v>
      </c>
      <c r="F1023">
        <v>7900</v>
      </c>
      <c r="G1023">
        <f t="shared" si="135"/>
        <v>79</v>
      </c>
      <c r="H1023">
        <v>250</v>
      </c>
      <c r="I1023" s="4">
        <f>Full_Data[[#This Row],[Selling Price]]/Full_Data[[#This Row],[Weight (g)]]</f>
        <v>0.316</v>
      </c>
      <c r="J1023" t="b">
        <v>1</v>
      </c>
      <c r="K1023">
        <v>250</v>
      </c>
      <c r="L1023">
        <f t="shared" si="136"/>
        <v>0</v>
      </c>
      <c r="M1023" t="str">
        <f t="shared" si="137"/>
        <v>Medium</v>
      </c>
      <c r="N1023" t="str">
        <f t="shared" si="138"/>
        <v>0-5%</v>
      </c>
      <c r="O1023" t="str">
        <f t="shared" si="139"/>
        <v>OK</v>
      </c>
      <c r="P1023">
        <f>IFERROR(Full_Data!G1023/Full_Data!H1023,"Check data")</f>
        <v>0.316</v>
      </c>
      <c r="Q1023" t="str">
        <f t="shared" si="140"/>
        <v>Match</v>
      </c>
      <c r="R1023" t="str">
        <f t="shared" si="141"/>
        <v>Match</v>
      </c>
      <c r="S1023" t="str">
        <f t="shared" si="142"/>
        <v>Match</v>
      </c>
    </row>
    <row r="1024" spans="1:19" x14ac:dyDescent="0.25">
      <c r="A1024" t="s">
        <v>969</v>
      </c>
      <c r="B1024">
        <v>25000</v>
      </c>
      <c r="C1024">
        <f t="shared" si="143"/>
        <v>250</v>
      </c>
      <c r="D1024">
        <v>0</v>
      </c>
      <c r="E1024">
        <v>0</v>
      </c>
      <c r="F1024">
        <v>25000</v>
      </c>
      <c r="G1024">
        <f t="shared" si="135"/>
        <v>250</v>
      </c>
      <c r="H1024">
        <v>450</v>
      </c>
      <c r="I1024" s="4">
        <f>Full_Data[[#This Row],[Selling Price]]/Full_Data[[#This Row],[Weight (g)]]</f>
        <v>0.55555555555555558</v>
      </c>
      <c r="J1024" t="b">
        <v>1</v>
      </c>
      <c r="K1024">
        <v>450</v>
      </c>
      <c r="L1024">
        <f t="shared" si="136"/>
        <v>0</v>
      </c>
      <c r="M1024" t="str">
        <f t="shared" si="137"/>
        <v>High</v>
      </c>
      <c r="N1024" t="str">
        <f t="shared" si="138"/>
        <v>0-5%</v>
      </c>
      <c r="O1024" t="str">
        <f t="shared" si="139"/>
        <v>OK</v>
      </c>
      <c r="P1024">
        <f>IFERROR(Full_Data!G1024/Full_Data!H1024,"Check data")</f>
        <v>0.55555555555555558</v>
      </c>
      <c r="Q1024" t="str">
        <f t="shared" si="140"/>
        <v>Match</v>
      </c>
      <c r="R1024" t="str">
        <f t="shared" si="141"/>
        <v>Match</v>
      </c>
      <c r="S1024" t="str">
        <f t="shared" si="142"/>
        <v>Match</v>
      </c>
    </row>
    <row r="1025" spans="1:19" x14ac:dyDescent="0.25">
      <c r="A1025" t="s">
        <v>970</v>
      </c>
      <c r="B1025">
        <v>30000</v>
      </c>
      <c r="C1025">
        <f t="shared" si="143"/>
        <v>300</v>
      </c>
      <c r="D1025">
        <v>10</v>
      </c>
      <c r="E1025">
        <v>4</v>
      </c>
      <c r="F1025">
        <v>27000</v>
      </c>
      <c r="G1025">
        <f t="shared" si="135"/>
        <v>270</v>
      </c>
      <c r="H1025">
        <v>1000</v>
      </c>
      <c r="I1025" s="4">
        <f>Full_Data[[#This Row],[Selling Price]]/Full_Data[[#This Row],[Weight (g)]]</f>
        <v>0.27</v>
      </c>
      <c r="J1025" t="b">
        <v>0</v>
      </c>
      <c r="K1025">
        <v>1</v>
      </c>
      <c r="L1025">
        <f t="shared" si="136"/>
        <v>30</v>
      </c>
      <c r="M1025" t="str">
        <f t="shared" si="137"/>
        <v>High</v>
      </c>
      <c r="N1025" t="str">
        <f t="shared" si="138"/>
        <v>6-10%</v>
      </c>
      <c r="O1025" t="str">
        <f t="shared" si="139"/>
        <v>OK</v>
      </c>
      <c r="P1025">
        <f>IFERROR(Full_Data!G1025/Full_Data!H1025,"Check data")</f>
        <v>0.27</v>
      </c>
      <c r="Q1025" t="str">
        <f t="shared" si="140"/>
        <v>Match</v>
      </c>
      <c r="R1025" t="str">
        <f t="shared" si="141"/>
        <v>Match</v>
      </c>
      <c r="S1025" t="str">
        <f t="shared" si="142"/>
        <v>Match</v>
      </c>
    </row>
    <row r="1026" spans="1:19" x14ac:dyDescent="0.25">
      <c r="A1026" t="s">
        <v>971</v>
      </c>
      <c r="B1026">
        <v>14500</v>
      </c>
      <c r="C1026">
        <f t="shared" si="143"/>
        <v>145</v>
      </c>
      <c r="D1026">
        <v>8</v>
      </c>
      <c r="E1026">
        <v>3</v>
      </c>
      <c r="F1026">
        <v>13300</v>
      </c>
      <c r="G1026">
        <f t="shared" ref="G1026:G1089" si="144">F1026/100</f>
        <v>133</v>
      </c>
      <c r="H1026">
        <v>250</v>
      </c>
      <c r="I1026" s="4">
        <f>Full_Data[[#This Row],[Selling Price]]/Full_Data[[#This Row],[Weight (g)]]</f>
        <v>0.53200000000000003</v>
      </c>
      <c r="J1026" t="b">
        <v>0</v>
      </c>
      <c r="K1026">
        <v>250</v>
      </c>
      <c r="L1026">
        <f t="shared" ref="L1026:L1089" si="145">C1026-G1026</f>
        <v>12</v>
      </c>
      <c r="M1026" t="str">
        <f t="shared" ref="M1026:M1089" si="146">IF(G1026&lt;50,"Low",IF(G1026&lt;200,"Medium","High"))</f>
        <v>Medium</v>
      </c>
      <c r="N1026" t="str">
        <f t="shared" ref="N1026:N1089" si="147">IF(D1026&lt;=5,"0-5%",
IF(D1026&lt;=10,"6-10%",
IF(D1026&lt;=15,"11-15%",
IF(D1026&lt;=20,"16-20%","21%+"))))</f>
        <v>6-10%</v>
      </c>
      <c r="O1026" t="str">
        <f t="shared" ref="O1026:O1089" si="148">IF(AND(C1026=0,G1026=0),"Review: Zero MRP and selling price",IF(C1026&lt;=0,"Review: Invalid MRP",IF(G1026&lt;0,"Review: Negative selling price",IF(G1026=0,"Review: Zero selling price",IF(H1026&lt;=0,"Review: Invalid weight","OK")))))</f>
        <v>OK</v>
      </c>
      <c r="P1026">
        <f>IFERROR(Full_Data!G1026/Full_Data!H1026,"Check data")</f>
        <v>0.53200000000000003</v>
      </c>
      <c r="Q1026" t="str">
        <f t="shared" ref="Q1026:Q1089" si="149">IF(OR(H1026="",H1026&lt;=0),"Invalid weight",IF(G1026="","Missing selling price",IF(ROUND(G1026/H1026,2)=ROUND(I1026,2),"Match","Mismatch")))</f>
        <v>Match</v>
      </c>
      <c r="R1026" t="str">
        <f t="shared" ref="R1026:R1089" si="150">IF(OR(C1026&lt;=0,G1026=""),"Check data",IF(ROUND((C1026-G1026)/C1026*100,2)=ROUND(D1026,2),"Match","Mismatch"))</f>
        <v>Mismatch</v>
      </c>
      <c r="S1026" t="str">
        <f t="shared" ref="S1026:S1089" si="151">IF(OR(C1026&lt;=0,G1026=""),"Check data",IF(ROUND((C1026-G1026)/C1026*100,0)=D1026,"Match","Mismatch"))</f>
        <v>Match</v>
      </c>
    </row>
    <row r="1027" spans="1:19" x14ac:dyDescent="0.25">
      <c r="A1027" t="s">
        <v>972</v>
      </c>
      <c r="B1027">
        <v>17500</v>
      </c>
      <c r="C1027">
        <f t="shared" ref="C1027:C1090" si="152">B1027/100</f>
        <v>175</v>
      </c>
      <c r="D1027">
        <v>9</v>
      </c>
      <c r="E1027">
        <v>3</v>
      </c>
      <c r="F1027">
        <v>15800</v>
      </c>
      <c r="G1027">
        <f t="shared" si="144"/>
        <v>158</v>
      </c>
      <c r="H1027">
        <v>500</v>
      </c>
      <c r="I1027" s="4">
        <f>Full_Data[[#This Row],[Selling Price]]/Full_Data[[#This Row],[Weight (g)]]</f>
        <v>0.316</v>
      </c>
      <c r="J1027" t="b">
        <v>0</v>
      </c>
      <c r="K1027">
        <v>500</v>
      </c>
      <c r="L1027">
        <f t="shared" si="145"/>
        <v>17</v>
      </c>
      <c r="M1027" t="str">
        <f t="shared" si="146"/>
        <v>Medium</v>
      </c>
      <c r="N1027" t="str">
        <f t="shared" si="147"/>
        <v>6-10%</v>
      </c>
      <c r="O1027" t="str">
        <f t="shared" si="148"/>
        <v>OK</v>
      </c>
      <c r="P1027">
        <f>IFERROR(Full_Data!G1027/Full_Data!H1027,"Check data")</f>
        <v>0.316</v>
      </c>
      <c r="Q1027" t="str">
        <f t="shared" si="149"/>
        <v>Match</v>
      </c>
      <c r="R1027" t="str">
        <f t="shared" si="150"/>
        <v>Mismatch</v>
      </c>
      <c r="S1027" t="str">
        <f t="shared" si="151"/>
        <v>Mismatch</v>
      </c>
    </row>
    <row r="1028" spans="1:19" x14ac:dyDescent="0.25">
      <c r="A1028" t="s">
        <v>973</v>
      </c>
      <c r="B1028">
        <v>24900</v>
      </c>
      <c r="C1028">
        <f t="shared" si="152"/>
        <v>249</v>
      </c>
      <c r="D1028">
        <v>25</v>
      </c>
      <c r="E1028">
        <v>1</v>
      </c>
      <c r="F1028">
        <v>18600</v>
      </c>
      <c r="G1028">
        <f t="shared" si="144"/>
        <v>186</v>
      </c>
      <c r="H1028">
        <v>500</v>
      </c>
      <c r="I1028" s="4">
        <f>Full_Data[[#This Row],[Selling Price]]/Full_Data[[#This Row],[Weight (g)]]</f>
        <v>0.372</v>
      </c>
      <c r="J1028" t="b">
        <v>0</v>
      </c>
      <c r="K1028">
        <v>500</v>
      </c>
      <c r="L1028">
        <f t="shared" si="145"/>
        <v>63</v>
      </c>
      <c r="M1028" t="str">
        <f t="shared" si="146"/>
        <v>Medium</v>
      </c>
      <c r="N1028" t="str">
        <f t="shared" si="147"/>
        <v>21%+</v>
      </c>
      <c r="O1028" t="str">
        <f t="shared" si="148"/>
        <v>OK</v>
      </c>
      <c r="P1028">
        <f>IFERROR(Full_Data!G1028/Full_Data!H1028,"Check data")</f>
        <v>0.372</v>
      </c>
      <c r="Q1028" t="str">
        <f t="shared" si="149"/>
        <v>Match</v>
      </c>
      <c r="R1028" t="str">
        <f t="shared" si="150"/>
        <v>Mismatch</v>
      </c>
      <c r="S1028" t="str">
        <f t="shared" si="151"/>
        <v>Match</v>
      </c>
    </row>
    <row r="1029" spans="1:19" x14ac:dyDescent="0.25">
      <c r="A1029" t="s">
        <v>974</v>
      </c>
      <c r="B1029">
        <v>27500</v>
      </c>
      <c r="C1029">
        <f t="shared" si="152"/>
        <v>275</v>
      </c>
      <c r="D1029">
        <v>9</v>
      </c>
      <c r="E1029">
        <v>6</v>
      </c>
      <c r="F1029">
        <v>24800</v>
      </c>
      <c r="G1029">
        <f t="shared" si="144"/>
        <v>248</v>
      </c>
      <c r="H1029">
        <v>450</v>
      </c>
      <c r="I1029" s="4">
        <f>Full_Data[[#This Row],[Selling Price]]/Full_Data[[#This Row],[Weight (g)]]</f>
        <v>0.55111111111111111</v>
      </c>
      <c r="J1029" t="b">
        <v>0</v>
      </c>
      <c r="K1029">
        <v>450</v>
      </c>
      <c r="L1029">
        <f t="shared" si="145"/>
        <v>27</v>
      </c>
      <c r="M1029" t="str">
        <f t="shared" si="146"/>
        <v>High</v>
      </c>
      <c r="N1029" t="str">
        <f t="shared" si="147"/>
        <v>6-10%</v>
      </c>
      <c r="O1029" t="str">
        <f t="shared" si="148"/>
        <v>OK</v>
      </c>
      <c r="P1029">
        <f>IFERROR(Full_Data!G1029/Full_Data!H1029,"Check data")</f>
        <v>0.55111111111111111</v>
      </c>
      <c r="Q1029" t="str">
        <f t="shared" si="149"/>
        <v>Match</v>
      </c>
      <c r="R1029" t="str">
        <f t="shared" si="150"/>
        <v>Mismatch</v>
      </c>
      <c r="S1029" t="str">
        <f t="shared" si="151"/>
        <v>Mismatch</v>
      </c>
    </row>
    <row r="1030" spans="1:19" x14ac:dyDescent="0.25">
      <c r="A1030" t="s">
        <v>975</v>
      </c>
      <c r="B1030">
        <v>21500</v>
      </c>
      <c r="C1030">
        <f t="shared" si="152"/>
        <v>215</v>
      </c>
      <c r="D1030">
        <v>5</v>
      </c>
      <c r="E1030">
        <v>1</v>
      </c>
      <c r="F1030">
        <v>20400</v>
      </c>
      <c r="G1030">
        <f t="shared" si="144"/>
        <v>204</v>
      </c>
      <c r="H1030">
        <v>500</v>
      </c>
      <c r="I1030" s="4">
        <f>Full_Data[[#This Row],[Selling Price]]/Full_Data[[#This Row],[Weight (g)]]</f>
        <v>0.40799999999999997</v>
      </c>
      <c r="J1030" t="b">
        <v>0</v>
      </c>
      <c r="K1030">
        <v>500</v>
      </c>
      <c r="L1030">
        <f t="shared" si="145"/>
        <v>11</v>
      </c>
      <c r="M1030" t="str">
        <f t="shared" si="146"/>
        <v>High</v>
      </c>
      <c r="N1030" t="str">
        <f t="shared" si="147"/>
        <v>0-5%</v>
      </c>
      <c r="O1030" t="str">
        <f t="shared" si="148"/>
        <v>OK</v>
      </c>
      <c r="P1030">
        <f>IFERROR(Full_Data!G1030/Full_Data!H1030,"Check data")</f>
        <v>0.40799999999999997</v>
      </c>
      <c r="Q1030" t="str">
        <f t="shared" si="149"/>
        <v>Match</v>
      </c>
      <c r="R1030" t="str">
        <f t="shared" si="150"/>
        <v>Mismatch</v>
      </c>
      <c r="S1030" t="str">
        <f t="shared" si="151"/>
        <v>Match</v>
      </c>
    </row>
    <row r="1031" spans="1:19" x14ac:dyDescent="0.25">
      <c r="A1031" t="s">
        <v>976</v>
      </c>
      <c r="B1031">
        <v>25500</v>
      </c>
      <c r="C1031">
        <f t="shared" si="152"/>
        <v>255</v>
      </c>
      <c r="D1031">
        <v>9</v>
      </c>
      <c r="E1031">
        <v>3</v>
      </c>
      <c r="F1031">
        <v>23000</v>
      </c>
      <c r="G1031">
        <f t="shared" si="144"/>
        <v>230</v>
      </c>
      <c r="H1031">
        <v>450</v>
      </c>
      <c r="I1031" s="4">
        <f>Full_Data[[#This Row],[Selling Price]]/Full_Data[[#This Row],[Weight (g)]]</f>
        <v>0.51111111111111107</v>
      </c>
      <c r="J1031" t="b">
        <v>0</v>
      </c>
      <c r="K1031">
        <v>450</v>
      </c>
      <c r="L1031">
        <f t="shared" si="145"/>
        <v>25</v>
      </c>
      <c r="M1031" t="str">
        <f t="shared" si="146"/>
        <v>High</v>
      </c>
      <c r="N1031" t="str">
        <f t="shared" si="147"/>
        <v>6-10%</v>
      </c>
      <c r="O1031" t="str">
        <f t="shared" si="148"/>
        <v>OK</v>
      </c>
      <c r="P1031">
        <f>IFERROR(Full_Data!G1031/Full_Data!H1031,"Check data")</f>
        <v>0.51111111111111107</v>
      </c>
      <c r="Q1031" t="str">
        <f t="shared" si="149"/>
        <v>Match</v>
      </c>
      <c r="R1031" t="str">
        <f t="shared" si="150"/>
        <v>Mismatch</v>
      </c>
      <c r="S1031" t="str">
        <f t="shared" si="151"/>
        <v>Mismatch</v>
      </c>
    </row>
    <row r="1032" spans="1:19" x14ac:dyDescent="0.25">
      <c r="A1032" t="s">
        <v>977</v>
      </c>
      <c r="B1032">
        <v>31900</v>
      </c>
      <c r="C1032">
        <f t="shared" si="152"/>
        <v>319</v>
      </c>
      <c r="D1032">
        <v>14</v>
      </c>
      <c r="E1032">
        <v>1</v>
      </c>
      <c r="F1032">
        <v>27400</v>
      </c>
      <c r="G1032">
        <f t="shared" si="144"/>
        <v>274</v>
      </c>
      <c r="H1032">
        <v>500</v>
      </c>
      <c r="I1032" s="4">
        <f>Full_Data[[#This Row],[Selling Price]]/Full_Data[[#This Row],[Weight (g)]]</f>
        <v>0.54800000000000004</v>
      </c>
      <c r="J1032" t="b">
        <v>0</v>
      </c>
      <c r="K1032">
        <v>500</v>
      </c>
      <c r="L1032">
        <f t="shared" si="145"/>
        <v>45</v>
      </c>
      <c r="M1032" t="str">
        <f t="shared" si="146"/>
        <v>High</v>
      </c>
      <c r="N1032" t="str">
        <f t="shared" si="147"/>
        <v>11-15%</v>
      </c>
      <c r="O1032" t="str">
        <f t="shared" si="148"/>
        <v>OK</v>
      </c>
      <c r="P1032">
        <f>IFERROR(Full_Data!G1032/Full_Data!H1032,"Check data")</f>
        <v>0.54800000000000004</v>
      </c>
      <c r="Q1032" t="str">
        <f t="shared" si="149"/>
        <v>Match</v>
      </c>
      <c r="R1032" t="str">
        <f t="shared" si="150"/>
        <v>Mismatch</v>
      </c>
      <c r="S1032" t="str">
        <f t="shared" si="151"/>
        <v>Match</v>
      </c>
    </row>
    <row r="1033" spans="1:19" x14ac:dyDescent="0.25">
      <c r="A1033" t="s">
        <v>978</v>
      </c>
      <c r="B1033">
        <v>16500</v>
      </c>
      <c r="C1033">
        <f t="shared" si="152"/>
        <v>165</v>
      </c>
      <c r="D1033">
        <v>0</v>
      </c>
      <c r="E1033">
        <v>1</v>
      </c>
      <c r="F1033">
        <v>16500</v>
      </c>
      <c r="G1033">
        <f t="shared" si="144"/>
        <v>165</v>
      </c>
      <c r="H1033">
        <v>500</v>
      </c>
      <c r="I1033" s="4">
        <f>Full_Data[[#This Row],[Selling Price]]/Full_Data[[#This Row],[Weight (g)]]</f>
        <v>0.33</v>
      </c>
      <c r="J1033" t="b">
        <v>0</v>
      </c>
      <c r="K1033">
        <v>500</v>
      </c>
      <c r="L1033">
        <f t="shared" si="145"/>
        <v>0</v>
      </c>
      <c r="M1033" t="str">
        <f t="shared" si="146"/>
        <v>Medium</v>
      </c>
      <c r="N1033" t="str">
        <f t="shared" si="147"/>
        <v>0-5%</v>
      </c>
      <c r="O1033" t="str">
        <f t="shared" si="148"/>
        <v>OK</v>
      </c>
      <c r="P1033">
        <f>IFERROR(Full_Data!G1033/Full_Data!H1033,"Check data")</f>
        <v>0.33</v>
      </c>
      <c r="Q1033" t="str">
        <f t="shared" si="149"/>
        <v>Match</v>
      </c>
      <c r="R1033" t="str">
        <f t="shared" si="150"/>
        <v>Match</v>
      </c>
      <c r="S1033" t="str">
        <f t="shared" si="151"/>
        <v>Match</v>
      </c>
    </row>
    <row r="1034" spans="1:19" x14ac:dyDescent="0.25">
      <c r="A1034" t="s">
        <v>979</v>
      </c>
      <c r="B1034">
        <v>26500</v>
      </c>
      <c r="C1034">
        <f t="shared" si="152"/>
        <v>265</v>
      </c>
      <c r="D1034">
        <v>9</v>
      </c>
      <c r="E1034">
        <v>2</v>
      </c>
      <c r="F1034">
        <v>23900</v>
      </c>
      <c r="G1034">
        <f t="shared" si="144"/>
        <v>239</v>
      </c>
      <c r="H1034">
        <v>500</v>
      </c>
      <c r="I1034" s="4">
        <f>Full_Data[[#This Row],[Selling Price]]/Full_Data[[#This Row],[Weight (g)]]</f>
        <v>0.47799999999999998</v>
      </c>
      <c r="J1034" t="b">
        <v>0</v>
      </c>
      <c r="K1034">
        <v>500</v>
      </c>
      <c r="L1034">
        <f t="shared" si="145"/>
        <v>26</v>
      </c>
      <c r="M1034" t="str">
        <f t="shared" si="146"/>
        <v>High</v>
      </c>
      <c r="N1034" t="str">
        <f t="shared" si="147"/>
        <v>6-10%</v>
      </c>
      <c r="O1034" t="str">
        <f t="shared" si="148"/>
        <v>OK</v>
      </c>
      <c r="P1034">
        <f>IFERROR(Full_Data!G1034/Full_Data!H1034,"Check data")</f>
        <v>0.47799999999999998</v>
      </c>
      <c r="Q1034" t="str">
        <f t="shared" si="149"/>
        <v>Match</v>
      </c>
      <c r="R1034" t="str">
        <f t="shared" si="150"/>
        <v>Mismatch</v>
      </c>
      <c r="S1034" t="str">
        <f t="shared" si="151"/>
        <v>Mismatch</v>
      </c>
    </row>
    <row r="1035" spans="1:19" x14ac:dyDescent="0.25">
      <c r="A1035" t="s">
        <v>980</v>
      </c>
      <c r="B1035">
        <v>20000</v>
      </c>
      <c r="C1035">
        <f t="shared" si="152"/>
        <v>200</v>
      </c>
      <c r="D1035">
        <v>10</v>
      </c>
      <c r="E1035">
        <v>2</v>
      </c>
      <c r="F1035">
        <v>18000</v>
      </c>
      <c r="G1035">
        <f t="shared" si="144"/>
        <v>180</v>
      </c>
      <c r="H1035">
        <v>580</v>
      </c>
      <c r="I1035" s="4">
        <f>Full_Data[[#This Row],[Selling Price]]/Full_Data[[#This Row],[Weight (g)]]</f>
        <v>0.31034482758620691</v>
      </c>
      <c r="J1035" t="b">
        <v>0</v>
      </c>
      <c r="K1035">
        <v>10</v>
      </c>
      <c r="L1035">
        <f t="shared" si="145"/>
        <v>20</v>
      </c>
      <c r="M1035" t="str">
        <f t="shared" si="146"/>
        <v>Medium</v>
      </c>
      <c r="N1035" t="str">
        <f t="shared" si="147"/>
        <v>6-10%</v>
      </c>
      <c r="O1035" t="str">
        <f t="shared" si="148"/>
        <v>OK</v>
      </c>
      <c r="P1035">
        <f>IFERROR(Full_Data!G1035/Full_Data!H1035,"Check data")</f>
        <v>0.31034482758620691</v>
      </c>
      <c r="Q1035" t="str">
        <f t="shared" si="149"/>
        <v>Match</v>
      </c>
      <c r="R1035" t="str">
        <f t="shared" si="150"/>
        <v>Match</v>
      </c>
      <c r="S1035" t="str">
        <f t="shared" si="151"/>
        <v>Match</v>
      </c>
    </row>
    <row r="1036" spans="1:19" x14ac:dyDescent="0.25">
      <c r="A1036" t="s">
        <v>981</v>
      </c>
      <c r="B1036">
        <v>16500</v>
      </c>
      <c r="C1036">
        <f t="shared" si="152"/>
        <v>165</v>
      </c>
      <c r="D1036">
        <v>4</v>
      </c>
      <c r="E1036">
        <v>1</v>
      </c>
      <c r="F1036">
        <v>15700</v>
      </c>
      <c r="G1036">
        <f t="shared" si="144"/>
        <v>157</v>
      </c>
      <c r="H1036">
        <v>500</v>
      </c>
      <c r="I1036" s="4">
        <f>Full_Data[[#This Row],[Selling Price]]/Full_Data[[#This Row],[Weight (g)]]</f>
        <v>0.314</v>
      </c>
      <c r="J1036" t="b">
        <v>0</v>
      </c>
      <c r="K1036">
        <v>500</v>
      </c>
      <c r="L1036">
        <f t="shared" si="145"/>
        <v>8</v>
      </c>
      <c r="M1036" t="str">
        <f t="shared" si="146"/>
        <v>Medium</v>
      </c>
      <c r="N1036" t="str">
        <f t="shared" si="147"/>
        <v>0-5%</v>
      </c>
      <c r="O1036" t="str">
        <f t="shared" si="148"/>
        <v>OK</v>
      </c>
      <c r="P1036">
        <f>IFERROR(Full_Data!G1036/Full_Data!H1036,"Check data")</f>
        <v>0.314</v>
      </c>
      <c r="Q1036" t="str">
        <f t="shared" si="149"/>
        <v>Match</v>
      </c>
      <c r="R1036" t="str">
        <f t="shared" si="150"/>
        <v>Mismatch</v>
      </c>
      <c r="S1036" t="str">
        <f t="shared" si="151"/>
        <v>Mismatch</v>
      </c>
    </row>
    <row r="1037" spans="1:19" x14ac:dyDescent="0.25">
      <c r="A1037" t="s">
        <v>982</v>
      </c>
      <c r="B1037">
        <v>25900</v>
      </c>
      <c r="C1037">
        <f t="shared" si="152"/>
        <v>259</v>
      </c>
      <c r="D1037">
        <v>43</v>
      </c>
      <c r="E1037">
        <v>1</v>
      </c>
      <c r="F1037">
        <v>14700</v>
      </c>
      <c r="G1037">
        <f t="shared" si="144"/>
        <v>147</v>
      </c>
      <c r="H1037">
        <v>500</v>
      </c>
      <c r="I1037" s="4">
        <f>Full_Data[[#This Row],[Selling Price]]/Full_Data[[#This Row],[Weight (g)]]</f>
        <v>0.29399999999999998</v>
      </c>
      <c r="J1037" t="b">
        <v>0</v>
      </c>
      <c r="K1037">
        <v>500</v>
      </c>
      <c r="L1037">
        <f t="shared" si="145"/>
        <v>112</v>
      </c>
      <c r="M1037" t="str">
        <f t="shared" si="146"/>
        <v>Medium</v>
      </c>
      <c r="N1037" t="str">
        <f t="shared" si="147"/>
        <v>21%+</v>
      </c>
      <c r="O1037" t="str">
        <f t="shared" si="148"/>
        <v>OK</v>
      </c>
      <c r="P1037">
        <f>IFERROR(Full_Data!G1037/Full_Data!H1037,"Check data")</f>
        <v>0.29399999999999998</v>
      </c>
      <c r="Q1037" t="str">
        <f t="shared" si="149"/>
        <v>Match</v>
      </c>
      <c r="R1037" t="str">
        <f t="shared" si="150"/>
        <v>Mismatch</v>
      </c>
      <c r="S1037" t="str">
        <f t="shared" si="151"/>
        <v>Match</v>
      </c>
    </row>
    <row r="1038" spans="1:19" x14ac:dyDescent="0.25">
      <c r="A1038" t="s">
        <v>983</v>
      </c>
      <c r="B1038">
        <v>24500</v>
      </c>
      <c r="C1038">
        <f t="shared" si="152"/>
        <v>245</v>
      </c>
      <c r="D1038">
        <v>9</v>
      </c>
      <c r="E1038">
        <v>2</v>
      </c>
      <c r="F1038">
        <v>22100</v>
      </c>
      <c r="G1038">
        <f t="shared" si="144"/>
        <v>221</v>
      </c>
      <c r="H1038">
        <v>450</v>
      </c>
      <c r="I1038" s="4">
        <f>Full_Data[[#This Row],[Selling Price]]/Full_Data[[#This Row],[Weight (g)]]</f>
        <v>0.49111111111111111</v>
      </c>
      <c r="J1038" t="b">
        <v>0</v>
      </c>
      <c r="K1038">
        <v>450</v>
      </c>
      <c r="L1038">
        <f t="shared" si="145"/>
        <v>24</v>
      </c>
      <c r="M1038" t="str">
        <f t="shared" si="146"/>
        <v>High</v>
      </c>
      <c r="N1038" t="str">
        <f t="shared" si="147"/>
        <v>6-10%</v>
      </c>
      <c r="O1038" t="str">
        <f t="shared" si="148"/>
        <v>OK</v>
      </c>
      <c r="P1038">
        <f>IFERROR(Full_Data!G1038/Full_Data!H1038,"Check data")</f>
        <v>0.49111111111111111</v>
      </c>
      <c r="Q1038" t="str">
        <f t="shared" si="149"/>
        <v>Match</v>
      </c>
      <c r="R1038" t="str">
        <f t="shared" si="150"/>
        <v>Mismatch</v>
      </c>
      <c r="S1038" t="str">
        <f t="shared" si="151"/>
        <v>Mismatch</v>
      </c>
    </row>
    <row r="1039" spans="1:19" x14ac:dyDescent="0.25">
      <c r="A1039" t="s">
        <v>984</v>
      </c>
      <c r="B1039">
        <v>26100</v>
      </c>
      <c r="C1039">
        <f t="shared" si="152"/>
        <v>261</v>
      </c>
      <c r="D1039">
        <v>14</v>
      </c>
      <c r="E1039">
        <v>1</v>
      </c>
      <c r="F1039">
        <v>22200</v>
      </c>
      <c r="G1039">
        <f t="shared" si="144"/>
        <v>222</v>
      </c>
      <c r="H1039">
        <v>500</v>
      </c>
      <c r="I1039" s="4">
        <f>Full_Data[[#This Row],[Selling Price]]/Full_Data[[#This Row],[Weight (g)]]</f>
        <v>0.44400000000000001</v>
      </c>
      <c r="J1039" t="b">
        <v>0</v>
      </c>
      <c r="K1039">
        <v>500</v>
      </c>
      <c r="L1039">
        <f t="shared" si="145"/>
        <v>39</v>
      </c>
      <c r="M1039" t="str">
        <f t="shared" si="146"/>
        <v>High</v>
      </c>
      <c r="N1039" t="str">
        <f t="shared" si="147"/>
        <v>11-15%</v>
      </c>
      <c r="O1039" t="str">
        <f t="shared" si="148"/>
        <v>OK</v>
      </c>
      <c r="P1039">
        <f>IFERROR(Full_Data!G1039/Full_Data!H1039,"Check data")</f>
        <v>0.44400000000000001</v>
      </c>
      <c r="Q1039" t="str">
        <f t="shared" si="149"/>
        <v>Match</v>
      </c>
      <c r="R1039" t="str">
        <f t="shared" si="150"/>
        <v>Mismatch</v>
      </c>
      <c r="S1039" t="str">
        <f t="shared" si="151"/>
        <v>Mismatch</v>
      </c>
    </row>
    <row r="1040" spans="1:19" x14ac:dyDescent="0.25">
      <c r="A1040" t="s">
        <v>985</v>
      </c>
      <c r="B1040">
        <v>29000</v>
      </c>
      <c r="C1040">
        <f t="shared" si="152"/>
        <v>290</v>
      </c>
      <c r="D1040">
        <v>29</v>
      </c>
      <c r="E1040">
        <v>1</v>
      </c>
      <c r="F1040">
        <v>20400</v>
      </c>
      <c r="G1040">
        <f t="shared" si="144"/>
        <v>204</v>
      </c>
      <c r="H1040">
        <v>500</v>
      </c>
      <c r="I1040" s="4">
        <f>Full_Data[[#This Row],[Selling Price]]/Full_Data[[#This Row],[Weight (g)]]</f>
        <v>0.40799999999999997</v>
      </c>
      <c r="J1040" t="b">
        <v>0</v>
      </c>
      <c r="K1040">
        <v>500</v>
      </c>
      <c r="L1040">
        <f t="shared" si="145"/>
        <v>86</v>
      </c>
      <c r="M1040" t="str">
        <f t="shared" si="146"/>
        <v>High</v>
      </c>
      <c r="N1040" t="str">
        <f t="shared" si="147"/>
        <v>21%+</v>
      </c>
      <c r="O1040" t="str">
        <f t="shared" si="148"/>
        <v>OK</v>
      </c>
      <c r="P1040">
        <f>IFERROR(Full_Data!G1040/Full_Data!H1040,"Check data")</f>
        <v>0.40799999999999997</v>
      </c>
      <c r="Q1040" t="str">
        <f t="shared" si="149"/>
        <v>Match</v>
      </c>
      <c r="R1040" t="str">
        <f t="shared" si="150"/>
        <v>Mismatch</v>
      </c>
      <c r="S1040" t="str">
        <f t="shared" si="151"/>
        <v>Mismatch</v>
      </c>
    </row>
    <row r="1041" spans="1:19" x14ac:dyDescent="0.25">
      <c r="A1041" t="s">
        <v>986</v>
      </c>
      <c r="B1041">
        <v>27500</v>
      </c>
      <c r="C1041">
        <f t="shared" si="152"/>
        <v>275</v>
      </c>
      <c r="D1041">
        <v>9</v>
      </c>
      <c r="E1041">
        <v>3</v>
      </c>
      <c r="F1041">
        <v>24800</v>
      </c>
      <c r="G1041">
        <f t="shared" si="144"/>
        <v>248</v>
      </c>
      <c r="H1041">
        <v>450</v>
      </c>
      <c r="I1041" s="4">
        <f>Full_Data[[#This Row],[Selling Price]]/Full_Data[[#This Row],[Weight (g)]]</f>
        <v>0.55111111111111111</v>
      </c>
      <c r="J1041" t="b">
        <v>0</v>
      </c>
      <c r="K1041">
        <v>450</v>
      </c>
      <c r="L1041">
        <f t="shared" si="145"/>
        <v>27</v>
      </c>
      <c r="M1041" t="str">
        <f t="shared" si="146"/>
        <v>High</v>
      </c>
      <c r="N1041" t="str">
        <f t="shared" si="147"/>
        <v>6-10%</v>
      </c>
      <c r="O1041" t="str">
        <f t="shared" si="148"/>
        <v>OK</v>
      </c>
      <c r="P1041">
        <f>IFERROR(Full_Data!G1041/Full_Data!H1041,"Check data")</f>
        <v>0.55111111111111111</v>
      </c>
      <c r="Q1041" t="str">
        <f t="shared" si="149"/>
        <v>Match</v>
      </c>
      <c r="R1041" t="str">
        <f t="shared" si="150"/>
        <v>Mismatch</v>
      </c>
      <c r="S1041" t="str">
        <f t="shared" si="151"/>
        <v>Mismatch</v>
      </c>
    </row>
    <row r="1042" spans="1:19" x14ac:dyDescent="0.25">
      <c r="A1042" t="s">
        <v>987</v>
      </c>
      <c r="B1042">
        <v>24900</v>
      </c>
      <c r="C1042">
        <f t="shared" si="152"/>
        <v>249</v>
      </c>
      <c r="D1042">
        <v>28</v>
      </c>
      <c r="E1042">
        <v>1</v>
      </c>
      <c r="F1042">
        <v>17900</v>
      </c>
      <c r="G1042">
        <f t="shared" si="144"/>
        <v>179</v>
      </c>
      <c r="H1042">
        <v>500</v>
      </c>
      <c r="I1042" s="4">
        <f>Full_Data[[#This Row],[Selling Price]]/Full_Data[[#This Row],[Weight (g)]]</f>
        <v>0.35799999999999998</v>
      </c>
      <c r="J1042" t="b">
        <v>0</v>
      </c>
      <c r="K1042">
        <v>500</v>
      </c>
      <c r="L1042">
        <f t="shared" si="145"/>
        <v>70</v>
      </c>
      <c r="M1042" t="str">
        <f t="shared" si="146"/>
        <v>Medium</v>
      </c>
      <c r="N1042" t="str">
        <f t="shared" si="147"/>
        <v>21%+</v>
      </c>
      <c r="O1042" t="str">
        <f t="shared" si="148"/>
        <v>OK</v>
      </c>
      <c r="P1042">
        <f>IFERROR(Full_Data!G1042/Full_Data!H1042,"Check data")</f>
        <v>0.35799999999999998</v>
      </c>
      <c r="Q1042" t="str">
        <f t="shared" si="149"/>
        <v>Match</v>
      </c>
      <c r="R1042" t="str">
        <f t="shared" si="150"/>
        <v>Mismatch</v>
      </c>
      <c r="S1042" t="str">
        <f t="shared" si="151"/>
        <v>Match</v>
      </c>
    </row>
    <row r="1043" spans="1:19" x14ac:dyDescent="0.25">
      <c r="A1043" t="s">
        <v>988</v>
      </c>
      <c r="B1043">
        <v>17500</v>
      </c>
      <c r="C1043">
        <f t="shared" si="152"/>
        <v>175</v>
      </c>
      <c r="D1043">
        <v>9</v>
      </c>
      <c r="E1043">
        <v>1</v>
      </c>
      <c r="F1043">
        <v>15800</v>
      </c>
      <c r="G1043">
        <f t="shared" si="144"/>
        <v>158</v>
      </c>
      <c r="H1043">
        <v>580</v>
      </c>
      <c r="I1043" s="4">
        <f>Full_Data[[#This Row],[Selling Price]]/Full_Data[[#This Row],[Weight (g)]]</f>
        <v>0.27241379310344827</v>
      </c>
      <c r="J1043" t="b">
        <v>0</v>
      </c>
      <c r="K1043">
        <v>10</v>
      </c>
      <c r="L1043">
        <f t="shared" si="145"/>
        <v>17</v>
      </c>
      <c r="M1043" t="str">
        <f t="shared" si="146"/>
        <v>Medium</v>
      </c>
      <c r="N1043" t="str">
        <f t="shared" si="147"/>
        <v>6-10%</v>
      </c>
      <c r="O1043" t="str">
        <f t="shared" si="148"/>
        <v>OK</v>
      </c>
      <c r="P1043">
        <f>IFERROR(Full_Data!G1043/Full_Data!H1043,"Check data")</f>
        <v>0.27241379310344827</v>
      </c>
      <c r="Q1043" t="str">
        <f t="shared" si="149"/>
        <v>Match</v>
      </c>
      <c r="R1043" t="str">
        <f t="shared" si="150"/>
        <v>Mismatch</v>
      </c>
      <c r="S1043" t="str">
        <f t="shared" si="151"/>
        <v>Mismatch</v>
      </c>
    </row>
    <row r="1044" spans="1:19" x14ac:dyDescent="0.25">
      <c r="A1044" t="s">
        <v>989</v>
      </c>
      <c r="B1044">
        <v>7500</v>
      </c>
      <c r="C1044">
        <f t="shared" si="152"/>
        <v>75</v>
      </c>
      <c r="D1044">
        <v>9</v>
      </c>
      <c r="E1044">
        <v>1</v>
      </c>
      <c r="F1044">
        <v>6800</v>
      </c>
      <c r="G1044">
        <f t="shared" si="144"/>
        <v>68</v>
      </c>
      <c r="H1044">
        <v>200</v>
      </c>
      <c r="I1044" s="4">
        <f>Full_Data[[#This Row],[Selling Price]]/Full_Data[[#This Row],[Weight (g)]]</f>
        <v>0.34</v>
      </c>
      <c r="J1044" t="b">
        <v>0</v>
      </c>
      <c r="K1044">
        <v>200</v>
      </c>
      <c r="L1044">
        <f t="shared" si="145"/>
        <v>7</v>
      </c>
      <c r="M1044" t="str">
        <f t="shared" si="146"/>
        <v>Medium</v>
      </c>
      <c r="N1044" t="str">
        <f t="shared" si="147"/>
        <v>6-10%</v>
      </c>
      <c r="O1044" t="str">
        <f t="shared" si="148"/>
        <v>OK</v>
      </c>
      <c r="P1044">
        <f>IFERROR(Full_Data!G1044/Full_Data!H1044,"Check data")</f>
        <v>0.34</v>
      </c>
      <c r="Q1044" t="str">
        <f t="shared" si="149"/>
        <v>Match</v>
      </c>
      <c r="R1044" t="str">
        <f t="shared" si="150"/>
        <v>Mismatch</v>
      </c>
      <c r="S1044" t="str">
        <f t="shared" si="151"/>
        <v>Match</v>
      </c>
    </row>
    <row r="1045" spans="1:19" x14ac:dyDescent="0.25">
      <c r="A1045" t="s">
        <v>990</v>
      </c>
      <c r="B1045">
        <v>51500</v>
      </c>
      <c r="C1045">
        <f t="shared" si="152"/>
        <v>515</v>
      </c>
      <c r="D1045">
        <v>3</v>
      </c>
      <c r="E1045">
        <v>1</v>
      </c>
      <c r="F1045">
        <v>49500</v>
      </c>
      <c r="G1045">
        <f t="shared" si="144"/>
        <v>495</v>
      </c>
      <c r="H1045">
        <v>500</v>
      </c>
      <c r="I1045" s="4">
        <f>Full_Data[[#This Row],[Selling Price]]/Full_Data[[#This Row],[Weight (g)]]</f>
        <v>0.99</v>
      </c>
      <c r="J1045" t="b">
        <v>0</v>
      </c>
      <c r="K1045">
        <v>500</v>
      </c>
      <c r="L1045">
        <f t="shared" si="145"/>
        <v>20</v>
      </c>
      <c r="M1045" t="str">
        <f t="shared" si="146"/>
        <v>High</v>
      </c>
      <c r="N1045" t="str">
        <f t="shared" si="147"/>
        <v>0-5%</v>
      </c>
      <c r="O1045" t="str">
        <f t="shared" si="148"/>
        <v>OK</v>
      </c>
      <c r="P1045">
        <f>IFERROR(Full_Data!G1045/Full_Data!H1045,"Check data")</f>
        <v>0.99</v>
      </c>
      <c r="Q1045" t="str">
        <f t="shared" si="149"/>
        <v>Match</v>
      </c>
      <c r="R1045" t="str">
        <f t="shared" si="150"/>
        <v>Mismatch</v>
      </c>
      <c r="S1045" t="str">
        <f t="shared" si="151"/>
        <v>Mismatch</v>
      </c>
    </row>
    <row r="1046" spans="1:19" x14ac:dyDescent="0.25">
      <c r="A1046" t="s">
        <v>991</v>
      </c>
      <c r="B1046">
        <v>46500</v>
      </c>
      <c r="C1046">
        <f t="shared" si="152"/>
        <v>465</v>
      </c>
      <c r="D1046">
        <v>4</v>
      </c>
      <c r="E1046">
        <v>1</v>
      </c>
      <c r="F1046">
        <v>44200</v>
      </c>
      <c r="G1046">
        <f t="shared" si="144"/>
        <v>442</v>
      </c>
      <c r="H1046">
        <v>500</v>
      </c>
      <c r="I1046" s="4">
        <f>Full_Data[[#This Row],[Selling Price]]/Full_Data[[#This Row],[Weight (g)]]</f>
        <v>0.88400000000000001</v>
      </c>
      <c r="J1046" t="b">
        <v>0</v>
      </c>
      <c r="K1046">
        <v>500</v>
      </c>
      <c r="L1046">
        <f t="shared" si="145"/>
        <v>23</v>
      </c>
      <c r="M1046" t="str">
        <f t="shared" si="146"/>
        <v>High</v>
      </c>
      <c r="N1046" t="str">
        <f t="shared" si="147"/>
        <v>0-5%</v>
      </c>
      <c r="O1046" t="str">
        <f t="shared" si="148"/>
        <v>OK</v>
      </c>
      <c r="P1046">
        <f>IFERROR(Full_Data!G1046/Full_Data!H1046,"Check data")</f>
        <v>0.88400000000000001</v>
      </c>
      <c r="Q1046" t="str">
        <f t="shared" si="149"/>
        <v>Match</v>
      </c>
      <c r="R1046" t="str">
        <f t="shared" si="150"/>
        <v>Mismatch</v>
      </c>
      <c r="S1046" t="str">
        <f t="shared" si="151"/>
        <v>Mismatch</v>
      </c>
    </row>
    <row r="1047" spans="1:19" x14ac:dyDescent="0.25">
      <c r="A1047" t="s">
        <v>992</v>
      </c>
      <c r="B1047">
        <v>21000</v>
      </c>
      <c r="C1047">
        <f t="shared" si="152"/>
        <v>210</v>
      </c>
      <c r="D1047">
        <v>10</v>
      </c>
      <c r="E1047">
        <v>1</v>
      </c>
      <c r="F1047">
        <v>18900</v>
      </c>
      <c r="G1047">
        <f t="shared" si="144"/>
        <v>189</v>
      </c>
      <c r="H1047">
        <v>116</v>
      </c>
      <c r="I1047" s="4">
        <f>Full_Data[[#This Row],[Selling Price]]/Full_Data[[#This Row],[Weight (g)]]</f>
        <v>1.6293103448275863</v>
      </c>
      <c r="J1047" t="b">
        <v>0</v>
      </c>
      <c r="K1047">
        <v>2</v>
      </c>
      <c r="L1047">
        <f t="shared" si="145"/>
        <v>21</v>
      </c>
      <c r="M1047" t="str">
        <f t="shared" si="146"/>
        <v>Medium</v>
      </c>
      <c r="N1047" t="str">
        <f t="shared" si="147"/>
        <v>6-10%</v>
      </c>
      <c r="O1047" t="str">
        <f t="shared" si="148"/>
        <v>OK</v>
      </c>
      <c r="P1047">
        <f>IFERROR(Full_Data!G1047/Full_Data!H1047,"Check data")</f>
        <v>1.6293103448275863</v>
      </c>
      <c r="Q1047" t="str">
        <f t="shared" si="149"/>
        <v>Match</v>
      </c>
      <c r="R1047" t="str">
        <f t="shared" si="150"/>
        <v>Match</v>
      </c>
      <c r="S1047" t="str">
        <f t="shared" si="151"/>
        <v>Match</v>
      </c>
    </row>
    <row r="1048" spans="1:19" x14ac:dyDescent="0.25">
      <c r="A1048" t="s">
        <v>993</v>
      </c>
      <c r="B1048">
        <v>32900</v>
      </c>
      <c r="C1048">
        <f t="shared" si="152"/>
        <v>329</v>
      </c>
      <c r="D1048">
        <v>24</v>
      </c>
      <c r="E1048">
        <v>1</v>
      </c>
      <c r="F1048">
        <v>24700</v>
      </c>
      <c r="G1048">
        <f t="shared" si="144"/>
        <v>247</v>
      </c>
      <c r="H1048">
        <v>500</v>
      </c>
      <c r="I1048" s="4">
        <f>Full_Data[[#This Row],[Selling Price]]/Full_Data[[#This Row],[Weight (g)]]</f>
        <v>0.49399999999999999</v>
      </c>
      <c r="J1048" t="b">
        <v>0</v>
      </c>
      <c r="K1048">
        <v>500</v>
      </c>
      <c r="L1048">
        <f t="shared" si="145"/>
        <v>82</v>
      </c>
      <c r="M1048" t="str">
        <f t="shared" si="146"/>
        <v>High</v>
      </c>
      <c r="N1048" t="str">
        <f t="shared" si="147"/>
        <v>21%+</v>
      </c>
      <c r="O1048" t="str">
        <f t="shared" si="148"/>
        <v>OK</v>
      </c>
      <c r="P1048">
        <f>IFERROR(Full_Data!G1048/Full_Data!H1048,"Check data")</f>
        <v>0.49399999999999999</v>
      </c>
      <c r="Q1048" t="str">
        <f t="shared" si="149"/>
        <v>Match</v>
      </c>
      <c r="R1048" t="str">
        <f t="shared" si="150"/>
        <v>Mismatch</v>
      </c>
      <c r="S1048" t="str">
        <f t="shared" si="151"/>
        <v>Mismatch</v>
      </c>
    </row>
    <row r="1049" spans="1:19" x14ac:dyDescent="0.25">
      <c r="A1049" t="s">
        <v>994</v>
      </c>
      <c r="B1049">
        <v>21000</v>
      </c>
      <c r="C1049">
        <f t="shared" si="152"/>
        <v>210</v>
      </c>
      <c r="D1049">
        <v>0</v>
      </c>
      <c r="E1049">
        <v>1</v>
      </c>
      <c r="F1049">
        <v>21000</v>
      </c>
      <c r="G1049">
        <f t="shared" si="144"/>
        <v>210</v>
      </c>
      <c r="H1049">
        <v>450</v>
      </c>
      <c r="I1049" s="4">
        <f>Full_Data[[#This Row],[Selling Price]]/Full_Data[[#This Row],[Weight (g)]]</f>
        <v>0.46666666666666667</v>
      </c>
      <c r="J1049" t="b">
        <v>0</v>
      </c>
      <c r="K1049">
        <v>450</v>
      </c>
      <c r="L1049">
        <f t="shared" si="145"/>
        <v>0</v>
      </c>
      <c r="M1049" t="str">
        <f t="shared" si="146"/>
        <v>High</v>
      </c>
      <c r="N1049" t="str">
        <f t="shared" si="147"/>
        <v>0-5%</v>
      </c>
      <c r="O1049" t="str">
        <f t="shared" si="148"/>
        <v>OK</v>
      </c>
      <c r="P1049">
        <f>IFERROR(Full_Data!G1049/Full_Data!H1049,"Check data")</f>
        <v>0.46666666666666667</v>
      </c>
      <c r="Q1049" t="str">
        <f t="shared" si="149"/>
        <v>Match</v>
      </c>
      <c r="R1049" t="str">
        <f t="shared" si="150"/>
        <v>Match</v>
      </c>
      <c r="S1049" t="str">
        <f t="shared" si="151"/>
        <v>Match</v>
      </c>
    </row>
    <row r="1050" spans="1:19" x14ac:dyDescent="0.25">
      <c r="A1050" t="s">
        <v>995</v>
      </c>
      <c r="B1050">
        <v>14000</v>
      </c>
      <c r="C1050">
        <f t="shared" si="152"/>
        <v>140</v>
      </c>
      <c r="D1050">
        <v>0</v>
      </c>
      <c r="E1050">
        <v>0</v>
      </c>
      <c r="F1050">
        <v>14000</v>
      </c>
      <c r="G1050">
        <f t="shared" si="144"/>
        <v>140</v>
      </c>
      <c r="H1050">
        <v>500</v>
      </c>
      <c r="I1050" s="4">
        <f>Full_Data[[#This Row],[Selling Price]]/Full_Data[[#This Row],[Weight (g)]]</f>
        <v>0.28000000000000003</v>
      </c>
      <c r="J1050" t="b">
        <v>1</v>
      </c>
      <c r="K1050">
        <v>500</v>
      </c>
      <c r="L1050">
        <f t="shared" si="145"/>
        <v>0</v>
      </c>
      <c r="M1050" t="str">
        <f t="shared" si="146"/>
        <v>Medium</v>
      </c>
      <c r="N1050" t="str">
        <f t="shared" si="147"/>
        <v>0-5%</v>
      </c>
      <c r="O1050" t="str">
        <f t="shared" si="148"/>
        <v>OK</v>
      </c>
      <c r="P1050">
        <f>IFERROR(Full_Data!G1050/Full_Data!H1050,"Check data")</f>
        <v>0.28000000000000003</v>
      </c>
      <c r="Q1050" t="str">
        <f t="shared" si="149"/>
        <v>Match</v>
      </c>
      <c r="R1050" t="str">
        <f t="shared" si="150"/>
        <v>Match</v>
      </c>
      <c r="S1050" t="str">
        <f t="shared" si="151"/>
        <v>Match</v>
      </c>
    </row>
    <row r="1051" spans="1:19" x14ac:dyDescent="0.25">
      <c r="A1051" t="s">
        <v>996</v>
      </c>
      <c r="B1051">
        <v>14500</v>
      </c>
      <c r="C1051">
        <f t="shared" si="152"/>
        <v>145</v>
      </c>
      <c r="D1051">
        <v>0</v>
      </c>
      <c r="E1051">
        <v>0</v>
      </c>
      <c r="F1051">
        <v>14500</v>
      </c>
      <c r="G1051">
        <f t="shared" si="144"/>
        <v>145</v>
      </c>
      <c r="H1051">
        <v>450</v>
      </c>
      <c r="I1051" s="4">
        <f>Full_Data[[#This Row],[Selling Price]]/Full_Data[[#This Row],[Weight (g)]]</f>
        <v>0.32222222222222224</v>
      </c>
      <c r="J1051" t="b">
        <v>1</v>
      </c>
      <c r="K1051">
        <v>450</v>
      </c>
      <c r="L1051">
        <f t="shared" si="145"/>
        <v>0</v>
      </c>
      <c r="M1051" t="str">
        <f t="shared" si="146"/>
        <v>Medium</v>
      </c>
      <c r="N1051" t="str">
        <f t="shared" si="147"/>
        <v>0-5%</v>
      </c>
      <c r="O1051" t="str">
        <f t="shared" si="148"/>
        <v>OK</v>
      </c>
      <c r="P1051">
        <f>IFERROR(Full_Data!G1051/Full_Data!H1051,"Check data")</f>
        <v>0.32222222222222224</v>
      </c>
      <c r="Q1051" t="str">
        <f t="shared" si="149"/>
        <v>Match</v>
      </c>
      <c r="R1051" t="str">
        <f t="shared" si="150"/>
        <v>Match</v>
      </c>
      <c r="S1051" t="str">
        <f t="shared" si="151"/>
        <v>Match</v>
      </c>
    </row>
    <row r="1052" spans="1:19" x14ac:dyDescent="0.25">
      <c r="A1052" t="s">
        <v>997</v>
      </c>
      <c r="B1052">
        <v>21500</v>
      </c>
      <c r="C1052">
        <f t="shared" si="152"/>
        <v>215</v>
      </c>
      <c r="D1052">
        <v>5</v>
      </c>
      <c r="E1052">
        <v>0</v>
      </c>
      <c r="F1052">
        <v>20400</v>
      </c>
      <c r="G1052">
        <f t="shared" si="144"/>
        <v>204</v>
      </c>
      <c r="H1052">
        <v>500</v>
      </c>
      <c r="I1052" s="4">
        <f>Full_Data[[#This Row],[Selling Price]]/Full_Data[[#This Row],[Weight (g)]]</f>
        <v>0.40799999999999997</v>
      </c>
      <c r="J1052" t="b">
        <v>1</v>
      </c>
      <c r="K1052">
        <v>500</v>
      </c>
      <c r="L1052">
        <f t="shared" si="145"/>
        <v>11</v>
      </c>
      <c r="M1052" t="str">
        <f t="shared" si="146"/>
        <v>High</v>
      </c>
      <c r="N1052" t="str">
        <f t="shared" si="147"/>
        <v>0-5%</v>
      </c>
      <c r="O1052" t="str">
        <f t="shared" si="148"/>
        <v>OK</v>
      </c>
      <c r="P1052">
        <f>IFERROR(Full_Data!G1052/Full_Data!H1052,"Check data")</f>
        <v>0.40799999999999997</v>
      </c>
      <c r="Q1052" t="str">
        <f t="shared" si="149"/>
        <v>Match</v>
      </c>
      <c r="R1052" t="str">
        <f t="shared" si="150"/>
        <v>Mismatch</v>
      </c>
      <c r="S1052" t="str">
        <f t="shared" si="151"/>
        <v>Match</v>
      </c>
    </row>
    <row r="1053" spans="1:19" x14ac:dyDescent="0.25">
      <c r="A1053" t="s">
        <v>998</v>
      </c>
      <c r="B1053">
        <v>27500</v>
      </c>
      <c r="C1053">
        <f t="shared" si="152"/>
        <v>275</v>
      </c>
      <c r="D1053">
        <v>9</v>
      </c>
      <c r="E1053">
        <v>0</v>
      </c>
      <c r="F1053">
        <v>24800</v>
      </c>
      <c r="G1053">
        <f t="shared" si="144"/>
        <v>248</v>
      </c>
      <c r="H1053">
        <v>450</v>
      </c>
      <c r="I1053" s="4">
        <f>Full_Data[[#This Row],[Selling Price]]/Full_Data[[#This Row],[Weight (g)]]</f>
        <v>0.55111111111111111</v>
      </c>
      <c r="J1053" t="b">
        <v>1</v>
      </c>
      <c r="K1053">
        <v>450</v>
      </c>
      <c r="L1053">
        <f t="shared" si="145"/>
        <v>27</v>
      </c>
      <c r="M1053" t="str">
        <f t="shared" si="146"/>
        <v>High</v>
      </c>
      <c r="N1053" t="str">
        <f t="shared" si="147"/>
        <v>6-10%</v>
      </c>
      <c r="O1053" t="str">
        <f t="shared" si="148"/>
        <v>OK</v>
      </c>
      <c r="P1053">
        <f>IFERROR(Full_Data!G1053/Full_Data!H1053,"Check data")</f>
        <v>0.55111111111111111</v>
      </c>
      <c r="Q1053" t="str">
        <f t="shared" si="149"/>
        <v>Match</v>
      </c>
      <c r="R1053" t="str">
        <f t="shared" si="150"/>
        <v>Mismatch</v>
      </c>
      <c r="S1053" t="str">
        <f t="shared" si="151"/>
        <v>Mismatch</v>
      </c>
    </row>
    <row r="1054" spans="1:19" x14ac:dyDescent="0.25">
      <c r="A1054" t="s">
        <v>999</v>
      </c>
      <c r="B1054">
        <v>25000</v>
      </c>
      <c r="C1054">
        <f t="shared" si="152"/>
        <v>250</v>
      </c>
      <c r="D1054">
        <v>0</v>
      </c>
      <c r="E1054">
        <v>0</v>
      </c>
      <c r="F1054">
        <v>25000</v>
      </c>
      <c r="G1054">
        <f t="shared" si="144"/>
        <v>250</v>
      </c>
      <c r="H1054">
        <v>450</v>
      </c>
      <c r="I1054" s="4">
        <f>Full_Data[[#This Row],[Selling Price]]/Full_Data[[#This Row],[Weight (g)]]</f>
        <v>0.55555555555555558</v>
      </c>
      <c r="J1054" t="b">
        <v>1</v>
      </c>
      <c r="K1054">
        <v>450</v>
      </c>
      <c r="L1054">
        <f t="shared" si="145"/>
        <v>0</v>
      </c>
      <c r="M1054" t="str">
        <f t="shared" si="146"/>
        <v>High</v>
      </c>
      <c r="N1054" t="str">
        <f t="shared" si="147"/>
        <v>0-5%</v>
      </c>
      <c r="O1054" t="str">
        <f t="shared" si="148"/>
        <v>OK</v>
      </c>
      <c r="P1054">
        <f>IFERROR(Full_Data!G1054/Full_Data!H1054,"Check data")</f>
        <v>0.55555555555555558</v>
      </c>
      <c r="Q1054" t="str">
        <f t="shared" si="149"/>
        <v>Match</v>
      </c>
      <c r="R1054" t="str">
        <f t="shared" si="150"/>
        <v>Match</v>
      </c>
      <c r="S1054" t="str">
        <f t="shared" si="151"/>
        <v>Match</v>
      </c>
    </row>
    <row r="1055" spans="1:19" x14ac:dyDescent="0.25">
      <c r="A1055" t="s">
        <v>1000</v>
      </c>
      <c r="B1055">
        <v>25000</v>
      </c>
      <c r="C1055">
        <f t="shared" si="152"/>
        <v>250</v>
      </c>
      <c r="D1055">
        <v>0</v>
      </c>
      <c r="E1055">
        <v>0</v>
      </c>
      <c r="F1055">
        <v>25000</v>
      </c>
      <c r="G1055">
        <f t="shared" si="144"/>
        <v>250</v>
      </c>
      <c r="H1055">
        <v>450</v>
      </c>
      <c r="I1055" s="4">
        <f>Full_Data[[#This Row],[Selling Price]]/Full_Data[[#This Row],[Weight (g)]]</f>
        <v>0.55555555555555558</v>
      </c>
      <c r="J1055" t="b">
        <v>1</v>
      </c>
      <c r="K1055">
        <v>450</v>
      </c>
      <c r="L1055">
        <f t="shared" si="145"/>
        <v>0</v>
      </c>
      <c r="M1055" t="str">
        <f t="shared" si="146"/>
        <v>High</v>
      </c>
      <c r="N1055" t="str">
        <f t="shared" si="147"/>
        <v>0-5%</v>
      </c>
      <c r="O1055" t="str">
        <f t="shared" si="148"/>
        <v>OK</v>
      </c>
      <c r="P1055">
        <f>IFERROR(Full_Data!G1055/Full_Data!H1055,"Check data")</f>
        <v>0.55555555555555558</v>
      </c>
      <c r="Q1055" t="str">
        <f t="shared" si="149"/>
        <v>Match</v>
      </c>
      <c r="R1055" t="str">
        <f t="shared" si="150"/>
        <v>Match</v>
      </c>
      <c r="S1055" t="str">
        <f t="shared" si="151"/>
        <v>Match</v>
      </c>
    </row>
    <row r="1056" spans="1:19" x14ac:dyDescent="0.25">
      <c r="A1056" t="s">
        <v>1001</v>
      </c>
      <c r="B1056">
        <v>27000</v>
      </c>
      <c r="C1056">
        <f t="shared" si="152"/>
        <v>270</v>
      </c>
      <c r="D1056">
        <v>0</v>
      </c>
      <c r="E1056">
        <v>0</v>
      </c>
      <c r="F1056">
        <v>27000</v>
      </c>
      <c r="G1056">
        <f t="shared" si="144"/>
        <v>270</v>
      </c>
      <c r="H1056">
        <v>500</v>
      </c>
      <c r="I1056" s="4">
        <f>Full_Data[[#This Row],[Selling Price]]/Full_Data[[#This Row],[Weight (g)]]</f>
        <v>0.54</v>
      </c>
      <c r="J1056" t="b">
        <v>1</v>
      </c>
      <c r="K1056">
        <v>500</v>
      </c>
      <c r="L1056">
        <f t="shared" si="145"/>
        <v>0</v>
      </c>
      <c r="M1056" t="str">
        <f t="shared" si="146"/>
        <v>High</v>
      </c>
      <c r="N1056" t="str">
        <f t="shared" si="147"/>
        <v>0-5%</v>
      </c>
      <c r="O1056" t="str">
        <f t="shared" si="148"/>
        <v>OK</v>
      </c>
      <c r="P1056">
        <f>IFERROR(Full_Data!G1056/Full_Data!H1056,"Check data")</f>
        <v>0.54</v>
      </c>
      <c r="Q1056" t="str">
        <f t="shared" si="149"/>
        <v>Match</v>
      </c>
      <c r="R1056" t="str">
        <f t="shared" si="150"/>
        <v>Match</v>
      </c>
      <c r="S1056" t="str">
        <f t="shared" si="151"/>
        <v>Match</v>
      </c>
    </row>
    <row r="1057" spans="1:19" x14ac:dyDescent="0.25">
      <c r="A1057" t="s">
        <v>1002</v>
      </c>
      <c r="B1057">
        <v>1000</v>
      </c>
      <c r="C1057">
        <f t="shared" si="152"/>
        <v>10</v>
      </c>
      <c r="D1057">
        <v>0</v>
      </c>
      <c r="E1057">
        <v>6</v>
      </c>
      <c r="F1057">
        <v>1000</v>
      </c>
      <c r="G1057">
        <f t="shared" si="144"/>
        <v>10</v>
      </c>
      <c r="H1057">
        <v>60</v>
      </c>
      <c r="I1057" s="4">
        <f>Full_Data[[#This Row],[Selling Price]]/Full_Data[[#This Row],[Weight (g)]]</f>
        <v>0.16666666666666666</v>
      </c>
      <c r="J1057" t="b">
        <v>0</v>
      </c>
      <c r="K1057">
        <v>58</v>
      </c>
      <c r="L1057">
        <f t="shared" si="145"/>
        <v>0</v>
      </c>
      <c r="M1057" t="str">
        <f t="shared" si="146"/>
        <v>Low</v>
      </c>
      <c r="N1057" t="str">
        <f t="shared" si="147"/>
        <v>0-5%</v>
      </c>
      <c r="O1057" t="str">
        <f t="shared" si="148"/>
        <v>OK</v>
      </c>
      <c r="P1057">
        <f>IFERROR(Full_Data!G1057/Full_Data!H1057,"Check data")</f>
        <v>0.16666666666666666</v>
      </c>
      <c r="Q1057" t="str">
        <f t="shared" si="149"/>
        <v>Match</v>
      </c>
      <c r="R1057" t="str">
        <f t="shared" si="150"/>
        <v>Match</v>
      </c>
      <c r="S1057" t="str">
        <f t="shared" si="151"/>
        <v>Match</v>
      </c>
    </row>
    <row r="1058" spans="1:19" x14ac:dyDescent="0.25">
      <c r="A1058" t="s">
        <v>1003</v>
      </c>
      <c r="B1058">
        <v>3200</v>
      </c>
      <c r="C1058">
        <f t="shared" si="152"/>
        <v>32</v>
      </c>
      <c r="D1058">
        <v>3</v>
      </c>
      <c r="E1058">
        <v>6</v>
      </c>
      <c r="F1058">
        <v>3100</v>
      </c>
      <c r="G1058">
        <f t="shared" si="144"/>
        <v>31</v>
      </c>
      <c r="H1058">
        <v>120</v>
      </c>
      <c r="I1058" s="4">
        <f>Full_Data[[#This Row],[Selling Price]]/Full_Data[[#This Row],[Weight (g)]]</f>
        <v>0.25833333333333336</v>
      </c>
      <c r="J1058" t="b">
        <v>0</v>
      </c>
      <c r="K1058">
        <v>120</v>
      </c>
      <c r="L1058">
        <f t="shared" si="145"/>
        <v>1</v>
      </c>
      <c r="M1058" t="str">
        <f t="shared" si="146"/>
        <v>Low</v>
      </c>
      <c r="N1058" t="str">
        <f t="shared" si="147"/>
        <v>0-5%</v>
      </c>
      <c r="O1058" t="str">
        <f t="shared" si="148"/>
        <v>OK</v>
      </c>
      <c r="P1058">
        <f>IFERROR(Full_Data!G1058/Full_Data!H1058,"Check data")</f>
        <v>0.25833333333333336</v>
      </c>
      <c r="Q1058" t="str">
        <f t="shared" si="149"/>
        <v>Match</v>
      </c>
      <c r="R1058" t="str">
        <f t="shared" si="150"/>
        <v>Mismatch</v>
      </c>
      <c r="S1058" t="str">
        <f t="shared" si="151"/>
        <v>Match</v>
      </c>
    </row>
    <row r="1059" spans="1:19" x14ac:dyDescent="0.25">
      <c r="A1059" t="s">
        <v>1004</v>
      </c>
      <c r="B1059">
        <v>4500</v>
      </c>
      <c r="C1059">
        <f t="shared" si="152"/>
        <v>45</v>
      </c>
      <c r="D1059">
        <v>51</v>
      </c>
      <c r="E1059">
        <v>4</v>
      </c>
      <c r="F1059">
        <v>2200</v>
      </c>
      <c r="G1059">
        <f t="shared" si="144"/>
        <v>22</v>
      </c>
      <c r="H1059">
        <v>60</v>
      </c>
      <c r="I1059" s="4">
        <f>Full_Data[[#This Row],[Selling Price]]/Full_Data[[#This Row],[Weight (g)]]</f>
        <v>0.36666666666666664</v>
      </c>
      <c r="J1059" t="b">
        <v>0</v>
      </c>
      <c r="K1059">
        <v>75</v>
      </c>
      <c r="L1059">
        <f t="shared" si="145"/>
        <v>23</v>
      </c>
      <c r="M1059" t="str">
        <f t="shared" si="146"/>
        <v>Low</v>
      </c>
      <c r="N1059" t="str">
        <f t="shared" si="147"/>
        <v>21%+</v>
      </c>
      <c r="O1059" t="str">
        <f t="shared" si="148"/>
        <v>OK</v>
      </c>
      <c r="P1059">
        <f>IFERROR(Full_Data!G1059/Full_Data!H1059,"Check data")</f>
        <v>0.36666666666666664</v>
      </c>
      <c r="Q1059" t="str">
        <f t="shared" si="149"/>
        <v>Match</v>
      </c>
      <c r="R1059" t="str">
        <f t="shared" si="150"/>
        <v>Mismatch</v>
      </c>
      <c r="S1059" t="str">
        <f t="shared" si="151"/>
        <v>Match</v>
      </c>
    </row>
    <row r="1060" spans="1:19" x14ac:dyDescent="0.25">
      <c r="A1060" t="s">
        <v>1005</v>
      </c>
      <c r="B1060">
        <v>4500</v>
      </c>
      <c r="C1060">
        <f t="shared" si="152"/>
        <v>45</v>
      </c>
      <c r="D1060">
        <v>0</v>
      </c>
      <c r="E1060">
        <v>1</v>
      </c>
      <c r="F1060">
        <v>4500</v>
      </c>
      <c r="G1060">
        <f t="shared" si="144"/>
        <v>45</v>
      </c>
      <c r="H1060">
        <v>200</v>
      </c>
      <c r="I1060" s="4">
        <f>Full_Data[[#This Row],[Selling Price]]/Full_Data[[#This Row],[Weight (g)]]</f>
        <v>0.22500000000000001</v>
      </c>
      <c r="J1060" t="b">
        <v>0</v>
      </c>
      <c r="K1060">
        <v>150</v>
      </c>
      <c r="L1060">
        <f t="shared" si="145"/>
        <v>0</v>
      </c>
      <c r="M1060" t="str">
        <f t="shared" si="146"/>
        <v>Low</v>
      </c>
      <c r="N1060" t="str">
        <f t="shared" si="147"/>
        <v>0-5%</v>
      </c>
      <c r="O1060" t="str">
        <f t="shared" si="148"/>
        <v>OK</v>
      </c>
      <c r="P1060">
        <f>IFERROR(Full_Data!G1060/Full_Data!H1060,"Check data")</f>
        <v>0.22500000000000001</v>
      </c>
      <c r="Q1060" t="str">
        <f t="shared" si="149"/>
        <v>Match</v>
      </c>
      <c r="R1060" t="str">
        <f t="shared" si="150"/>
        <v>Match</v>
      </c>
      <c r="S1060" t="str">
        <f t="shared" si="151"/>
        <v>Match</v>
      </c>
    </row>
    <row r="1061" spans="1:19" x14ac:dyDescent="0.25">
      <c r="A1061" t="s">
        <v>1006</v>
      </c>
      <c r="B1061">
        <v>12000</v>
      </c>
      <c r="C1061">
        <f t="shared" si="152"/>
        <v>120</v>
      </c>
      <c r="D1061">
        <v>17</v>
      </c>
      <c r="E1061">
        <v>5</v>
      </c>
      <c r="F1061">
        <v>9900</v>
      </c>
      <c r="G1061">
        <f t="shared" si="144"/>
        <v>99</v>
      </c>
      <c r="H1061">
        <v>400</v>
      </c>
      <c r="I1061" s="4">
        <f>Full_Data[[#This Row],[Selling Price]]/Full_Data[[#This Row],[Weight (g)]]</f>
        <v>0.2475</v>
      </c>
      <c r="J1061" t="b">
        <v>0</v>
      </c>
      <c r="K1061">
        <v>400</v>
      </c>
      <c r="L1061">
        <f t="shared" si="145"/>
        <v>21</v>
      </c>
      <c r="M1061" t="str">
        <f t="shared" si="146"/>
        <v>Medium</v>
      </c>
      <c r="N1061" t="str">
        <f t="shared" si="147"/>
        <v>16-20%</v>
      </c>
      <c r="O1061" t="str">
        <f t="shared" si="148"/>
        <v>OK</v>
      </c>
      <c r="P1061">
        <f>IFERROR(Full_Data!G1061/Full_Data!H1061,"Check data")</f>
        <v>0.2475</v>
      </c>
      <c r="Q1061" t="str">
        <f t="shared" si="149"/>
        <v>Match</v>
      </c>
      <c r="R1061" t="str">
        <f t="shared" si="150"/>
        <v>Mismatch</v>
      </c>
      <c r="S1061" t="str">
        <f t="shared" si="151"/>
        <v>Mismatch</v>
      </c>
    </row>
    <row r="1062" spans="1:19" x14ac:dyDescent="0.25">
      <c r="A1062" t="s">
        <v>1007</v>
      </c>
      <c r="B1062">
        <v>4500</v>
      </c>
      <c r="C1062">
        <f t="shared" si="152"/>
        <v>45</v>
      </c>
      <c r="D1062">
        <v>2</v>
      </c>
      <c r="E1062">
        <v>1</v>
      </c>
      <c r="F1062">
        <v>4400</v>
      </c>
      <c r="G1062">
        <f t="shared" si="144"/>
        <v>44</v>
      </c>
      <c r="H1062">
        <v>200</v>
      </c>
      <c r="I1062" s="4">
        <f>Full_Data[[#This Row],[Selling Price]]/Full_Data[[#This Row],[Weight (g)]]</f>
        <v>0.22</v>
      </c>
      <c r="J1062" t="b">
        <v>0</v>
      </c>
      <c r="K1062">
        <v>200</v>
      </c>
      <c r="L1062">
        <f t="shared" si="145"/>
        <v>1</v>
      </c>
      <c r="M1062" t="str">
        <f t="shared" si="146"/>
        <v>Low</v>
      </c>
      <c r="N1062" t="str">
        <f t="shared" si="147"/>
        <v>0-5%</v>
      </c>
      <c r="O1062" t="str">
        <f t="shared" si="148"/>
        <v>OK</v>
      </c>
      <c r="P1062">
        <f>IFERROR(Full_Data!G1062/Full_Data!H1062,"Check data")</f>
        <v>0.22</v>
      </c>
      <c r="Q1062" t="str">
        <f t="shared" si="149"/>
        <v>Match</v>
      </c>
      <c r="R1062" t="str">
        <f t="shared" si="150"/>
        <v>Mismatch</v>
      </c>
      <c r="S1062" t="str">
        <f t="shared" si="151"/>
        <v>Match</v>
      </c>
    </row>
    <row r="1063" spans="1:19" x14ac:dyDescent="0.25">
      <c r="A1063" t="s">
        <v>1008</v>
      </c>
      <c r="B1063">
        <v>3000</v>
      </c>
      <c r="C1063">
        <f t="shared" si="152"/>
        <v>30</v>
      </c>
      <c r="D1063">
        <v>0</v>
      </c>
      <c r="E1063">
        <v>5</v>
      </c>
      <c r="F1063">
        <v>3000</v>
      </c>
      <c r="G1063">
        <f t="shared" si="144"/>
        <v>30</v>
      </c>
      <c r="H1063">
        <v>75</v>
      </c>
      <c r="I1063" s="4">
        <f>Full_Data[[#This Row],[Selling Price]]/Full_Data[[#This Row],[Weight (g)]]</f>
        <v>0.4</v>
      </c>
      <c r="J1063" t="b">
        <v>0</v>
      </c>
      <c r="K1063">
        <v>75</v>
      </c>
      <c r="L1063">
        <f t="shared" si="145"/>
        <v>0</v>
      </c>
      <c r="M1063" t="str">
        <f t="shared" si="146"/>
        <v>Low</v>
      </c>
      <c r="N1063" t="str">
        <f t="shared" si="147"/>
        <v>0-5%</v>
      </c>
      <c r="O1063" t="str">
        <f t="shared" si="148"/>
        <v>OK</v>
      </c>
      <c r="P1063">
        <f>IFERROR(Full_Data!G1063/Full_Data!H1063,"Check data")</f>
        <v>0.4</v>
      </c>
      <c r="Q1063" t="str">
        <f t="shared" si="149"/>
        <v>Match</v>
      </c>
      <c r="R1063" t="str">
        <f t="shared" si="150"/>
        <v>Match</v>
      </c>
      <c r="S1063" t="str">
        <f t="shared" si="151"/>
        <v>Match</v>
      </c>
    </row>
    <row r="1064" spans="1:19" x14ac:dyDescent="0.25">
      <c r="A1064" t="s">
        <v>1009</v>
      </c>
      <c r="B1064">
        <v>15000</v>
      </c>
      <c r="C1064">
        <f t="shared" si="152"/>
        <v>150</v>
      </c>
      <c r="D1064">
        <v>50</v>
      </c>
      <c r="E1064">
        <v>3</v>
      </c>
      <c r="F1064">
        <v>7500</v>
      </c>
      <c r="G1064">
        <f t="shared" si="144"/>
        <v>75</v>
      </c>
      <c r="H1064">
        <v>250</v>
      </c>
      <c r="I1064" s="4">
        <f>Full_Data[[#This Row],[Selling Price]]/Full_Data[[#This Row],[Weight (g)]]</f>
        <v>0.3</v>
      </c>
      <c r="J1064" t="b">
        <v>0</v>
      </c>
      <c r="K1064">
        <v>250</v>
      </c>
      <c r="L1064">
        <f t="shared" si="145"/>
        <v>75</v>
      </c>
      <c r="M1064" t="str">
        <f t="shared" si="146"/>
        <v>Medium</v>
      </c>
      <c r="N1064" t="str">
        <f t="shared" si="147"/>
        <v>21%+</v>
      </c>
      <c r="O1064" t="str">
        <f t="shared" si="148"/>
        <v>OK</v>
      </c>
      <c r="P1064">
        <f>IFERROR(Full_Data!G1064/Full_Data!H1064,"Check data")</f>
        <v>0.3</v>
      </c>
      <c r="Q1064" t="str">
        <f t="shared" si="149"/>
        <v>Match</v>
      </c>
      <c r="R1064" t="str">
        <f t="shared" si="150"/>
        <v>Match</v>
      </c>
      <c r="S1064" t="str">
        <f t="shared" si="151"/>
        <v>Match</v>
      </c>
    </row>
    <row r="1065" spans="1:19" x14ac:dyDescent="0.25">
      <c r="A1065" t="s">
        <v>1010</v>
      </c>
      <c r="B1065">
        <v>7000</v>
      </c>
      <c r="C1065">
        <f t="shared" si="152"/>
        <v>70</v>
      </c>
      <c r="D1065">
        <v>0</v>
      </c>
      <c r="E1065">
        <v>4</v>
      </c>
      <c r="F1065">
        <v>7000</v>
      </c>
      <c r="G1065">
        <f t="shared" si="144"/>
        <v>70</v>
      </c>
      <c r="H1065">
        <v>400</v>
      </c>
      <c r="I1065" s="4">
        <f>Full_Data[[#This Row],[Selling Price]]/Full_Data[[#This Row],[Weight (g)]]</f>
        <v>0.17499999999999999</v>
      </c>
      <c r="J1065" t="b">
        <v>0</v>
      </c>
      <c r="K1065">
        <v>400</v>
      </c>
      <c r="L1065">
        <f t="shared" si="145"/>
        <v>0</v>
      </c>
      <c r="M1065" t="str">
        <f t="shared" si="146"/>
        <v>Medium</v>
      </c>
      <c r="N1065" t="str">
        <f t="shared" si="147"/>
        <v>0-5%</v>
      </c>
      <c r="O1065" t="str">
        <f t="shared" si="148"/>
        <v>OK</v>
      </c>
      <c r="P1065">
        <f>IFERROR(Full_Data!G1065/Full_Data!H1065,"Check data")</f>
        <v>0.17499999999999999</v>
      </c>
      <c r="Q1065" t="str">
        <f t="shared" si="149"/>
        <v>Match</v>
      </c>
      <c r="R1065" t="str">
        <f t="shared" si="150"/>
        <v>Match</v>
      </c>
      <c r="S1065" t="str">
        <f t="shared" si="151"/>
        <v>Match</v>
      </c>
    </row>
    <row r="1066" spans="1:19" x14ac:dyDescent="0.25">
      <c r="A1066" t="s">
        <v>1011</v>
      </c>
      <c r="B1066">
        <v>4500</v>
      </c>
      <c r="C1066">
        <f t="shared" si="152"/>
        <v>45</v>
      </c>
      <c r="D1066">
        <v>51</v>
      </c>
      <c r="E1066">
        <v>5</v>
      </c>
      <c r="F1066">
        <v>2200</v>
      </c>
      <c r="G1066">
        <f t="shared" si="144"/>
        <v>22</v>
      </c>
      <c r="H1066">
        <v>60</v>
      </c>
      <c r="I1066" s="4">
        <f>Full_Data[[#This Row],[Selling Price]]/Full_Data[[#This Row],[Weight (g)]]</f>
        <v>0.36666666666666664</v>
      </c>
      <c r="J1066" t="b">
        <v>0</v>
      </c>
      <c r="K1066">
        <v>75</v>
      </c>
      <c r="L1066">
        <f t="shared" si="145"/>
        <v>23</v>
      </c>
      <c r="M1066" t="str">
        <f t="shared" si="146"/>
        <v>Low</v>
      </c>
      <c r="N1066" t="str">
        <f t="shared" si="147"/>
        <v>21%+</v>
      </c>
      <c r="O1066" t="str">
        <f t="shared" si="148"/>
        <v>OK</v>
      </c>
      <c r="P1066">
        <f>IFERROR(Full_Data!G1066/Full_Data!H1066,"Check data")</f>
        <v>0.36666666666666664</v>
      </c>
      <c r="Q1066" t="str">
        <f t="shared" si="149"/>
        <v>Match</v>
      </c>
      <c r="R1066" t="str">
        <f t="shared" si="150"/>
        <v>Mismatch</v>
      </c>
      <c r="S1066" t="str">
        <f t="shared" si="151"/>
        <v>Match</v>
      </c>
    </row>
    <row r="1067" spans="1:19" x14ac:dyDescent="0.25">
      <c r="A1067" t="s">
        <v>1007</v>
      </c>
      <c r="B1067">
        <v>2000</v>
      </c>
      <c r="C1067">
        <f t="shared" si="152"/>
        <v>20</v>
      </c>
      <c r="D1067">
        <v>0</v>
      </c>
      <c r="E1067">
        <v>6</v>
      </c>
      <c r="F1067">
        <v>2000</v>
      </c>
      <c r="G1067">
        <f t="shared" si="144"/>
        <v>20</v>
      </c>
      <c r="H1067">
        <v>100</v>
      </c>
      <c r="I1067" s="4">
        <f>Full_Data[[#This Row],[Selling Price]]/Full_Data[[#This Row],[Weight (g)]]</f>
        <v>0.2</v>
      </c>
      <c r="J1067" t="b">
        <v>0</v>
      </c>
      <c r="K1067">
        <v>100</v>
      </c>
      <c r="L1067">
        <f t="shared" si="145"/>
        <v>0</v>
      </c>
      <c r="M1067" t="str">
        <f t="shared" si="146"/>
        <v>Low</v>
      </c>
      <c r="N1067" t="str">
        <f t="shared" si="147"/>
        <v>0-5%</v>
      </c>
      <c r="O1067" t="str">
        <f t="shared" si="148"/>
        <v>OK</v>
      </c>
      <c r="P1067">
        <f>IFERROR(Full_Data!G1067/Full_Data!H1067,"Check data")</f>
        <v>0.2</v>
      </c>
      <c r="Q1067" t="str">
        <f t="shared" si="149"/>
        <v>Match</v>
      </c>
      <c r="R1067" t="str">
        <f t="shared" si="150"/>
        <v>Match</v>
      </c>
      <c r="S1067" t="str">
        <f t="shared" si="151"/>
        <v>Match</v>
      </c>
    </row>
    <row r="1068" spans="1:19" x14ac:dyDescent="0.25">
      <c r="A1068" t="s">
        <v>1012</v>
      </c>
      <c r="B1068">
        <v>2000</v>
      </c>
      <c r="C1068">
        <f t="shared" si="152"/>
        <v>20</v>
      </c>
      <c r="D1068">
        <v>0</v>
      </c>
      <c r="E1068">
        <v>3</v>
      </c>
      <c r="F1068">
        <v>2000</v>
      </c>
      <c r="G1068">
        <f t="shared" si="144"/>
        <v>20</v>
      </c>
      <c r="H1068">
        <v>200</v>
      </c>
      <c r="I1068" s="4">
        <f>Full_Data[[#This Row],[Selling Price]]/Full_Data[[#This Row],[Weight (g)]]</f>
        <v>0.1</v>
      </c>
      <c r="J1068" t="b">
        <v>0</v>
      </c>
      <c r="K1068">
        <v>200</v>
      </c>
      <c r="L1068">
        <f t="shared" si="145"/>
        <v>0</v>
      </c>
      <c r="M1068" t="str">
        <f t="shared" si="146"/>
        <v>Low</v>
      </c>
      <c r="N1068" t="str">
        <f t="shared" si="147"/>
        <v>0-5%</v>
      </c>
      <c r="O1068" t="str">
        <f t="shared" si="148"/>
        <v>OK</v>
      </c>
      <c r="P1068">
        <f>IFERROR(Full_Data!G1068/Full_Data!H1068,"Check data")</f>
        <v>0.1</v>
      </c>
      <c r="Q1068" t="str">
        <f t="shared" si="149"/>
        <v>Match</v>
      </c>
      <c r="R1068" t="str">
        <f t="shared" si="150"/>
        <v>Match</v>
      </c>
      <c r="S1068" t="str">
        <f t="shared" si="151"/>
        <v>Match</v>
      </c>
    </row>
    <row r="1069" spans="1:19" x14ac:dyDescent="0.25">
      <c r="A1069" t="s">
        <v>1013</v>
      </c>
      <c r="B1069">
        <v>6500</v>
      </c>
      <c r="C1069">
        <f t="shared" si="152"/>
        <v>65</v>
      </c>
      <c r="D1069">
        <v>0</v>
      </c>
      <c r="E1069">
        <v>6</v>
      </c>
      <c r="F1069">
        <v>6500</v>
      </c>
      <c r="G1069">
        <f t="shared" si="144"/>
        <v>65</v>
      </c>
      <c r="H1069">
        <v>400</v>
      </c>
      <c r="I1069" s="4">
        <f>Full_Data[[#This Row],[Selling Price]]/Full_Data[[#This Row],[Weight (g)]]</f>
        <v>0.16250000000000001</v>
      </c>
      <c r="J1069" t="b">
        <v>0</v>
      </c>
      <c r="K1069">
        <v>400</v>
      </c>
      <c r="L1069">
        <f t="shared" si="145"/>
        <v>0</v>
      </c>
      <c r="M1069" t="str">
        <f t="shared" si="146"/>
        <v>Medium</v>
      </c>
      <c r="N1069" t="str">
        <f t="shared" si="147"/>
        <v>0-5%</v>
      </c>
      <c r="O1069" t="str">
        <f t="shared" si="148"/>
        <v>OK</v>
      </c>
      <c r="P1069">
        <f>IFERROR(Full_Data!G1069/Full_Data!H1069,"Check data")</f>
        <v>0.16250000000000001</v>
      </c>
      <c r="Q1069" t="str">
        <f t="shared" si="149"/>
        <v>Match</v>
      </c>
      <c r="R1069" t="str">
        <f t="shared" si="150"/>
        <v>Match</v>
      </c>
      <c r="S1069" t="str">
        <f t="shared" si="151"/>
        <v>Match</v>
      </c>
    </row>
    <row r="1070" spans="1:19" x14ac:dyDescent="0.25">
      <c r="A1070" t="s">
        <v>1014</v>
      </c>
      <c r="B1070">
        <v>4500</v>
      </c>
      <c r="C1070">
        <f t="shared" si="152"/>
        <v>45</v>
      </c>
      <c r="D1070">
        <v>51</v>
      </c>
      <c r="E1070">
        <v>2</v>
      </c>
      <c r="F1070">
        <v>2200</v>
      </c>
      <c r="G1070">
        <f t="shared" si="144"/>
        <v>22</v>
      </c>
      <c r="H1070">
        <v>60</v>
      </c>
      <c r="I1070" s="4">
        <f>Full_Data[[#This Row],[Selling Price]]/Full_Data[[#This Row],[Weight (g)]]</f>
        <v>0.36666666666666664</v>
      </c>
      <c r="J1070" t="b">
        <v>0</v>
      </c>
      <c r="K1070">
        <v>75</v>
      </c>
      <c r="L1070">
        <f t="shared" si="145"/>
        <v>23</v>
      </c>
      <c r="M1070" t="str">
        <f t="shared" si="146"/>
        <v>Low</v>
      </c>
      <c r="N1070" t="str">
        <f t="shared" si="147"/>
        <v>21%+</v>
      </c>
      <c r="O1070" t="str">
        <f t="shared" si="148"/>
        <v>OK</v>
      </c>
      <c r="P1070">
        <f>IFERROR(Full_Data!G1070/Full_Data!H1070,"Check data")</f>
        <v>0.36666666666666664</v>
      </c>
      <c r="Q1070" t="str">
        <f t="shared" si="149"/>
        <v>Match</v>
      </c>
      <c r="R1070" t="str">
        <f t="shared" si="150"/>
        <v>Mismatch</v>
      </c>
      <c r="S1070" t="str">
        <f t="shared" si="151"/>
        <v>Match</v>
      </c>
    </row>
    <row r="1071" spans="1:19" x14ac:dyDescent="0.25">
      <c r="A1071" t="s">
        <v>1015</v>
      </c>
      <c r="B1071">
        <v>3500</v>
      </c>
      <c r="C1071">
        <f t="shared" si="152"/>
        <v>35</v>
      </c>
      <c r="D1071">
        <v>0</v>
      </c>
      <c r="E1071">
        <v>3</v>
      </c>
      <c r="F1071">
        <v>3500</v>
      </c>
      <c r="G1071">
        <f t="shared" si="144"/>
        <v>35</v>
      </c>
      <c r="H1071">
        <v>182</v>
      </c>
      <c r="I1071" s="4">
        <f>Full_Data[[#This Row],[Selling Price]]/Full_Data[[#This Row],[Weight (g)]]</f>
        <v>0.19230769230769232</v>
      </c>
      <c r="J1071" t="b">
        <v>0</v>
      </c>
      <c r="K1071">
        <v>182</v>
      </c>
      <c r="L1071">
        <f t="shared" si="145"/>
        <v>0</v>
      </c>
      <c r="M1071" t="str">
        <f t="shared" si="146"/>
        <v>Low</v>
      </c>
      <c r="N1071" t="str">
        <f t="shared" si="147"/>
        <v>0-5%</v>
      </c>
      <c r="O1071" t="str">
        <f t="shared" si="148"/>
        <v>OK</v>
      </c>
      <c r="P1071">
        <f>IFERROR(Full_Data!G1071/Full_Data!H1071,"Check data")</f>
        <v>0.19230769230769232</v>
      </c>
      <c r="Q1071" t="str">
        <f t="shared" si="149"/>
        <v>Match</v>
      </c>
      <c r="R1071" t="str">
        <f t="shared" si="150"/>
        <v>Match</v>
      </c>
      <c r="S1071" t="str">
        <f t="shared" si="151"/>
        <v>Match</v>
      </c>
    </row>
    <row r="1072" spans="1:19" x14ac:dyDescent="0.25">
      <c r="A1072" t="s">
        <v>1016</v>
      </c>
      <c r="B1072">
        <v>8000</v>
      </c>
      <c r="C1072">
        <f t="shared" si="152"/>
        <v>80</v>
      </c>
      <c r="D1072">
        <v>10</v>
      </c>
      <c r="E1072">
        <v>3</v>
      </c>
      <c r="F1072">
        <v>7200</v>
      </c>
      <c r="G1072">
        <f t="shared" si="144"/>
        <v>72</v>
      </c>
      <c r="H1072">
        <v>168</v>
      </c>
      <c r="I1072" s="4">
        <f>Full_Data[[#This Row],[Selling Price]]/Full_Data[[#This Row],[Weight (g)]]</f>
        <v>0.42857142857142855</v>
      </c>
      <c r="J1072" t="b">
        <v>0</v>
      </c>
      <c r="K1072">
        <v>168</v>
      </c>
      <c r="L1072">
        <f t="shared" si="145"/>
        <v>8</v>
      </c>
      <c r="M1072" t="str">
        <f t="shared" si="146"/>
        <v>Medium</v>
      </c>
      <c r="N1072" t="str">
        <f t="shared" si="147"/>
        <v>6-10%</v>
      </c>
      <c r="O1072" t="str">
        <f t="shared" si="148"/>
        <v>OK</v>
      </c>
      <c r="P1072">
        <f>IFERROR(Full_Data!G1072/Full_Data!H1072,"Check data")</f>
        <v>0.42857142857142855</v>
      </c>
      <c r="Q1072" t="str">
        <f t="shared" si="149"/>
        <v>Match</v>
      </c>
      <c r="R1072" t="str">
        <f t="shared" si="150"/>
        <v>Match</v>
      </c>
      <c r="S1072" t="str">
        <f t="shared" si="151"/>
        <v>Match</v>
      </c>
    </row>
    <row r="1073" spans="1:19" x14ac:dyDescent="0.25">
      <c r="A1073" t="s">
        <v>1017</v>
      </c>
      <c r="B1073">
        <v>1500</v>
      </c>
      <c r="C1073">
        <f t="shared" si="152"/>
        <v>15</v>
      </c>
      <c r="D1073">
        <v>0</v>
      </c>
      <c r="E1073">
        <v>2</v>
      </c>
      <c r="F1073">
        <v>1500</v>
      </c>
      <c r="G1073">
        <f t="shared" si="144"/>
        <v>15</v>
      </c>
      <c r="H1073">
        <v>45</v>
      </c>
      <c r="I1073" s="4">
        <f>Full_Data[[#This Row],[Selling Price]]/Full_Data[[#This Row],[Weight (g)]]</f>
        <v>0.33333333333333331</v>
      </c>
      <c r="J1073" t="b">
        <v>0</v>
      </c>
      <c r="K1073">
        <v>45</v>
      </c>
      <c r="L1073">
        <f t="shared" si="145"/>
        <v>0</v>
      </c>
      <c r="M1073" t="str">
        <f t="shared" si="146"/>
        <v>Low</v>
      </c>
      <c r="N1073" t="str">
        <f t="shared" si="147"/>
        <v>0-5%</v>
      </c>
      <c r="O1073" t="str">
        <f t="shared" si="148"/>
        <v>OK</v>
      </c>
      <c r="P1073">
        <f>IFERROR(Full_Data!G1073/Full_Data!H1073,"Check data")</f>
        <v>0.33333333333333331</v>
      </c>
      <c r="Q1073" t="str">
        <f t="shared" si="149"/>
        <v>Match</v>
      </c>
      <c r="R1073" t="str">
        <f t="shared" si="150"/>
        <v>Match</v>
      </c>
      <c r="S1073" t="str">
        <f t="shared" si="151"/>
        <v>Match</v>
      </c>
    </row>
    <row r="1074" spans="1:19" x14ac:dyDescent="0.25">
      <c r="A1074" t="s">
        <v>1018</v>
      </c>
      <c r="B1074">
        <v>15000</v>
      </c>
      <c r="C1074">
        <f t="shared" si="152"/>
        <v>150</v>
      </c>
      <c r="D1074">
        <v>15</v>
      </c>
      <c r="E1074">
        <v>3</v>
      </c>
      <c r="F1074">
        <v>12700</v>
      </c>
      <c r="G1074">
        <f t="shared" si="144"/>
        <v>127</v>
      </c>
      <c r="H1074">
        <v>300</v>
      </c>
      <c r="I1074" s="4">
        <f>Full_Data[[#This Row],[Selling Price]]/Full_Data[[#This Row],[Weight (g)]]</f>
        <v>0.42333333333333334</v>
      </c>
      <c r="J1074" t="b">
        <v>0</v>
      </c>
      <c r="K1074">
        <v>300</v>
      </c>
      <c r="L1074">
        <f t="shared" si="145"/>
        <v>23</v>
      </c>
      <c r="M1074" t="str">
        <f t="shared" si="146"/>
        <v>Medium</v>
      </c>
      <c r="N1074" t="str">
        <f t="shared" si="147"/>
        <v>11-15%</v>
      </c>
      <c r="O1074" t="str">
        <f t="shared" si="148"/>
        <v>OK</v>
      </c>
      <c r="P1074">
        <f>IFERROR(Full_Data!G1074/Full_Data!H1074,"Check data")</f>
        <v>0.42333333333333334</v>
      </c>
      <c r="Q1074" t="str">
        <f t="shared" si="149"/>
        <v>Match</v>
      </c>
      <c r="R1074" t="str">
        <f t="shared" si="150"/>
        <v>Mismatch</v>
      </c>
      <c r="S1074" t="str">
        <f t="shared" si="151"/>
        <v>Match</v>
      </c>
    </row>
    <row r="1075" spans="1:19" x14ac:dyDescent="0.25">
      <c r="A1075" t="s">
        <v>1019</v>
      </c>
      <c r="B1075">
        <v>7500</v>
      </c>
      <c r="C1075">
        <f t="shared" si="152"/>
        <v>75</v>
      </c>
      <c r="D1075">
        <v>10</v>
      </c>
      <c r="E1075">
        <v>6</v>
      </c>
      <c r="F1075">
        <v>6750</v>
      </c>
      <c r="G1075">
        <f t="shared" si="144"/>
        <v>67.5</v>
      </c>
      <c r="H1075">
        <v>300</v>
      </c>
      <c r="I1075" s="4">
        <f>Full_Data[[#This Row],[Selling Price]]/Full_Data[[#This Row],[Weight (g)]]</f>
        <v>0.22500000000000001</v>
      </c>
      <c r="J1075" t="b">
        <v>0</v>
      </c>
      <c r="K1075">
        <v>300</v>
      </c>
      <c r="L1075">
        <f t="shared" si="145"/>
        <v>7.5</v>
      </c>
      <c r="M1075" t="str">
        <f t="shared" si="146"/>
        <v>Medium</v>
      </c>
      <c r="N1075" t="str">
        <f t="shared" si="147"/>
        <v>6-10%</v>
      </c>
      <c r="O1075" t="str">
        <f t="shared" si="148"/>
        <v>OK</v>
      </c>
      <c r="P1075">
        <f>IFERROR(Full_Data!G1075/Full_Data!H1075,"Check data")</f>
        <v>0.22500000000000001</v>
      </c>
      <c r="Q1075" t="str">
        <f t="shared" si="149"/>
        <v>Match</v>
      </c>
      <c r="R1075" t="str">
        <f t="shared" si="150"/>
        <v>Match</v>
      </c>
      <c r="S1075" t="str">
        <f t="shared" si="151"/>
        <v>Match</v>
      </c>
    </row>
    <row r="1076" spans="1:19" x14ac:dyDescent="0.25">
      <c r="A1076" t="s">
        <v>1020</v>
      </c>
      <c r="B1076">
        <v>2500</v>
      </c>
      <c r="C1076">
        <f t="shared" si="152"/>
        <v>25</v>
      </c>
      <c r="D1076">
        <v>0</v>
      </c>
      <c r="E1076">
        <v>4</v>
      </c>
      <c r="F1076">
        <v>2500</v>
      </c>
      <c r="G1076">
        <f t="shared" si="144"/>
        <v>25</v>
      </c>
      <c r="H1076">
        <v>200</v>
      </c>
      <c r="I1076" s="4">
        <f>Full_Data[[#This Row],[Selling Price]]/Full_Data[[#This Row],[Weight (g)]]</f>
        <v>0.125</v>
      </c>
      <c r="J1076" t="b">
        <v>0</v>
      </c>
      <c r="K1076">
        <v>200</v>
      </c>
      <c r="L1076">
        <f t="shared" si="145"/>
        <v>0</v>
      </c>
      <c r="M1076" t="str">
        <f t="shared" si="146"/>
        <v>Low</v>
      </c>
      <c r="N1076" t="str">
        <f t="shared" si="147"/>
        <v>0-5%</v>
      </c>
      <c r="O1076" t="str">
        <f t="shared" si="148"/>
        <v>OK</v>
      </c>
      <c r="P1076">
        <f>IFERROR(Full_Data!G1076/Full_Data!H1076,"Check data")</f>
        <v>0.125</v>
      </c>
      <c r="Q1076" t="str">
        <f t="shared" si="149"/>
        <v>Match</v>
      </c>
      <c r="R1076" t="str">
        <f t="shared" si="150"/>
        <v>Match</v>
      </c>
      <c r="S1076" t="str">
        <f t="shared" si="151"/>
        <v>Match</v>
      </c>
    </row>
    <row r="1077" spans="1:19" x14ac:dyDescent="0.25">
      <c r="A1077" t="s">
        <v>1021</v>
      </c>
      <c r="B1077">
        <v>5000</v>
      </c>
      <c r="C1077">
        <f t="shared" si="152"/>
        <v>50</v>
      </c>
      <c r="D1077">
        <v>15</v>
      </c>
      <c r="E1077">
        <v>6</v>
      </c>
      <c r="F1077">
        <v>4250</v>
      </c>
      <c r="G1077">
        <f t="shared" si="144"/>
        <v>42.5</v>
      </c>
      <c r="H1077">
        <v>120</v>
      </c>
      <c r="I1077" s="4">
        <f>Full_Data[[#This Row],[Selling Price]]/Full_Data[[#This Row],[Weight (g)]]</f>
        <v>0.35416666666666669</v>
      </c>
      <c r="J1077" t="b">
        <v>0</v>
      </c>
      <c r="K1077">
        <v>120</v>
      </c>
      <c r="L1077">
        <f t="shared" si="145"/>
        <v>7.5</v>
      </c>
      <c r="M1077" t="str">
        <f t="shared" si="146"/>
        <v>Low</v>
      </c>
      <c r="N1077" t="str">
        <f t="shared" si="147"/>
        <v>11-15%</v>
      </c>
      <c r="O1077" t="str">
        <f t="shared" si="148"/>
        <v>OK</v>
      </c>
      <c r="P1077">
        <f>IFERROR(Full_Data!G1077/Full_Data!H1077,"Check data")</f>
        <v>0.35416666666666669</v>
      </c>
      <c r="Q1077" t="str">
        <f t="shared" si="149"/>
        <v>Match</v>
      </c>
      <c r="R1077" t="str">
        <f t="shared" si="150"/>
        <v>Match</v>
      </c>
      <c r="S1077" t="str">
        <f t="shared" si="151"/>
        <v>Match</v>
      </c>
    </row>
    <row r="1078" spans="1:19" x14ac:dyDescent="0.25">
      <c r="A1078" t="s">
        <v>1022</v>
      </c>
      <c r="B1078">
        <v>2300</v>
      </c>
      <c r="C1078">
        <f t="shared" si="152"/>
        <v>23</v>
      </c>
      <c r="D1078">
        <v>13</v>
      </c>
      <c r="E1078">
        <v>1</v>
      </c>
      <c r="F1078">
        <v>2000</v>
      </c>
      <c r="G1078">
        <f t="shared" si="144"/>
        <v>20</v>
      </c>
      <c r="H1078">
        <v>200</v>
      </c>
      <c r="I1078" s="4">
        <f>Full_Data[[#This Row],[Selling Price]]/Full_Data[[#This Row],[Weight (g)]]</f>
        <v>0.1</v>
      </c>
      <c r="J1078" t="b">
        <v>0</v>
      </c>
      <c r="K1078">
        <v>200</v>
      </c>
      <c r="L1078">
        <f t="shared" si="145"/>
        <v>3</v>
      </c>
      <c r="M1078" t="str">
        <f t="shared" si="146"/>
        <v>Low</v>
      </c>
      <c r="N1078" t="str">
        <f t="shared" si="147"/>
        <v>11-15%</v>
      </c>
      <c r="O1078" t="str">
        <f t="shared" si="148"/>
        <v>OK</v>
      </c>
      <c r="P1078">
        <f>IFERROR(Full_Data!G1078/Full_Data!H1078,"Check data")</f>
        <v>0.1</v>
      </c>
      <c r="Q1078" t="str">
        <f t="shared" si="149"/>
        <v>Match</v>
      </c>
      <c r="R1078" t="str">
        <f t="shared" si="150"/>
        <v>Mismatch</v>
      </c>
      <c r="S1078" t="str">
        <f t="shared" si="151"/>
        <v>Match</v>
      </c>
    </row>
    <row r="1079" spans="1:19" x14ac:dyDescent="0.25">
      <c r="A1079" t="s">
        <v>1023</v>
      </c>
      <c r="B1079">
        <v>8000</v>
      </c>
      <c r="C1079">
        <f t="shared" si="152"/>
        <v>80</v>
      </c>
      <c r="D1079">
        <v>10</v>
      </c>
      <c r="E1079">
        <v>2</v>
      </c>
      <c r="F1079">
        <v>7200</v>
      </c>
      <c r="G1079">
        <f t="shared" si="144"/>
        <v>72</v>
      </c>
      <c r="H1079">
        <v>500</v>
      </c>
      <c r="I1079" s="4">
        <f>Full_Data[[#This Row],[Selling Price]]/Full_Data[[#This Row],[Weight (g)]]</f>
        <v>0.14399999999999999</v>
      </c>
      <c r="J1079" t="b">
        <v>0</v>
      </c>
      <c r="K1079">
        <v>500</v>
      </c>
      <c r="L1079">
        <f t="shared" si="145"/>
        <v>8</v>
      </c>
      <c r="M1079" t="str">
        <f t="shared" si="146"/>
        <v>Medium</v>
      </c>
      <c r="N1079" t="str">
        <f t="shared" si="147"/>
        <v>6-10%</v>
      </c>
      <c r="O1079" t="str">
        <f t="shared" si="148"/>
        <v>OK</v>
      </c>
      <c r="P1079">
        <f>IFERROR(Full_Data!G1079/Full_Data!H1079,"Check data")</f>
        <v>0.14399999999999999</v>
      </c>
      <c r="Q1079" t="str">
        <f t="shared" si="149"/>
        <v>Match</v>
      </c>
      <c r="R1079" t="str">
        <f t="shared" si="150"/>
        <v>Match</v>
      </c>
      <c r="S1079" t="str">
        <f t="shared" si="151"/>
        <v>Match</v>
      </c>
    </row>
    <row r="1080" spans="1:19" x14ac:dyDescent="0.25">
      <c r="A1080" t="s">
        <v>1024</v>
      </c>
      <c r="B1080">
        <v>6500</v>
      </c>
      <c r="C1080">
        <f t="shared" si="152"/>
        <v>65</v>
      </c>
      <c r="D1080">
        <v>6</v>
      </c>
      <c r="E1080">
        <v>5</v>
      </c>
      <c r="F1080">
        <v>6100</v>
      </c>
      <c r="G1080">
        <f t="shared" si="144"/>
        <v>61</v>
      </c>
      <c r="H1080">
        <v>200</v>
      </c>
      <c r="I1080" s="4">
        <f>Full_Data[[#This Row],[Selling Price]]/Full_Data[[#This Row],[Weight (g)]]</f>
        <v>0.30499999999999999</v>
      </c>
      <c r="J1080" t="b">
        <v>0</v>
      </c>
      <c r="K1080">
        <v>200</v>
      </c>
      <c r="L1080">
        <f t="shared" si="145"/>
        <v>4</v>
      </c>
      <c r="M1080" t="str">
        <f t="shared" si="146"/>
        <v>Medium</v>
      </c>
      <c r="N1080" t="str">
        <f t="shared" si="147"/>
        <v>6-10%</v>
      </c>
      <c r="O1080" t="str">
        <f t="shared" si="148"/>
        <v>OK</v>
      </c>
      <c r="P1080">
        <f>IFERROR(Full_Data!G1080/Full_Data!H1080,"Check data")</f>
        <v>0.30499999999999999</v>
      </c>
      <c r="Q1080" t="str">
        <f t="shared" si="149"/>
        <v>Match</v>
      </c>
      <c r="R1080" t="str">
        <f t="shared" si="150"/>
        <v>Mismatch</v>
      </c>
      <c r="S1080" t="str">
        <f t="shared" si="151"/>
        <v>Match</v>
      </c>
    </row>
    <row r="1081" spans="1:19" x14ac:dyDescent="0.25">
      <c r="A1081" t="s">
        <v>1025</v>
      </c>
      <c r="B1081">
        <v>2500</v>
      </c>
      <c r="C1081">
        <f t="shared" si="152"/>
        <v>25</v>
      </c>
      <c r="D1081">
        <v>10</v>
      </c>
      <c r="E1081">
        <v>6</v>
      </c>
      <c r="F1081">
        <v>2250</v>
      </c>
      <c r="G1081">
        <f t="shared" si="144"/>
        <v>22.5</v>
      </c>
      <c r="H1081">
        <v>75</v>
      </c>
      <c r="I1081" s="4">
        <f>Full_Data[[#This Row],[Selling Price]]/Full_Data[[#This Row],[Weight (g)]]</f>
        <v>0.3</v>
      </c>
      <c r="J1081" t="b">
        <v>0</v>
      </c>
      <c r="K1081">
        <v>75</v>
      </c>
      <c r="L1081">
        <f t="shared" si="145"/>
        <v>2.5</v>
      </c>
      <c r="M1081" t="str">
        <f t="shared" si="146"/>
        <v>Low</v>
      </c>
      <c r="N1081" t="str">
        <f t="shared" si="147"/>
        <v>6-10%</v>
      </c>
      <c r="O1081" t="str">
        <f t="shared" si="148"/>
        <v>OK</v>
      </c>
      <c r="P1081">
        <f>IFERROR(Full_Data!G1081/Full_Data!H1081,"Check data")</f>
        <v>0.3</v>
      </c>
      <c r="Q1081" t="str">
        <f t="shared" si="149"/>
        <v>Match</v>
      </c>
      <c r="R1081" t="str">
        <f t="shared" si="150"/>
        <v>Match</v>
      </c>
      <c r="S1081" t="str">
        <f t="shared" si="151"/>
        <v>Match</v>
      </c>
    </row>
    <row r="1082" spans="1:19" x14ac:dyDescent="0.25">
      <c r="A1082" t="s">
        <v>1026</v>
      </c>
      <c r="B1082">
        <v>8000</v>
      </c>
      <c r="C1082">
        <f t="shared" si="152"/>
        <v>80</v>
      </c>
      <c r="D1082">
        <v>27</v>
      </c>
      <c r="E1082">
        <v>4</v>
      </c>
      <c r="F1082">
        <v>5800</v>
      </c>
      <c r="G1082">
        <f t="shared" si="144"/>
        <v>58</v>
      </c>
      <c r="H1082">
        <v>300</v>
      </c>
      <c r="I1082" s="4">
        <f>Full_Data[[#This Row],[Selling Price]]/Full_Data[[#This Row],[Weight (g)]]</f>
        <v>0.19333333333333333</v>
      </c>
      <c r="J1082" t="b">
        <v>0</v>
      </c>
      <c r="K1082">
        <v>300</v>
      </c>
      <c r="L1082">
        <f t="shared" si="145"/>
        <v>22</v>
      </c>
      <c r="M1082" t="str">
        <f t="shared" si="146"/>
        <v>Medium</v>
      </c>
      <c r="N1082" t="str">
        <f t="shared" si="147"/>
        <v>21%+</v>
      </c>
      <c r="O1082" t="str">
        <f t="shared" si="148"/>
        <v>OK</v>
      </c>
      <c r="P1082">
        <f>IFERROR(Full_Data!G1082/Full_Data!H1082,"Check data")</f>
        <v>0.19333333333333333</v>
      </c>
      <c r="Q1082" t="str">
        <f t="shared" si="149"/>
        <v>Match</v>
      </c>
      <c r="R1082" t="str">
        <f t="shared" si="150"/>
        <v>Mismatch</v>
      </c>
      <c r="S1082" t="str">
        <f t="shared" si="151"/>
        <v>Mismatch</v>
      </c>
    </row>
    <row r="1083" spans="1:19" x14ac:dyDescent="0.25">
      <c r="A1083" t="s">
        <v>1027</v>
      </c>
      <c r="B1083">
        <v>2500</v>
      </c>
      <c r="C1083">
        <f t="shared" si="152"/>
        <v>25</v>
      </c>
      <c r="D1083">
        <v>0</v>
      </c>
      <c r="E1083">
        <v>6</v>
      </c>
      <c r="F1083">
        <v>2500</v>
      </c>
      <c r="G1083">
        <f t="shared" si="144"/>
        <v>25</v>
      </c>
      <c r="H1083">
        <v>56</v>
      </c>
      <c r="I1083" s="4">
        <f>Full_Data[[#This Row],[Selling Price]]/Full_Data[[#This Row],[Weight (g)]]</f>
        <v>0.44642857142857145</v>
      </c>
      <c r="J1083" t="b">
        <v>0</v>
      </c>
      <c r="K1083">
        <v>56</v>
      </c>
      <c r="L1083">
        <f t="shared" si="145"/>
        <v>0</v>
      </c>
      <c r="M1083" t="str">
        <f t="shared" si="146"/>
        <v>Low</v>
      </c>
      <c r="N1083" t="str">
        <f t="shared" si="147"/>
        <v>0-5%</v>
      </c>
      <c r="O1083" t="str">
        <f t="shared" si="148"/>
        <v>OK</v>
      </c>
      <c r="P1083">
        <f>IFERROR(Full_Data!G1083/Full_Data!H1083,"Check data")</f>
        <v>0.44642857142857145</v>
      </c>
      <c r="Q1083" t="str">
        <f t="shared" si="149"/>
        <v>Match</v>
      </c>
      <c r="R1083" t="str">
        <f t="shared" si="150"/>
        <v>Match</v>
      </c>
      <c r="S1083" t="str">
        <f t="shared" si="151"/>
        <v>Match</v>
      </c>
    </row>
    <row r="1084" spans="1:19" x14ac:dyDescent="0.25">
      <c r="A1084" t="s">
        <v>1028</v>
      </c>
      <c r="B1084">
        <v>3000</v>
      </c>
      <c r="C1084">
        <f t="shared" si="152"/>
        <v>30</v>
      </c>
      <c r="D1084">
        <v>10</v>
      </c>
      <c r="E1084">
        <v>3</v>
      </c>
      <c r="F1084">
        <v>2700</v>
      </c>
      <c r="G1084">
        <f t="shared" si="144"/>
        <v>27</v>
      </c>
      <c r="H1084">
        <v>200</v>
      </c>
      <c r="I1084" s="4">
        <f>Full_Data[[#This Row],[Selling Price]]/Full_Data[[#This Row],[Weight (g)]]</f>
        <v>0.13500000000000001</v>
      </c>
      <c r="J1084" t="b">
        <v>0</v>
      </c>
      <c r="K1084">
        <v>200</v>
      </c>
      <c r="L1084">
        <f t="shared" si="145"/>
        <v>3</v>
      </c>
      <c r="M1084" t="str">
        <f t="shared" si="146"/>
        <v>Low</v>
      </c>
      <c r="N1084" t="str">
        <f t="shared" si="147"/>
        <v>6-10%</v>
      </c>
      <c r="O1084" t="str">
        <f t="shared" si="148"/>
        <v>OK</v>
      </c>
      <c r="P1084">
        <f>IFERROR(Full_Data!G1084/Full_Data!H1084,"Check data")</f>
        <v>0.13500000000000001</v>
      </c>
      <c r="Q1084" t="str">
        <f t="shared" si="149"/>
        <v>Match</v>
      </c>
      <c r="R1084" t="str">
        <f t="shared" si="150"/>
        <v>Match</v>
      </c>
      <c r="S1084" t="str">
        <f t="shared" si="151"/>
        <v>Match</v>
      </c>
    </row>
    <row r="1085" spans="1:19" x14ac:dyDescent="0.25">
      <c r="A1085" t="s">
        <v>1029</v>
      </c>
      <c r="B1085">
        <v>5000</v>
      </c>
      <c r="C1085">
        <f t="shared" si="152"/>
        <v>50</v>
      </c>
      <c r="D1085">
        <v>16</v>
      </c>
      <c r="E1085">
        <v>3</v>
      </c>
      <c r="F1085">
        <v>4200</v>
      </c>
      <c r="G1085">
        <f t="shared" si="144"/>
        <v>42</v>
      </c>
      <c r="H1085">
        <v>75</v>
      </c>
      <c r="I1085" s="4">
        <f>Full_Data[[#This Row],[Selling Price]]/Full_Data[[#This Row],[Weight (g)]]</f>
        <v>0.56000000000000005</v>
      </c>
      <c r="J1085" t="b">
        <v>0</v>
      </c>
      <c r="K1085">
        <v>75</v>
      </c>
      <c r="L1085">
        <f t="shared" si="145"/>
        <v>8</v>
      </c>
      <c r="M1085" t="str">
        <f t="shared" si="146"/>
        <v>Low</v>
      </c>
      <c r="N1085" t="str">
        <f t="shared" si="147"/>
        <v>16-20%</v>
      </c>
      <c r="O1085" t="str">
        <f t="shared" si="148"/>
        <v>OK</v>
      </c>
      <c r="P1085">
        <f>IFERROR(Full_Data!G1085/Full_Data!H1085,"Check data")</f>
        <v>0.56000000000000005</v>
      </c>
      <c r="Q1085" t="str">
        <f t="shared" si="149"/>
        <v>Match</v>
      </c>
      <c r="R1085" t="str">
        <f t="shared" si="150"/>
        <v>Match</v>
      </c>
      <c r="S1085" t="str">
        <f t="shared" si="151"/>
        <v>Match</v>
      </c>
    </row>
    <row r="1086" spans="1:19" x14ac:dyDescent="0.25">
      <c r="A1086" t="s">
        <v>1030</v>
      </c>
      <c r="B1086">
        <v>3000</v>
      </c>
      <c r="C1086">
        <f t="shared" si="152"/>
        <v>30</v>
      </c>
      <c r="D1086">
        <v>3</v>
      </c>
      <c r="E1086">
        <v>1</v>
      </c>
      <c r="F1086">
        <v>2900</v>
      </c>
      <c r="G1086">
        <f t="shared" si="144"/>
        <v>29</v>
      </c>
      <c r="H1086">
        <v>100</v>
      </c>
      <c r="I1086" s="4">
        <f>Full_Data[[#This Row],[Selling Price]]/Full_Data[[#This Row],[Weight (g)]]</f>
        <v>0.28999999999999998</v>
      </c>
      <c r="J1086" t="b">
        <v>0</v>
      </c>
      <c r="K1086">
        <v>100</v>
      </c>
      <c r="L1086">
        <f t="shared" si="145"/>
        <v>1</v>
      </c>
      <c r="M1086" t="str">
        <f t="shared" si="146"/>
        <v>Low</v>
      </c>
      <c r="N1086" t="str">
        <f t="shared" si="147"/>
        <v>0-5%</v>
      </c>
      <c r="O1086" t="str">
        <f t="shared" si="148"/>
        <v>OK</v>
      </c>
      <c r="P1086">
        <f>IFERROR(Full_Data!G1086/Full_Data!H1086,"Check data")</f>
        <v>0.28999999999999998</v>
      </c>
      <c r="Q1086" t="str">
        <f t="shared" si="149"/>
        <v>Match</v>
      </c>
      <c r="R1086" t="str">
        <f t="shared" si="150"/>
        <v>Mismatch</v>
      </c>
      <c r="S1086" t="str">
        <f t="shared" si="151"/>
        <v>Match</v>
      </c>
    </row>
    <row r="1087" spans="1:19" x14ac:dyDescent="0.25">
      <c r="A1087" t="s">
        <v>1031</v>
      </c>
      <c r="B1087">
        <v>2500</v>
      </c>
      <c r="C1087">
        <f t="shared" si="152"/>
        <v>25</v>
      </c>
      <c r="D1087">
        <v>8</v>
      </c>
      <c r="E1087">
        <v>3</v>
      </c>
      <c r="F1087">
        <v>2300</v>
      </c>
      <c r="G1087">
        <f t="shared" si="144"/>
        <v>23</v>
      </c>
      <c r="H1087">
        <v>67</v>
      </c>
      <c r="I1087" s="4">
        <f>Full_Data[[#This Row],[Selling Price]]/Full_Data[[#This Row],[Weight (g)]]</f>
        <v>0.34328358208955223</v>
      </c>
      <c r="J1087" t="b">
        <v>0</v>
      </c>
      <c r="K1087">
        <v>67</v>
      </c>
      <c r="L1087">
        <f t="shared" si="145"/>
        <v>2</v>
      </c>
      <c r="M1087" t="str">
        <f t="shared" si="146"/>
        <v>Low</v>
      </c>
      <c r="N1087" t="str">
        <f t="shared" si="147"/>
        <v>6-10%</v>
      </c>
      <c r="O1087" t="str">
        <f t="shared" si="148"/>
        <v>OK</v>
      </c>
      <c r="P1087">
        <f>IFERROR(Full_Data!G1087/Full_Data!H1087,"Check data")</f>
        <v>0.34328358208955223</v>
      </c>
      <c r="Q1087" t="str">
        <f t="shared" si="149"/>
        <v>Match</v>
      </c>
      <c r="R1087" t="str">
        <f t="shared" si="150"/>
        <v>Match</v>
      </c>
      <c r="S1087" t="str">
        <f t="shared" si="151"/>
        <v>Match</v>
      </c>
    </row>
    <row r="1088" spans="1:19" x14ac:dyDescent="0.25">
      <c r="A1088" t="s">
        <v>1032</v>
      </c>
      <c r="B1088">
        <v>14000</v>
      </c>
      <c r="C1088">
        <f t="shared" si="152"/>
        <v>140</v>
      </c>
      <c r="D1088">
        <v>25</v>
      </c>
      <c r="E1088">
        <v>5</v>
      </c>
      <c r="F1088">
        <v>10500</v>
      </c>
      <c r="G1088">
        <f t="shared" si="144"/>
        <v>105</v>
      </c>
      <c r="H1088">
        <v>253</v>
      </c>
      <c r="I1088" s="4">
        <f>Full_Data[[#This Row],[Selling Price]]/Full_Data[[#This Row],[Weight (g)]]</f>
        <v>0.41501976284584979</v>
      </c>
      <c r="J1088" t="b">
        <v>0</v>
      </c>
      <c r="K1088">
        <v>276</v>
      </c>
      <c r="L1088">
        <f t="shared" si="145"/>
        <v>35</v>
      </c>
      <c r="M1088" t="str">
        <f t="shared" si="146"/>
        <v>Medium</v>
      </c>
      <c r="N1088" t="str">
        <f t="shared" si="147"/>
        <v>21%+</v>
      </c>
      <c r="O1088" t="str">
        <f t="shared" si="148"/>
        <v>OK</v>
      </c>
      <c r="P1088">
        <f>IFERROR(Full_Data!G1088/Full_Data!H1088,"Check data")</f>
        <v>0.41501976284584979</v>
      </c>
      <c r="Q1088" t="str">
        <f t="shared" si="149"/>
        <v>Match</v>
      </c>
      <c r="R1088" t="str">
        <f t="shared" si="150"/>
        <v>Match</v>
      </c>
      <c r="S1088" t="str">
        <f t="shared" si="151"/>
        <v>Match</v>
      </c>
    </row>
    <row r="1089" spans="1:19" x14ac:dyDescent="0.25">
      <c r="A1089" t="s">
        <v>1015</v>
      </c>
      <c r="B1089">
        <v>11000</v>
      </c>
      <c r="C1089">
        <f t="shared" si="152"/>
        <v>110</v>
      </c>
      <c r="D1089">
        <v>14</v>
      </c>
      <c r="E1089">
        <v>1</v>
      </c>
      <c r="F1089">
        <v>9400</v>
      </c>
      <c r="G1089">
        <f t="shared" si="144"/>
        <v>94</v>
      </c>
      <c r="H1089">
        <v>700</v>
      </c>
      <c r="I1089" s="4">
        <f>Full_Data[[#This Row],[Selling Price]]/Full_Data[[#This Row],[Weight (g)]]</f>
        <v>0.13428571428571429</v>
      </c>
      <c r="J1089" t="b">
        <v>0</v>
      </c>
      <c r="K1089">
        <v>700</v>
      </c>
      <c r="L1089">
        <f t="shared" si="145"/>
        <v>16</v>
      </c>
      <c r="M1089" t="str">
        <f t="shared" si="146"/>
        <v>Medium</v>
      </c>
      <c r="N1089" t="str">
        <f t="shared" si="147"/>
        <v>11-15%</v>
      </c>
      <c r="O1089" t="str">
        <f t="shared" si="148"/>
        <v>OK</v>
      </c>
      <c r="P1089">
        <f>IFERROR(Full_Data!G1089/Full_Data!H1089,"Check data")</f>
        <v>0.13428571428571429</v>
      </c>
      <c r="Q1089" t="str">
        <f t="shared" si="149"/>
        <v>Match</v>
      </c>
      <c r="R1089" t="str">
        <f t="shared" si="150"/>
        <v>Mismatch</v>
      </c>
      <c r="S1089" t="str">
        <f t="shared" si="151"/>
        <v>Mismatch</v>
      </c>
    </row>
    <row r="1090" spans="1:19" x14ac:dyDescent="0.25">
      <c r="A1090" t="s">
        <v>1033</v>
      </c>
      <c r="B1090">
        <v>3000</v>
      </c>
      <c r="C1090">
        <f t="shared" si="152"/>
        <v>30</v>
      </c>
      <c r="D1090">
        <v>0</v>
      </c>
      <c r="E1090">
        <v>6</v>
      </c>
      <c r="F1090">
        <v>3000</v>
      </c>
      <c r="G1090">
        <f t="shared" ref="G1090:G1153" si="153">F1090/100</f>
        <v>30</v>
      </c>
      <c r="H1090">
        <v>250</v>
      </c>
      <c r="I1090" s="4">
        <f>Full_Data[[#This Row],[Selling Price]]/Full_Data[[#This Row],[Weight (g)]]</f>
        <v>0.12</v>
      </c>
      <c r="J1090" t="b">
        <v>0</v>
      </c>
      <c r="K1090">
        <v>250</v>
      </c>
      <c r="L1090">
        <f t="shared" ref="L1090:L1153" si="154">C1090-G1090</f>
        <v>0</v>
      </c>
      <c r="M1090" t="str">
        <f t="shared" ref="M1090:M1153" si="155">IF(G1090&lt;50,"Low",IF(G1090&lt;200,"Medium","High"))</f>
        <v>Low</v>
      </c>
      <c r="N1090" t="str">
        <f t="shared" ref="N1090:N1153" si="156">IF(D1090&lt;=5,"0-5%",
IF(D1090&lt;=10,"6-10%",
IF(D1090&lt;=15,"11-15%",
IF(D1090&lt;=20,"16-20%","21%+"))))</f>
        <v>0-5%</v>
      </c>
      <c r="O1090" t="str">
        <f t="shared" ref="O1090:O1153" si="157">IF(AND(C1090=0,G1090=0),"Review: Zero MRP and selling price",IF(C1090&lt;=0,"Review: Invalid MRP",IF(G1090&lt;0,"Review: Negative selling price",IF(G1090=0,"Review: Zero selling price",IF(H1090&lt;=0,"Review: Invalid weight","OK")))))</f>
        <v>OK</v>
      </c>
      <c r="P1090">
        <f>IFERROR(Full_Data!G1090/Full_Data!H1090,"Check data")</f>
        <v>0.12</v>
      </c>
      <c r="Q1090" t="str">
        <f t="shared" ref="Q1090:Q1153" si="158">IF(OR(H1090="",H1090&lt;=0),"Invalid weight",IF(G1090="","Missing selling price",IF(ROUND(G1090/H1090,2)=ROUND(I1090,2),"Match","Mismatch")))</f>
        <v>Match</v>
      </c>
      <c r="R1090" t="str">
        <f t="shared" ref="R1090:R1153" si="159">IF(OR(C1090&lt;=0,G1090=""),"Check data",IF(ROUND((C1090-G1090)/C1090*100,2)=ROUND(D1090,2),"Match","Mismatch"))</f>
        <v>Match</v>
      </c>
      <c r="S1090" t="str">
        <f t="shared" ref="S1090:S1153" si="160">IF(OR(C1090&lt;=0,G1090=""),"Check data",IF(ROUND((C1090-G1090)/C1090*100,0)=D1090,"Match","Mismatch"))</f>
        <v>Match</v>
      </c>
    </row>
    <row r="1091" spans="1:19" x14ac:dyDescent="0.25">
      <c r="A1091" t="s">
        <v>1034</v>
      </c>
      <c r="B1091">
        <v>2000</v>
      </c>
      <c r="C1091">
        <f t="shared" ref="C1091:C1154" si="161">B1091/100</f>
        <v>20</v>
      </c>
      <c r="D1091">
        <v>10</v>
      </c>
      <c r="E1091">
        <v>2</v>
      </c>
      <c r="F1091">
        <v>1800</v>
      </c>
      <c r="G1091">
        <f t="shared" si="153"/>
        <v>18</v>
      </c>
      <c r="H1091">
        <v>47</v>
      </c>
      <c r="I1091" s="4">
        <f>Full_Data[[#This Row],[Selling Price]]/Full_Data[[#This Row],[Weight (g)]]</f>
        <v>0.38297872340425532</v>
      </c>
      <c r="J1091" t="b">
        <v>0</v>
      </c>
      <c r="K1091">
        <v>47</v>
      </c>
      <c r="L1091">
        <f t="shared" si="154"/>
        <v>2</v>
      </c>
      <c r="M1091" t="str">
        <f t="shared" si="155"/>
        <v>Low</v>
      </c>
      <c r="N1091" t="str">
        <f t="shared" si="156"/>
        <v>6-10%</v>
      </c>
      <c r="O1091" t="str">
        <f t="shared" si="157"/>
        <v>OK</v>
      </c>
      <c r="P1091">
        <f>IFERROR(Full_Data!G1091/Full_Data!H1091,"Check data")</f>
        <v>0.38297872340425532</v>
      </c>
      <c r="Q1091" t="str">
        <f t="shared" si="158"/>
        <v>Match</v>
      </c>
      <c r="R1091" t="str">
        <f t="shared" si="159"/>
        <v>Match</v>
      </c>
      <c r="S1091" t="str">
        <f t="shared" si="160"/>
        <v>Match</v>
      </c>
    </row>
    <row r="1092" spans="1:19" x14ac:dyDescent="0.25">
      <c r="A1092" t="s">
        <v>1035</v>
      </c>
      <c r="B1092">
        <v>2500</v>
      </c>
      <c r="C1092">
        <f t="shared" si="161"/>
        <v>25</v>
      </c>
      <c r="D1092">
        <v>8</v>
      </c>
      <c r="E1092">
        <v>6</v>
      </c>
      <c r="F1092">
        <v>2300</v>
      </c>
      <c r="G1092">
        <f t="shared" si="153"/>
        <v>23</v>
      </c>
      <c r="H1092">
        <v>75</v>
      </c>
      <c r="I1092" s="4">
        <f>Full_Data[[#This Row],[Selling Price]]/Full_Data[[#This Row],[Weight (g)]]</f>
        <v>0.30666666666666664</v>
      </c>
      <c r="J1092" t="b">
        <v>0</v>
      </c>
      <c r="K1092">
        <v>75</v>
      </c>
      <c r="L1092">
        <f t="shared" si="154"/>
        <v>2</v>
      </c>
      <c r="M1092" t="str">
        <f t="shared" si="155"/>
        <v>Low</v>
      </c>
      <c r="N1092" t="str">
        <f t="shared" si="156"/>
        <v>6-10%</v>
      </c>
      <c r="O1092" t="str">
        <f t="shared" si="157"/>
        <v>OK</v>
      </c>
      <c r="P1092">
        <f>IFERROR(Full_Data!G1092/Full_Data!H1092,"Check data")</f>
        <v>0.30666666666666664</v>
      </c>
      <c r="Q1092" t="str">
        <f t="shared" si="158"/>
        <v>Match</v>
      </c>
      <c r="R1092" t="str">
        <f t="shared" si="159"/>
        <v>Match</v>
      </c>
      <c r="S1092" t="str">
        <f t="shared" si="160"/>
        <v>Match</v>
      </c>
    </row>
    <row r="1093" spans="1:19" x14ac:dyDescent="0.25">
      <c r="A1093" t="s">
        <v>1036</v>
      </c>
      <c r="B1093">
        <v>3000</v>
      </c>
      <c r="C1093">
        <f t="shared" si="161"/>
        <v>30</v>
      </c>
      <c r="D1093">
        <v>3</v>
      </c>
      <c r="E1093">
        <v>6</v>
      </c>
      <c r="F1093">
        <v>2900</v>
      </c>
      <c r="G1093">
        <f t="shared" si="153"/>
        <v>29</v>
      </c>
      <c r="H1093">
        <v>100</v>
      </c>
      <c r="I1093" s="4">
        <f>Full_Data[[#This Row],[Selling Price]]/Full_Data[[#This Row],[Weight (g)]]</f>
        <v>0.28999999999999998</v>
      </c>
      <c r="J1093" t="b">
        <v>0</v>
      </c>
      <c r="K1093">
        <v>100</v>
      </c>
      <c r="L1093">
        <f t="shared" si="154"/>
        <v>1</v>
      </c>
      <c r="M1093" t="str">
        <f t="shared" si="155"/>
        <v>Low</v>
      </c>
      <c r="N1093" t="str">
        <f t="shared" si="156"/>
        <v>0-5%</v>
      </c>
      <c r="O1093" t="str">
        <f t="shared" si="157"/>
        <v>OK</v>
      </c>
      <c r="P1093">
        <f>IFERROR(Full_Data!G1093/Full_Data!H1093,"Check data")</f>
        <v>0.28999999999999998</v>
      </c>
      <c r="Q1093" t="str">
        <f t="shared" si="158"/>
        <v>Match</v>
      </c>
      <c r="R1093" t="str">
        <f t="shared" si="159"/>
        <v>Mismatch</v>
      </c>
      <c r="S1093" t="str">
        <f t="shared" si="160"/>
        <v>Match</v>
      </c>
    </row>
    <row r="1094" spans="1:19" x14ac:dyDescent="0.25">
      <c r="A1094" t="s">
        <v>1037</v>
      </c>
      <c r="B1094">
        <v>9500</v>
      </c>
      <c r="C1094">
        <f t="shared" si="161"/>
        <v>95</v>
      </c>
      <c r="D1094">
        <v>6</v>
      </c>
      <c r="E1094">
        <v>3</v>
      </c>
      <c r="F1094">
        <v>8900</v>
      </c>
      <c r="G1094">
        <f t="shared" si="153"/>
        <v>89</v>
      </c>
      <c r="H1094">
        <v>100</v>
      </c>
      <c r="I1094" s="4">
        <f>Full_Data[[#This Row],[Selling Price]]/Full_Data[[#This Row],[Weight (g)]]</f>
        <v>0.89</v>
      </c>
      <c r="J1094" t="b">
        <v>0</v>
      </c>
      <c r="K1094">
        <v>100</v>
      </c>
      <c r="L1094">
        <f t="shared" si="154"/>
        <v>6</v>
      </c>
      <c r="M1094" t="str">
        <f t="shared" si="155"/>
        <v>Medium</v>
      </c>
      <c r="N1094" t="str">
        <f t="shared" si="156"/>
        <v>6-10%</v>
      </c>
      <c r="O1094" t="str">
        <f t="shared" si="157"/>
        <v>OK</v>
      </c>
      <c r="P1094">
        <f>IFERROR(Full_Data!G1094/Full_Data!H1094,"Check data")</f>
        <v>0.89</v>
      </c>
      <c r="Q1094" t="str">
        <f t="shared" si="158"/>
        <v>Match</v>
      </c>
      <c r="R1094" t="str">
        <f t="shared" si="159"/>
        <v>Mismatch</v>
      </c>
      <c r="S1094" t="str">
        <f t="shared" si="160"/>
        <v>Match</v>
      </c>
    </row>
    <row r="1095" spans="1:19" x14ac:dyDescent="0.25">
      <c r="A1095" t="s">
        <v>1038</v>
      </c>
      <c r="B1095">
        <v>3500</v>
      </c>
      <c r="C1095">
        <f t="shared" si="161"/>
        <v>35</v>
      </c>
      <c r="D1095">
        <v>17</v>
      </c>
      <c r="E1095">
        <v>4</v>
      </c>
      <c r="F1095">
        <v>2900</v>
      </c>
      <c r="G1095">
        <f t="shared" si="153"/>
        <v>29</v>
      </c>
      <c r="H1095">
        <v>100</v>
      </c>
      <c r="I1095" s="4">
        <f>Full_Data[[#This Row],[Selling Price]]/Full_Data[[#This Row],[Weight (g)]]</f>
        <v>0.28999999999999998</v>
      </c>
      <c r="J1095" t="b">
        <v>0</v>
      </c>
      <c r="K1095">
        <v>100</v>
      </c>
      <c r="L1095">
        <f t="shared" si="154"/>
        <v>6</v>
      </c>
      <c r="M1095" t="str">
        <f t="shared" si="155"/>
        <v>Low</v>
      </c>
      <c r="N1095" t="str">
        <f t="shared" si="156"/>
        <v>16-20%</v>
      </c>
      <c r="O1095" t="str">
        <f t="shared" si="157"/>
        <v>OK</v>
      </c>
      <c r="P1095">
        <f>IFERROR(Full_Data!G1095/Full_Data!H1095,"Check data")</f>
        <v>0.28999999999999998</v>
      </c>
      <c r="Q1095" t="str">
        <f t="shared" si="158"/>
        <v>Match</v>
      </c>
      <c r="R1095" t="str">
        <f t="shared" si="159"/>
        <v>Mismatch</v>
      </c>
      <c r="S1095" t="str">
        <f t="shared" si="160"/>
        <v>Match</v>
      </c>
    </row>
    <row r="1096" spans="1:19" x14ac:dyDescent="0.25">
      <c r="A1096" t="s">
        <v>1039</v>
      </c>
      <c r="B1096">
        <v>10500</v>
      </c>
      <c r="C1096">
        <f t="shared" si="161"/>
        <v>105</v>
      </c>
      <c r="D1096">
        <v>22</v>
      </c>
      <c r="E1096">
        <v>4</v>
      </c>
      <c r="F1096">
        <v>8100</v>
      </c>
      <c r="G1096">
        <f t="shared" si="153"/>
        <v>81</v>
      </c>
      <c r="H1096">
        <v>75</v>
      </c>
      <c r="I1096" s="4">
        <f>Full_Data[[#This Row],[Selling Price]]/Full_Data[[#This Row],[Weight (g)]]</f>
        <v>1.08</v>
      </c>
      <c r="J1096" t="b">
        <v>0</v>
      </c>
      <c r="K1096">
        <v>75</v>
      </c>
      <c r="L1096">
        <f t="shared" si="154"/>
        <v>24</v>
      </c>
      <c r="M1096" t="str">
        <f t="shared" si="155"/>
        <v>Medium</v>
      </c>
      <c r="N1096" t="str">
        <f t="shared" si="156"/>
        <v>21%+</v>
      </c>
      <c r="O1096" t="str">
        <f t="shared" si="157"/>
        <v>OK</v>
      </c>
      <c r="P1096">
        <f>IFERROR(Full_Data!G1096/Full_Data!H1096,"Check data")</f>
        <v>1.08</v>
      </c>
      <c r="Q1096" t="str">
        <f t="shared" si="158"/>
        <v>Match</v>
      </c>
      <c r="R1096" t="str">
        <f t="shared" si="159"/>
        <v>Mismatch</v>
      </c>
      <c r="S1096" t="str">
        <f t="shared" si="160"/>
        <v>Mismatch</v>
      </c>
    </row>
    <row r="1097" spans="1:19" x14ac:dyDescent="0.25">
      <c r="A1097" t="s">
        <v>1040</v>
      </c>
      <c r="B1097">
        <v>7000</v>
      </c>
      <c r="C1097">
        <f t="shared" si="161"/>
        <v>70</v>
      </c>
      <c r="D1097">
        <v>10</v>
      </c>
      <c r="E1097">
        <v>1</v>
      </c>
      <c r="F1097">
        <v>6300</v>
      </c>
      <c r="G1097">
        <f t="shared" si="153"/>
        <v>63</v>
      </c>
      <c r="H1097">
        <v>150</v>
      </c>
      <c r="I1097" s="4">
        <f>Full_Data[[#This Row],[Selling Price]]/Full_Data[[#This Row],[Weight (g)]]</f>
        <v>0.42</v>
      </c>
      <c r="J1097" t="b">
        <v>0</v>
      </c>
      <c r="K1097">
        <v>150</v>
      </c>
      <c r="L1097">
        <f t="shared" si="154"/>
        <v>7</v>
      </c>
      <c r="M1097" t="str">
        <f t="shared" si="155"/>
        <v>Medium</v>
      </c>
      <c r="N1097" t="str">
        <f t="shared" si="156"/>
        <v>6-10%</v>
      </c>
      <c r="O1097" t="str">
        <f t="shared" si="157"/>
        <v>OK</v>
      </c>
      <c r="P1097">
        <f>IFERROR(Full_Data!G1097/Full_Data!H1097,"Check data")</f>
        <v>0.42</v>
      </c>
      <c r="Q1097" t="str">
        <f t="shared" si="158"/>
        <v>Match</v>
      </c>
      <c r="R1097" t="str">
        <f t="shared" si="159"/>
        <v>Match</v>
      </c>
      <c r="S1097" t="str">
        <f t="shared" si="160"/>
        <v>Match</v>
      </c>
    </row>
    <row r="1098" spans="1:19" x14ac:dyDescent="0.25">
      <c r="A1098" t="s">
        <v>1041</v>
      </c>
      <c r="B1098">
        <v>6000</v>
      </c>
      <c r="C1098">
        <f t="shared" si="161"/>
        <v>60</v>
      </c>
      <c r="D1098">
        <v>10</v>
      </c>
      <c r="E1098">
        <v>3</v>
      </c>
      <c r="F1098">
        <v>5400</v>
      </c>
      <c r="G1098">
        <f t="shared" si="153"/>
        <v>54</v>
      </c>
      <c r="H1098">
        <v>150</v>
      </c>
      <c r="I1098" s="4">
        <f>Full_Data[[#This Row],[Selling Price]]/Full_Data[[#This Row],[Weight (g)]]</f>
        <v>0.36</v>
      </c>
      <c r="J1098" t="b">
        <v>0</v>
      </c>
      <c r="K1098">
        <v>150</v>
      </c>
      <c r="L1098">
        <f t="shared" si="154"/>
        <v>6</v>
      </c>
      <c r="M1098" t="str">
        <f t="shared" si="155"/>
        <v>Medium</v>
      </c>
      <c r="N1098" t="str">
        <f t="shared" si="156"/>
        <v>6-10%</v>
      </c>
      <c r="O1098" t="str">
        <f t="shared" si="157"/>
        <v>OK</v>
      </c>
      <c r="P1098">
        <f>IFERROR(Full_Data!G1098/Full_Data!H1098,"Check data")</f>
        <v>0.36</v>
      </c>
      <c r="Q1098" t="str">
        <f t="shared" si="158"/>
        <v>Match</v>
      </c>
      <c r="R1098" t="str">
        <f t="shared" si="159"/>
        <v>Match</v>
      </c>
      <c r="S1098" t="str">
        <f t="shared" si="160"/>
        <v>Match</v>
      </c>
    </row>
    <row r="1099" spans="1:19" x14ac:dyDescent="0.25">
      <c r="A1099" t="s">
        <v>1042</v>
      </c>
      <c r="B1099">
        <v>5000</v>
      </c>
      <c r="C1099">
        <f t="shared" si="161"/>
        <v>50</v>
      </c>
      <c r="D1099">
        <v>16</v>
      </c>
      <c r="E1099">
        <v>6</v>
      </c>
      <c r="F1099">
        <v>4200</v>
      </c>
      <c r="G1099">
        <f t="shared" si="153"/>
        <v>42</v>
      </c>
      <c r="H1099">
        <v>75</v>
      </c>
      <c r="I1099" s="4">
        <f>Full_Data[[#This Row],[Selling Price]]/Full_Data[[#This Row],[Weight (g)]]</f>
        <v>0.56000000000000005</v>
      </c>
      <c r="J1099" t="b">
        <v>0</v>
      </c>
      <c r="K1099">
        <v>75</v>
      </c>
      <c r="L1099">
        <f t="shared" si="154"/>
        <v>8</v>
      </c>
      <c r="M1099" t="str">
        <f t="shared" si="155"/>
        <v>Low</v>
      </c>
      <c r="N1099" t="str">
        <f t="shared" si="156"/>
        <v>16-20%</v>
      </c>
      <c r="O1099" t="str">
        <f t="shared" si="157"/>
        <v>OK</v>
      </c>
      <c r="P1099">
        <f>IFERROR(Full_Data!G1099/Full_Data!H1099,"Check data")</f>
        <v>0.56000000000000005</v>
      </c>
      <c r="Q1099" t="str">
        <f t="shared" si="158"/>
        <v>Match</v>
      </c>
      <c r="R1099" t="str">
        <f t="shared" si="159"/>
        <v>Match</v>
      </c>
      <c r="S1099" t="str">
        <f t="shared" si="160"/>
        <v>Match</v>
      </c>
    </row>
    <row r="1100" spans="1:19" x14ac:dyDescent="0.25">
      <c r="A1100" t="s">
        <v>1043</v>
      </c>
      <c r="B1100">
        <v>12000</v>
      </c>
      <c r="C1100">
        <f t="shared" si="161"/>
        <v>120</v>
      </c>
      <c r="D1100">
        <v>12</v>
      </c>
      <c r="E1100">
        <v>6</v>
      </c>
      <c r="F1100">
        <v>10560</v>
      </c>
      <c r="G1100">
        <f t="shared" si="153"/>
        <v>105.6</v>
      </c>
      <c r="H1100">
        <v>600</v>
      </c>
      <c r="I1100" s="4">
        <f>Full_Data[[#This Row],[Selling Price]]/Full_Data[[#This Row],[Weight (g)]]</f>
        <v>0.17599999999999999</v>
      </c>
      <c r="J1100" t="b">
        <v>0</v>
      </c>
      <c r="K1100">
        <v>600</v>
      </c>
      <c r="L1100">
        <f t="shared" si="154"/>
        <v>14.400000000000006</v>
      </c>
      <c r="M1100" t="str">
        <f t="shared" si="155"/>
        <v>Medium</v>
      </c>
      <c r="N1100" t="str">
        <f t="shared" si="156"/>
        <v>11-15%</v>
      </c>
      <c r="O1100" t="str">
        <f t="shared" si="157"/>
        <v>OK</v>
      </c>
      <c r="P1100">
        <f>IFERROR(Full_Data!G1100/Full_Data!H1100,"Check data")</f>
        <v>0.17599999999999999</v>
      </c>
      <c r="Q1100" t="str">
        <f t="shared" si="158"/>
        <v>Match</v>
      </c>
      <c r="R1100" t="str">
        <f t="shared" si="159"/>
        <v>Match</v>
      </c>
      <c r="S1100" t="str">
        <f t="shared" si="160"/>
        <v>Match</v>
      </c>
    </row>
    <row r="1101" spans="1:19" x14ac:dyDescent="0.25">
      <c r="A1101" t="s">
        <v>1044</v>
      </c>
      <c r="B1101">
        <v>5500</v>
      </c>
      <c r="C1101">
        <f t="shared" si="161"/>
        <v>55</v>
      </c>
      <c r="D1101">
        <v>25</v>
      </c>
      <c r="E1101">
        <v>3</v>
      </c>
      <c r="F1101">
        <v>4100</v>
      </c>
      <c r="G1101">
        <f t="shared" si="153"/>
        <v>41</v>
      </c>
      <c r="H1101">
        <v>150</v>
      </c>
      <c r="I1101" s="4">
        <f>Full_Data[[#This Row],[Selling Price]]/Full_Data[[#This Row],[Weight (g)]]</f>
        <v>0.27333333333333332</v>
      </c>
      <c r="J1101" t="b">
        <v>0</v>
      </c>
      <c r="K1101">
        <v>150</v>
      </c>
      <c r="L1101">
        <f t="shared" si="154"/>
        <v>14</v>
      </c>
      <c r="M1101" t="str">
        <f t="shared" si="155"/>
        <v>Low</v>
      </c>
      <c r="N1101" t="str">
        <f t="shared" si="156"/>
        <v>21%+</v>
      </c>
      <c r="O1101" t="str">
        <f t="shared" si="157"/>
        <v>OK</v>
      </c>
      <c r="P1101">
        <f>IFERROR(Full_Data!G1101/Full_Data!H1101,"Check data")</f>
        <v>0.27333333333333332</v>
      </c>
      <c r="Q1101" t="str">
        <f t="shared" si="158"/>
        <v>Match</v>
      </c>
      <c r="R1101" t="str">
        <f t="shared" si="159"/>
        <v>Mismatch</v>
      </c>
      <c r="S1101" t="str">
        <f t="shared" si="160"/>
        <v>Match</v>
      </c>
    </row>
    <row r="1102" spans="1:19" x14ac:dyDescent="0.25">
      <c r="A1102" t="s">
        <v>1034</v>
      </c>
      <c r="B1102">
        <v>2000</v>
      </c>
      <c r="C1102">
        <f t="shared" si="161"/>
        <v>20</v>
      </c>
      <c r="D1102">
        <v>0</v>
      </c>
      <c r="E1102">
        <v>6</v>
      </c>
      <c r="F1102">
        <v>2000</v>
      </c>
      <c r="G1102">
        <f t="shared" si="153"/>
        <v>20</v>
      </c>
      <c r="H1102">
        <v>47</v>
      </c>
      <c r="I1102" s="4">
        <f>Full_Data[[#This Row],[Selling Price]]/Full_Data[[#This Row],[Weight (g)]]</f>
        <v>0.42553191489361702</v>
      </c>
      <c r="J1102" t="b">
        <v>0</v>
      </c>
      <c r="K1102">
        <v>47</v>
      </c>
      <c r="L1102">
        <f t="shared" si="154"/>
        <v>0</v>
      </c>
      <c r="M1102" t="str">
        <f t="shared" si="155"/>
        <v>Low</v>
      </c>
      <c r="N1102" t="str">
        <f t="shared" si="156"/>
        <v>0-5%</v>
      </c>
      <c r="O1102" t="str">
        <f t="shared" si="157"/>
        <v>OK</v>
      </c>
      <c r="P1102">
        <f>IFERROR(Full_Data!G1102/Full_Data!H1102,"Check data")</f>
        <v>0.42553191489361702</v>
      </c>
      <c r="Q1102" t="str">
        <f t="shared" si="158"/>
        <v>Match</v>
      </c>
      <c r="R1102" t="str">
        <f t="shared" si="159"/>
        <v>Match</v>
      </c>
      <c r="S1102" t="str">
        <f t="shared" si="160"/>
        <v>Match</v>
      </c>
    </row>
    <row r="1103" spans="1:19" x14ac:dyDescent="0.25">
      <c r="A1103" t="s">
        <v>1045</v>
      </c>
      <c r="B1103">
        <v>5000</v>
      </c>
      <c r="C1103">
        <f t="shared" si="161"/>
        <v>50</v>
      </c>
      <c r="D1103">
        <v>2</v>
      </c>
      <c r="E1103">
        <v>4</v>
      </c>
      <c r="F1103">
        <v>4900</v>
      </c>
      <c r="G1103">
        <f t="shared" si="153"/>
        <v>49</v>
      </c>
      <c r="H1103">
        <v>120</v>
      </c>
      <c r="I1103" s="4">
        <f>Full_Data[[#This Row],[Selling Price]]/Full_Data[[#This Row],[Weight (g)]]</f>
        <v>0.40833333333333333</v>
      </c>
      <c r="J1103" t="b">
        <v>0</v>
      </c>
      <c r="K1103">
        <v>120</v>
      </c>
      <c r="L1103">
        <f t="shared" si="154"/>
        <v>1</v>
      </c>
      <c r="M1103" t="str">
        <f t="shared" si="155"/>
        <v>Low</v>
      </c>
      <c r="N1103" t="str">
        <f t="shared" si="156"/>
        <v>0-5%</v>
      </c>
      <c r="O1103" t="str">
        <f t="shared" si="157"/>
        <v>OK</v>
      </c>
      <c r="P1103">
        <f>IFERROR(Full_Data!G1103/Full_Data!H1103,"Check data")</f>
        <v>0.40833333333333333</v>
      </c>
      <c r="Q1103" t="str">
        <f t="shared" si="158"/>
        <v>Match</v>
      </c>
      <c r="R1103" t="str">
        <f t="shared" si="159"/>
        <v>Match</v>
      </c>
      <c r="S1103" t="str">
        <f t="shared" si="160"/>
        <v>Match</v>
      </c>
    </row>
    <row r="1104" spans="1:19" x14ac:dyDescent="0.25">
      <c r="A1104" t="s">
        <v>1046</v>
      </c>
      <c r="B1104">
        <v>4500</v>
      </c>
      <c r="C1104">
        <f t="shared" si="161"/>
        <v>45</v>
      </c>
      <c r="D1104">
        <v>11</v>
      </c>
      <c r="E1104">
        <v>6</v>
      </c>
      <c r="F1104">
        <v>4000</v>
      </c>
      <c r="G1104">
        <f t="shared" si="153"/>
        <v>40</v>
      </c>
      <c r="H1104">
        <v>60</v>
      </c>
      <c r="I1104" s="4">
        <f>Full_Data[[#This Row],[Selling Price]]/Full_Data[[#This Row],[Weight (g)]]</f>
        <v>0.66666666666666663</v>
      </c>
      <c r="J1104" t="b">
        <v>0</v>
      </c>
      <c r="K1104">
        <v>1</v>
      </c>
      <c r="L1104">
        <f t="shared" si="154"/>
        <v>5</v>
      </c>
      <c r="M1104" t="str">
        <f t="shared" si="155"/>
        <v>Low</v>
      </c>
      <c r="N1104" t="str">
        <f t="shared" si="156"/>
        <v>11-15%</v>
      </c>
      <c r="O1104" t="str">
        <f t="shared" si="157"/>
        <v>OK</v>
      </c>
      <c r="P1104">
        <f>IFERROR(Full_Data!G1104/Full_Data!H1104,"Check data")</f>
        <v>0.66666666666666663</v>
      </c>
      <c r="Q1104" t="str">
        <f t="shared" si="158"/>
        <v>Match</v>
      </c>
      <c r="R1104" t="str">
        <f t="shared" si="159"/>
        <v>Mismatch</v>
      </c>
      <c r="S1104" t="str">
        <f t="shared" si="160"/>
        <v>Match</v>
      </c>
    </row>
    <row r="1105" spans="1:19" x14ac:dyDescent="0.25">
      <c r="A1105" t="s">
        <v>1047</v>
      </c>
      <c r="B1105">
        <v>4800</v>
      </c>
      <c r="C1105">
        <f t="shared" si="161"/>
        <v>48</v>
      </c>
      <c r="D1105">
        <v>2</v>
      </c>
      <c r="E1105">
        <v>6</v>
      </c>
      <c r="F1105">
        <v>4700</v>
      </c>
      <c r="G1105">
        <f t="shared" si="153"/>
        <v>47</v>
      </c>
      <c r="H1105">
        <v>300</v>
      </c>
      <c r="I1105" s="4">
        <f>Full_Data[[#This Row],[Selling Price]]/Full_Data[[#This Row],[Weight (g)]]</f>
        <v>0.15666666666666668</v>
      </c>
      <c r="J1105" t="b">
        <v>0</v>
      </c>
      <c r="K1105">
        <v>300</v>
      </c>
      <c r="L1105">
        <f t="shared" si="154"/>
        <v>1</v>
      </c>
      <c r="M1105" t="str">
        <f t="shared" si="155"/>
        <v>Low</v>
      </c>
      <c r="N1105" t="str">
        <f t="shared" si="156"/>
        <v>0-5%</v>
      </c>
      <c r="O1105" t="str">
        <f t="shared" si="157"/>
        <v>OK</v>
      </c>
      <c r="P1105">
        <f>IFERROR(Full_Data!G1105/Full_Data!H1105,"Check data")</f>
        <v>0.15666666666666668</v>
      </c>
      <c r="Q1105" t="str">
        <f t="shared" si="158"/>
        <v>Match</v>
      </c>
      <c r="R1105" t="str">
        <f t="shared" si="159"/>
        <v>Mismatch</v>
      </c>
      <c r="S1105" t="str">
        <f t="shared" si="160"/>
        <v>Match</v>
      </c>
    </row>
    <row r="1106" spans="1:19" x14ac:dyDescent="0.25">
      <c r="A1106" t="s">
        <v>1016</v>
      </c>
      <c r="B1106">
        <v>14000</v>
      </c>
      <c r="C1106">
        <f t="shared" si="161"/>
        <v>140</v>
      </c>
      <c r="D1106">
        <v>6</v>
      </c>
      <c r="E1106">
        <v>2</v>
      </c>
      <c r="F1106">
        <v>13100</v>
      </c>
      <c r="G1106">
        <f t="shared" si="153"/>
        <v>131</v>
      </c>
      <c r="H1106">
        <v>336</v>
      </c>
      <c r="I1106" s="4">
        <f>Full_Data[[#This Row],[Selling Price]]/Full_Data[[#This Row],[Weight (g)]]</f>
        <v>0.38988095238095238</v>
      </c>
      <c r="J1106" t="b">
        <v>0</v>
      </c>
      <c r="K1106">
        <v>336</v>
      </c>
      <c r="L1106">
        <f t="shared" si="154"/>
        <v>9</v>
      </c>
      <c r="M1106" t="str">
        <f t="shared" si="155"/>
        <v>Medium</v>
      </c>
      <c r="N1106" t="str">
        <f t="shared" si="156"/>
        <v>6-10%</v>
      </c>
      <c r="O1106" t="str">
        <f t="shared" si="157"/>
        <v>OK</v>
      </c>
      <c r="P1106">
        <f>IFERROR(Full_Data!G1106/Full_Data!H1106,"Check data")</f>
        <v>0.38988095238095238</v>
      </c>
      <c r="Q1106" t="str">
        <f t="shared" si="158"/>
        <v>Match</v>
      </c>
      <c r="R1106" t="str">
        <f t="shared" si="159"/>
        <v>Mismatch</v>
      </c>
      <c r="S1106" t="str">
        <f t="shared" si="160"/>
        <v>Match</v>
      </c>
    </row>
    <row r="1107" spans="1:19" x14ac:dyDescent="0.25">
      <c r="A1107" t="s">
        <v>1048</v>
      </c>
      <c r="B1107">
        <v>12000</v>
      </c>
      <c r="C1107">
        <f t="shared" si="161"/>
        <v>120</v>
      </c>
      <c r="D1107">
        <v>15</v>
      </c>
      <c r="E1107">
        <v>6</v>
      </c>
      <c r="F1107">
        <v>10200</v>
      </c>
      <c r="G1107">
        <f t="shared" si="153"/>
        <v>102</v>
      </c>
      <c r="H1107">
        <v>600</v>
      </c>
      <c r="I1107" s="4">
        <f>Full_Data[[#This Row],[Selling Price]]/Full_Data[[#This Row],[Weight (g)]]</f>
        <v>0.17</v>
      </c>
      <c r="J1107" t="b">
        <v>0</v>
      </c>
      <c r="K1107">
        <v>600</v>
      </c>
      <c r="L1107">
        <f t="shared" si="154"/>
        <v>18</v>
      </c>
      <c r="M1107" t="str">
        <f t="shared" si="155"/>
        <v>Medium</v>
      </c>
      <c r="N1107" t="str">
        <f t="shared" si="156"/>
        <v>11-15%</v>
      </c>
      <c r="O1107" t="str">
        <f t="shared" si="157"/>
        <v>OK</v>
      </c>
      <c r="P1107">
        <f>IFERROR(Full_Data!G1107/Full_Data!H1107,"Check data")</f>
        <v>0.17</v>
      </c>
      <c r="Q1107" t="str">
        <f t="shared" si="158"/>
        <v>Match</v>
      </c>
      <c r="R1107" t="str">
        <f t="shared" si="159"/>
        <v>Match</v>
      </c>
      <c r="S1107" t="str">
        <f t="shared" si="160"/>
        <v>Match</v>
      </c>
    </row>
    <row r="1108" spans="1:19" x14ac:dyDescent="0.25">
      <c r="A1108" t="s">
        <v>1049</v>
      </c>
      <c r="B1108">
        <v>2500</v>
      </c>
      <c r="C1108">
        <f t="shared" si="161"/>
        <v>25</v>
      </c>
      <c r="D1108">
        <v>8</v>
      </c>
      <c r="E1108">
        <v>6</v>
      </c>
      <c r="F1108">
        <v>2300</v>
      </c>
      <c r="G1108">
        <f t="shared" si="153"/>
        <v>23</v>
      </c>
      <c r="H1108">
        <v>75</v>
      </c>
      <c r="I1108" s="4">
        <f>Full_Data[[#This Row],[Selling Price]]/Full_Data[[#This Row],[Weight (g)]]</f>
        <v>0.30666666666666664</v>
      </c>
      <c r="J1108" t="b">
        <v>0</v>
      </c>
      <c r="K1108">
        <v>75</v>
      </c>
      <c r="L1108">
        <f t="shared" si="154"/>
        <v>2</v>
      </c>
      <c r="M1108" t="str">
        <f t="shared" si="155"/>
        <v>Low</v>
      </c>
      <c r="N1108" t="str">
        <f t="shared" si="156"/>
        <v>6-10%</v>
      </c>
      <c r="O1108" t="str">
        <f t="shared" si="157"/>
        <v>OK</v>
      </c>
      <c r="P1108">
        <f>IFERROR(Full_Data!G1108/Full_Data!H1108,"Check data")</f>
        <v>0.30666666666666664</v>
      </c>
      <c r="Q1108" t="str">
        <f t="shared" si="158"/>
        <v>Match</v>
      </c>
      <c r="R1108" t="str">
        <f t="shared" si="159"/>
        <v>Match</v>
      </c>
      <c r="S1108" t="str">
        <f t="shared" si="160"/>
        <v>Match</v>
      </c>
    </row>
    <row r="1109" spans="1:19" x14ac:dyDescent="0.25">
      <c r="A1109" t="s">
        <v>1050</v>
      </c>
      <c r="B1109">
        <v>6000</v>
      </c>
      <c r="C1109">
        <f t="shared" si="161"/>
        <v>60</v>
      </c>
      <c r="D1109">
        <v>10</v>
      </c>
      <c r="E1109">
        <v>4</v>
      </c>
      <c r="F1109">
        <v>5400</v>
      </c>
      <c r="G1109">
        <f t="shared" si="153"/>
        <v>54</v>
      </c>
      <c r="H1109">
        <v>200</v>
      </c>
      <c r="I1109" s="4">
        <f>Full_Data[[#This Row],[Selling Price]]/Full_Data[[#This Row],[Weight (g)]]</f>
        <v>0.27</v>
      </c>
      <c r="J1109" t="b">
        <v>0</v>
      </c>
      <c r="K1109">
        <v>200</v>
      </c>
      <c r="L1109">
        <f t="shared" si="154"/>
        <v>6</v>
      </c>
      <c r="M1109" t="str">
        <f t="shared" si="155"/>
        <v>Medium</v>
      </c>
      <c r="N1109" t="str">
        <f t="shared" si="156"/>
        <v>6-10%</v>
      </c>
      <c r="O1109" t="str">
        <f t="shared" si="157"/>
        <v>OK</v>
      </c>
      <c r="P1109">
        <f>IFERROR(Full_Data!G1109/Full_Data!H1109,"Check data")</f>
        <v>0.27</v>
      </c>
      <c r="Q1109" t="str">
        <f t="shared" si="158"/>
        <v>Match</v>
      </c>
      <c r="R1109" t="str">
        <f t="shared" si="159"/>
        <v>Match</v>
      </c>
      <c r="S1109" t="str">
        <f t="shared" si="160"/>
        <v>Match</v>
      </c>
    </row>
    <row r="1110" spans="1:19" x14ac:dyDescent="0.25">
      <c r="A1110" t="s">
        <v>1051</v>
      </c>
      <c r="B1110">
        <v>4000</v>
      </c>
      <c r="C1110">
        <f t="shared" si="161"/>
        <v>40</v>
      </c>
      <c r="D1110">
        <v>17</v>
      </c>
      <c r="E1110">
        <v>6</v>
      </c>
      <c r="F1110">
        <v>3300</v>
      </c>
      <c r="G1110">
        <f t="shared" si="153"/>
        <v>33</v>
      </c>
      <c r="H1110">
        <v>30</v>
      </c>
      <c r="I1110" s="4">
        <f>Full_Data[[#This Row],[Selling Price]]/Full_Data[[#This Row],[Weight (g)]]</f>
        <v>1.1000000000000001</v>
      </c>
      <c r="J1110" t="b">
        <v>0</v>
      </c>
      <c r="K1110">
        <v>30</v>
      </c>
      <c r="L1110">
        <f t="shared" si="154"/>
        <v>7</v>
      </c>
      <c r="M1110" t="str">
        <f t="shared" si="155"/>
        <v>Low</v>
      </c>
      <c r="N1110" t="str">
        <f t="shared" si="156"/>
        <v>16-20%</v>
      </c>
      <c r="O1110" t="str">
        <f t="shared" si="157"/>
        <v>OK</v>
      </c>
      <c r="P1110">
        <f>IFERROR(Full_Data!G1110/Full_Data!H1110,"Check data")</f>
        <v>1.1000000000000001</v>
      </c>
      <c r="Q1110" t="str">
        <f t="shared" si="158"/>
        <v>Match</v>
      </c>
      <c r="R1110" t="str">
        <f t="shared" si="159"/>
        <v>Mismatch</v>
      </c>
      <c r="S1110" t="str">
        <f t="shared" si="160"/>
        <v>Mismatch</v>
      </c>
    </row>
    <row r="1111" spans="1:19" x14ac:dyDescent="0.25">
      <c r="A1111" t="s">
        <v>1052</v>
      </c>
      <c r="B1111">
        <v>6500</v>
      </c>
      <c r="C1111">
        <f t="shared" si="161"/>
        <v>65</v>
      </c>
      <c r="D1111">
        <v>6</v>
      </c>
      <c r="E1111">
        <v>2</v>
      </c>
      <c r="F1111">
        <v>6100</v>
      </c>
      <c r="G1111">
        <f t="shared" si="153"/>
        <v>61</v>
      </c>
      <c r="H1111">
        <v>200</v>
      </c>
      <c r="I1111" s="4">
        <f>Full_Data[[#This Row],[Selling Price]]/Full_Data[[#This Row],[Weight (g)]]</f>
        <v>0.30499999999999999</v>
      </c>
      <c r="J1111" t="b">
        <v>0</v>
      </c>
      <c r="K1111">
        <v>200</v>
      </c>
      <c r="L1111">
        <f t="shared" si="154"/>
        <v>4</v>
      </c>
      <c r="M1111" t="str">
        <f t="shared" si="155"/>
        <v>Medium</v>
      </c>
      <c r="N1111" t="str">
        <f t="shared" si="156"/>
        <v>6-10%</v>
      </c>
      <c r="O1111" t="str">
        <f t="shared" si="157"/>
        <v>OK</v>
      </c>
      <c r="P1111">
        <f>IFERROR(Full_Data!G1111/Full_Data!H1111,"Check data")</f>
        <v>0.30499999999999999</v>
      </c>
      <c r="Q1111" t="str">
        <f t="shared" si="158"/>
        <v>Match</v>
      </c>
      <c r="R1111" t="str">
        <f t="shared" si="159"/>
        <v>Mismatch</v>
      </c>
      <c r="S1111" t="str">
        <f t="shared" si="160"/>
        <v>Match</v>
      </c>
    </row>
    <row r="1112" spans="1:19" x14ac:dyDescent="0.25">
      <c r="A1112" t="s">
        <v>1053</v>
      </c>
      <c r="B1112">
        <v>10000</v>
      </c>
      <c r="C1112">
        <f t="shared" si="161"/>
        <v>100</v>
      </c>
      <c r="D1112">
        <v>0</v>
      </c>
      <c r="E1112">
        <v>6</v>
      </c>
      <c r="F1112">
        <v>10000</v>
      </c>
      <c r="G1112">
        <f t="shared" si="153"/>
        <v>100</v>
      </c>
      <c r="H1112">
        <v>500</v>
      </c>
      <c r="I1112" s="4">
        <f>Full_Data[[#This Row],[Selling Price]]/Full_Data[[#This Row],[Weight (g)]]</f>
        <v>0.2</v>
      </c>
      <c r="J1112" t="b">
        <v>0</v>
      </c>
      <c r="K1112">
        <v>500</v>
      </c>
      <c r="L1112">
        <f t="shared" si="154"/>
        <v>0</v>
      </c>
      <c r="M1112" t="str">
        <f t="shared" si="155"/>
        <v>Medium</v>
      </c>
      <c r="N1112" t="str">
        <f t="shared" si="156"/>
        <v>0-5%</v>
      </c>
      <c r="O1112" t="str">
        <f t="shared" si="157"/>
        <v>OK</v>
      </c>
      <c r="P1112">
        <f>IFERROR(Full_Data!G1112/Full_Data!H1112,"Check data")</f>
        <v>0.2</v>
      </c>
      <c r="Q1112" t="str">
        <f t="shared" si="158"/>
        <v>Match</v>
      </c>
      <c r="R1112" t="str">
        <f t="shared" si="159"/>
        <v>Match</v>
      </c>
      <c r="S1112" t="str">
        <f t="shared" si="160"/>
        <v>Match</v>
      </c>
    </row>
    <row r="1113" spans="1:19" x14ac:dyDescent="0.25">
      <c r="A1113" t="s">
        <v>1054</v>
      </c>
      <c r="B1113">
        <v>3500</v>
      </c>
      <c r="C1113">
        <f t="shared" si="161"/>
        <v>35</v>
      </c>
      <c r="D1113">
        <v>22</v>
      </c>
      <c r="E1113">
        <v>3</v>
      </c>
      <c r="F1113">
        <v>2700</v>
      </c>
      <c r="G1113">
        <f t="shared" si="153"/>
        <v>27</v>
      </c>
      <c r="H1113">
        <v>25</v>
      </c>
      <c r="I1113" s="4">
        <f>Full_Data[[#This Row],[Selling Price]]/Full_Data[[#This Row],[Weight (g)]]</f>
        <v>1.08</v>
      </c>
      <c r="J1113" t="b">
        <v>0</v>
      </c>
      <c r="K1113">
        <v>25</v>
      </c>
      <c r="L1113">
        <f t="shared" si="154"/>
        <v>8</v>
      </c>
      <c r="M1113" t="str">
        <f t="shared" si="155"/>
        <v>Low</v>
      </c>
      <c r="N1113" t="str">
        <f t="shared" si="156"/>
        <v>21%+</v>
      </c>
      <c r="O1113" t="str">
        <f t="shared" si="157"/>
        <v>OK</v>
      </c>
      <c r="P1113">
        <f>IFERROR(Full_Data!G1113/Full_Data!H1113,"Check data")</f>
        <v>1.08</v>
      </c>
      <c r="Q1113" t="str">
        <f t="shared" si="158"/>
        <v>Match</v>
      </c>
      <c r="R1113" t="str">
        <f t="shared" si="159"/>
        <v>Mismatch</v>
      </c>
      <c r="S1113" t="str">
        <f t="shared" si="160"/>
        <v>Mismatch</v>
      </c>
    </row>
    <row r="1114" spans="1:19" x14ac:dyDescent="0.25">
      <c r="A1114" t="s">
        <v>1016</v>
      </c>
      <c r="B1114">
        <v>15000</v>
      </c>
      <c r="C1114">
        <f t="shared" si="161"/>
        <v>150</v>
      </c>
      <c r="D1114">
        <v>20</v>
      </c>
      <c r="E1114">
        <v>6</v>
      </c>
      <c r="F1114">
        <v>12000</v>
      </c>
      <c r="G1114">
        <f t="shared" si="153"/>
        <v>120</v>
      </c>
      <c r="H1114">
        <v>696</v>
      </c>
      <c r="I1114" s="4">
        <f>Full_Data[[#This Row],[Selling Price]]/Full_Data[[#This Row],[Weight (g)]]</f>
        <v>0.17241379310344829</v>
      </c>
      <c r="J1114" t="b">
        <v>0</v>
      </c>
      <c r="K1114">
        <v>12</v>
      </c>
      <c r="L1114">
        <f t="shared" si="154"/>
        <v>30</v>
      </c>
      <c r="M1114" t="str">
        <f t="shared" si="155"/>
        <v>Medium</v>
      </c>
      <c r="N1114" t="str">
        <f t="shared" si="156"/>
        <v>16-20%</v>
      </c>
      <c r="O1114" t="str">
        <f t="shared" si="157"/>
        <v>OK</v>
      </c>
      <c r="P1114">
        <f>IFERROR(Full_Data!G1114/Full_Data!H1114,"Check data")</f>
        <v>0.17241379310344829</v>
      </c>
      <c r="Q1114" t="str">
        <f t="shared" si="158"/>
        <v>Match</v>
      </c>
      <c r="R1114" t="str">
        <f t="shared" si="159"/>
        <v>Match</v>
      </c>
      <c r="S1114" t="str">
        <f t="shared" si="160"/>
        <v>Match</v>
      </c>
    </row>
    <row r="1115" spans="1:19" x14ac:dyDescent="0.25">
      <c r="A1115" t="s">
        <v>1055</v>
      </c>
      <c r="B1115">
        <v>3000</v>
      </c>
      <c r="C1115">
        <f t="shared" si="161"/>
        <v>30</v>
      </c>
      <c r="D1115">
        <v>10</v>
      </c>
      <c r="E1115">
        <v>6</v>
      </c>
      <c r="F1115">
        <v>2700</v>
      </c>
      <c r="G1115">
        <f t="shared" si="153"/>
        <v>27</v>
      </c>
      <c r="H1115">
        <v>200</v>
      </c>
      <c r="I1115" s="4">
        <f>Full_Data[[#This Row],[Selling Price]]/Full_Data[[#This Row],[Weight (g)]]</f>
        <v>0.13500000000000001</v>
      </c>
      <c r="J1115" t="b">
        <v>0</v>
      </c>
      <c r="K1115">
        <v>200</v>
      </c>
      <c r="L1115">
        <f t="shared" si="154"/>
        <v>3</v>
      </c>
      <c r="M1115" t="str">
        <f t="shared" si="155"/>
        <v>Low</v>
      </c>
      <c r="N1115" t="str">
        <f t="shared" si="156"/>
        <v>6-10%</v>
      </c>
      <c r="O1115" t="str">
        <f t="shared" si="157"/>
        <v>OK</v>
      </c>
      <c r="P1115">
        <f>IFERROR(Full_Data!G1115/Full_Data!H1115,"Check data")</f>
        <v>0.13500000000000001</v>
      </c>
      <c r="Q1115" t="str">
        <f t="shared" si="158"/>
        <v>Match</v>
      </c>
      <c r="R1115" t="str">
        <f t="shared" si="159"/>
        <v>Match</v>
      </c>
      <c r="S1115" t="str">
        <f t="shared" si="160"/>
        <v>Match</v>
      </c>
    </row>
    <row r="1116" spans="1:19" x14ac:dyDescent="0.25">
      <c r="A1116" t="s">
        <v>1045</v>
      </c>
      <c r="B1116">
        <v>3000</v>
      </c>
      <c r="C1116">
        <f t="shared" si="161"/>
        <v>30</v>
      </c>
      <c r="D1116">
        <v>0</v>
      </c>
      <c r="E1116">
        <v>1</v>
      </c>
      <c r="F1116">
        <v>3000</v>
      </c>
      <c r="G1116">
        <f t="shared" si="153"/>
        <v>30</v>
      </c>
      <c r="H1116">
        <v>75</v>
      </c>
      <c r="I1116" s="4">
        <f>Full_Data[[#This Row],[Selling Price]]/Full_Data[[#This Row],[Weight (g)]]</f>
        <v>0.4</v>
      </c>
      <c r="J1116" t="b">
        <v>0</v>
      </c>
      <c r="K1116">
        <v>75</v>
      </c>
      <c r="L1116">
        <f t="shared" si="154"/>
        <v>0</v>
      </c>
      <c r="M1116" t="str">
        <f t="shared" si="155"/>
        <v>Low</v>
      </c>
      <c r="N1116" t="str">
        <f t="shared" si="156"/>
        <v>0-5%</v>
      </c>
      <c r="O1116" t="str">
        <f t="shared" si="157"/>
        <v>OK</v>
      </c>
      <c r="P1116">
        <f>IFERROR(Full_Data!G1116/Full_Data!H1116,"Check data")</f>
        <v>0.4</v>
      </c>
      <c r="Q1116" t="str">
        <f t="shared" si="158"/>
        <v>Match</v>
      </c>
      <c r="R1116" t="str">
        <f t="shared" si="159"/>
        <v>Match</v>
      </c>
      <c r="S1116" t="str">
        <f t="shared" si="160"/>
        <v>Match</v>
      </c>
    </row>
    <row r="1117" spans="1:19" x14ac:dyDescent="0.25">
      <c r="A1117" t="s">
        <v>1056</v>
      </c>
      <c r="B1117">
        <v>8000</v>
      </c>
      <c r="C1117">
        <f t="shared" si="161"/>
        <v>80</v>
      </c>
      <c r="D1117">
        <v>15</v>
      </c>
      <c r="E1117">
        <v>6</v>
      </c>
      <c r="F1117">
        <v>6800</v>
      </c>
      <c r="G1117">
        <f t="shared" si="153"/>
        <v>68</v>
      </c>
      <c r="H1117">
        <v>300</v>
      </c>
      <c r="I1117" s="4">
        <f>Full_Data[[#This Row],[Selling Price]]/Full_Data[[#This Row],[Weight (g)]]</f>
        <v>0.22666666666666666</v>
      </c>
      <c r="J1117" t="b">
        <v>0</v>
      </c>
      <c r="K1117">
        <v>300</v>
      </c>
      <c r="L1117">
        <f t="shared" si="154"/>
        <v>12</v>
      </c>
      <c r="M1117" t="str">
        <f t="shared" si="155"/>
        <v>Medium</v>
      </c>
      <c r="N1117" t="str">
        <f t="shared" si="156"/>
        <v>11-15%</v>
      </c>
      <c r="O1117" t="str">
        <f t="shared" si="157"/>
        <v>OK</v>
      </c>
      <c r="P1117">
        <f>IFERROR(Full_Data!G1117/Full_Data!H1117,"Check data")</f>
        <v>0.22666666666666666</v>
      </c>
      <c r="Q1117" t="str">
        <f t="shared" si="158"/>
        <v>Match</v>
      </c>
      <c r="R1117" t="str">
        <f t="shared" si="159"/>
        <v>Match</v>
      </c>
      <c r="S1117" t="str">
        <f t="shared" si="160"/>
        <v>Match</v>
      </c>
    </row>
    <row r="1118" spans="1:19" x14ac:dyDescent="0.25">
      <c r="A1118" t="s">
        <v>1057</v>
      </c>
      <c r="B1118">
        <v>3000</v>
      </c>
      <c r="C1118">
        <f t="shared" si="161"/>
        <v>30</v>
      </c>
      <c r="D1118">
        <v>0</v>
      </c>
      <c r="E1118">
        <v>3</v>
      </c>
      <c r="F1118">
        <v>3000</v>
      </c>
      <c r="G1118">
        <f t="shared" si="153"/>
        <v>30</v>
      </c>
      <c r="H1118">
        <v>120</v>
      </c>
      <c r="I1118" s="4">
        <f>Full_Data[[#This Row],[Selling Price]]/Full_Data[[#This Row],[Weight (g)]]</f>
        <v>0.25</v>
      </c>
      <c r="J1118" t="b">
        <v>0</v>
      </c>
      <c r="K1118">
        <v>120</v>
      </c>
      <c r="L1118">
        <f t="shared" si="154"/>
        <v>0</v>
      </c>
      <c r="M1118" t="str">
        <f t="shared" si="155"/>
        <v>Low</v>
      </c>
      <c r="N1118" t="str">
        <f t="shared" si="156"/>
        <v>0-5%</v>
      </c>
      <c r="O1118" t="str">
        <f t="shared" si="157"/>
        <v>OK</v>
      </c>
      <c r="P1118">
        <f>IFERROR(Full_Data!G1118/Full_Data!H1118,"Check data")</f>
        <v>0.25</v>
      </c>
      <c r="Q1118" t="str">
        <f t="shared" si="158"/>
        <v>Match</v>
      </c>
      <c r="R1118" t="str">
        <f t="shared" si="159"/>
        <v>Match</v>
      </c>
      <c r="S1118" t="str">
        <f t="shared" si="160"/>
        <v>Match</v>
      </c>
    </row>
    <row r="1119" spans="1:19" x14ac:dyDescent="0.25">
      <c r="A1119" t="s">
        <v>1058</v>
      </c>
      <c r="B1119">
        <v>3500</v>
      </c>
      <c r="C1119">
        <f t="shared" si="161"/>
        <v>35</v>
      </c>
      <c r="D1119">
        <v>2</v>
      </c>
      <c r="E1119">
        <v>3</v>
      </c>
      <c r="F1119">
        <v>3400</v>
      </c>
      <c r="G1119">
        <f t="shared" si="153"/>
        <v>34</v>
      </c>
      <c r="H1119">
        <v>75</v>
      </c>
      <c r="I1119" s="4">
        <f>Full_Data[[#This Row],[Selling Price]]/Full_Data[[#This Row],[Weight (g)]]</f>
        <v>0.45333333333333331</v>
      </c>
      <c r="J1119" t="b">
        <v>0</v>
      </c>
      <c r="K1119">
        <v>75</v>
      </c>
      <c r="L1119">
        <f t="shared" si="154"/>
        <v>1</v>
      </c>
      <c r="M1119" t="str">
        <f t="shared" si="155"/>
        <v>Low</v>
      </c>
      <c r="N1119" t="str">
        <f t="shared" si="156"/>
        <v>0-5%</v>
      </c>
      <c r="O1119" t="str">
        <f t="shared" si="157"/>
        <v>OK</v>
      </c>
      <c r="P1119">
        <f>IFERROR(Full_Data!G1119/Full_Data!H1119,"Check data")</f>
        <v>0.45333333333333331</v>
      </c>
      <c r="Q1119" t="str">
        <f t="shared" si="158"/>
        <v>Match</v>
      </c>
      <c r="R1119" t="str">
        <f t="shared" si="159"/>
        <v>Mismatch</v>
      </c>
      <c r="S1119" t="str">
        <f t="shared" si="160"/>
        <v>Mismatch</v>
      </c>
    </row>
    <row r="1120" spans="1:19" x14ac:dyDescent="0.25">
      <c r="A1120" t="s">
        <v>1059</v>
      </c>
      <c r="B1120">
        <v>21000</v>
      </c>
      <c r="C1120">
        <f t="shared" si="161"/>
        <v>210</v>
      </c>
      <c r="D1120">
        <v>5</v>
      </c>
      <c r="E1120">
        <v>4</v>
      </c>
      <c r="F1120">
        <v>19900</v>
      </c>
      <c r="G1120">
        <f t="shared" si="153"/>
        <v>199</v>
      </c>
      <c r="H1120">
        <v>400</v>
      </c>
      <c r="I1120" s="4">
        <f>Full_Data[[#This Row],[Selling Price]]/Full_Data[[#This Row],[Weight (g)]]</f>
        <v>0.4975</v>
      </c>
      <c r="J1120" t="b">
        <v>0</v>
      </c>
      <c r="K1120">
        <v>400</v>
      </c>
      <c r="L1120">
        <f t="shared" si="154"/>
        <v>11</v>
      </c>
      <c r="M1120" t="str">
        <f t="shared" si="155"/>
        <v>Medium</v>
      </c>
      <c r="N1120" t="str">
        <f t="shared" si="156"/>
        <v>0-5%</v>
      </c>
      <c r="O1120" t="str">
        <f t="shared" si="157"/>
        <v>OK</v>
      </c>
      <c r="P1120">
        <f>IFERROR(Full_Data!G1120/Full_Data!H1120,"Check data")</f>
        <v>0.4975</v>
      </c>
      <c r="Q1120" t="str">
        <f t="shared" si="158"/>
        <v>Match</v>
      </c>
      <c r="R1120" t="str">
        <f t="shared" si="159"/>
        <v>Mismatch</v>
      </c>
      <c r="S1120" t="str">
        <f t="shared" si="160"/>
        <v>Match</v>
      </c>
    </row>
    <row r="1121" spans="1:19" x14ac:dyDescent="0.25">
      <c r="A1121" t="s">
        <v>1060</v>
      </c>
      <c r="B1121">
        <v>12000</v>
      </c>
      <c r="C1121">
        <f t="shared" si="161"/>
        <v>120</v>
      </c>
      <c r="D1121">
        <v>20</v>
      </c>
      <c r="E1121">
        <v>4</v>
      </c>
      <c r="F1121">
        <v>9600</v>
      </c>
      <c r="G1121">
        <f t="shared" si="153"/>
        <v>96</v>
      </c>
      <c r="H1121">
        <v>300</v>
      </c>
      <c r="I1121" s="4">
        <f>Full_Data[[#This Row],[Selling Price]]/Full_Data[[#This Row],[Weight (g)]]</f>
        <v>0.32</v>
      </c>
      <c r="J1121" t="b">
        <v>0</v>
      </c>
      <c r="K1121">
        <v>300</v>
      </c>
      <c r="L1121">
        <f t="shared" si="154"/>
        <v>24</v>
      </c>
      <c r="M1121" t="str">
        <f t="shared" si="155"/>
        <v>Medium</v>
      </c>
      <c r="N1121" t="str">
        <f t="shared" si="156"/>
        <v>16-20%</v>
      </c>
      <c r="O1121" t="str">
        <f t="shared" si="157"/>
        <v>OK</v>
      </c>
      <c r="P1121">
        <f>IFERROR(Full_Data!G1121/Full_Data!H1121,"Check data")</f>
        <v>0.32</v>
      </c>
      <c r="Q1121" t="str">
        <f t="shared" si="158"/>
        <v>Match</v>
      </c>
      <c r="R1121" t="str">
        <f t="shared" si="159"/>
        <v>Match</v>
      </c>
      <c r="S1121" t="str">
        <f t="shared" si="160"/>
        <v>Match</v>
      </c>
    </row>
    <row r="1122" spans="1:19" x14ac:dyDescent="0.25">
      <c r="A1122" t="s">
        <v>1061</v>
      </c>
      <c r="B1122">
        <v>4500</v>
      </c>
      <c r="C1122">
        <f t="shared" si="161"/>
        <v>45</v>
      </c>
      <c r="D1122">
        <v>11</v>
      </c>
      <c r="E1122">
        <v>6</v>
      </c>
      <c r="F1122">
        <v>4000</v>
      </c>
      <c r="G1122">
        <f t="shared" si="153"/>
        <v>40</v>
      </c>
      <c r="H1122">
        <v>60</v>
      </c>
      <c r="I1122" s="4">
        <f>Full_Data[[#This Row],[Selling Price]]/Full_Data[[#This Row],[Weight (g)]]</f>
        <v>0.66666666666666663</v>
      </c>
      <c r="J1122" t="b">
        <v>0</v>
      </c>
      <c r="K1122">
        <v>1</v>
      </c>
      <c r="L1122">
        <f t="shared" si="154"/>
        <v>5</v>
      </c>
      <c r="M1122" t="str">
        <f t="shared" si="155"/>
        <v>Low</v>
      </c>
      <c r="N1122" t="str">
        <f t="shared" si="156"/>
        <v>11-15%</v>
      </c>
      <c r="O1122" t="str">
        <f t="shared" si="157"/>
        <v>OK</v>
      </c>
      <c r="P1122">
        <f>IFERROR(Full_Data!G1122/Full_Data!H1122,"Check data")</f>
        <v>0.66666666666666663</v>
      </c>
      <c r="Q1122" t="str">
        <f t="shared" si="158"/>
        <v>Match</v>
      </c>
      <c r="R1122" t="str">
        <f t="shared" si="159"/>
        <v>Mismatch</v>
      </c>
      <c r="S1122" t="str">
        <f t="shared" si="160"/>
        <v>Match</v>
      </c>
    </row>
    <row r="1123" spans="1:19" x14ac:dyDescent="0.25">
      <c r="A1123" t="s">
        <v>1062</v>
      </c>
      <c r="B1123">
        <v>3000</v>
      </c>
      <c r="C1123">
        <f t="shared" si="161"/>
        <v>30</v>
      </c>
      <c r="D1123">
        <v>6</v>
      </c>
      <c r="E1123">
        <v>6</v>
      </c>
      <c r="F1123">
        <v>2800</v>
      </c>
      <c r="G1123">
        <f t="shared" si="153"/>
        <v>28</v>
      </c>
      <c r="H1123">
        <v>75</v>
      </c>
      <c r="I1123" s="4">
        <f>Full_Data[[#This Row],[Selling Price]]/Full_Data[[#This Row],[Weight (g)]]</f>
        <v>0.37333333333333335</v>
      </c>
      <c r="J1123" t="b">
        <v>0</v>
      </c>
      <c r="K1123">
        <v>75</v>
      </c>
      <c r="L1123">
        <f t="shared" si="154"/>
        <v>2</v>
      </c>
      <c r="M1123" t="str">
        <f t="shared" si="155"/>
        <v>Low</v>
      </c>
      <c r="N1123" t="str">
        <f t="shared" si="156"/>
        <v>6-10%</v>
      </c>
      <c r="O1123" t="str">
        <f t="shared" si="157"/>
        <v>OK</v>
      </c>
      <c r="P1123">
        <f>IFERROR(Full_Data!G1123/Full_Data!H1123,"Check data")</f>
        <v>0.37333333333333335</v>
      </c>
      <c r="Q1123" t="str">
        <f t="shared" si="158"/>
        <v>Match</v>
      </c>
      <c r="R1123" t="str">
        <f t="shared" si="159"/>
        <v>Mismatch</v>
      </c>
      <c r="S1123" t="str">
        <f t="shared" si="160"/>
        <v>Mismatch</v>
      </c>
    </row>
    <row r="1124" spans="1:19" x14ac:dyDescent="0.25">
      <c r="A1124" t="s">
        <v>1063</v>
      </c>
      <c r="B1124">
        <v>6000</v>
      </c>
      <c r="C1124">
        <f t="shared" si="161"/>
        <v>60</v>
      </c>
      <c r="D1124">
        <v>0</v>
      </c>
      <c r="E1124">
        <v>6</v>
      </c>
      <c r="F1124">
        <v>6000</v>
      </c>
      <c r="G1124">
        <f t="shared" si="153"/>
        <v>60</v>
      </c>
      <c r="H1124">
        <v>150</v>
      </c>
      <c r="I1124" s="4">
        <f>Full_Data[[#This Row],[Selling Price]]/Full_Data[[#This Row],[Weight (g)]]</f>
        <v>0.4</v>
      </c>
      <c r="J1124" t="b">
        <v>0</v>
      </c>
      <c r="K1124">
        <v>150</v>
      </c>
      <c r="L1124">
        <f t="shared" si="154"/>
        <v>0</v>
      </c>
      <c r="M1124" t="str">
        <f t="shared" si="155"/>
        <v>Medium</v>
      </c>
      <c r="N1124" t="str">
        <f t="shared" si="156"/>
        <v>0-5%</v>
      </c>
      <c r="O1124" t="str">
        <f t="shared" si="157"/>
        <v>OK</v>
      </c>
      <c r="P1124">
        <f>IFERROR(Full_Data!G1124/Full_Data!H1124,"Check data")</f>
        <v>0.4</v>
      </c>
      <c r="Q1124" t="str">
        <f t="shared" si="158"/>
        <v>Match</v>
      </c>
      <c r="R1124" t="str">
        <f t="shared" si="159"/>
        <v>Match</v>
      </c>
      <c r="S1124" t="str">
        <f t="shared" si="160"/>
        <v>Match</v>
      </c>
    </row>
    <row r="1125" spans="1:19" x14ac:dyDescent="0.25">
      <c r="A1125" t="s">
        <v>1064</v>
      </c>
      <c r="B1125">
        <v>6000</v>
      </c>
      <c r="C1125">
        <f t="shared" si="161"/>
        <v>60</v>
      </c>
      <c r="D1125">
        <v>6</v>
      </c>
      <c r="E1125">
        <v>2</v>
      </c>
      <c r="F1125">
        <v>5600</v>
      </c>
      <c r="G1125">
        <f t="shared" si="153"/>
        <v>56</v>
      </c>
      <c r="H1125">
        <v>200</v>
      </c>
      <c r="I1125" s="4">
        <f>Full_Data[[#This Row],[Selling Price]]/Full_Data[[#This Row],[Weight (g)]]</f>
        <v>0.28000000000000003</v>
      </c>
      <c r="J1125" t="b">
        <v>0</v>
      </c>
      <c r="K1125">
        <v>200</v>
      </c>
      <c r="L1125">
        <f t="shared" si="154"/>
        <v>4</v>
      </c>
      <c r="M1125" t="str">
        <f t="shared" si="155"/>
        <v>Medium</v>
      </c>
      <c r="N1125" t="str">
        <f t="shared" si="156"/>
        <v>6-10%</v>
      </c>
      <c r="O1125" t="str">
        <f t="shared" si="157"/>
        <v>OK</v>
      </c>
      <c r="P1125">
        <f>IFERROR(Full_Data!G1125/Full_Data!H1125,"Check data")</f>
        <v>0.28000000000000003</v>
      </c>
      <c r="Q1125" t="str">
        <f t="shared" si="158"/>
        <v>Match</v>
      </c>
      <c r="R1125" t="str">
        <f t="shared" si="159"/>
        <v>Mismatch</v>
      </c>
      <c r="S1125" t="str">
        <f t="shared" si="160"/>
        <v>Mismatch</v>
      </c>
    </row>
    <row r="1126" spans="1:19" x14ac:dyDescent="0.25">
      <c r="A1126" t="s">
        <v>1065</v>
      </c>
      <c r="B1126">
        <v>4500</v>
      </c>
      <c r="C1126">
        <f t="shared" si="161"/>
        <v>45</v>
      </c>
      <c r="D1126">
        <v>15</v>
      </c>
      <c r="E1126">
        <v>5</v>
      </c>
      <c r="F1126">
        <v>3800</v>
      </c>
      <c r="G1126">
        <f t="shared" si="153"/>
        <v>38</v>
      </c>
      <c r="H1126">
        <v>75</v>
      </c>
      <c r="I1126" s="4">
        <f>Full_Data[[#This Row],[Selling Price]]/Full_Data[[#This Row],[Weight (g)]]</f>
        <v>0.50666666666666671</v>
      </c>
      <c r="J1126" t="b">
        <v>0</v>
      </c>
      <c r="K1126">
        <v>75</v>
      </c>
      <c r="L1126">
        <f t="shared" si="154"/>
        <v>7</v>
      </c>
      <c r="M1126" t="str">
        <f t="shared" si="155"/>
        <v>Low</v>
      </c>
      <c r="N1126" t="str">
        <f t="shared" si="156"/>
        <v>11-15%</v>
      </c>
      <c r="O1126" t="str">
        <f t="shared" si="157"/>
        <v>OK</v>
      </c>
      <c r="P1126">
        <f>IFERROR(Full_Data!G1126/Full_Data!H1126,"Check data")</f>
        <v>0.50666666666666671</v>
      </c>
      <c r="Q1126" t="str">
        <f t="shared" si="158"/>
        <v>Match</v>
      </c>
      <c r="R1126" t="str">
        <f t="shared" si="159"/>
        <v>Mismatch</v>
      </c>
      <c r="S1126" t="str">
        <f t="shared" si="160"/>
        <v>Mismatch</v>
      </c>
    </row>
    <row r="1127" spans="1:19" x14ac:dyDescent="0.25">
      <c r="A1127" t="s">
        <v>1066</v>
      </c>
      <c r="B1127">
        <v>4500</v>
      </c>
      <c r="C1127">
        <f t="shared" si="161"/>
        <v>45</v>
      </c>
      <c r="D1127">
        <v>11</v>
      </c>
      <c r="E1127">
        <v>6</v>
      </c>
      <c r="F1127">
        <v>4000</v>
      </c>
      <c r="G1127">
        <f t="shared" si="153"/>
        <v>40</v>
      </c>
      <c r="H1127">
        <v>60</v>
      </c>
      <c r="I1127" s="4">
        <f>Full_Data[[#This Row],[Selling Price]]/Full_Data[[#This Row],[Weight (g)]]</f>
        <v>0.66666666666666663</v>
      </c>
      <c r="J1127" t="b">
        <v>0</v>
      </c>
      <c r="K1127">
        <v>60</v>
      </c>
      <c r="L1127">
        <f t="shared" si="154"/>
        <v>5</v>
      </c>
      <c r="M1127" t="str">
        <f t="shared" si="155"/>
        <v>Low</v>
      </c>
      <c r="N1127" t="str">
        <f t="shared" si="156"/>
        <v>11-15%</v>
      </c>
      <c r="O1127" t="str">
        <f t="shared" si="157"/>
        <v>OK</v>
      </c>
      <c r="P1127">
        <f>IFERROR(Full_Data!G1127/Full_Data!H1127,"Check data")</f>
        <v>0.66666666666666663</v>
      </c>
      <c r="Q1127" t="str">
        <f t="shared" si="158"/>
        <v>Match</v>
      </c>
      <c r="R1127" t="str">
        <f t="shared" si="159"/>
        <v>Mismatch</v>
      </c>
      <c r="S1127" t="str">
        <f t="shared" si="160"/>
        <v>Match</v>
      </c>
    </row>
    <row r="1128" spans="1:19" x14ac:dyDescent="0.25">
      <c r="A1128" t="s">
        <v>1067</v>
      </c>
      <c r="B1128">
        <v>6000</v>
      </c>
      <c r="C1128">
        <f t="shared" si="161"/>
        <v>60</v>
      </c>
      <c r="D1128">
        <v>10</v>
      </c>
      <c r="E1128">
        <v>6</v>
      </c>
      <c r="F1128">
        <v>5400</v>
      </c>
      <c r="G1128">
        <f t="shared" si="153"/>
        <v>54</v>
      </c>
      <c r="H1128">
        <v>180</v>
      </c>
      <c r="I1128" s="4">
        <f>Full_Data[[#This Row],[Selling Price]]/Full_Data[[#This Row],[Weight (g)]]</f>
        <v>0.3</v>
      </c>
      <c r="J1128" t="b">
        <v>0</v>
      </c>
      <c r="K1128">
        <v>190</v>
      </c>
      <c r="L1128">
        <f t="shared" si="154"/>
        <v>6</v>
      </c>
      <c r="M1128" t="str">
        <f t="shared" si="155"/>
        <v>Medium</v>
      </c>
      <c r="N1128" t="str">
        <f t="shared" si="156"/>
        <v>6-10%</v>
      </c>
      <c r="O1128" t="str">
        <f t="shared" si="157"/>
        <v>OK</v>
      </c>
      <c r="P1128">
        <f>IFERROR(Full_Data!G1128/Full_Data!H1128,"Check data")</f>
        <v>0.3</v>
      </c>
      <c r="Q1128" t="str">
        <f t="shared" si="158"/>
        <v>Match</v>
      </c>
      <c r="R1128" t="str">
        <f t="shared" si="159"/>
        <v>Match</v>
      </c>
      <c r="S1128" t="str">
        <f t="shared" si="160"/>
        <v>Match</v>
      </c>
    </row>
    <row r="1129" spans="1:19" x14ac:dyDescent="0.25">
      <c r="A1129" t="s">
        <v>1068</v>
      </c>
      <c r="B1129">
        <v>5000</v>
      </c>
      <c r="C1129">
        <f t="shared" si="161"/>
        <v>50</v>
      </c>
      <c r="D1129">
        <v>6</v>
      </c>
      <c r="E1129">
        <v>6</v>
      </c>
      <c r="F1129">
        <v>4700</v>
      </c>
      <c r="G1129">
        <f t="shared" si="153"/>
        <v>47</v>
      </c>
      <c r="H1129">
        <v>150</v>
      </c>
      <c r="I1129" s="4">
        <f>Full_Data[[#This Row],[Selling Price]]/Full_Data[[#This Row],[Weight (g)]]</f>
        <v>0.31333333333333335</v>
      </c>
      <c r="J1129" t="b">
        <v>0</v>
      </c>
      <c r="K1129">
        <v>150</v>
      </c>
      <c r="L1129">
        <f t="shared" si="154"/>
        <v>3</v>
      </c>
      <c r="M1129" t="str">
        <f t="shared" si="155"/>
        <v>Low</v>
      </c>
      <c r="N1129" t="str">
        <f t="shared" si="156"/>
        <v>6-10%</v>
      </c>
      <c r="O1129" t="str">
        <f t="shared" si="157"/>
        <v>OK</v>
      </c>
      <c r="P1129">
        <f>IFERROR(Full_Data!G1129/Full_Data!H1129,"Check data")</f>
        <v>0.31333333333333335</v>
      </c>
      <c r="Q1129" t="str">
        <f t="shared" si="158"/>
        <v>Match</v>
      </c>
      <c r="R1129" t="str">
        <f t="shared" si="159"/>
        <v>Match</v>
      </c>
      <c r="S1129" t="str">
        <f t="shared" si="160"/>
        <v>Match</v>
      </c>
    </row>
    <row r="1130" spans="1:19" x14ac:dyDescent="0.25">
      <c r="A1130" t="s">
        <v>1069</v>
      </c>
      <c r="B1130">
        <v>15000</v>
      </c>
      <c r="C1130">
        <f t="shared" si="161"/>
        <v>150</v>
      </c>
      <c r="D1130">
        <v>25</v>
      </c>
      <c r="E1130">
        <v>2</v>
      </c>
      <c r="F1130">
        <v>11200</v>
      </c>
      <c r="G1130">
        <f t="shared" si="153"/>
        <v>112</v>
      </c>
      <c r="H1130">
        <v>336</v>
      </c>
      <c r="I1130" s="4">
        <f>Full_Data[[#This Row],[Selling Price]]/Full_Data[[#This Row],[Weight (g)]]</f>
        <v>0.33333333333333331</v>
      </c>
      <c r="J1130" t="b">
        <v>0</v>
      </c>
      <c r="K1130">
        <v>336</v>
      </c>
      <c r="L1130">
        <f t="shared" si="154"/>
        <v>38</v>
      </c>
      <c r="M1130" t="str">
        <f t="shared" si="155"/>
        <v>Medium</v>
      </c>
      <c r="N1130" t="str">
        <f t="shared" si="156"/>
        <v>21%+</v>
      </c>
      <c r="O1130" t="str">
        <f t="shared" si="157"/>
        <v>OK</v>
      </c>
      <c r="P1130">
        <f>IFERROR(Full_Data!G1130/Full_Data!H1130,"Check data")</f>
        <v>0.33333333333333331</v>
      </c>
      <c r="Q1130" t="str">
        <f t="shared" si="158"/>
        <v>Match</v>
      </c>
      <c r="R1130" t="str">
        <f t="shared" si="159"/>
        <v>Mismatch</v>
      </c>
      <c r="S1130" t="str">
        <f t="shared" si="160"/>
        <v>Match</v>
      </c>
    </row>
    <row r="1131" spans="1:19" x14ac:dyDescent="0.25">
      <c r="A1131" t="s">
        <v>1070</v>
      </c>
      <c r="B1131">
        <v>12000</v>
      </c>
      <c r="C1131">
        <f t="shared" si="161"/>
        <v>120</v>
      </c>
      <c r="D1131">
        <v>10</v>
      </c>
      <c r="E1131">
        <v>6</v>
      </c>
      <c r="F1131">
        <v>10800</v>
      </c>
      <c r="G1131">
        <f t="shared" si="153"/>
        <v>108</v>
      </c>
      <c r="H1131">
        <v>120</v>
      </c>
      <c r="I1131" s="4">
        <f>Full_Data[[#This Row],[Selling Price]]/Full_Data[[#This Row],[Weight (g)]]</f>
        <v>0.9</v>
      </c>
      <c r="J1131" t="b">
        <v>0</v>
      </c>
      <c r="K1131">
        <v>120</v>
      </c>
      <c r="L1131">
        <f t="shared" si="154"/>
        <v>12</v>
      </c>
      <c r="M1131" t="str">
        <f t="shared" si="155"/>
        <v>Medium</v>
      </c>
      <c r="N1131" t="str">
        <f t="shared" si="156"/>
        <v>6-10%</v>
      </c>
      <c r="O1131" t="str">
        <f t="shared" si="157"/>
        <v>OK</v>
      </c>
      <c r="P1131">
        <f>IFERROR(Full_Data!G1131/Full_Data!H1131,"Check data")</f>
        <v>0.9</v>
      </c>
      <c r="Q1131" t="str">
        <f t="shared" si="158"/>
        <v>Match</v>
      </c>
      <c r="R1131" t="str">
        <f t="shared" si="159"/>
        <v>Match</v>
      </c>
      <c r="S1131" t="str">
        <f t="shared" si="160"/>
        <v>Match</v>
      </c>
    </row>
    <row r="1132" spans="1:19" x14ac:dyDescent="0.25">
      <c r="A1132" t="s">
        <v>1071</v>
      </c>
      <c r="B1132">
        <v>3000</v>
      </c>
      <c r="C1132">
        <f t="shared" si="161"/>
        <v>30</v>
      </c>
      <c r="D1132">
        <v>0</v>
      </c>
      <c r="E1132">
        <v>3</v>
      </c>
      <c r="F1132">
        <v>3000</v>
      </c>
      <c r="G1132">
        <f t="shared" si="153"/>
        <v>30</v>
      </c>
      <c r="H1132">
        <v>150</v>
      </c>
      <c r="I1132" s="4">
        <f>Full_Data[[#This Row],[Selling Price]]/Full_Data[[#This Row],[Weight (g)]]</f>
        <v>0.2</v>
      </c>
      <c r="J1132" t="b">
        <v>0</v>
      </c>
      <c r="K1132">
        <v>150</v>
      </c>
      <c r="L1132">
        <f t="shared" si="154"/>
        <v>0</v>
      </c>
      <c r="M1132" t="str">
        <f t="shared" si="155"/>
        <v>Low</v>
      </c>
      <c r="N1132" t="str">
        <f t="shared" si="156"/>
        <v>0-5%</v>
      </c>
      <c r="O1132" t="str">
        <f t="shared" si="157"/>
        <v>OK</v>
      </c>
      <c r="P1132">
        <f>IFERROR(Full_Data!G1132/Full_Data!H1132,"Check data")</f>
        <v>0.2</v>
      </c>
      <c r="Q1132" t="str">
        <f t="shared" si="158"/>
        <v>Match</v>
      </c>
      <c r="R1132" t="str">
        <f t="shared" si="159"/>
        <v>Match</v>
      </c>
      <c r="S1132" t="str">
        <f t="shared" si="160"/>
        <v>Match</v>
      </c>
    </row>
    <row r="1133" spans="1:19" x14ac:dyDescent="0.25">
      <c r="A1133" t="s">
        <v>1072</v>
      </c>
      <c r="B1133">
        <v>3500</v>
      </c>
      <c r="C1133">
        <f t="shared" si="161"/>
        <v>35</v>
      </c>
      <c r="D1133">
        <v>22</v>
      </c>
      <c r="E1133">
        <v>1</v>
      </c>
      <c r="F1133">
        <v>2700</v>
      </c>
      <c r="G1133">
        <f t="shared" si="153"/>
        <v>27</v>
      </c>
      <c r="H1133">
        <v>25</v>
      </c>
      <c r="I1133" s="4">
        <f>Full_Data[[#This Row],[Selling Price]]/Full_Data[[#This Row],[Weight (g)]]</f>
        <v>1.08</v>
      </c>
      <c r="J1133" t="b">
        <v>0</v>
      </c>
      <c r="K1133">
        <v>25</v>
      </c>
      <c r="L1133">
        <f t="shared" si="154"/>
        <v>8</v>
      </c>
      <c r="M1133" t="str">
        <f t="shared" si="155"/>
        <v>Low</v>
      </c>
      <c r="N1133" t="str">
        <f t="shared" si="156"/>
        <v>21%+</v>
      </c>
      <c r="O1133" t="str">
        <f t="shared" si="157"/>
        <v>OK</v>
      </c>
      <c r="P1133">
        <f>IFERROR(Full_Data!G1133/Full_Data!H1133,"Check data")</f>
        <v>1.08</v>
      </c>
      <c r="Q1133" t="str">
        <f t="shared" si="158"/>
        <v>Match</v>
      </c>
      <c r="R1133" t="str">
        <f t="shared" si="159"/>
        <v>Mismatch</v>
      </c>
      <c r="S1133" t="str">
        <f t="shared" si="160"/>
        <v>Mismatch</v>
      </c>
    </row>
    <row r="1134" spans="1:19" x14ac:dyDescent="0.25">
      <c r="A1134" t="s">
        <v>1073</v>
      </c>
      <c r="B1134">
        <v>6000</v>
      </c>
      <c r="C1134">
        <f t="shared" si="161"/>
        <v>60</v>
      </c>
      <c r="D1134">
        <v>6</v>
      </c>
      <c r="E1134">
        <v>1</v>
      </c>
      <c r="F1134">
        <v>5600</v>
      </c>
      <c r="G1134">
        <f t="shared" si="153"/>
        <v>56</v>
      </c>
      <c r="H1134">
        <v>100</v>
      </c>
      <c r="I1134" s="4">
        <f>Full_Data[[#This Row],[Selling Price]]/Full_Data[[#This Row],[Weight (g)]]</f>
        <v>0.56000000000000005</v>
      </c>
      <c r="J1134" t="b">
        <v>0</v>
      </c>
      <c r="K1134">
        <v>100</v>
      </c>
      <c r="L1134">
        <f t="shared" si="154"/>
        <v>4</v>
      </c>
      <c r="M1134" t="str">
        <f t="shared" si="155"/>
        <v>Medium</v>
      </c>
      <c r="N1134" t="str">
        <f t="shared" si="156"/>
        <v>6-10%</v>
      </c>
      <c r="O1134" t="str">
        <f t="shared" si="157"/>
        <v>OK</v>
      </c>
      <c r="P1134">
        <f>IFERROR(Full_Data!G1134/Full_Data!H1134,"Check data")</f>
        <v>0.56000000000000005</v>
      </c>
      <c r="Q1134" t="str">
        <f t="shared" si="158"/>
        <v>Match</v>
      </c>
      <c r="R1134" t="str">
        <f t="shared" si="159"/>
        <v>Mismatch</v>
      </c>
      <c r="S1134" t="str">
        <f t="shared" si="160"/>
        <v>Mismatch</v>
      </c>
    </row>
    <row r="1135" spans="1:19" x14ac:dyDescent="0.25">
      <c r="A1135" t="s">
        <v>1074</v>
      </c>
      <c r="B1135">
        <v>14900</v>
      </c>
      <c r="C1135">
        <f t="shared" si="161"/>
        <v>149</v>
      </c>
      <c r="D1135">
        <v>8</v>
      </c>
      <c r="E1135">
        <v>6</v>
      </c>
      <c r="F1135">
        <v>13700</v>
      </c>
      <c r="G1135">
        <f t="shared" si="153"/>
        <v>137</v>
      </c>
      <c r="H1135">
        <v>450</v>
      </c>
      <c r="I1135" s="4">
        <f>Full_Data[[#This Row],[Selling Price]]/Full_Data[[#This Row],[Weight (g)]]</f>
        <v>0.30444444444444446</v>
      </c>
      <c r="J1135" t="b">
        <v>0</v>
      </c>
      <c r="K1135">
        <v>450</v>
      </c>
      <c r="L1135">
        <f t="shared" si="154"/>
        <v>12</v>
      </c>
      <c r="M1135" t="str">
        <f t="shared" si="155"/>
        <v>Medium</v>
      </c>
      <c r="N1135" t="str">
        <f t="shared" si="156"/>
        <v>6-10%</v>
      </c>
      <c r="O1135" t="str">
        <f t="shared" si="157"/>
        <v>OK</v>
      </c>
      <c r="P1135">
        <f>IFERROR(Full_Data!G1135/Full_Data!H1135,"Check data")</f>
        <v>0.30444444444444446</v>
      </c>
      <c r="Q1135" t="str">
        <f t="shared" si="158"/>
        <v>Match</v>
      </c>
      <c r="R1135" t="str">
        <f t="shared" si="159"/>
        <v>Mismatch</v>
      </c>
      <c r="S1135" t="str">
        <f t="shared" si="160"/>
        <v>Match</v>
      </c>
    </row>
    <row r="1136" spans="1:19" x14ac:dyDescent="0.25">
      <c r="A1136" t="s">
        <v>1075</v>
      </c>
      <c r="B1136">
        <v>6000</v>
      </c>
      <c r="C1136">
        <f t="shared" si="161"/>
        <v>60</v>
      </c>
      <c r="D1136">
        <v>6</v>
      </c>
      <c r="E1136">
        <v>4</v>
      </c>
      <c r="F1136">
        <v>5600</v>
      </c>
      <c r="G1136">
        <f t="shared" si="153"/>
        <v>56</v>
      </c>
      <c r="H1136">
        <v>200</v>
      </c>
      <c r="I1136" s="4">
        <f>Full_Data[[#This Row],[Selling Price]]/Full_Data[[#This Row],[Weight (g)]]</f>
        <v>0.28000000000000003</v>
      </c>
      <c r="J1136" t="b">
        <v>0</v>
      </c>
      <c r="K1136">
        <v>200</v>
      </c>
      <c r="L1136">
        <f t="shared" si="154"/>
        <v>4</v>
      </c>
      <c r="M1136" t="str">
        <f t="shared" si="155"/>
        <v>Medium</v>
      </c>
      <c r="N1136" t="str">
        <f t="shared" si="156"/>
        <v>6-10%</v>
      </c>
      <c r="O1136" t="str">
        <f t="shared" si="157"/>
        <v>OK</v>
      </c>
      <c r="P1136">
        <f>IFERROR(Full_Data!G1136/Full_Data!H1136,"Check data")</f>
        <v>0.28000000000000003</v>
      </c>
      <c r="Q1136" t="str">
        <f t="shared" si="158"/>
        <v>Match</v>
      </c>
      <c r="R1136" t="str">
        <f t="shared" si="159"/>
        <v>Mismatch</v>
      </c>
      <c r="S1136" t="str">
        <f t="shared" si="160"/>
        <v>Mismatch</v>
      </c>
    </row>
    <row r="1137" spans="1:19" x14ac:dyDescent="0.25">
      <c r="A1137" t="s">
        <v>1076</v>
      </c>
      <c r="B1137">
        <v>9000</v>
      </c>
      <c r="C1137">
        <f t="shared" si="161"/>
        <v>90</v>
      </c>
      <c r="D1137">
        <v>10</v>
      </c>
      <c r="E1137">
        <v>6</v>
      </c>
      <c r="F1137">
        <v>8100</v>
      </c>
      <c r="G1137">
        <f t="shared" si="153"/>
        <v>81</v>
      </c>
      <c r="H1137">
        <v>168</v>
      </c>
      <c r="I1137" s="4">
        <f>Full_Data[[#This Row],[Selling Price]]/Full_Data[[#This Row],[Weight (g)]]</f>
        <v>0.48214285714285715</v>
      </c>
      <c r="J1137" t="b">
        <v>0</v>
      </c>
      <c r="K1137">
        <v>168</v>
      </c>
      <c r="L1137">
        <f t="shared" si="154"/>
        <v>9</v>
      </c>
      <c r="M1137" t="str">
        <f t="shared" si="155"/>
        <v>Medium</v>
      </c>
      <c r="N1137" t="str">
        <f t="shared" si="156"/>
        <v>6-10%</v>
      </c>
      <c r="O1137" t="str">
        <f t="shared" si="157"/>
        <v>OK</v>
      </c>
      <c r="P1137">
        <f>IFERROR(Full_Data!G1137/Full_Data!H1137,"Check data")</f>
        <v>0.48214285714285715</v>
      </c>
      <c r="Q1137" t="str">
        <f t="shared" si="158"/>
        <v>Match</v>
      </c>
      <c r="R1137" t="str">
        <f t="shared" si="159"/>
        <v>Match</v>
      </c>
      <c r="S1137" t="str">
        <f t="shared" si="160"/>
        <v>Match</v>
      </c>
    </row>
    <row r="1138" spans="1:19" x14ac:dyDescent="0.25">
      <c r="A1138" t="s">
        <v>1077</v>
      </c>
      <c r="B1138">
        <v>1500</v>
      </c>
      <c r="C1138">
        <f t="shared" si="161"/>
        <v>15</v>
      </c>
      <c r="D1138">
        <v>0</v>
      </c>
      <c r="E1138">
        <v>5</v>
      </c>
      <c r="F1138">
        <v>1500</v>
      </c>
      <c r="G1138">
        <f t="shared" si="153"/>
        <v>15</v>
      </c>
      <c r="H1138">
        <v>45</v>
      </c>
      <c r="I1138" s="4">
        <f>Full_Data[[#This Row],[Selling Price]]/Full_Data[[#This Row],[Weight (g)]]</f>
        <v>0.33333333333333331</v>
      </c>
      <c r="J1138" t="b">
        <v>0</v>
      </c>
      <c r="K1138">
        <v>47</v>
      </c>
      <c r="L1138">
        <f t="shared" si="154"/>
        <v>0</v>
      </c>
      <c r="M1138" t="str">
        <f t="shared" si="155"/>
        <v>Low</v>
      </c>
      <c r="N1138" t="str">
        <f t="shared" si="156"/>
        <v>0-5%</v>
      </c>
      <c r="O1138" t="str">
        <f t="shared" si="157"/>
        <v>OK</v>
      </c>
      <c r="P1138">
        <f>IFERROR(Full_Data!G1138/Full_Data!H1138,"Check data")</f>
        <v>0.33333333333333331</v>
      </c>
      <c r="Q1138" t="str">
        <f t="shared" si="158"/>
        <v>Match</v>
      </c>
      <c r="R1138" t="str">
        <f t="shared" si="159"/>
        <v>Match</v>
      </c>
      <c r="S1138" t="str">
        <f t="shared" si="160"/>
        <v>Match</v>
      </c>
    </row>
    <row r="1139" spans="1:19" x14ac:dyDescent="0.25">
      <c r="A1139" t="s">
        <v>1078</v>
      </c>
      <c r="B1139">
        <v>7500</v>
      </c>
      <c r="C1139">
        <f t="shared" si="161"/>
        <v>75</v>
      </c>
      <c r="D1139">
        <v>6</v>
      </c>
      <c r="E1139">
        <v>6</v>
      </c>
      <c r="F1139">
        <v>7000</v>
      </c>
      <c r="G1139">
        <f t="shared" si="153"/>
        <v>70</v>
      </c>
      <c r="H1139">
        <v>100</v>
      </c>
      <c r="I1139" s="4">
        <f>Full_Data[[#This Row],[Selling Price]]/Full_Data[[#This Row],[Weight (g)]]</f>
        <v>0.7</v>
      </c>
      <c r="J1139" t="b">
        <v>0</v>
      </c>
      <c r="K1139">
        <v>200</v>
      </c>
      <c r="L1139">
        <f t="shared" si="154"/>
        <v>5</v>
      </c>
      <c r="M1139" t="str">
        <f t="shared" si="155"/>
        <v>Medium</v>
      </c>
      <c r="N1139" t="str">
        <f t="shared" si="156"/>
        <v>6-10%</v>
      </c>
      <c r="O1139" t="str">
        <f t="shared" si="157"/>
        <v>OK</v>
      </c>
      <c r="P1139">
        <f>IFERROR(Full_Data!G1139/Full_Data!H1139,"Check data")</f>
        <v>0.7</v>
      </c>
      <c r="Q1139" t="str">
        <f t="shared" si="158"/>
        <v>Match</v>
      </c>
      <c r="R1139" t="str">
        <f t="shared" si="159"/>
        <v>Mismatch</v>
      </c>
      <c r="S1139" t="str">
        <f t="shared" si="160"/>
        <v>Mismatch</v>
      </c>
    </row>
    <row r="1140" spans="1:19" x14ac:dyDescent="0.25">
      <c r="A1140" t="s">
        <v>1079</v>
      </c>
      <c r="B1140">
        <v>3000</v>
      </c>
      <c r="C1140">
        <f t="shared" si="161"/>
        <v>30</v>
      </c>
      <c r="D1140">
        <v>0</v>
      </c>
      <c r="E1140">
        <v>6</v>
      </c>
      <c r="F1140">
        <v>3000</v>
      </c>
      <c r="G1140">
        <f t="shared" si="153"/>
        <v>30</v>
      </c>
      <c r="H1140">
        <v>120</v>
      </c>
      <c r="I1140" s="4">
        <f>Full_Data[[#This Row],[Selling Price]]/Full_Data[[#This Row],[Weight (g)]]</f>
        <v>0.25</v>
      </c>
      <c r="J1140" t="b">
        <v>0</v>
      </c>
      <c r="K1140">
        <v>120</v>
      </c>
      <c r="L1140">
        <f t="shared" si="154"/>
        <v>0</v>
      </c>
      <c r="M1140" t="str">
        <f t="shared" si="155"/>
        <v>Low</v>
      </c>
      <c r="N1140" t="str">
        <f t="shared" si="156"/>
        <v>0-5%</v>
      </c>
      <c r="O1140" t="str">
        <f t="shared" si="157"/>
        <v>OK</v>
      </c>
      <c r="P1140">
        <f>IFERROR(Full_Data!G1140/Full_Data!H1140,"Check data")</f>
        <v>0.25</v>
      </c>
      <c r="Q1140" t="str">
        <f t="shared" si="158"/>
        <v>Match</v>
      </c>
      <c r="R1140" t="str">
        <f t="shared" si="159"/>
        <v>Match</v>
      </c>
      <c r="S1140" t="str">
        <f t="shared" si="160"/>
        <v>Match</v>
      </c>
    </row>
    <row r="1141" spans="1:19" x14ac:dyDescent="0.25">
      <c r="A1141" t="s">
        <v>1080</v>
      </c>
      <c r="B1141">
        <v>3000</v>
      </c>
      <c r="C1141">
        <f t="shared" si="161"/>
        <v>30</v>
      </c>
      <c r="D1141">
        <v>10</v>
      </c>
      <c r="E1141">
        <v>6</v>
      </c>
      <c r="F1141">
        <v>2700</v>
      </c>
      <c r="G1141">
        <f t="shared" si="153"/>
        <v>27</v>
      </c>
      <c r="H1141">
        <v>200</v>
      </c>
      <c r="I1141" s="4">
        <f>Full_Data[[#This Row],[Selling Price]]/Full_Data[[#This Row],[Weight (g)]]</f>
        <v>0.13500000000000001</v>
      </c>
      <c r="J1141" t="b">
        <v>0</v>
      </c>
      <c r="K1141">
        <v>200</v>
      </c>
      <c r="L1141">
        <f t="shared" si="154"/>
        <v>3</v>
      </c>
      <c r="M1141" t="str">
        <f t="shared" si="155"/>
        <v>Low</v>
      </c>
      <c r="N1141" t="str">
        <f t="shared" si="156"/>
        <v>6-10%</v>
      </c>
      <c r="O1141" t="str">
        <f t="shared" si="157"/>
        <v>OK</v>
      </c>
      <c r="P1141">
        <f>IFERROR(Full_Data!G1141/Full_Data!H1141,"Check data")</f>
        <v>0.13500000000000001</v>
      </c>
      <c r="Q1141" t="str">
        <f t="shared" si="158"/>
        <v>Match</v>
      </c>
      <c r="R1141" t="str">
        <f t="shared" si="159"/>
        <v>Match</v>
      </c>
      <c r="S1141" t="str">
        <f t="shared" si="160"/>
        <v>Match</v>
      </c>
    </row>
    <row r="1142" spans="1:19" x14ac:dyDescent="0.25">
      <c r="A1142" t="s">
        <v>1081</v>
      </c>
      <c r="B1142">
        <v>6000</v>
      </c>
      <c r="C1142">
        <f t="shared" si="161"/>
        <v>60</v>
      </c>
      <c r="D1142">
        <v>6</v>
      </c>
      <c r="E1142">
        <v>4</v>
      </c>
      <c r="F1142">
        <v>5600</v>
      </c>
      <c r="G1142">
        <f t="shared" si="153"/>
        <v>56</v>
      </c>
      <c r="H1142">
        <v>200</v>
      </c>
      <c r="I1142" s="4">
        <f>Full_Data[[#This Row],[Selling Price]]/Full_Data[[#This Row],[Weight (g)]]</f>
        <v>0.28000000000000003</v>
      </c>
      <c r="J1142" t="b">
        <v>0</v>
      </c>
      <c r="K1142">
        <v>200</v>
      </c>
      <c r="L1142">
        <f t="shared" si="154"/>
        <v>4</v>
      </c>
      <c r="M1142" t="str">
        <f t="shared" si="155"/>
        <v>Medium</v>
      </c>
      <c r="N1142" t="str">
        <f t="shared" si="156"/>
        <v>6-10%</v>
      </c>
      <c r="O1142" t="str">
        <f t="shared" si="157"/>
        <v>OK</v>
      </c>
      <c r="P1142">
        <f>IFERROR(Full_Data!G1142/Full_Data!H1142,"Check data")</f>
        <v>0.28000000000000003</v>
      </c>
      <c r="Q1142" t="str">
        <f t="shared" si="158"/>
        <v>Match</v>
      </c>
      <c r="R1142" t="str">
        <f t="shared" si="159"/>
        <v>Mismatch</v>
      </c>
      <c r="S1142" t="str">
        <f t="shared" si="160"/>
        <v>Mismatch</v>
      </c>
    </row>
    <row r="1143" spans="1:19" x14ac:dyDescent="0.25">
      <c r="A1143" t="s">
        <v>1082</v>
      </c>
      <c r="B1143">
        <v>10500</v>
      </c>
      <c r="C1143">
        <f t="shared" si="161"/>
        <v>105</v>
      </c>
      <c r="D1143">
        <v>22</v>
      </c>
      <c r="E1143">
        <v>6</v>
      </c>
      <c r="F1143">
        <v>8100</v>
      </c>
      <c r="G1143">
        <f t="shared" si="153"/>
        <v>81</v>
      </c>
      <c r="H1143">
        <v>75</v>
      </c>
      <c r="I1143" s="4">
        <f>Full_Data[[#This Row],[Selling Price]]/Full_Data[[#This Row],[Weight (g)]]</f>
        <v>1.08</v>
      </c>
      <c r="J1143" t="b">
        <v>0</v>
      </c>
      <c r="K1143">
        <v>75</v>
      </c>
      <c r="L1143">
        <f t="shared" si="154"/>
        <v>24</v>
      </c>
      <c r="M1143" t="str">
        <f t="shared" si="155"/>
        <v>Medium</v>
      </c>
      <c r="N1143" t="str">
        <f t="shared" si="156"/>
        <v>21%+</v>
      </c>
      <c r="O1143" t="str">
        <f t="shared" si="157"/>
        <v>OK</v>
      </c>
      <c r="P1143">
        <f>IFERROR(Full_Data!G1143/Full_Data!H1143,"Check data")</f>
        <v>1.08</v>
      </c>
      <c r="Q1143" t="str">
        <f t="shared" si="158"/>
        <v>Match</v>
      </c>
      <c r="R1143" t="str">
        <f t="shared" si="159"/>
        <v>Mismatch</v>
      </c>
      <c r="S1143" t="str">
        <f t="shared" si="160"/>
        <v>Mismatch</v>
      </c>
    </row>
    <row r="1144" spans="1:19" x14ac:dyDescent="0.25">
      <c r="A1144" t="s">
        <v>1083</v>
      </c>
      <c r="B1144">
        <v>10500</v>
      </c>
      <c r="C1144">
        <f t="shared" si="161"/>
        <v>105</v>
      </c>
      <c r="D1144">
        <v>22</v>
      </c>
      <c r="E1144">
        <v>6</v>
      </c>
      <c r="F1144">
        <v>8100</v>
      </c>
      <c r="G1144">
        <f t="shared" si="153"/>
        <v>81</v>
      </c>
      <c r="H1144">
        <v>75</v>
      </c>
      <c r="I1144" s="4">
        <f>Full_Data[[#This Row],[Selling Price]]/Full_Data[[#This Row],[Weight (g)]]</f>
        <v>1.08</v>
      </c>
      <c r="J1144" t="b">
        <v>0</v>
      </c>
      <c r="K1144">
        <v>75</v>
      </c>
      <c r="L1144">
        <f t="shared" si="154"/>
        <v>24</v>
      </c>
      <c r="M1144" t="str">
        <f t="shared" si="155"/>
        <v>Medium</v>
      </c>
      <c r="N1144" t="str">
        <f t="shared" si="156"/>
        <v>21%+</v>
      </c>
      <c r="O1144" t="str">
        <f t="shared" si="157"/>
        <v>OK</v>
      </c>
      <c r="P1144">
        <f>IFERROR(Full_Data!G1144/Full_Data!H1144,"Check data")</f>
        <v>1.08</v>
      </c>
      <c r="Q1144" t="str">
        <f t="shared" si="158"/>
        <v>Match</v>
      </c>
      <c r="R1144" t="str">
        <f t="shared" si="159"/>
        <v>Mismatch</v>
      </c>
      <c r="S1144" t="str">
        <f t="shared" si="160"/>
        <v>Mismatch</v>
      </c>
    </row>
    <row r="1145" spans="1:19" x14ac:dyDescent="0.25">
      <c r="A1145" t="s">
        <v>1084</v>
      </c>
      <c r="B1145">
        <v>7500</v>
      </c>
      <c r="C1145">
        <f t="shared" si="161"/>
        <v>75</v>
      </c>
      <c r="D1145">
        <v>6</v>
      </c>
      <c r="E1145">
        <v>3</v>
      </c>
      <c r="F1145">
        <v>7000</v>
      </c>
      <c r="G1145">
        <f t="shared" si="153"/>
        <v>70</v>
      </c>
      <c r="H1145">
        <v>100</v>
      </c>
      <c r="I1145" s="4">
        <f>Full_Data[[#This Row],[Selling Price]]/Full_Data[[#This Row],[Weight (g)]]</f>
        <v>0.7</v>
      </c>
      <c r="J1145" t="b">
        <v>0</v>
      </c>
      <c r="K1145">
        <v>200</v>
      </c>
      <c r="L1145">
        <f t="shared" si="154"/>
        <v>5</v>
      </c>
      <c r="M1145" t="str">
        <f t="shared" si="155"/>
        <v>Medium</v>
      </c>
      <c r="N1145" t="str">
        <f t="shared" si="156"/>
        <v>6-10%</v>
      </c>
      <c r="O1145" t="str">
        <f t="shared" si="157"/>
        <v>OK</v>
      </c>
      <c r="P1145">
        <f>IFERROR(Full_Data!G1145/Full_Data!H1145,"Check data")</f>
        <v>0.7</v>
      </c>
      <c r="Q1145" t="str">
        <f t="shared" si="158"/>
        <v>Match</v>
      </c>
      <c r="R1145" t="str">
        <f t="shared" si="159"/>
        <v>Mismatch</v>
      </c>
      <c r="S1145" t="str">
        <f t="shared" si="160"/>
        <v>Mismatch</v>
      </c>
    </row>
    <row r="1146" spans="1:19" x14ac:dyDescent="0.25">
      <c r="A1146" t="s">
        <v>1085</v>
      </c>
      <c r="B1146">
        <v>4500</v>
      </c>
      <c r="C1146">
        <f t="shared" si="161"/>
        <v>45</v>
      </c>
      <c r="D1146">
        <v>0</v>
      </c>
      <c r="E1146">
        <v>2</v>
      </c>
      <c r="F1146">
        <v>4500</v>
      </c>
      <c r="G1146">
        <f t="shared" si="153"/>
        <v>45</v>
      </c>
      <c r="H1146">
        <v>120</v>
      </c>
      <c r="I1146" s="4">
        <f>Full_Data[[#This Row],[Selling Price]]/Full_Data[[#This Row],[Weight (g)]]</f>
        <v>0.375</v>
      </c>
      <c r="J1146" t="b">
        <v>0</v>
      </c>
      <c r="K1146">
        <v>120</v>
      </c>
      <c r="L1146">
        <f t="shared" si="154"/>
        <v>0</v>
      </c>
      <c r="M1146" t="str">
        <f t="shared" si="155"/>
        <v>Low</v>
      </c>
      <c r="N1146" t="str">
        <f t="shared" si="156"/>
        <v>0-5%</v>
      </c>
      <c r="O1146" t="str">
        <f t="shared" si="157"/>
        <v>OK</v>
      </c>
      <c r="P1146">
        <f>IFERROR(Full_Data!G1146/Full_Data!H1146,"Check data")</f>
        <v>0.375</v>
      </c>
      <c r="Q1146" t="str">
        <f t="shared" si="158"/>
        <v>Match</v>
      </c>
      <c r="R1146" t="str">
        <f t="shared" si="159"/>
        <v>Match</v>
      </c>
      <c r="S1146" t="str">
        <f t="shared" si="160"/>
        <v>Match</v>
      </c>
    </row>
    <row r="1147" spans="1:19" x14ac:dyDescent="0.25">
      <c r="A1147" t="s">
        <v>1086</v>
      </c>
      <c r="B1147">
        <v>12000</v>
      </c>
      <c r="C1147">
        <f t="shared" si="161"/>
        <v>120</v>
      </c>
      <c r="D1147">
        <v>0</v>
      </c>
      <c r="E1147">
        <v>4</v>
      </c>
      <c r="F1147">
        <v>12000</v>
      </c>
      <c r="G1147">
        <f t="shared" si="153"/>
        <v>120</v>
      </c>
      <c r="H1147">
        <v>400</v>
      </c>
      <c r="I1147" s="4">
        <f>Full_Data[[#This Row],[Selling Price]]/Full_Data[[#This Row],[Weight (g)]]</f>
        <v>0.3</v>
      </c>
      <c r="J1147" t="b">
        <v>0</v>
      </c>
      <c r="K1147">
        <v>400</v>
      </c>
      <c r="L1147">
        <f t="shared" si="154"/>
        <v>0</v>
      </c>
      <c r="M1147" t="str">
        <f t="shared" si="155"/>
        <v>Medium</v>
      </c>
      <c r="N1147" t="str">
        <f t="shared" si="156"/>
        <v>0-5%</v>
      </c>
      <c r="O1147" t="str">
        <f t="shared" si="157"/>
        <v>OK</v>
      </c>
      <c r="P1147">
        <f>IFERROR(Full_Data!G1147/Full_Data!H1147,"Check data")</f>
        <v>0.3</v>
      </c>
      <c r="Q1147" t="str">
        <f t="shared" si="158"/>
        <v>Match</v>
      </c>
      <c r="R1147" t="str">
        <f t="shared" si="159"/>
        <v>Match</v>
      </c>
      <c r="S1147" t="str">
        <f t="shared" si="160"/>
        <v>Match</v>
      </c>
    </row>
    <row r="1148" spans="1:19" x14ac:dyDescent="0.25">
      <c r="A1148" t="s">
        <v>1087</v>
      </c>
      <c r="B1148">
        <v>3000</v>
      </c>
      <c r="C1148">
        <f t="shared" si="161"/>
        <v>30</v>
      </c>
      <c r="D1148">
        <v>10</v>
      </c>
      <c r="E1148">
        <v>6</v>
      </c>
      <c r="F1148">
        <v>2700</v>
      </c>
      <c r="G1148">
        <f t="shared" si="153"/>
        <v>27</v>
      </c>
      <c r="H1148">
        <v>200</v>
      </c>
      <c r="I1148" s="4">
        <f>Full_Data[[#This Row],[Selling Price]]/Full_Data[[#This Row],[Weight (g)]]</f>
        <v>0.13500000000000001</v>
      </c>
      <c r="J1148" t="b">
        <v>0</v>
      </c>
      <c r="K1148">
        <v>200</v>
      </c>
      <c r="L1148">
        <f t="shared" si="154"/>
        <v>3</v>
      </c>
      <c r="M1148" t="str">
        <f t="shared" si="155"/>
        <v>Low</v>
      </c>
      <c r="N1148" t="str">
        <f t="shared" si="156"/>
        <v>6-10%</v>
      </c>
      <c r="O1148" t="str">
        <f t="shared" si="157"/>
        <v>OK</v>
      </c>
      <c r="P1148">
        <f>IFERROR(Full_Data!G1148/Full_Data!H1148,"Check data")</f>
        <v>0.13500000000000001</v>
      </c>
      <c r="Q1148" t="str">
        <f t="shared" si="158"/>
        <v>Match</v>
      </c>
      <c r="R1148" t="str">
        <f t="shared" si="159"/>
        <v>Match</v>
      </c>
      <c r="S1148" t="str">
        <f t="shared" si="160"/>
        <v>Match</v>
      </c>
    </row>
    <row r="1149" spans="1:19" x14ac:dyDescent="0.25">
      <c r="A1149" t="s">
        <v>1088</v>
      </c>
      <c r="B1149">
        <v>1500</v>
      </c>
      <c r="C1149">
        <f t="shared" si="161"/>
        <v>15</v>
      </c>
      <c r="D1149">
        <v>0</v>
      </c>
      <c r="E1149">
        <v>5</v>
      </c>
      <c r="F1149">
        <v>1500</v>
      </c>
      <c r="G1149">
        <f t="shared" si="153"/>
        <v>15</v>
      </c>
      <c r="H1149">
        <v>45</v>
      </c>
      <c r="I1149" s="4">
        <f>Full_Data[[#This Row],[Selling Price]]/Full_Data[[#This Row],[Weight (g)]]</f>
        <v>0.33333333333333331</v>
      </c>
      <c r="J1149" t="b">
        <v>0</v>
      </c>
      <c r="K1149">
        <v>45</v>
      </c>
      <c r="L1149">
        <f t="shared" si="154"/>
        <v>0</v>
      </c>
      <c r="M1149" t="str">
        <f t="shared" si="155"/>
        <v>Low</v>
      </c>
      <c r="N1149" t="str">
        <f t="shared" si="156"/>
        <v>0-5%</v>
      </c>
      <c r="O1149" t="str">
        <f t="shared" si="157"/>
        <v>OK</v>
      </c>
      <c r="P1149">
        <f>IFERROR(Full_Data!G1149/Full_Data!H1149,"Check data")</f>
        <v>0.33333333333333331</v>
      </c>
      <c r="Q1149" t="str">
        <f t="shared" si="158"/>
        <v>Match</v>
      </c>
      <c r="R1149" t="str">
        <f t="shared" si="159"/>
        <v>Match</v>
      </c>
      <c r="S1149" t="str">
        <f t="shared" si="160"/>
        <v>Match</v>
      </c>
    </row>
    <row r="1150" spans="1:19" x14ac:dyDescent="0.25">
      <c r="A1150" t="s">
        <v>1089</v>
      </c>
      <c r="B1150">
        <v>8000</v>
      </c>
      <c r="C1150">
        <f t="shared" si="161"/>
        <v>80</v>
      </c>
      <c r="D1150">
        <v>10</v>
      </c>
      <c r="E1150">
        <v>6</v>
      </c>
      <c r="F1150">
        <v>7200</v>
      </c>
      <c r="G1150">
        <f t="shared" si="153"/>
        <v>72</v>
      </c>
      <c r="H1150">
        <v>600</v>
      </c>
      <c r="I1150" s="4">
        <f>Full_Data[[#This Row],[Selling Price]]/Full_Data[[#This Row],[Weight (g)]]</f>
        <v>0.12</v>
      </c>
      <c r="J1150" t="b">
        <v>0</v>
      </c>
      <c r="K1150">
        <v>600</v>
      </c>
      <c r="L1150">
        <f t="shared" si="154"/>
        <v>8</v>
      </c>
      <c r="M1150" t="str">
        <f t="shared" si="155"/>
        <v>Medium</v>
      </c>
      <c r="N1150" t="str">
        <f t="shared" si="156"/>
        <v>6-10%</v>
      </c>
      <c r="O1150" t="str">
        <f t="shared" si="157"/>
        <v>OK</v>
      </c>
      <c r="P1150">
        <f>IFERROR(Full_Data!G1150/Full_Data!H1150,"Check data")</f>
        <v>0.12</v>
      </c>
      <c r="Q1150" t="str">
        <f t="shared" si="158"/>
        <v>Match</v>
      </c>
      <c r="R1150" t="str">
        <f t="shared" si="159"/>
        <v>Match</v>
      </c>
      <c r="S1150" t="str">
        <f t="shared" si="160"/>
        <v>Match</v>
      </c>
    </row>
    <row r="1151" spans="1:19" x14ac:dyDescent="0.25">
      <c r="A1151" t="s">
        <v>1045</v>
      </c>
      <c r="B1151">
        <v>6000</v>
      </c>
      <c r="C1151">
        <f t="shared" si="161"/>
        <v>60</v>
      </c>
      <c r="D1151">
        <v>0</v>
      </c>
      <c r="E1151">
        <v>1</v>
      </c>
      <c r="F1151">
        <v>6000</v>
      </c>
      <c r="G1151">
        <f t="shared" si="153"/>
        <v>60</v>
      </c>
      <c r="H1151">
        <v>120</v>
      </c>
      <c r="I1151" s="4">
        <f>Full_Data[[#This Row],[Selling Price]]/Full_Data[[#This Row],[Weight (g)]]</f>
        <v>0.5</v>
      </c>
      <c r="J1151" t="b">
        <v>0</v>
      </c>
      <c r="K1151">
        <v>120</v>
      </c>
      <c r="L1151">
        <f t="shared" si="154"/>
        <v>0</v>
      </c>
      <c r="M1151" t="str">
        <f t="shared" si="155"/>
        <v>Medium</v>
      </c>
      <c r="N1151" t="str">
        <f t="shared" si="156"/>
        <v>0-5%</v>
      </c>
      <c r="O1151" t="str">
        <f t="shared" si="157"/>
        <v>OK</v>
      </c>
      <c r="P1151">
        <f>IFERROR(Full_Data!G1151/Full_Data!H1151,"Check data")</f>
        <v>0.5</v>
      </c>
      <c r="Q1151" t="str">
        <f t="shared" si="158"/>
        <v>Match</v>
      </c>
      <c r="R1151" t="str">
        <f t="shared" si="159"/>
        <v>Match</v>
      </c>
      <c r="S1151" t="str">
        <f t="shared" si="160"/>
        <v>Match</v>
      </c>
    </row>
    <row r="1152" spans="1:19" x14ac:dyDescent="0.25">
      <c r="A1152" t="s">
        <v>1090</v>
      </c>
      <c r="B1152">
        <v>6000</v>
      </c>
      <c r="C1152">
        <f t="shared" si="161"/>
        <v>60</v>
      </c>
      <c r="D1152">
        <v>6</v>
      </c>
      <c r="E1152">
        <v>6</v>
      </c>
      <c r="F1152">
        <v>5600</v>
      </c>
      <c r="G1152">
        <f t="shared" si="153"/>
        <v>56</v>
      </c>
      <c r="H1152">
        <v>100</v>
      </c>
      <c r="I1152" s="4">
        <f>Full_Data[[#This Row],[Selling Price]]/Full_Data[[#This Row],[Weight (g)]]</f>
        <v>0.56000000000000005</v>
      </c>
      <c r="J1152" t="b">
        <v>0</v>
      </c>
      <c r="K1152">
        <v>100</v>
      </c>
      <c r="L1152">
        <f t="shared" si="154"/>
        <v>4</v>
      </c>
      <c r="M1152" t="str">
        <f t="shared" si="155"/>
        <v>Medium</v>
      </c>
      <c r="N1152" t="str">
        <f t="shared" si="156"/>
        <v>6-10%</v>
      </c>
      <c r="O1152" t="str">
        <f t="shared" si="157"/>
        <v>OK</v>
      </c>
      <c r="P1152">
        <f>IFERROR(Full_Data!G1152/Full_Data!H1152,"Check data")</f>
        <v>0.56000000000000005</v>
      </c>
      <c r="Q1152" t="str">
        <f t="shared" si="158"/>
        <v>Match</v>
      </c>
      <c r="R1152" t="str">
        <f t="shared" si="159"/>
        <v>Mismatch</v>
      </c>
      <c r="S1152" t="str">
        <f t="shared" si="160"/>
        <v>Mismatch</v>
      </c>
    </row>
    <row r="1153" spans="1:19" x14ac:dyDescent="0.25">
      <c r="A1153" t="s">
        <v>1091</v>
      </c>
      <c r="B1153">
        <v>3000</v>
      </c>
      <c r="C1153">
        <f t="shared" si="161"/>
        <v>30</v>
      </c>
      <c r="D1153">
        <v>3</v>
      </c>
      <c r="E1153">
        <v>6</v>
      </c>
      <c r="F1153">
        <v>2900</v>
      </c>
      <c r="G1153">
        <f t="shared" si="153"/>
        <v>29</v>
      </c>
      <c r="H1153">
        <v>120</v>
      </c>
      <c r="I1153" s="4">
        <f>Full_Data[[#This Row],[Selling Price]]/Full_Data[[#This Row],[Weight (g)]]</f>
        <v>0.24166666666666667</v>
      </c>
      <c r="J1153" t="b">
        <v>0</v>
      </c>
      <c r="K1153">
        <v>120</v>
      </c>
      <c r="L1153">
        <f t="shared" si="154"/>
        <v>1</v>
      </c>
      <c r="M1153" t="str">
        <f t="shared" si="155"/>
        <v>Low</v>
      </c>
      <c r="N1153" t="str">
        <f t="shared" si="156"/>
        <v>0-5%</v>
      </c>
      <c r="O1153" t="str">
        <f t="shared" si="157"/>
        <v>OK</v>
      </c>
      <c r="P1153">
        <f>IFERROR(Full_Data!G1153/Full_Data!H1153,"Check data")</f>
        <v>0.24166666666666667</v>
      </c>
      <c r="Q1153" t="str">
        <f t="shared" si="158"/>
        <v>Match</v>
      </c>
      <c r="R1153" t="str">
        <f t="shared" si="159"/>
        <v>Mismatch</v>
      </c>
      <c r="S1153" t="str">
        <f t="shared" si="160"/>
        <v>Match</v>
      </c>
    </row>
    <row r="1154" spans="1:19" x14ac:dyDescent="0.25">
      <c r="A1154" t="s">
        <v>1092</v>
      </c>
      <c r="B1154">
        <v>7000</v>
      </c>
      <c r="C1154">
        <f t="shared" si="161"/>
        <v>70</v>
      </c>
      <c r="D1154">
        <v>11</v>
      </c>
      <c r="E1154">
        <v>6</v>
      </c>
      <c r="F1154">
        <v>6200</v>
      </c>
      <c r="G1154">
        <f t="shared" ref="G1154:G1217" si="162">F1154/100</f>
        <v>62</v>
      </c>
      <c r="H1154">
        <v>250</v>
      </c>
      <c r="I1154" s="4">
        <f>Full_Data[[#This Row],[Selling Price]]/Full_Data[[#This Row],[Weight (g)]]</f>
        <v>0.248</v>
      </c>
      <c r="J1154" t="b">
        <v>0</v>
      </c>
      <c r="K1154">
        <v>250</v>
      </c>
      <c r="L1154">
        <f t="shared" ref="L1154:L1217" si="163">C1154-G1154</f>
        <v>8</v>
      </c>
      <c r="M1154" t="str">
        <f t="shared" ref="M1154:M1217" si="164">IF(G1154&lt;50,"Low",IF(G1154&lt;200,"Medium","High"))</f>
        <v>Medium</v>
      </c>
      <c r="N1154" t="str">
        <f t="shared" ref="N1154:N1217" si="165">IF(D1154&lt;=5,"0-5%",
IF(D1154&lt;=10,"6-10%",
IF(D1154&lt;=15,"11-15%",
IF(D1154&lt;=20,"16-20%","21%+"))))</f>
        <v>11-15%</v>
      </c>
      <c r="O1154" t="str">
        <f t="shared" ref="O1154:O1217" si="166">IF(AND(C1154=0,G1154=0),"Review: Zero MRP and selling price",IF(C1154&lt;=0,"Review: Invalid MRP",IF(G1154&lt;0,"Review: Negative selling price",IF(G1154=0,"Review: Zero selling price",IF(H1154&lt;=0,"Review: Invalid weight","OK")))))</f>
        <v>OK</v>
      </c>
      <c r="P1154">
        <f>IFERROR(Full_Data!G1154/Full_Data!H1154,"Check data")</f>
        <v>0.248</v>
      </c>
      <c r="Q1154" t="str">
        <f t="shared" ref="Q1154:Q1217" si="167">IF(OR(H1154="",H1154&lt;=0),"Invalid weight",IF(G1154="","Missing selling price",IF(ROUND(G1154/H1154,2)=ROUND(I1154,2),"Match","Mismatch")))</f>
        <v>Match</v>
      </c>
      <c r="R1154" t="str">
        <f t="shared" ref="R1154:R1217" si="168">IF(OR(C1154&lt;=0,G1154=""),"Check data",IF(ROUND((C1154-G1154)/C1154*100,2)=ROUND(D1154,2),"Match","Mismatch"))</f>
        <v>Mismatch</v>
      </c>
      <c r="S1154" t="str">
        <f t="shared" ref="S1154:S1217" si="169">IF(OR(C1154&lt;=0,G1154=""),"Check data",IF(ROUND((C1154-G1154)/C1154*100,0)=D1154,"Match","Mismatch"))</f>
        <v>Match</v>
      </c>
    </row>
    <row r="1155" spans="1:19" x14ac:dyDescent="0.25">
      <c r="A1155" t="s">
        <v>1093</v>
      </c>
      <c r="B1155">
        <v>3500</v>
      </c>
      <c r="C1155">
        <f t="shared" ref="C1155:C1218" si="170">B1155/100</f>
        <v>35</v>
      </c>
      <c r="D1155">
        <v>2</v>
      </c>
      <c r="E1155">
        <v>6</v>
      </c>
      <c r="F1155">
        <v>3400</v>
      </c>
      <c r="G1155">
        <f t="shared" si="162"/>
        <v>34</v>
      </c>
      <c r="H1155">
        <v>100</v>
      </c>
      <c r="I1155" s="4">
        <f>Full_Data[[#This Row],[Selling Price]]/Full_Data[[#This Row],[Weight (g)]]</f>
        <v>0.34</v>
      </c>
      <c r="J1155" t="b">
        <v>0</v>
      </c>
      <c r="K1155">
        <v>100</v>
      </c>
      <c r="L1155">
        <f t="shared" si="163"/>
        <v>1</v>
      </c>
      <c r="M1155" t="str">
        <f t="shared" si="164"/>
        <v>Low</v>
      </c>
      <c r="N1155" t="str">
        <f t="shared" si="165"/>
        <v>0-5%</v>
      </c>
      <c r="O1155" t="str">
        <f t="shared" si="166"/>
        <v>OK</v>
      </c>
      <c r="P1155">
        <f>IFERROR(Full_Data!G1155/Full_Data!H1155,"Check data")</f>
        <v>0.34</v>
      </c>
      <c r="Q1155" t="str">
        <f t="shared" si="167"/>
        <v>Match</v>
      </c>
      <c r="R1155" t="str">
        <f t="shared" si="168"/>
        <v>Mismatch</v>
      </c>
      <c r="S1155" t="str">
        <f t="shared" si="169"/>
        <v>Mismatch</v>
      </c>
    </row>
    <row r="1156" spans="1:19" x14ac:dyDescent="0.25">
      <c r="A1156" t="s">
        <v>1094</v>
      </c>
      <c r="B1156">
        <v>13000</v>
      </c>
      <c r="C1156">
        <f t="shared" si="170"/>
        <v>130</v>
      </c>
      <c r="D1156">
        <v>10</v>
      </c>
      <c r="E1156">
        <v>3</v>
      </c>
      <c r="F1156">
        <v>11600</v>
      </c>
      <c r="G1156">
        <f t="shared" si="162"/>
        <v>116</v>
      </c>
      <c r="H1156">
        <v>100</v>
      </c>
      <c r="I1156" s="4">
        <f>Full_Data[[#This Row],[Selling Price]]/Full_Data[[#This Row],[Weight (g)]]</f>
        <v>1.1599999999999999</v>
      </c>
      <c r="J1156" t="b">
        <v>0</v>
      </c>
      <c r="K1156">
        <v>150</v>
      </c>
      <c r="L1156">
        <f t="shared" si="163"/>
        <v>14</v>
      </c>
      <c r="M1156" t="str">
        <f t="shared" si="164"/>
        <v>Medium</v>
      </c>
      <c r="N1156" t="str">
        <f t="shared" si="165"/>
        <v>6-10%</v>
      </c>
      <c r="O1156" t="str">
        <f t="shared" si="166"/>
        <v>OK</v>
      </c>
      <c r="P1156">
        <f>IFERROR(Full_Data!G1156/Full_Data!H1156,"Check data")</f>
        <v>1.1599999999999999</v>
      </c>
      <c r="Q1156" t="str">
        <f t="shared" si="167"/>
        <v>Match</v>
      </c>
      <c r="R1156" t="str">
        <f t="shared" si="168"/>
        <v>Mismatch</v>
      </c>
      <c r="S1156" t="str">
        <f t="shared" si="169"/>
        <v>Mismatch</v>
      </c>
    </row>
    <row r="1157" spans="1:19" x14ac:dyDescent="0.25">
      <c r="A1157" t="s">
        <v>1095</v>
      </c>
      <c r="B1157">
        <v>7000</v>
      </c>
      <c r="C1157">
        <f t="shared" si="170"/>
        <v>70</v>
      </c>
      <c r="D1157">
        <v>10</v>
      </c>
      <c r="E1157">
        <v>6</v>
      </c>
      <c r="F1157">
        <v>6300</v>
      </c>
      <c r="G1157">
        <f t="shared" si="162"/>
        <v>63</v>
      </c>
      <c r="H1157">
        <v>150</v>
      </c>
      <c r="I1157" s="4">
        <f>Full_Data[[#This Row],[Selling Price]]/Full_Data[[#This Row],[Weight (g)]]</f>
        <v>0.42</v>
      </c>
      <c r="J1157" t="b">
        <v>0</v>
      </c>
      <c r="K1157">
        <v>150</v>
      </c>
      <c r="L1157">
        <f t="shared" si="163"/>
        <v>7</v>
      </c>
      <c r="M1157" t="str">
        <f t="shared" si="164"/>
        <v>Medium</v>
      </c>
      <c r="N1157" t="str">
        <f t="shared" si="165"/>
        <v>6-10%</v>
      </c>
      <c r="O1157" t="str">
        <f t="shared" si="166"/>
        <v>OK</v>
      </c>
      <c r="P1157">
        <f>IFERROR(Full_Data!G1157/Full_Data!H1157,"Check data")</f>
        <v>0.42</v>
      </c>
      <c r="Q1157" t="str">
        <f t="shared" si="167"/>
        <v>Match</v>
      </c>
      <c r="R1157" t="str">
        <f t="shared" si="168"/>
        <v>Match</v>
      </c>
      <c r="S1157" t="str">
        <f t="shared" si="169"/>
        <v>Match</v>
      </c>
    </row>
    <row r="1158" spans="1:19" x14ac:dyDescent="0.25">
      <c r="A1158" t="s">
        <v>1096</v>
      </c>
      <c r="B1158">
        <v>6000</v>
      </c>
      <c r="C1158">
        <f t="shared" si="170"/>
        <v>60</v>
      </c>
      <c r="D1158">
        <v>0</v>
      </c>
      <c r="E1158">
        <v>2</v>
      </c>
      <c r="F1158">
        <v>6000</v>
      </c>
      <c r="G1158">
        <f t="shared" si="162"/>
        <v>60</v>
      </c>
      <c r="H1158">
        <v>250</v>
      </c>
      <c r="I1158" s="4">
        <f>Full_Data[[#This Row],[Selling Price]]/Full_Data[[#This Row],[Weight (g)]]</f>
        <v>0.24</v>
      </c>
      <c r="J1158" t="b">
        <v>0</v>
      </c>
      <c r="K1158">
        <v>250</v>
      </c>
      <c r="L1158">
        <f t="shared" si="163"/>
        <v>0</v>
      </c>
      <c r="M1158" t="str">
        <f t="shared" si="164"/>
        <v>Medium</v>
      </c>
      <c r="N1158" t="str">
        <f t="shared" si="165"/>
        <v>0-5%</v>
      </c>
      <c r="O1158" t="str">
        <f t="shared" si="166"/>
        <v>OK</v>
      </c>
      <c r="P1158">
        <f>IFERROR(Full_Data!G1158/Full_Data!H1158,"Check data")</f>
        <v>0.24</v>
      </c>
      <c r="Q1158" t="str">
        <f t="shared" si="167"/>
        <v>Match</v>
      </c>
      <c r="R1158" t="str">
        <f t="shared" si="168"/>
        <v>Match</v>
      </c>
      <c r="S1158" t="str">
        <f t="shared" si="169"/>
        <v>Match</v>
      </c>
    </row>
    <row r="1159" spans="1:19" x14ac:dyDescent="0.25">
      <c r="A1159" t="s">
        <v>1097</v>
      </c>
      <c r="B1159">
        <v>5000</v>
      </c>
      <c r="C1159">
        <f t="shared" si="170"/>
        <v>50</v>
      </c>
      <c r="D1159">
        <v>0</v>
      </c>
      <c r="E1159">
        <v>6</v>
      </c>
      <c r="F1159">
        <v>5000</v>
      </c>
      <c r="G1159">
        <f t="shared" si="162"/>
        <v>50</v>
      </c>
      <c r="H1159">
        <v>150</v>
      </c>
      <c r="I1159" s="4">
        <f>Full_Data[[#This Row],[Selling Price]]/Full_Data[[#This Row],[Weight (g)]]</f>
        <v>0.33333333333333331</v>
      </c>
      <c r="J1159" t="b">
        <v>0</v>
      </c>
      <c r="K1159">
        <v>150</v>
      </c>
      <c r="L1159">
        <f t="shared" si="163"/>
        <v>0</v>
      </c>
      <c r="M1159" t="str">
        <f t="shared" si="164"/>
        <v>Medium</v>
      </c>
      <c r="N1159" t="str">
        <f t="shared" si="165"/>
        <v>0-5%</v>
      </c>
      <c r="O1159" t="str">
        <f t="shared" si="166"/>
        <v>OK</v>
      </c>
      <c r="P1159">
        <f>IFERROR(Full_Data!G1159/Full_Data!H1159,"Check data")</f>
        <v>0.33333333333333331</v>
      </c>
      <c r="Q1159" t="str">
        <f t="shared" si="167"/>
        <v>Match</v>
      </c>
      <c r="R1159" t="str">
        <f t="shared" si="168"/>
        <v>Match</v>
      </c>
      <c r="S1159" t="str">
        <f t="shared" si="169"/>
        <v>Match</v>
      </c>
    </row>
    <row r="1160" spans="1:19" x14ac:dyDescent="0.25">
      <c r="A1160" t="s">
        <v>1098</v>
      </c>
      <c r="B1160">
        <v>35000</v>
      </c>
      <c r="C1160">
        <f t="shared" si="170"/>
        <v>350</v>
      </c>
      <c r="D1160">
        <v>0</v>
      </c>
      <c r="E1160">
        <v>1</v>
      </c>
      <c r="F1160">
        <v>35000</v>
      </c>
      <c r="G1160">
        <f t="shared" si="162"/>
        <v>350</v>
      </c>
      <c r="H1160">
        <v>400</v>
      </c>
      <c r="I1160" s="4">
        <f>Full_Data[[#This Row],[Selling Price]]/Full_Data[[#This Row],[Weight (g)]]</f>
        <v>0.875</v>
      </c>
      <c r="J1160" t="b">
        <v>0</v>
      </c>
      <c r="K1160">
        <v>400</v>
      </c>
      <c r="L1160">
        <f t="shared" si="163"/>
        <v>0</v>
      </c>
      <c r="M1160" t="str">
        <f t="shared" si="164"/>
        <v>High</v>
      </c>
      <c r="N1160" t="str">
        <f t="shared" si="165"/>
        <v>0-5%</v>
      </c>
      <c r="O1160" t="str">
        <f t="shared" si="166"/>
        <v>OK</v>
      </c>
      <c r="P1160">
        <f>IFERROR(Full_Data!G1160/Full_Data!H1160,"Check data")</f>
        <v>0.875</v>
      </c>
      <c r="Q1160" t="str">
        <f t="shared" si="167"/>
        <v>Match</v>
      </c>
      <c r="R1160" t="str">
        <f t="shared" si="168"/>
        <v>Match</v>
      </c>
      <c r="S1160" t="str">
        <f t="shared" si="169"/>
        <v>Match</v>
      </c>
    </row>
    <row r="1161" spans="1:19" x14ac:dyDescent="0.25">
      <c r="A1161" t="s">
        <v>1099</v>
      </c>
      <c r="B1161">
        <v>13000</v>
      </c>
      <c r="C1161">
        <f t="shared" si="170"/>
        <v>130</v>
      </c>
      <c r="D1161">
        <v>10</v>
      </c>
      <c r="E1161">
        <v>4</v>
      </c>
      <c r="F1161">
        <v>11600</v>
      </c>
      <c r="G1161">
        <f t="shared" si="162"/>
        <v>116</v>
      </c>
      <c r="H1161">
        <v>100</v>
      </c>
      <c r="I1161" s="4">
        <f>Full_Data[[#This Row],[Selling Price]]/Full_Data[[#This Row],[Weight (g)]]</f>
        <v>1.1599999999999999</v>
      </c>
      <c r="J1161" t="b">
        <v>0</v>
      </c>
      <c r="K1161">
        <v>150</v>
      </c>
      <c r="L1161">
        <f t="shared" si="163"/>
        <v>14</v>
      </c>
      <c r="M1161" t="str">
        <f t="shared" si="164"/>
        <v>Medium</v>
      </c>
      <c r="N1161" t="str">
        <f t="shared" si="165"/>
        <v>6-10%</v>
      </c>
      <c r="O1161" t="str">
        <f t="shared" si="166"/>
        <v>OK</v>
      </c>
      <c r="P1161">
        <f>IFERROR(Full_Data!G1161/Full_Data!H1161,"Check data")</f>
        <v>1.1599999999999999</v>
      </c>
      <c r="Q1161" t="str">
        <f t="shared" si="167"/>
        <v>Match</v>
      </c>
      <c r="R1161" t="str">
        <f t="shared" si="168"/>
        <v>Mismatch</v>
      </c>
      <c r="S1161" t="str">
        <f t="shared" si="169"/>
        <v>Mismatch</v>
      </c>
    </row>
    <row r="1162" spans="1:19" x14ac:dyDescent="0.25">
      <c r="A1162" t="s">
        <v>1100</v>
      </c>
      <c r="B1162">
        <v>1000</v>
      </c>
      <c r="C1162">
        <f t="shared" si="170"/>
        <v>10</v>
      </c>
      <c r="D1162">
        <v>0</v>
      </c>
      <c r="E1162">
        <v>0</v>
      </c>
      <c r="F1162">
        <v>1000</v>
      </c>
      <c r="G1162">
        <f t="shared" si="162"/>
        <v>10</v>
      </c>
      <c r="H1162">
        <v>75</v>
      </c>
      <c r="I1162" s="4">
        <f>Full_Data[[#This Row],[Selling Price]]/Full_Data[[#This Row],[Weight (g)]]</f>
        <v>0.13333333333333333</v>
      </c>
      <c r="J1162" t="b">
        <v>1</v>
      </c>
      <c r="K1162">
        <v>75</v>
      </c>
      <c r="L1162">
        <f t="shared" si="163"/>
        <v>0</v>
      </c>
      <c r="M1162" t="str">
        <f t="shared" si="164"/>
        <v>Low</v>
      </c>
      <c r="N1162" t="str">
        <f t="shared" si="165"/>
        <v>0-5%</v>
      </c>
      <c r="O1162" t="str">
        <f t="shared" si="166"/>
        <v>OK</v>
      </c>
      <c r="P1162">
        <f>IFERROR(Full_Data!G1162/Full_Data!H1162,"Check data")</f>
        <v>0.13333333333333333</v>
      </c>
      <c r="Q1162" t="str">
        <f t="shared" si="167"/>
        <v>Match</v>
      </c>
      <c r="R1162" t="str">
        <f t="shared" si="168"/>
        <v>Match</v>
      </c>
      <c r="S1162" t="str">
        <f t="shared" si="169"/>
        <v>Match</v>
      </c>
    </row>
    <row r="1163" spans="1:19" x14ac:dyDescent="0.25">
      <c r="A1163" t="s">
        <v>1101</v>
      </c>
      <c r="B1163">
        <v>3000</v>
      </c>
      <c r="C1163">
        <f t="shared" si="170"/>
        <v>30</v>
      </c>
      <c r="D1163">
        <v>0</v>
      </c>
      <c r="E1163">
        <v>0</v>
      </c>
      <c r="F1163">
        <v>3000</v>
      </c>
      <c r="G1163">
        <f t="shared" si="162"/>
        <v>30</v>
      </c>
      <c r="H1163">
        <v>250</v>
      </c>
      <c r="I1163" s="4">
        <f>Full_Data[[#This Row],[Selling Price]]/Full_Data[[#This Row],[Weight (g)]]</f>
        <v>0.12</v>
      </c>
      <c r="J1163" t="b">
        <v>1</v>
      </c>
      <c r="K1163">
        <v>250</v>
      </c>
      <c r="L1163">
        <f t="shared" si="163"/>
        <v>0</v>
      </c>
      <c r="M1163" t="str">
        <f t="shared" si="164"/>
        <v>Low</v>
      </c>
      <c r="N1163" t="str">
        <f t="shared" si="165"/>
        <v>0-5%</v>
      </c>
      <c r="O1163" t="str">
        <f t="shared" si="166"/>
        <v>OK</v>
      </c>
      <c r="P1163">
        <f>IFERROR(Full_Data!G1163/Full_Data!H1163,"Check data")</f>
        <v>0.12</v>
      </c>
      <c r="Q1163" t="str">
        <f t="shared" si="167"/>
        <v>Match</v>
      </c>
      <c r="R1163" t="str">
        <f t="shared" si="168"/>
        <v>Match</v>
      </c>
      <c r="S1163" t="str">
        <f t="shared" si="169"/>
        <v>Match</v>
      </c>
    </row>
    <row r="1164" spans="1:19" x14ac:dyDescent="0.25">
      <c r="A1164" t="s">
        <v>1002</v>
      </c>
      <c r="B1164">
        <v>2000</v>
      </c>
      <c r="C1164">
        <f t="shared" si="170"/>
        <v>20</v>
      </c>
      <c r="D1164">
        <v>0</v>
      </c>
      <c r="E1164">
        <v>0</v>
      </c>
      <c r="F1164">
        <v>2000</v>
      </c>
      <c r="G1164">
        <f t="shared" si="162"/>
        <v>20</v>
      </c>
      <c r="H1164">
        <v>100</v>
      </c>
      <c r="I1164" s="4">
        <f>Full_Data[[#This Row],[Selling Price]]/Full_Data[[#This Row],[Weight (g)]]</f>
        <v>0.2</v>
      </c>
      <c r="J1164" t="b">
        <v>1</v>
      </c>
      <c r="K1164">
        <v>100</v>
      </c>
      <c r="L1164">
        <f t="shared" si="163"/>
        <v>0</v>
      </c>
      <c r="M1164" t="str">
        <f t="shared" si="164"/>
        <v>Low</v>
      </c>
      <c r="N1164" t="str">
        <f t="shared" si="165"/>
        <v>0-5%</v>
      </c>
      <c r="O1164" t="str">
        <f t="shared" si="166"/>
        <v>OK</v>
      </c>
      <c r="P1164">
        <f>IFERROR(Full_Data!G1164/Full_Data!H1164,"Check data")</f>
        <v>0.2</v>
      </c>
      <c r="Q1164" t="str">
        <f t="shared" si="167"/>
        <v>Match</v>
      </c>
      <c r="R1164" t="str">
        <f t="shared" si="168"/>
        <v>Match</v>
      </c>
      <c r="S1164" t="str">
        <f t="shared" si="169"/>
        <v>Match</v>
      </c>
    </row>
    <row r="1165" spans="1:19" x14ac:dyDescent="0.25">
      <c r="A1165" t="s">
        <v>1102</v>
      </c>
      <c r="B1165">
        <v>3500</v>
      </c>
      <c r="C1165">
        <f t="shared" si="170"/>
        <v>35</v>
      </c>
      <c r="D1165">
        <v>8</v>
      </c>
      <c r="E1165">
        <v>0</v>
      </c>
      <c r="F1165">
        <v>3200</v>
      </c>
      <c r="G1165">
        <f t="shared" si="162"/>
        <v>32</v>
      </c>
      <c r="H1165">
        <v>75</v>
      </c>
      <c r="I1165" s="4">
        <f>Full_Data[[#This Row],[Selling Price]]/Full_Data[[#This Row],[Weight (g)]]</f>
        <v>0.42666666666666669</v>
      </c>
      <c r="J1165" t="b">
        <v>1</v>
      </c>
      <c r="K1165">
        <v>75</v>
      </c>
      <c r="L1165">
        <f t="shared" si="163"/>
        <v>3</v>
      </c>
      <c r="M1165" t="str">
        <f t="shared" si="164"/>
        <v>Low</v>
      </c>
      <c r="N1165" t="str">
        <f t="shared" si="165"/>
        <v>6-10%</v>
      </c>
      <c r="O1165" t="str">
        <f t="shared" si="166"/>
        <v>OK</v>
      </c>
      <c r="P1165">
        <f>IFERROR(Full_Data!G1165/Full_Data!H1165,"Check data")</f>
        <v>0.42666666666666669</v>
      </c>
      <c r="Q1165" t="str">
        <f t="shared" si="167"/>
        <v>Match</v>
      </c>
      <c r="R1165" t="str">
        <f t="shared" si="168"/>
        <v>Mismatch</v>
      </c>
      <c r="S1165" t="str">
        <f t="shared" si="169"/>
        <v>Mismatch</v>
      </c>
    </row>
    <row r="1166" spans="1:19" x14ac:dyDescent="0.25">
      <c r="A1166" t="s">
        <v>1103</v>
      </c>
      <c r="B1166">
        <v>2500</v>
      </c>
      <c r="C1166">
        <f t="shared" si="170"/>
        <v>25</v>
      </c>
      <c r="D1166">
        <v>0</v>
      </c>
      <c r="E1166">
        <v>0</v>
      </c>
      <c r="F1166">
        <v>2500</v>
      </c>
      <c r="G1166">
        <f t="shared" si="162"/>
        <v>25</v>
      </c>
      <c r="H1166">
        <v>100</v>
      </c>
      <c r="I1166" s="4">
        <f>Full_Data[[#This Row],[Selling Price]]/Full_Data[[#This Row],[Weight (g)]]</f>
        <v>0.25</v>
      </c>
      <c r="J1166" t="b">
        <v>1</v>
      </c>
      <c r="K1166">
        <v>100</v>
      </c>
      <c r="L1166">
        <f t="shared" si="163"/>
        <v>0</v>
      </c>
      <c r="M1166" t="str">
        <f t="shared" si="164"/>
        <v>Low</v>
      </c>
      <c r="N1166" t="str">
        <f t="shared" si="165"/>
        <v>0-5%</v>
      </c>
      <c r="O1166" t="str">
        <f t="shared" si="166"/>
        <v>OK</v>
      </c>
      <c r="P1166">
        <f>IFERROR(Full_Data!G1166/Full_Data!H1166,"Check data")</f>
        <v>0.25</v>
      </c>
      <c r="Q1166" t="str">
        <f t="shared" si="167"/>
        <v>Match</v>
      </c>
      <c r="R1166" t="str">
        <f t="shared" si="168"/>
        <v>Match</v>
      </c>
      <c r="S1166" t="str">
        <f t="shared" si="169"/>
        <v>Match</v>
      </c>
    </row>
    <row r="1167" spans="1:19" x14ac:dyDescent="0.25">
      <c r="A1167" t="s">
        <v>1104</v>
      </c>
      <c r="B1167">
        <v>2500</v>
      </c>
      <c r="C1167">
        <f t="shared" si="170"/>
        <v>25</v>
      </c>
      <c r="D1167">
        <v>0</v>
      </c>
      <c r="E1167">
        <v>0</v>
      </c>
      <c r="F1167">
        <v>2500</v>
      </c>
      <c r="G1167">
        <f t="shared" si="162"/>
        <v>25</v>
      </c>
      <c r="H1167">
        <v>75</v>
      </c>
      <c r="I1167" s="4">
        <f>Full_Data[[#This Row],[Selling Price]]/Full_Data[[#This Row],[Weight (g)]]</f>
        <v>0.33333333333333331</v>
      </c>
      <c r="J1167" t="b">
        <v>1</v>
      </c>
      <c r="K1167">
        <v>75</v>
      </c>
      <c r="L1167">
        <f t="shared" si="163"/>
        <v>0</v>
      </c>
      <c r="M1167" t="str">
        <f t="shared" si="164"/>
        <v>Low</v>
      </c>
      <c r="N1167" t="str">
        <f t="shared" si="165"/>
        <v>0-5%</v>
      </c>
      <c r="O1167" t="str">
        <f t="shared" si="166"/>
        <v>OK</v>
      </c>
      <c r="P1167">
        <f>IFERROR(Full_Data!G1167/Full_Data!H1167,"Check data")</f>
        <v>0.33333333333333331</v>
      </c>
      <c r="Q1167" t="str">
        <f t="shared" si="167"/>
        <v>Match</v>
      </c>
      <c r="R1167" t="str">
        <f t="shared" si="168"/>
        <v>Match</v>
      </c>
      <c r="S1167" t="str">
        <f t="shared" si="169"/>
        <v>Match</v>
      </c>
    </row>
    <row r="1168" spans="1:19" x14ac:dyDescent="0.25">
      <c r="A1168" t="s">
        <v>1043</v>
      </c>
      <c r="B1168">
        <v>4000</v>
      </c>
      <c r="C1168">
        <f t="shared" si="170"/>
        <v>40</v>
      </c>
      <c r="D1168">
        <v>5</v>
      </c>
      <c r="E1168">
        <v>0</v>
      </c>
      <c r="F1168">
        <v>3800</v>
      </c>
      <c r="G1168">
        <f t="shared" si="162"/>
        <v>38</v>
      </c>
      <c r="H1168">
        <v>200</v>
      </c>
      <c r="I1168" s="4">
        <f>Full_Data[[#This Row],[Selling Price]]/Full_Data[[#This Row],[Weight (g)]]</f>
        <v>0.19</v>
      </c>
      <c r="J1168" t="b">
        <v>1</v>
      </c>
      <c r="K1168">
        <v>200</v>
      </c>
      <c r="L1168">
        <f t="shared" si="163"/>
        <v>2</v>
      </c>
      <c r="M1168" t="str">
        <f t="shared" si="164"/>
        <v>Low</v>
      </c>
      <c r="N1168" t="str">
        <f t="shared" si="165"/>
        <v>0-5%</v>
      </c>
      <c r="O1168" t="str">
        <f t="shared" si="166"/>
        <v>OK</v>
      </c>
      <c r="P1168">
        <f>IFERROR(Full_Data!G1168/Full_Data!H1168,"Check data")</f>
        <v>0.19</v>
      </c>
      <c r="Q1168" t="str">
        <f t="shared" si="167"/>
        <v>Match</v>
      </c>
      <c r="R1168" t="str">
        <f t="shared" si="168"/>
        <v>Match</v>
      </c>
      <c r="S1168" t="str">
        <f t="shared" si="169"/>
        <v>Match</v>
      </c>
    </row>
    <row r="1169" spans="1:19" x14ac:dyDescent="0.25">
      <c r="A1169" t="s">
        <v>1105</v>
      </c>
      <c r="B1169">
        <v>2500</v>
      </c>
      <c r="C1169">
        <f t="shared" si="170"/>
        <v>25</v>
      </c>
      <c r="D1169">
        <v>0</v>
      </c>
      <c r="E1169">
        <v>0</v>
      </c>
      <c r="F1169">
        <v>2500</v>
      </c>
      <c r="G1169">
        <f t="shared" si="162"/>
        <v>25</v>
      </c>
      <c r="H1169">
        <v>150</v>
      </c>
      <c r="I1169" s="4">
        <f>Full_Data[[#This Row],[Selling Price]]/Full_Data[[#This Row],[Weight (g)]]</f>
        <v>0.16666666666666666</v>
      </c>
      <c r="J1169" t="b">
        <v>1</v>
      </c>
      <c r="K1169">
        <v>150</v>
      </c>
      <c r="L1169">
        <f t="shared" si="163"/>
        <v>0</v>
      </c>
      <c r="M1169" t="str">
        <f t="shared" si="164"/>
        <v>Low</v>
      </c>
      <c r="N1169" t="str">
        <f t="shared" si="165"/>
        <v>0-5%</v>
      </c>
      <c r="O1169" t="str">
        <f t="shared" si="166"/>
        <v>OK</v>
      </c>
      <c r="P1169">
        <f>IFERROR(Full_Data!G1169/Full_Data!H1169,"Check data")</f>
        <v>0.16666666666666666</v>
      </c>
      <c r="Q1169" t="str">
        <f t="shared" si="167"/>
        <v>Match</v>
      </c>
      <c r="R1169" t="str">
        <f t="shared" si="168"/>
        <v>Match</v>
      </c>
      <c r="S1169" t="str">
        <f t="shared" si="169"/>
        <v>Match</v>
      </c>
    </row>
    <row r="1170" spans="1:19" x14ac:dyDescent="0.25">
      <c r="A1170" t="s">
        <v>1106</v>
      </c>
      <c r="B1170">
        <v>4500</v>
      </c>
      <c r="C1170">
        <f t="shared" si="170"/>
        <v>45</v>
      </c>
      <c r="D1170">
        <v>0</v>
      </c>
      <c r="E1170">
        <v>0</v>
      </c>
      <c r="F1170">
        <v>4500</v>
      </c>
      <c r="G1170">
        <f t="shared" si="162"/>
        <v>45</v>
      </c>
      <c r="H1170">
        <v>200</v>
      </c>
      <c r="I1170" s="4">
        <f>Full_Data[[#This Row],[Selling Price]]/Full_Data[[#This Row],[Weight (g)]]</f>
        <v>0.22500000000000001</v>
      </c>
      <c r="J1170" t="b">
        <v>1</v>
      </c>
      <c r="K1170">
        <v>200</v>
      </c>
      <c r="L1170">
        <f t="shared" si="163"/>
        <v>0</v>
      </c>
      <c r="M1170" t="str">
        <f t="shared" si="164"/>
        <v>Low</v>
      </c>
      <c r="N1170" t="str">
        <f t="shared" si="165"/>
        <v>0-5%</v>
      </c>
      <c r="O1170" t="str">
        <f t="shared" si="166"/>
        <v>OK</v>
      </c>
      <c r="P1170">
        <f>IFERROR(Full_Data!G1170/Full_Data!H1170,"Check data")</f>
        <v>0.22500000000000001</v>
      </c>
      <c r="Q1170" t="str">
        <f t="shared" si="167"/>
        <v>Match</v>
      </c>
      <c r="R1170" t="str">
        <f t="shared" si="168"/>
        <v>Match</v>
      </c>
      <c r="S1170" t="str">
        <f t="shared" si="169"/>
        <v>Match</v>
      </c>
    </row>
    <row r="1171" spans="1:19" x14ac:dyDescent="0.25">
      <c r="A1171" t="s">
        <v>1107</v>
      </c>
      <c r="B1171">
        <v>3500</v>
      </c>
      <c r="C1171">
        <f t="shared" si="170"/>
        <v>35</v>
      </c>
      <c r="D1171">
        <v>2</v>
      </c>
      <c r="E1171">
        <v>0</v>
      </c>
      <c r="F1171">
        <v>3400</v>
      </c>
      <c r="G1171">
        <f t="shared" si="162"/>
        <v>34</v>
      </c>
      <c r="H1171">
        <v>150</v>
      </c>
      <c r="I1171" s="4">
        <f>Full_Data[[#This Row],[Selling Price]]/Full_Data[[#This Row],[Weight (g)]]</f>
        <v>0.22666666666666666</v>
      </c>
      <c r="J1171" t="b">
        <v>1</v>
      </c>
      <c r="K1171">
        <v>150</v>
      </c>
      <c r="L1171">
        <f t="shared" si="163"/>
        <v>1</v>
      </c>
      <c r="M1171" t="str">
        <f t="shared" si="164"/>
        <v>Low</v>
      </c>
      <c r="N1171" t="str">
        <f t="shared" si="165"/>
        <v>0-5%</v>
      </c>
      <c r="O1171" t="str">
        <f t="shared" si="166"/>
        <v>OK</v>
      </c>
      <c r="P1171">
        <f>IFERROR(Full_Data!G1171/Full_Data!H1171,"Check data")</f>
        <v>0.22666666666666666</v>
      </c>
      <c r="Q1171" t="str">
        <f t="shared" si="167"/>
        <v>Match</v>
      </c>
      <c r="R1171" t="str">
        <f t="shared" si="168"/>
        <v>Mismatch</v>
      </c>
      <c r="S1171" t="str">
        <f t="shared" si="169"/>
        <v>Mismatch</v>
      </c>
    </row>
    <row r="1172" spans="1:19" x14ac:dyDescent="0.25">
      <c r="A1172" t="s">
        <v>1108</v>
      </c>
      <c r="B1172">
        <v>15000</v>
      </c>
      <c r="C1172">
        <f t="shared" si="170"/>
        <v>150</v>
      </c>
      <c r="D1172">
        <v>50</v>
      </c>
      <c r="E1172">
        <v>0</v>
      </c>
      <c r="F1172">
        <v>7500</v>
      </c>
      <c r="G1172">
        <f t="shared" si="162"/>
        <v>75</v>
      </c>
      <c r="H1172">
        <v>250</v>
      </c>
      <c r="I1172" s="4">
        <f>Full_Data[[#This Row],[Selling Price]]/Full_Data[[#This Row],[Weight (g)]]</f>
        <v>0.3</v>
      </c>
      <c r="J1172" t="b">
        <v>1</v>
      </c>
      <c r="K1172">
        <v>250</v>
      </c>
      <c r="L1172">
        <f t="shared" si="163"/>
        <v>75</v>
      </c>
      <c r="M1172" t="str">
        <f t="shared" si="164"/>
        <v>Medium</v>
      </c>
      <c r="N1172" t="str">
        <f t="shared" si="165"/>
        <v>21%+</v>
      </c>
      <c r="O1172" t="str">
        <f t="shared" si="166"/>
        <v>OK</v>
      </c>
      <c r="P1172">
        <f>IFERROR(Full_Data!G1172/Full_Data!H1172,"Check data")</f>
        <v>0.3</v>
      </c>
      <c r="Q1172" t="str">
        <f t="shared" si="167"/>
        <v>Match</v>
      </c>
      <c r="R1172" t="str">
        <f t="shared" si="168"/>
        <v>Match</v>
      </c>
      <c r="S1172" t="str">
        <f t="shared" si="169"/>
        <v>Match</v>
      </c>
    </row>
    <row r="1173" spans="1:19" x14ac:dyDescent="0.25">
      <c r="A1173" t="s">
        <v>1109</v>
      </c>
      <c r="B1173">
        <v>2500</v>
      </c>
      <c r="C1173">
        <f t="shared" si="170"/>
        <v>25</v>
      </c>
      <c r="D1173">
        <v>0</v>
      </c>
      <c r="E1173">
        <v>0</v>
      </c>
      <c r="F1173">
        <v>2500</v>
      </c>
      <c r="G1173">
        <f t="shared" si="162"/>
        <v>25</v>
      </c>
      <c r="H1173">
        <v>120</v>
      </c>
      <c r="I1173" s="4">
        <f>Full_Data[[#This Row],[Selling Price]]/Full_Data[[#This Row],[Weight (g)]]</f>
        <v>0.20833333333333334</v>
      </c>
      <c r="J1173" t="b">
        <v>1</v>
      </c>
      <c r="K1173">
        <v>120</v>
      </c>
      <c r="L1173">
        <f t="shared" si="163"/>
        <v>0</v>
      </c>
      <c r="M1173" t="str">
        <f t="shared" si="164"/>
        <v>Low</v>
      </c>
      <c r="N1173" t="str">
        <f t="shared" si="165"/>
        <v>0-5%</v>
      </c>
      <c r="O1173" t="str">
        <f t="shared" si="166"/>
        <v>OK</v>
      </c>
      <c r="P1173">
        <f>IFERROR(Full_Data!G1173/Full_Data!H1173,"Check data")</f>
        <v>0.20833333333333334</v>
      </c>
      <c r="Q1173" t="str">
        <f t="shared" si="167"/>
        <v>Match</v>
      </c>
      <c r="R1173" t="str">
        <f t="shared" si="168"/>
        <v>Match</v>
      </c>
      <c r="S1173" t="str">
        <f t="shared" si="169"/>
        <v>Match</v>
      </c>
    </row>
    <row r="1174" spans="1:19" x14ac:dyDescent="0.25">
      <c r="A1174" t="s">
        <v>1110</v>
      </c>
      <c r="B1174">
        <v>2800</v>
      </c>
      <c r="C1174">
        <f t="shared" si="170"/>
        <v>28</v>
      </c>
      <c r="D1174">
        <v>0</v>
      </c>
      <c r="E1174">
        <v>0</v>
      </c>
      <c r="F1174">
        <v>2800</v>
      </c>
      <c r="G1174">
        <f t="shared" si="162"/>
        <v>28</v>
      </c>
      <c r="H1174">
        <v>200</v>
      </c>
      <c r="I1174" s="4">
        <f>Full_Data[[#This Row],[Selling Price]]/Full_Data[[#This Row],[Weight (g)]]</f>
        <v>0.14000000000000001</v>
      </c>
      <c r="J1174" t="b">
        <v>1</v>
      </c>
      <c r="K1174">
        <v>200</v>
      </c>
      <c r="L1174">
        <f t="shared" si="163"/>
        <v>0</v>
      </c>
      <c r="M1174" t="str">
        <f t="shared" si="164"/>
        <v>Low</v>
      </c>
      <c r="N1174" t="str">
        <f t="shared" si="165"/>
        <v>0-5%</v>
      </c>
      <c r="O1174" t="str">
        <f t="shared" si="166"/>
        <v>OK</v>
      </c>
      <c r="P1174">
        <f>IFERROR(Full_Data!G1174/Full_Data!H1174,"Check data")</f>
        <v>0.14000000000000001</v>
      </c>
      <c r="Q1174" t="str">
        <f t="shared" si="167"/>
        <v>Match</v>
      </c>
      <c r="R1174" t="str">
        <f t="shared" si="168"/>
        <v>Match</v>
      </c>
      <c r="S1174" t="str">
        <f t="shared" si="169"/>
        <v>Match</v>
      </c>
    </row>
    <row r="1175" spans="1:19" x14ac:dyDescent="0.25">
      <c r="A1175" t="s">
        <v>1111</v>
      </c>
      <c r="B1175">
        <v>8000</v>
      </c>
      <c r="C1175">
        <f t="shared" si="170"/>
        <v>80</v>
      </c>
      <c r="D1175">
        <v>0</v>
      </c>
      <c r="E1175">
        <v>0</v>
      </c>
      <c r="F1175">
        <v>8000</v>
      </c>
      <c r="G1175">
        <f t="shared" si="162"/>
        <v>80</v>
      </c>
      <c r="H1175">
        <v>600</v>
      </c>
      <c r="I1175" s="4">
        <f>Full_Data[[#This Row],[Selling Price]]/Full_Data[[#This Row],[Weight (g)]]</f>
        <v>0.13333333333333333</v>
      </c>
      <c r="J1175" t="b">
        <v>1</v>
      </c>
      <c r="K1175">
        <v>600</v>
      </c>
      <c r="L1175">
        <f t="shared" si="163"/>
        <v>0</v>
      </c>
      <c r="M1175" t="str">
        <f t="shared" si="164"/>
        <v>Medium</v>
      </c>
      <c r="N1175" t="str">
        <f t="shared" si="165"/>
        <v>0-5%</v>
      </c>
      <c r="O1175" t="str">
        <f t="shared" si="166"/>
        <v>OK</v>
      </c>
      <c r="P1175">
        <f>IFERROR(Full_Data!G1175/Full_Data!H1175,"Check data")</f>
        <v>0.13333333333333333</v>
      </c>
      <c r="Q1175" t="str">
        <f t="shared" si="167"/>
        <v>Match</v>
      </c>
      <c r="R1175" t="str">
        <f t="shared" si="168"/>
        <v>Match</v>
      </c>
      <c r="S1175" t="str">
        <f t="shared" si="169"/>
        <v>Match</v>
      </c>
    </row>
    <row r="1176" spans="1:19" x14ac:dyDescent="0.25">
      <c r="A1176" t="s">
        <v>1019</v>
      </c>
      <c r="B1176">
        <v>1000</v>
      </c>
      <c r="C1176">
        <f t="shared" si="170"/>
        <v>10</v>
      </c>
      <c r="D1176">
        <v>0</v>
      </c>
      <c r="E1176">
        <v>0</v>
      </c>
      <c r="F1176">
        <v>1000</v>
      </c>
      <c r="G1176">
        <f t="shared" si="162"/>
        <v>10</v>
      </c>
      <c r="H1176">
        <v>46</v>
      </c>
      <c r="I1176" s="4">
        <f>Full_Data[[#This Row],[Selling Price]]/Full_Data[[#This Row],[Weight (g)]]</f>
        <v>0.21739130434782608</v>
      </c>
      <c r="J1176" t="b">
        <v>1</v>
      </c>
      <c r="K1176">
        <v>45</v>
      </c>
      <c r="L1176">
        <f t="shared" si="163"/>
        <v>0</v>
      </c>
      <c r="M1176" t="str">
        <f t="shared" si="164"/>
        <v>Low</v>
      </c>
      <c r="N1176" t="str">
        <f t="shared" si="165"/>
        <v>0-5%</v>
      </c>
      <c r="O1176" t="str">
        <f t="shared" si="166"/>
        <v>OK</v>
      </c>
      <c r="P1176">
        <f>IFERROR(Full_Data!G1176/Full_Data!H1176,"Check data")</f>
        <v>0.21739130434782608</v>
      </c>
      <c r="Q1176" t="str">
        <f t="shared" si="167"/>
        <v>Match</v>
      </c>
      <c r="R1176" t="str">
        <f t="shared" si="168"/>
        <v>Match</v>
      </c>
      <c r="S1176" t="str">
        <f t="shared" si="169"/>
        <v>Match</v>
      </c>
    </row>
    <row r="1177" spans="1:19" x14ac:dyDescent="0.25">
      <c r="A1177" t="s">
        <v>1112</v>
      </c>
      <c r="B1177">
        <v>2500</v>
      </c>
      <c r="C1177">
        <f t="shared" si="170"/>
        <v>25</v>
      </c>
      <c r="D1177">
        <v>8</v>
      </c>
      <c r="E1177">
        <v>0</v>
      </c>
      <c r="F1177">
        <v>2300</v>
      </c>
      <c r="G1177">
        <f t="shared" si="162"/>
        <v>23</v>
      </c>
      <c r="H1177">
        <v>75</v>
      </c>
      <c r="I1177" s="4">
        <f>Full_Data[[#This Row],[Selling Price]]/Full_Data[[#This Row],[Weight (g)]]</f>
        <v>0.30666666666666664</v>
      </c>
      <c r="J1177" t="b">
        <v>1</v>
      </c>
      <c r="K1177">
        <v>75</v>
      </c>
      <c r="L1177">
        <f t="shared" si="163"/>
        <v>2</v>
      </c>
      <c r="M1177" t="str">
        <f t="shared" si="164"/>
        <v>Low</v>
      </c>
      <c r="N1177" t="str">
        <f t="shared" si="165"/>
        <v>6-10%</v>
      </c>
      <c r="O1177" t="str">
        <f t="shared" si="166"/>
        <v>OK</v>
      </c>
      <c r="P1177">
        <f>IFERROR(Full_Data!G1177/Full_Data!H1177,"Check data")</f>
        <v>0.30666666666666664</v>
      </c>
      <c r="Q1177" t="str">
        <f t="shared" si="167"/>
        <v>Match</v>
      </c>
      <c r="R1177" t="str">
        <f t="shared" si="168"/>
        <v>Match</v>
      </c>
      <c r="S1177" t="str">
        <f t="shared" si="169"/>
        <v>Match</v>
      </c>
    </row>
    <row r="1178" spans="1:19" x14ac:dyDescent="0.25">
      <c r="A1178" t="s">
        <v>1113</v>
      </c>
      <c r="B1178">
        <v>4500</v>
      </c>
      <c r="C1178">
        <f t="shared" si="170"/>
        <v>45</v>
      </c>
      <c r="D1178">
        <v>0</v>
      </c>
      <c r="E1178">
        <v>0</v>
      </c>
      <c r="F1178">
        <v>4500</v>
      </c>
      <c r="G1178">
        <f t="shared" si="162"/>
        <v>45</v>
      </c>
      <c r="H1178">
        <v>300</v>
      </c>
      <c r="I1178" s="4">
        <f>Full_Data[[#This Row],[Selling Price]]/Full_Data[[#This Row],[Weight (g)]]</f>
        <v>0.15</v>
      </c>
      <c r="J1178" t="b">
        <v>1</v>
      </c>
      <c r="K1178">
        <v>300</v>
      </c>
      <c r="L1178">
        <f t="shared" si="163"/>
        <v>0</v>
      </c>
      <c r="M1178" t="str">
        <f t="shared" si="164"/>
        <v>Low</v>
      </c>
      <c r="N1178" t="str">
        <f t="shared" si="165"/>
        <v>0-5%</v>
      </c>
      <c r="O1178" t="str">
        <f t="shared" si="166"/>
        <v>OK</v>
      </c>
      <c r="P1178">
        <f>IFERROR(Full_Data!G1178/Full_Data!H1178,"Check data")</f>
        <v>0.15</v>
      </c>
      <c r="Q1178" t="str">
        <f t="shared" si="167"/>
        <v>Match</v>
      </c>
      <c r="R1178" t="str">
        <f t="shared" si="168"/>
        <v>Match</v>
      </c>
      <c r="S1178" t="str">
        <f t="shared" si="169"/>
        <v>Match</v>
      </c>
    </row>
    <row r="1179" spans="1:19" x14ac:dyDescent="0.25">
      <c r="A1179" t="s">
        <v>1114</v>
      </c>
      <c r="B1179">
        <v>6500</v>
      </c>
      <c r="C1179">
        <f t="shared" si="170"/>
        <v>65</v>
      </c>
      <c r="D1179">
        <v>6</v>
      </c>
      <c r="E1179">
        <v>0</v>
      </c>
      <c r="F1179">
        <v>6100</v>
      </c>
      <c r="G1179">
        <f t="shared" si="162"/>
        <v>61</v>
      </c>
      <c r="H1179">
        <v>200</v>
      </c>
      <c r="I1179" s="4">
        <f>Full_Data[[#This Row],[Selling Price]]/Full_Data[[#This Row],[Weight (g)]]</f>
        <v>0.30499999999999999</v>
      </c>
      <c r="J1179" t="b">
        <v>1</v>
      </c>
      <c r="K1179">
        <v>100</v>
      </c>
      <c r="L1179">
        <f t="shared" si="163"/>
        <v>4</v>
      </c>
      <c r="M1179" t="str">
        <f t="shared" si="164"/>
        <v>Medium</v>
      </c>
      <c r="N1179" t="str">
        <f t="shared" si="165"/>
        <v>6-10%</v>
      </c>
      <c r="O1179" t="str">
        <f t="shared" si="166"/>
        <v>OK</v>
      </c>
      <c r="P1179">
        <f>IFERROR(Full_Data!G1179/Full_Data!H1179,"Check data")</f>
        <v>0.30499999999999999</v>
      </c>
      <c r="Q1179" t="str">
        <f t="shared" si="167"/>
        <v>Match</v>
      </c>
      <c r="R1179" t="str">
        <f t="shared" si="168"/>
        <v>Mismatch</v>
      </c>
      <c r="S1179" t="str">
        <f t="shared" si="169"/>
        <v>Match</v>
      </c>
    </row>
    <row r="1180" spans="1:19" x14ac:dyDescent="0.25">
      <c r="A1180" t="s">
        <v>1115</v>
      </c>
      <c r="B1180">
        <v>3500</v>
      </c>
      <c r="C1180">
        <f t="shared" si="170"/>
        <v>35</v>
      </c>
      <c r="D1180">
        <v>2</v>
      </c>
      <c r="E1180">
        <v>0</v>
      </c>
      <c r="F1180">
        <v>3400</v>
      </c>
      <c r="G1180">
        <f t="shared" si="162"/>
        <v>34</v>
      </c>
      <c r="H1180">
        <v>150</v>
      </c>
      <c r="I1180" s="4">
        <f>Full_Data[[#This Row],[Selling Price]]/Full_Data[[#This Row],[Weight (g)]]</f>
        <v>0.22666666666666666</v>
      </c>
      <c r="J1180" t="b">
        <v>1</v>
      </c>
      <c r="K1180">
        <v>150</v>
      </c>
      <c r="L1180">
        <f t="shared" si="163"/>
        <v>1</v>
      </c>
      <c r="M1180" t="str">
        <f t="shared" si="164"/>
        <v>Low</v>
      </c>
      <c r="N1180" t="str">
        <f t="shared" si="165"/>
        <v>0-5%</v>
      </c>
      <c r="O1180" t="str">
        <f t="shared" si="166"/>
        <v>OK</v>
      </c>
      <c r="P1180">
        <f>IFERROR(Full_Data!G1180/Full_Data!H1180,"Check data")</f>
        <v>0.22666666666666666</v>
      </c>
      <c r="Q1180" t="str">
        <f t="shared" si="167"/>
        <v>Match</v>
      </c>
      <c r="R1180" t="str">
        <f t="shared" si="168"/>
        <v>Mismatch</v>
      </c>
      <c r="S1180" t="str">
        <f t="shared" si="169"/>
        <v>Mismatch</v>
      </c>
    </row>
    <row r="1181" spans="1:19" x14ac:dyDescent="0.25">
      <c r="A1181" t="s">
        <v>1116</v>
      </c>
      <c r="B1181">
        <v>2500</v>
      </c>
      <c r="C1181">
        <f t="shared" si="170"/>
        <v>25</v>
      </c>
      <c r="D1181">
        <v>12</v>
      </c>
      <c r="E1181">
        <v>0</v>
      </c>
      <c r="F1181">
        <v>2200</v>
      </c>
      <c r="G1181">
        <f t="shared" si="162"/>
        <v>22</v>
      </c>
      <c r="H1181">
        <v>150</v>
      </c>
      <c r="I1181" s="4">
        <f>Full_Data[[#This Row],[Selling Price]]/Full_Data[[#This Row],[Weight (g)]]</f>
        <v>0.14666666666666667</v>
      </c>
      <c r="J1181" t="b">
        <v>1</v>
      </c>
      <c r="K1181">
        <v>150</v>
      </c>
      <c r="L1181">
        <f t="shared" si="163"/>
        <v>3</v>
      </c>
      <c r="M1181" t="str">
        <f t="shared" si="164"/>
        <v>Low</v>
      </c>
      <c r="N1181" t="str">
        <f t="shared" si="165"/>
        <v>11-15%</v>
      </c>
      <c r="O1181" t="str">
        <f t="shared" si="166"/>
        <v>OK</v>
      </c>
      <c r="P1181">
        <f>IFERROR(Full_Data!G1181/Full_Data!H1181,"Check data")</f>
        <v>0.14666666666666667</v>
      </c>
      <c r="Q1181" t="str">
        <f t="shared" si="167"/>
        <v>Match</v>
      </c>
      <c r="R1181" t="str">
        <f t="shared" si="168"/>
        <v>Match</v>
      </c>
      <c r="S1181" t="str">
        <f t="shared" si="169"/>
        <v>Match</v>
      </c>
    </row>
    <row r="1182" spans="1:19" x14ac:dyDescent="0.25">
      <c r="A1182" t="s">
        <v>1117</v>
      </c>
      <c r="B1182">
        <v>7500</v>
      </c>
      <c r="C1182">
        <f t="shared" si="170"/>
        <v>75</v>
      </c>
      <c r="D1182">
        <v>0</v>
      </c>
      <c r="E1182">
        <v>0</v>
      </c>
      <c r="F1182">
        <v>7500</v>
      </c>
      <c r="G1182">
        <f t="shared" si="162"/>
        <v>75</v>
      </c>
      <c r="H1182">
        <v>200</v>
      </c>
      <c r="I1182" s="4">
        <f>Full_Data[[#This Row],[Selling Price]]/Full_Data[[#This Row],[Weight (g)]]</f>
        <v>0.375</v>
      </c>
      <c r="J1182" t="b">
        <v>1</v>
      </c>
      <c r="K1182">
        <v>200</v>
      </c>
      <c r="L1182">
        <f t="shared" si="163"/>
        <v>0</v>
      </c>
      <c r="M1182" t="str">
        <f t="shared" si="164"/>
        <v>Medium</v>
      </c>
      <c r="N1182" t="str">
        <f t="shared" si="165"/>
        <v>0-5%</v>
      </c>
      <c r="O1182" t="str">
        <f t="shared" si="166"/>
        <v>OK</v>
      </c>
      <c r="P1182">
        <f>IFERROR(Full_Data!G1182/Full_Data!H1182,"Check data")</f>
        <v>0.375</v>
      </c>
      <c r="Q1182" t="str">
        <f t="shared" si="167"/>
        <v>Match</v>
      </c>
      <c r="R1182" t="str">
        <f t="shared" si="168"/>
        <v>Match</v>
      </c>
      <c r="S1182" t="str">
        <f t="shared" si="169"/>
        <v>Match</v>
      </c>
    </row>
    <row r="1183" spans="1:19" x14ac:dyDescent="0.25">
      <c r="A1183" t="s">
        <v>1118</v>
      </c>
      <c r="B1183">
        <v>3000</v>
      </c>
      <c r="C1183">
        <f t="shared" si="170"/>
        <v>30</v>
      </c>
      <c r="D1183">
        <v>3</v>
      </c>
      <c r="E1183">
        <v>0</v>
      </c>
      <c r="F1183">
        <v>2900</v>
      </c>
      <c r="G1183">
        <f t="shared" si="162"/>
        <v>29</v>
      </c>
      <c r="H1183">
        <v>120</v>
      </c>
      <c r="I1183" s="4">
        <f>Full_Data[[#This Row],[Selling Price]]/Full_Data[[#This Row],[Weight (g)]]</f>
        <v>0.24166666666666667</v>
      </c>
      <c r="J1183" t="b">
        <v>1</v>
      </c>
      <c r="K1183">
        <v>120</v>
      </c>
      <c r="L1183">
        <f t="shared" si="163"/>
        <v>1</v>
      </c>
      <c r="M1183" t="str">
        <f t="shared" si="164"/>
        <v>Low</v>
      </c>
      <c r="N1183" t="str">
        <f t="shared" si="165"/>
        <v>0-5%</v>
      </c>
      <c r="O1183" t="str">
        <f t="shared" si="166"/>
        <v>OK</v>
      </c>
      <c r="P1183">
        <f>IFERROR(Full_Data!G1183/Full_Data!H1183,"Check data")</f>
        <v>0.24166666666666667</v>
      </c>
      <c r="Q1183" t="str">
        <f t="shared" si="167"/>
        <v>Match</v>
      </c>
      <c r="R1183" t="str">
        <f t="shared" si="168"/>
        <v>Mismatch</v>
      </c>
      <c r="S1183" t="str">
        <f t="shared" si="169"/>
        <v>Match</v>
      </c>
    </row>
    <row r="1184" spans="1:19" x14ac:dyDescent="0.25">
      <c r="A1184" t="s">
        <v>1119</v>
      </c>
      <c r="B1184">
        <v>1000</v>
      </c>
      <c r="C1184">
        <f t="shared" si="170"/>
        <v>10</v>
      </c>
      <c r="D1184">
        <v>0</v>
      </c>
      <c r="E1184">
        <v>0</v>
      </c>
      <c r="F1184">
        <v>1000</v>
      </c>
      <c r="G1184">
        <f t="shared" si="162"/>
        <v>10</v>
      </c>
      <c r="H1184">
        <v>60</v>
      </c>
      <c r="I1184" s="4">
        <f>Full_Data[[#This Row],[Selling Price]]/Full_Data[[#This Row],[Weight (g)]]</f>
        <v>0.16666666666666666</v>
      </c>
      <c r="J1184" t="b">
        <v>1</v>
      </c>
      <c r="K1184">
        <v>60</v>
      </c>
      <c r="L1184">
        <f t="shared" si="163"/>
        <v>0</v>
      </c>
      <c r="M1184" t="str">
        <f t="shared" si="164"/>
        <v>Low</v>
      </c>
      <c r="N1184" t="str">
        <f t="shared" si="165"/>
        <v>0-5%</v>
      </c>
      <c r="O1184" t="str">
        <f t="shared" si="166"/>
        <v>OK</v>
      </c>
      <c r="P1184">
        <f>IFERROR(Full_Data!G1184/Full_Data!H1184,"Check data")</f>
        <v>0.16666666666666666</v>
      </c>
      <c r="Q1184" t="str">
        <f t="shared" si="167"/>
        <v>Match</v>
      </c>
      <c r="R1184" t="str">
        <f t="shared" si="168"/>
        <v>Match</v>
      </c>
      <c r="S1184" t="str">
        <f t="shared" si="169"/>
        <v>Match</v>
      </c>
    </row>
    <row r="1185" spans="1:19" x14ac:dyDescent="0.25">
      <c r="A1185" t="s">
        <v>1120</v>
      </c>
      <c r="B1185">
        <v>1000</v>
      </c>
      <c r="C1185">
        <f t="shared" si="170"/>
        <v>10</v>
      </c>
      <c r="D1185">
        <v>0</v>
      </c>
      <c r="E1185">
        <v>0</v>
      </c>
      <c r="F1185">
        <v>1000</v>
      </c>
      <c r="G1185">
        <f t="shared" si="162"/>
        <v>10</v>
      </c>
      <c r="H1185">
        <v>28</v>
      </c>
      <c r="I1185" s="4">
        <f>Full_Data[[#This Row],[Selling Price]]/Full_Data[[#This Row],[Weight (g)]]</f>
        <v>0.35714285714285715</v>
      </c>
      <c r="J1185" t="b">
        <v>1</v>
      </c>
      <c r="K1185">
        <v>28</v>
      </c>
      <c r="L1185">
        <f t="shared" si="163"/>
        <v>0</v>
      </c>
      <c r="M1185" t="str">
        <f t="shared" si="164"/>
        <v>Low</v>
      </c>
      <c r="N1185" t="str">
        <f t="shared" si="165"/>
        <v>0-5%</v>
      </c>
      <c r="O1185" t="str">
        <f t="shared" si="166"/>
        <v>OK</v>
      </c>
      <c r="P1185">
        <f>IFERROR(Full_Data!G1185/Full_Data!H1185,"Check data")</f>
        <v>0.35714285714285715</v>
      </c>
      <c r="Q1185" t="str">
        <f t="shared" si="167"/>
        <v>Match</v>
      </c>
      <c r="R1185" t="str">
        <f t="shared" si="168"/>
        <v>Match</v>
      </c>
      <c r="S1185" t="str">
        <f t="shared" si="169"/>
        <v>Match</v>
      </c>
    </row>
    <row r="1186" spans="1:19" x14ac:dyDescent="0.25">
      <c r="A1186" t="s">
        <v>1121</v>
      </c>
      <c r="B1186">
        <v>1500</v>
      </c>
      <c r="C1186">
        <f t="shared" si="170"/>
        <v>15</v>
      </c>
      <c r="D1186">
        <v>0</v>
      </c>
      <c r="E1186">
        <v>0</v>
      </c>
      <c r="F1186">
        <v>1500</v>
      </c>
      <c r="G1186">
        <f t="shared" si="162"/>
        <v>15</v>
      </c>
      <c r="H1186">
        <v>45</v>
      </c>
      <c r="I1186" s="4">
        <f>Full_Data[[#This Row],[Selling Price]]/Full_Data[[#This Row],[Weight (g)]]</f>
        <v>0.33333333333333331</v>
      </c>
      <c r="J1186" t="b">
        <v>1</v>
      </c>
      <c r="K1186">
        <v>45</v>
      </c>
      <c r="L1186">
        <f t="shared" si="163"/>
        <v>0</v>
      </c>
      <c r="M1186" t="str">
        <f t="shared" si="164"/>
        <v>Low</v>
      </c>
      <c r="N1186" t="str">
        <f t="shared" si="165"/>
        <v>0-5%</v>
      </c>
      <c r="O1186" t="str">
        <f t="shared" si="166"/>
        <v>OK</v>
      </c>
      <c r="P1186">
        <f>IFERROR(Full_Data!G1186/Full_Data!H1186,"Check data")</f>
        <v>0.33333333333333331</v>
      </c>
      <c r="Q1186" t="str">
        <f t="shared" si="167"/>
        <v>Match</v>
      </c>
      <c r="R1186" t="str">
        <f t="shared" si="168"/>
        <v>Match</v>
      </c>
      <c r="S1186" t="str">
        <f t="shared" si="169"/>
        <v>Match</v>
      </c>
    </row>
    <row r="1187" spans="1:19" x14ac:dyDescent="0.25">
      <c r="A1187" t="s">
        <v>1122</v>
      </c>
      <c r="B1187">
        <v>2500</v>
      </c>
      <c r="C1187">
        <f t="shared" si="170"/>
        <v>25</v>
      </c>
      <c r="D1187">
        <v>10</v>
      </c>
      <c r="E1187">
        <v>0</v>
      </c>
      <c r="F1187">
        <v>2250</v>
      </c>
      <c r="G1187">
        <f t="shared" si="162"/>
        <v>22.5</v>
      </c>
      <c r="H1187">
        <v>100</v>
      </c>
      <c r="I1187" s="4">
        <f>Full_Data[[#This Row],[Selling Price]]/Full_Data[[#This Row],[Weight (g)]]</f>
        <v>0.22500000000000001</v>
      </c>
      <c r="J1187" t="b">
        <v>1</v>
      </c>
      <c r="K1187">
        <v>75</v>
      </c>
      <c r="L1187">
        <f t="shared" si="163"/>
        <v>2.5</v>
      </c>
      <c r="M1187" t="str">
        <f t="shared" si="164"/>
        <v>Low</v>
      </c>
      <c r="N1187" t="str">
        <f t="shared" si="165"/>
        <v>6-10%</v>
      </c>
      <c r="O1187" t="str">
        <f t="shared" si="166"/>
        <v>OK</v>
      </c>
      <c r="P1187">
        <f>IFERROR(Full_Data!G1187/Full_Data!H1187,"Check data")</f>
        <v>0.22500000000000001</v>
      </c>
      <c r="Q1187" t="str">
        <f t="shared" si="167"/>
        <v>Match</v>
      </c>
      <c r="R1187" t="str">
        <f t="shared" si="168"/>
        <v>Match</v>
      </c>
      <c r="S1187" t="str">
        <f t="shared" si="169"/>
        <v>Match</v>
      </c>
    </row>
    <row r="1188" spans="1:19" x14ac:dyDescent="0.25">
      <c r="A1188" t="s">
        <v>1123</v>
      </c>
      <c r="B1188">
        <v>3500</v>
      </c>
      <c r="C1188">
        <f t="shared" si="170"/>
        <v>35</v>
      </c>
      <c r="D1188">
        <v>0</v>
      </c>
      <c r="E1188">
        <v>0</v>
      </c>
      <c r="F1188">
        <v>3500</v>
      </c>
      <c r="G1188">
        <f t="shared" si="162"/>
        <v>35</v>
      </c>
      <c r="H1188">
        <v>300</v>
      </c>
      <c r="I1188" s="4">
        <f>Full_Data[[#This Row],[Selling Price]]/Full_Data[[#This Row],[Weight (g)]]</f>
        <v>0.11666666666666667</v>
      </c>
      <c r="J1188" t="b">
        <v>1</v>
      </c>
      <c r="K1188">
        <v>300</v>
      </c>
      <c r="L1188">
        <f t="shared" si="163"/>
        <v>0</v>
      </c>
      <c r="M1188" t="str">
        <f t="shared" si="164"/>
        <v>Low</v>
      </c>
      <c r="N1188" t="str">
        <f t="shared" si="165"/>
        <v>0-5%</v>
      </c>
      <c r="O1188" t="str">
        <f t="shared" si="166"/>
        <v>OK</v>
      </c>
      <c r="P1188">
        <f>IFERROR(Full_Data!G1188/Full_Data!H1188,"Check data")</f>
        <v>0.11666666666666667</v>
      </c>
      <c r="Q1188" t="str">
        <f t="shared" si="167"/>
        <v>Match</v>
      </c>
      <c r="R1188" t="str">
        <f t="shared" si="168"/>
        <v>Match</v>
      </c>
      <c r="S1188" t="str">
        <f t="shared" si="169"/>
        <v>Match</v>
      </c>
    </row>
    <row r="1189" spans="1:19" x14ac:dyDescent="0.25">
      <c r="A1189" t="s">
        <v>1124</v>
      </c>
      <c r="B1189">
        <v>8000</v>
      </c>
      <c r="C1189">
        <f t="shared" si="170"/>
        <v>80</v>
      </c>
      <c r="D1189">
        <v>0</v>
      </c>
      <c r="E1189">
        <v>0</v>
      </c>
      <c r="F1189">
        <v>8000</v>
      </c>
      <c r="G1189">
        <f t="shared" si="162"/>
        <v>80</v>
      </c>
      <c r="H1189">
        <v>300</v>
      </c>
      <c r="I1189" s="4">
        <f>Full_Data[[#This Row],[Selling Price]]/Full_Data[[#This Row],[Weight (g)]]</f>
        <v>0.26666666666666666</v>
      </c>
      <c r="J1189" t="b">
        <v>1</v>
      </c>
      <c r="K1189">
        <v>300</v>
      </c>
      <c r="L1189">
        <f t="shared" si="163"/>
        <v>0</v>
      </c>
      <c r="M1189" t="str">
        <f t="shared" si="164"/>
        <v>Medium</v>
      </c>
      <c r="N1189" t="str">
        <f t="shared" si="165"/>
        <v>0-5%</v>
      </c>
      <c r="O1189" t="str">
        <f t="shared" si="166"/>
        <v>OK</v>
      </c>
      <c r="P1189">
        <f>IFERROR(Full_Data!G1189/Full_Data!H1189,"Check data")</f>
        <v>0.26666666666666666</v>
      </c>
      <c r="Q1189" t="str">
        <f t="shared" si="167"/>
        <v>Match</v>
      </c>
      <c r="R1189" t="str">
        <f t="shared" si="168"/>
        <v>Match</v>
      </c>
      <c r="S1189" t="str">
        <f t="shared" si="169"/>
        <v>Match</v>
      </c>
    </row>
    <row r="1190" spans="1:19" x14ac:dyDescent="0.25">
      <c r="A1190" t="s">
        <v>1125</v>
      </c>
      <c r="B1190">
        <v>1500</v>
      </c>
      <c r="C1190">
        <f t="shared" si="170"/>
        <v>15</v>
      </c>
      <c r="D1190">
        <v>0</v>
      </c>
      <c r="E1190">
        <v>0</v>
      </c>
      <c r="F1190">
        <v>1500</v>
      </c>
      <c r="G1190">
        <f t="shared" si="162"/>
        <v>15</v>
      </c>
      <c r="H1190">
        <v>45</v>
      </c>
      <c r="I1190" s="4">
        <f>Full_Data[[#This Row],[Selling Price]]/Full_Data[[#This Row],[Weight (g)]]</f>
        <v>0.33333333333333331</v>
      </c>
      <c r="J1190" t="b">
        <v>1</v>
      </c>
      <c r="K1190">
        <v>45</v>
      </c>
      <c r="L1190">
        <f t="shared" si="163"/>
        <v>0</v>
      </c>
      <c r="M1190" t="str">
        <f t="shared" si="164"/>
        <v>Low</v>
      </c>
      <c r="N1190" t="str">
        <f t="shared" si="165"/>
        <v>0-5%</v>
      </c>
      <c r="O1190" t="str">
        <f t="shared" si="166"/>
        <v>OK</v>
      </c>
      <c r="P1190">
        <f>IFERROR(Full_Data!G1190/Full_Data!H1190,"Check data")</f>
        <v>0.33333333333333331</v>
      </c>
      <c r="Q1190" t="str">
        <f t="shared" si="167"/>
        <v>Match</v>
      </c>
      <c r="R1190" t="str">
        <f t="shared" si="168"/>
        <v>Match</v>
      </c>
      <c r="S1190" t="str">
        <f t="shared" si="169"/>
        <v>Match</v>
      </c>
    </row>
    <row r="1191" spans="1:19" x14ac:dyDescent="0.25">
      <c r="A1191" t="s">
        <v>1126</v>
      </c>
      <c r="B1191">
        <v>2500</v>
      </c>
      <c r="C1191">
        <f t="shared" si="170"/>
        <v>25</v>
      </c>
      <c r="D1191">
        <v>0</v>
      </c>
      <c r="E1191">
        <v>0</v>
      </c>
      <c r="F1191">
        <v>2500</v>
      </c>
      <c r="G1191">
        <f t="shared" si="162"/>
        <v>25</v>
      </c>
      <c r="H1191">
        <v>100</v>
      </c>
      <c r="I1191" s="4">
        <f>Full_Data[[#This Row],[Selling Price]]/Full_Data[[#This Row],[Weight (g)]]</f>
        <v>0.25</v>
      </c>
      <c r="J1191" t="b">
        <v>1</v>
      </c>
      <c r="K1191">
        <v>100</v>
      </c>
      <c r="L1191">
        <f t="shared" si="163"/>
        <v>0</v>
      </c>
      <c r="M1191" t="str">
        <f t="shared" si="164"/>
        <v>Low</v>
      </c>
      <c r="N1191" t="str">
        <f t="shared" si="165"/>
        <v>0-5%</v>
      </c>
      <c r="O1191" t="str">
        <f t="shared" si="166"/>
        <v>OK</v>
      </c>
      <c r="P1191">
        <f>IFERROR(Full_Data!G1191/Full_Data!H1191,"Check data")</f>
        <v>0.25</v>
      </c>
      <c r="Q1191" t="str">
        <f t="shared" si="167"/>
        <v>Match</v>
      </c>
      <c r="R1191" t="str">
        <f t="shared" si="168"/>
        <v>Match</v>
      </c>
      <c r="S1191" t="str">
        <f t="shared" si="169"/>
        <v>Match</v>
      </c>
    </row>
    <row r="1192" spans="1:19" x14ac:dyDescent="0.25">
      <c r="A1192" t="s">
        <v>1015</v>
      </c>
      <c r="B1192">
        <v>5000</v>
      </c>
      <c r="C1192">
        <f t="shared" si="170"/>
        <v>50</v>
      </c>
      <c r="D1192">
        <v>6</v>
      </c>
      <c r="E1192">
        <v>0</v>
      </c>
      <c r="F1192">
        <v>4700</v>
      </c>
      <c r="G1192">
        <f t="shared" si="162"/>
        <v>47</v>
      </c>
      <c r="H1192">
        <v>300</v>
      </c>
      <c r="I1192" s="4">
        <f>Full_Data[[#This Row],[Selling Price]]/Full_Data[[#This Row],[Weight (g)]]</f>
        <v>0.15666666666666668</v>
      </c>
      <c r="J1192" t="b">
        <v>1</v>
      </c>
      <c r="K1192">
        <v>300</v>
      </c>
      <c r="L1192">
        <f t="shared" si="163"/>
        <v>3</v>
      </c>
      <c r="M1192" t="str">
        <f t="shared" si="164"/>
        <v>Low</v>
      </c>
      <c r="N1192" t="str">
        <f t="shared" si="165"/>
        <v>6-10%</v>
      </c>
      <c r="O1192" t="str">
        <f t="shared" si="166"/>
        <v>OK</v>
      </c>
      <c r="P1192">
        <f>IFERROR(Full_Data!G1192/Full_Data!H1192,"Check data")</f>
        <v>0.15666666666666668</v>
      </c>
      <c r="Q1192" t="str">
        <f t="shared" si="167"/>
        <v>Match</v>
      </c>
      <c r="R1192" t="str">
        <f t="shared" si="168"/>
        <v>Match</v>
      </c>
      <c r="S1192" t="str">
        <f t="shared" si="169"/>
        <v>Match</v>
      </c>
    </row>
    <row r="1193" spans="1:19" x14ac:dyDescent="0.25">
      <c r="A1193" t="s">
        <v>1127</v>
      </c>
      <c r="B1193">
        <v>6500</v>
      </c>
      <c r="C1193">
        <f t="shared" si="170"/>
        <v>65</v>
      </c>
      <c r="D1193">
        <v>0</v>
      </c>
      <c r="E1193">
        <v>0</v>
      </c>
      <c r="F1193">
        <v>6500</v>
      </c>
      <c r="G1193">
        <f t="shared" si="162"/>
        <v>65</v>
      </c>
      <c r="H1193">
        <v>200</v>
      </c>
      <c r="I1193" s="4">
        <f>Full_Data[[#This Row],[Selling Price]]/Full_Data[[#This Row],[Weight (g)]]</f>
        <v>0.32500000000000001</v>
      </c>
      <c r="J1193" t="b">
        <v>1</v>
      </c>
      <c r="K1193">
        <v>200</v>
      </c>
      <c r="L1193">
        <f t="shared" si="163"/>
        <v>0</v>
      </c>
      <c r="M1193" t="str">
        <f t="shared" si="164"/>
        <v>Medium</v>
      </c>
      <c r="N1193" t="str">
        <f t="shared" si="165"/>
        <v>0-5%</v>
      </c>
      <c r="O1193" t="str">
        <f t="shared" si="166"/>
        <v>OK</v>
      </c>
      <c r="P1193">
        <f>IFERROR(Full_Data!G1193/Full_Data!H1193,"Check data")</f>
        <v>0.32500000000000001</v>
      </c>
      <c r="Q1193" t="str">
        <f t="shared" si="167"/>
        <v>Match</v>
      </c>
      <c r="R1193" t="str">
        <f t="shared" si="168"/>
        <v>Match</v>
      </c>
      <c r="S1193" t="str">
        <f t="shared" si="169"/>
        <v>Match</v>
      </c>
    </row>
    <row r="1194" spans="1:19" x14ac:dyDescent="0.25">
      <c r="A1194" t="s">
        <v>1128</v>
      </c>
      <c r="B1194">
        <v>3000</v>
      </c>
      <c r="C1194">
        <f t="shared" si="170"/>
        <v>30</v>
      </c>
      <c r="D1194">
        <v>3</v>
      </c>
      <c r="E1194">
        <v>0</v>
      </c>
      <c r="F1194">
        <v>2900</v>
      </c>
      <c r="G1194">
        <f t="shared" si="162"/>
        <v>29</v>
      </c>
      <c r="H1194">
        <v>120</v>
      </c>
      <c r="I1194" s="4">
        <f>Full_Data[[#This Row],[Selling Price]]/Full_Data[[#This Row],[Weight (g)]]</f>
        <v>0.24166666666666667</v>
      </c>
      <c r="J1194" t="b">
        <v>1</v>
      </c>
      <c r="K1194">
        <v>120</v>
      </c>
      <c r="L1194">
        <f t="shared" si="163"/>
        <v>1</v>
      </c>
      <c r="M1194" t="str">
        <f t="shared" si="164"/>
        <v>Low</v>
      </c>
      <c r="N1194" t="str">
        <f t="shared" si="165"/>
        <v>0-5%</v>
      </c>
      <c r="O1194" t="str">
        <f t="shared" si="166"/>
        <v>OK</v>
      </c>
      <c r="P1194">
        <f>IFERROR(Full_Data!G1194/Full_Data!H1194,"Check data")</f>
        <v>0.24166666666666667</v>
      </c>
      <c r="Q1194" t="str">
        <f t="shared" si="167"/>
        <v>Match</v>
      </c>
      <c r="R1194" t="str">
        <f t="shared" si="168"/>
        <v>Mismatch</v>
      </c>
      <c r="S1194" t="str">
        <f t="shared" si="169"/>
        <v>Match</v>
      </c>
    </row>
    <row r="1195" spans="1:19" x14ac:dyDescent="0.25">
      <c r="A1195" t="s">
        <v>1002</v>
      </c>
      <c r="B1195">
        <v>23000</v>
      </c>
      <c r="C1195">
        <f t="shared" si="170"/>
        <v>230</v>
      </c>
      <c r="D1195">
        <v>25</v>
      </c>
      <c r="E1195">
        <v>0</v>
      </c>
      <c r="F1195">
        <v>17200</v>
      </c>
      <c r="G1195">
        <f t="shared" si="162"/>
        <v>172</v>
      </c>
      <c r="H1195">
        <v>1000</v>
      </c>
      <c r="I1195" s="4">
        <f>Full_Data[[#This Row],[Selling Price]]/Full_Data[[#This Row],[Weight (g)]]</f>
        <v>0.17199999999999999</v>
      </c>
      <c r="J1195" t="b">
        <v>1</v>
      </c>
      <c r="K1195">
        <v>1</v>
      </c>
      <c r="L1195">
        <f t="shared" si="163"/>
        <v>58</v>
      </c>
      <c r="M1195" t="str">
        <f t="shared" si="164"/>
        <v>Medium</v>
      </c>
      <c r="N1195" t="str">
        <f t="shared" si="165"/>
        <v>21%+</v>
      </c>
      <c r="O1195" t="str">
        <f t="shared" si="166"/>
        <v>OK</v>
      </c>
      <c r="P1195">
        <f>IFERROR(Full_Data!G1195/Full_Data!H1195,"Check data")</f>
        <v>0.17199999999999999</v>
      </c>
      <c r="Q1195" t="str">
        <f t="shared" si="167"/>
        <v>Match</v>
      </c>
      <c r="R1195" t="str">
        <f t="shared" si="168"/>
        <v>Mismatch</v>
      </c>
      <c r="S1195" t="str">
        <f t="shared" si="169"/>
        <v>Match</v>
      </c>
    </row>
    <row r="1196" spans="1:19" x14ac:dyDescent="0.25">
      <c r="A1196" t="s">
        <v>1129</v>
      </c>
      <c r="B1196">
        <v>1500</v>
      </c>
      <c r="C1196">
        <f t="shared" si="170"/>
        <v>15</v>
      </c>
      <c r="D1196">
        <v>0</v>
      </c>
      <c r="E1196">
        <v>0</v>
      </c>
      <c r="F1196">
        <v>1500</v>
      </c>
      <c r="G1196">
        <f t="shared" si="162"/>
        <v>15</v>
      </c>
      <c r="H1196">
        <v>45</v>
      </c>
      <c r="I1196" s="4">
        <f>Full_Data[[#This Row],[Selling Price]]/Full_Data[[#This Row],[Weight (g)]]</f>
        <v>0.33333333333333331</v>
      </c>
      <c r="J1196" t="b">
        <v>1</v>
      </c>
      <c r="K1196">
        <v>45</v>
      </c>
      <c r="L1196">
        <f t="shared" si="163"/>
        <v>0</v>
      </c>
      <c r="M1196" t="str">
        <f t="shared" si="164"/>
        <v>Low</v>
      </c>
      <c r="N1196" t="str">
        <f t="shared" si="165"/>
        <v>0-5%</v>
      </c>
      <c r="O1196" t="str">
        <f t="shared" si="166"/>
        <v>OK</v>
      </c>
      <c r="P1196">
        <f>IFERROR(Full_Data!G1196/Full_Data!H1196,"Check data")</f>
        <v>0.33333333333333331</v>
      </c>
      <c r="Q1196" t="str">
        <f t="shared" si="167"/>
        <v>Match</v>
      </c>
      <c r="R1196" t="str">
        <f t="shared" si="168"/>
        <v>Match</v>
      </c>
      <c r="S1196" t="str">
        <f t="shared" si="169"/>
        <v>Match</v>
      </c>
    </row>
    <row r="1197" spans="1:19" x14ac:dyDescent="0.25">
      <c r="A1197" t="s">
        <v>1130</v>
      </c>
      <c r="B1197">
        <v>1000</v>
      </c>
      <c r="C1197">
        <f t="shared" si="170"/>
        <v>10</v>
      </c>
      <c r="D1197">
        <v>0</v>
      </c>
      <c r="E1197">
        <v>0</v>
      </c>
      <c r="F1197">
        <v>1000</v>
      </c>
      <c r="G1197">
        <f t="shared" si="162"/>
        <v>10</v>
      </c>
      <c r="H1197">
        <v>28</v>
      </c>
      <c r="I1197" s="4">
        <f>Full_Data[[#This Row],[Selling Price]]/Full_Data[[#This Row],[Weight (g)]]</f>
        <v>0.35714285714285715</v>
      </c>
      <c r="J1197" t="b">
        <v>1</v>
      </c>
      <c r="K1197">
        <v>28</v>
      </c>
      <c r="L1197">
        <f t="shared" si="163"/>
        <v>0</v>
      </c>
      <c r="M1197" t="str">
        <f t="shared" si="164"/>
        <v>Low</v>
      </c>
      <c r="N1197" t="str">
        <f t="shared" si="165"/>
        <v>0-5%</v>
      </c>
      <c r="O1197" t="str">
        <f t="shared" si="166"/>
        <v>OK</v>
      </c>
      <c r="P1197">
        <f>IFERROR(Full_Data!G1197/Full_Data!H1197,"Check data")</f>
        <v>0.35714285714285715</v>
      </c>
      <c r="Q1197" t="str">
        <f t="shared" si="167"/>
        <v>Match</v>
      </c>
      <c r="R1197" t="str">
        <f t="shared" si="168"/>
        <v>Match</v>
      </c>
      <c r="S1197" t="str">
        <f t="shared" si="169"/>
        <v>Match</v>
      </c>
    </row>
    <row r="1198" spans="1:19" x14ac:dyDescent="0.25">
      <c r="A1198" t="s">
        <v>1106</v>
      </c>
      <c r="B1198">
        <v>7000</v>
      </c>
      <c r="C1198">
        <f t="shared" si="170"/>
        <v>70</v>
      </c>
      <c r="D1198">
        <v>0</v>
      </c>
      <c r="E1198">
        <v>0</v>
      </c>
      <c r="F1198">
        <v>7000</v>
      </c>
      <c r="G1198">
        <f t="shared" si="162"/>
        <v>70</v>
      </c>
      <c r="H1198">
        <v>500</v>
      </c>
      <c r="I1198" s="4">
        <f>Full_Data[[#This Row],[Selling Price]]/Full_Data[[#This Row],[Weight (g)]]</f>
        <v>0.14000000000000001</v>
      </c>
      <c r="J1198" t="b">
        <v>1</v>
      </c>
      <c r="K1198">
        <v>500</v>
      </c>
      <c r="L1198">
        <f t="shared" si="163"/>
        <v>0</v>
      </c>
      <c r="M1198" t="str">
        <f t="shared" si="164"/>
        <v>Medium</v>
      </c>
      <c r="N1198" t="str">
        <f t="shared" si="165"/>
        <v>0-5%</v>
      </c>
      <c r="O1198" t="str">
        <f t="shared" si="166"/>
        <v>OK</v>
      </c>
      <c r="P1198">
        <f>IFERROR(Full_Data!G1198/Full_Data!H1198,"Check data")</f>
        <v>0.14000000000000001</v>
      </c>
      <c r="Q1198" t="str">
        <f t="shared" si="167"/>
        <v>Match</v>
      </c>
      <c r="R1198" t="str">
        <f t="shared" si="168"/>
        <v>Match</v>
      </c>
      <c r="S1198" t="str">
        <f t="shared" si="169"/>
        <v>Match</v>
      </c>
    </row>
    <row r="1199" spans="1:19" x14ac:dyDescent="0.25">
      <c r="A1199" t="s">
        <v>1131</v>
      </c>
      <c r="B1199">
        <v>10500</v>
      </c>
      <c r="C1199">
        <f t="shared" si="170"/>
        <v>105</v>
      </c>
      <c r="D1199">
        <v>22</v>
      </c>
      <c r="E1199">
        <v>0</v>
      </c>
      <c r="F1199">
        <v>8100</v>
      </c>
      <c r="G1199">
        <f t="shared" si="162"/>
        <v>81</v>
      </c>
      <c r="H1199">
        <v>75</v>
      </c>
      <c r="I1199" s="4">
        <f>Full_Data[[#This Row],[Selling Price]]/Full_Data[[#This Row],[Weight (g)]]</f>
        <v>1.08</v>
      </c>
      <c r="J1199" t="b">
        <v>1</v>
      </c>
      <c r="K1199">
        <v>75</v>
      </c>
      <c r="L1199">
        <f t="shared" si="163"/>
        <v>24</v>
      </c>
      <c r="M1199" t="str">
        <f t="shared" si="164"/>
        <v>Medium</v>
      </c>
      <c r="N1199" t="str">
        <f t="shared" si="165"/>
        <v>21%+</v>
      </c>
      <c r="O1199" t="str">
        <f t="shared" si="166"/>
        <v>OK</v>
      </c>
      <c r="P1199">
        <f>IFERROR(Full_Data!G1199/Full_Data!H1199,"Check data")</f>
        <v>1.08</v>
      </c>
      <c r="Q1199" t="str">
        <f t="shared" si="167"/>
        <v>Match</v>
      </c>
      <c r="R1199" t="str">
        <f t="shared" si="168"/>
        <v>Mismatch</v>
      </c>
      <c r="S1199" t="str">
        <f t="shared" si="169"/>
        <v>Mismatch</v>
      </c>
    </row>
    <row r="1200" spans="1:19" x14ac:dyDescent="0.25">
      <c r="A1200" t="s">
        <v>1132</v>
      </c>
      <c r="B1200">
        <v>6000</v>
      </c>
      <c r="C1200">
        <f t="shared" si="170"/>
        <v>60</v>
      </c>
      <c r="D1200">
        <v>10</v>
      </c>
      <c r="E1200">
        <v>0</v>
      </c>
      <c r="F1200">
        <v>5400</v>
      </c>
      <c r="G1200">
        <f t="shared" si="162"/>
        <v>54</v>
      </c>
      <c r="H1200">
        <v>200</v>
      </c>
      <c r="I1200" s="4">
        <f>Full_Data[[#This Row],[Selling Price]]/Full_Data[[#This Row],[Weight (g)]]</f>
        <v>0.27</v>
      </c>
      <c r="J1200" t="b">
        <v>1</v>
      </c>
      <c r="K1200">
        <v>200</v>
      </c>
      <c r="L1200">
        <f t="shared" si="163"/>
        <v>6</v>
      </c>
      <c r="M1200" t="str">
        <f t="shared" si="164"/>
        <v>Medium</v>
      </c>
      <c r="N1200" t="str">
        <f t="shared" si="165"/>
        <v>6-10%</v>
      </c>
      <c r="O1200" t="str">
        <f t="shared" si="166"/>
        <v>OK</v>
      </c>
      <c r="P1200">
        <f>IFERROR(Full_Data!G1200/Full_Data!H1200,"Check data")</f>
        <v>0.27</v>
      </c>
      <c r="Q1200" t="str">
        <f t="shared" si="167"/>
        <v>Match</v>
      </c>
      <c r="R1200" t="str">
        <f t="shared" si="168"/>
        <v>Match</v>
      </c>
      <c r="S1200" t="str">
        <f t="shared" si="169"/>
        <v>Match</v>
      </c>
    </row>
    <row r="1201" spans="1:19" x14ac:dyDescent="0.25">
      <c r="A1201" t="s">
        <v>1133</v>
      </c>
      <c r="B1201">
        <v>3500</v>
      </c>
      <c r="C1201">
        <f t="shared" si="170"/>
        <v>35</v>
      </c>
      <c r="D1201">
        <v>17</v>
      </c>
      <c r="E1201">
        <v>0</v>
      </c>
      <c r="F1201">
        <v>2900</v>
      </c>
      <c r="G1201">
        <f t="shared" si="162"/>
        <v>29</v>
      </c>
      <c r="H1201">
        <v>150</v>
      </c>
      <c r="I1201" s="4">
        <f>Full_Data[[#This Row],[Selling Price]]/Full_Data[[#This Row],[Weight (g)]]</f>
        <v>0.19333333333333333</v>
      </c>
      <c r="J1201" t="b">
        <v>1</v>
      </c>
      <c r="K1201">
        <v>150</v>
      </c>
      <c r="L1201">
        <f t="shared" si="163"/>
        <v>6</v>
      </c>
      <c r="M1201" t="str">
        <f t="shared" si="164"/>
        <v>Low</v>
      </c>
      <c r="N1201" t="str">
        <f t="shared" si="165"/>
        <v>16-20%</v>
      </c>
      <c r="O1201" t="str">
        <f t="shared" si="166"/>
        <v>OK</v>
      </c>
      <c r="P1201">
        <f>IFERROR(Full_Data!G1201/Full_Data!H1201,"Check data")</f>
        <v>0.19333333333333333</v>
      </c>
      <c r="Q1201" t="str">
        <f t="shared" si="167"/>
        <v>Match</v>
      </c>
      <c r="R1201" t="str">
        <f t="shared" si="168"/>
        <v>Mismatch</v>
      </c>
      <c r="S1201" t="str">
        <f t="shared" si="169"/>
        <v>Match</v>
      </c>
    </row>
    <row r="1202" spans="1:19" x14ac:dyDescent="0.25">
      <c r="A1202" t="s">
        <v>1134</v>
      </c>
      <c r="B1202">
        <v>4000</v>
      </c>
      <c r="C1202">
        <f t="shared" si="170"/>
        <v>40</v>
      </c>
      <c r="D1202">
        <v>0</v>
      </c>
      <c r="E1202">
        <v>0</v>
      </c>
      <c r="F1202">
        <v>4000</v>
      </c>
      <c r="G1202">
        <f t="shared" si="162"/>
        <v>40</v>
      </c>
      <c r="H1202">
        <v>300</v>
      </c>
      <c r="I1202" s="4">
        <f>Full_Data[[#This Row],[Selling Price]]/Full_Data[[#This Row],[Weight (g)]]</f>
        <v>0.13333333333333333</v>
      </c>
      <c r="J1202" t="b">
        <v>1</v>
      </c>
      <c r="K1202">
        <v>300</v>
      </c>
      <c r="L1202">
        <f t="shared" si="163"/>
        <v>0</v>
      </c>
      <c r="M1202" t="str">
        <f t="shared" si="164"/>
        <v>Low</v>
      </c>
      <c r="N1202" t="str">
        <f t="shared" si="165"/>
        <v>0-5%</v>
      </c>
      <c r="O1202" t="str">
        <f t="shared" si="166"/>
        <v>OK</v>
      </c>
      <c r="P1202">
        <f>IFERROR(Full_Data!G1202/Full_Data!H1202,"Check data")</f>
        <v>0.13333333333333333</v>
      </c>
      <c r="Q1202" t="str">
        <f t="shared" si="167"/>
        <v>Match</v>
      </c>
      <c r="R1202" t="str">
        <f t="shared" si="168"/>
        <v>Match</v>
      </c>
      <c r="S1202" t="str">
        <f t="shared" si="169"/>
        <v>Match</v>
      </c>
    </row>
    <row r="1203" spans="1:19" x14ac:dyDescent="0.25">
      <c r="A1203" t="s">
        <v>1133</v>
      </c>
      <c r="B1203">
        <v>3500</v>
      </c>
      <c r="C1203">
        <f t="shared" si="170"/>
        <v>35</v>
      </c>
      <c r="D1203">
        <v>0</v>
      </c>
      <c r="E1203">
        <v>0</v>
      </c>
      <c r="F1203">
        <v>3500</v>
      </c>
      <c r="G1203">
        <f t="shared" si="162"/>
        <v>35</v>
      </c>
      <c r="H1203">
        <v>150</v>
      </c>
      <c r="I1203" s="4">
        <f>Full_Data[[#This Row],[Selling Price]]/Full_Data[[#This Row],[Weight (g)]]</f>
        <v>0.23333333333333334</v>
      </c>
      <c r="J1203" t="b">
        <v>1</v>
      </c>
      <c r="K1203">
        <v>150</v>
      </c>
      <c r="L1203">
        <f t="shared" si="163"/>
        <v>0</v>
      </c>
      <c r="M1203" t="str">
        <f t="shared" si="164"/>
        <v>Low</v>
      </c>
      <c r="N1203" t="str">
        <f t="shared" si="165"/>
        <v>0-5%</v>
      </c>
      <c r="O1203" t="str">
        <f t="shared" si="166"/>
        <v>OK</v>
      </c>
      <c r="P1203">
        <f>IFERROR(Full_Data!G1203/Full_Data!H1203,"Check data")</f>
        <v>0.23333333333333334</v>
      </c>
      <c r="Q1203" t="str">
        <f t="shared" si="167"/>
        <v>Match</v>
      </c>
      <c r="R1203" t="str">
        <f t="shared" si="168"/>
        <v>Match</v>
      </c>
      <c r="S1203" t="str">
        <f t="shared" si="169"/>
        <v>Match</v>
      </c>
    </row>
    <row r="1204" spans="1:19" x14ac:dyDescent="0.25">
      <c r="A1204" t="s">
        <v>1135</v>
      </c>
      <c r="B1204">
        <v>16000</v>
      </c>
      <c r="C1204">
        <f t="shared" si="170"/>
        <v>160</v>
      </c>
      <c r="D1204">
        <v>35</v>
      </c>
      <c r="E1204">
        <v>3</v>
      </c>
      <c r="F1204">
        <v>10400</v>
      </c>
      <c r="G1204">
        <f t="shared" si="162"/>
        <v>104</v>
      </c>
      <c r="H1204">
        <v>80</v>
      </c>
      <c r="I1204" s="4">
        <f>Full_Data[[#This Row],[Selling Price]]/Full_Data[[#This Row],[Weight (g)]]</f>
        <v>1.3</v>
      </c>
      <c r="J1204" t="b">
        <v>0</v>
      </c>
      <c r="K1204">
        <v>80</v>
      </c>
      <c r="L1204">
        <f t="shared" si="163"/>
        <v>56</v>
      </c>
      <c r="M1204" t="str">
        <f t="shared" si="164"/>
        <v>Medium</v>
      </c>
      <c r="N1204" t="str">
        <f t="shared" si="165"/>
        <v>21%+</v>
      </c>
      <c r="O1204" t="str">
        <f t="shared" si="166"/>
        <v>OK</v>
      </c>
      <c r="P1204">
        <f>IFERROR(Full_Data!G1204/Full_Data!H1204,"Check data")</f>
        <v>1.3</v>
      </c>
      <c r="Q1204" t="str">
        <f t="shared" si="167"/>
        <v>Match</v>
      </c>
      <c r="R1204" t="str">
        <f t="shared" si="168"/>
        <v>Match</v>
      </c>
      <c r="S1204" t="str">
        <f t="shared" si="169"/>
        <v>Match</v>
      </c>
    </row>
    <row r="1205" spans="1:19" x14ac:dyDescent="0.25">
      <c r="A1205" t="s">
        <v>1136</v>
      </c>
      <c r="B1205">
        <v>2500</v>
      </c>
      <c r="C1205">
        <f t="shared" si="170"/>
        <v>25</v>
      </c>
      <c r="D1205">
        <v>0</v>
      </c>
      <c r="E1205">
        <v>6</v>
      </c>
      <c r="F1205">
        <v>2500</v>
      </c>
      <c r="G1205">
        <f t="shared" si="162"/>
        <v>25</v>
      </c>
      <c r="H1205">
        <v>50</v>
      </c>
      <c r="I1205" s="4">
        <f>Full_Data[[#This Row],[Selling Price]]/Full_Data[[#This Row],[Weight (g)]]</f>
        <v>0.5</v>
      </c>
      <c r="J1205" t="b">
        <v>0</v>
      </c>
      <c r="K1205">
        <v>50</v>
      </c>
      <c r="L1205">
        <f t="shared" si="163"/>
        <v>0</v>
      </c>
      <c r="M1205" t="str">
        <f t="shared" si="164"/>
        <v>Low</v>
      </c>
      <c r="N1205" t="str">
        <f t="shared" si="165"/>
        <v>0-5%</v>
      </c>
      <c r="O1205" t="str">
        <f t="shared" si="166"/>
        <v>OK</v>
      </c>
      <c r="P1205">
        <f>IFERROR(Full_Data!G1205/Full_Data!H1205,"Check data")</f>
        <v>0.5</v>
      </c>
      <c r="Q1205" t="str">
        <f t="shared" si="167"/>
        <v>Match</v>
      </c>
      <c r="R1205" t="str">
        <f t="shared" si="168"/>
        <v>Match</v>
      </c>
      <c r="S1205" t="str">
        <f t="shared" si="169"/>
        <v>Match</v>
      </c>
    </row>
    <row r="1206" spans="1:19" x14ac:dyDescent="0.25">
      <c r="A1206" t="s">
        <v>1137</v>
      </c>
      <c r="B1206">
        <v>11500</v>
      </c>
      <c r="C1206">
        <f t="shared" si="170"/>
        <v>115</v>
      </c>
      <c r="D1206">
        <v>10</v>
      </c>
      <c r="E1206">
        <v>6</v>
      </c>
      <c r="F1206">
        <v>10300</v>
      </c>
      <c r="G1206">
        <f t="shared" si="162"/>
        <v>103</v>
      </c>
      <c r="H1206">
        <v>100</v>
      </c>
      <c r="I1206" s="4">
        <f>Full_Data[[#This Row],[Selling Price]]/Full_Data[[#This Row],[Weight (g)]]</f>
        <v>1.03</v>
      </c>
      <c r="J1206" t="b">
        <v>0</v>
      </c>
      <c r="K1206">
        <v>100</v>
      </c>
      <c r="L1206">
        <f t="shared" si="163"/>
        <v>12</v>
      </c>
      <c r="M1206" t="str">
        <f t="shared" si="164"/>
        <v>Medium</v>
      </c>
      <c r="N1206" t="str">
        <f t="shared" si="165"/>
        <v>6-10%</v>
      </c>
      <c r="O1206" t="str">
        <f t="shared" si="166"/>
        <v>OK</v>
      </c>
      <c r="P1206">
        <f>IFERROR(Full_Data!G1206/Full_Data!H1206,"Check data")</f>
        <v>1.03</v>
      </c>
      <c r="Q1206" t="str">
        <f t="shared" si="167"/>
        <v>Match</v>
      </c>
      <c r="R1206" t="str">
        <f t="shared" si="168"/>
        <v>Mismatch</v>
      </c>
      <c r="S1206" t="str">
        <f t="shared" si="169"/>
        <v>Match</v>
      </c>
    </row>
    <row r="1207" spans="1:19" x14ac:dyDescent="0.25">
      <c r="A1207" t="s">
        <v>1138</v>
      </c>
      <c r="B1207">
        <v>10900</v>
      </c>
      <c r="C1207">
        <f t="shared" si="170"/>
        <v>109</v>
      </c>
      <c r="D1207">
        <v>3</v>
      </c>
      <c r="E1207">
        <v>6</v>
      </c>
      <c r="F1207">
        <v>10500</v>
      </c>
      <c r="G1207">
        <f t="shared" si="162"/>
        <v>105</v>
      </c>
      <c r="H1207">
        <v>750</v>
      </c>
      <c r="I1207" s="4">
        <f>Full_Data[[#This Row],[Selling Price]]/Full_Data[[#This Row],[Weight (g)]]</f>
        <v>0.14000000000000001</v>
      </c>
      <c r="J1207" t="b">
        <v>0</v>
      </c>
      <c r="K1207">
        <v>750</v>
      </c>
      <c r="L1207">
        <f t="shared" si="163"/>
        <v>4</v>
      </c>
      <c r="M1207" t="str">
        <f t="shared" si="164"/>
        <v>Medium</v>
      </c>
      <c r="N1207" t="str">
        <f t="shared" si="165"/>
        <v>0-5%</v>
      </c>
      <c r="O1207" t="str">
        <f t="shared" si="166"/>
        <v>OK</v>
      </c>
      <c r="P1207">
        <f>IFERROR(Full_Data!G1207/Full_Data!H1207,"Check data")</f>
        <v>0.14000000000000001</v>
      </c>
      <c r="Q1207" t="str">
        <f t="shared" si="167"/>
        <v>Match</v>
      </c>
      <c r="R1207" t="str">
        <f t="shared" si="168"/>
        <v>Mismatch</v>
      </c>
      <c r="S1207" t="str">
        <f t="shared" si="169"/>
        <v>Mismatch</v>
      </c>
    </row>
    <row r="1208" spans="1:19" x14ac:dyDescent="0.25">
      <c r="A1208" t="s">
        <v>1139</v>
      </c>
      <c r="B1208">
        <v>11500</v>
      </c>
      <c r="C1208">
        <f t="shared" si="170"/>
        <v>115</v>
      </c>
      <c r="D1208">
        <v>4</v>
      </c>
      <c r="E1208">
        <v>6</v>
      </c>
      <c r="F1208">
        <v>11000</v>
      </c>
      <c r="G1208">
        <f t="shared" si="162"/>
        <v>110</v>
      </c>
      <c r="H1208">
        <v>750</v>
      </c>
      <c r="I1208" s="4">
        <f>Full_Data[[#This Row],[Selling Price]]/Full_Data[[#This Row],[Weight (g)]]</f>
        <v>0.14666666666666667</v>
      </c>
      <c r="J1208" t="b">
        <v>0</v>
      </c>
      <c r="K1208">
        <v>500</v>
      </c>
      <c r="L1208">
        <f t="shared" si="163"/>
        <v>5</v>
      </c>
      <c r="M1208" t="str">
        <f t="shared" si="164"/>
        <v>Medium</v>
      </c>
      <c r="N1208" t="str">
        <f t="shared" si="165"/>
        <v>0-5%</v>
      </c>
      <c r="O1208" t="str">
        <f t="shared" si="166"/>
        <v>OK</v>
      </c>
      <c r="P1208">
        <f>IFERROR(Full_Data!G1208/Full_Data!H1208,"Check data")</f>
        <v>0.14666666666666667</v>
      </c>
      <c r="Q1208" t="str">
        <f t="shared" si="167"/>
        <v>Match</v>
      </c>
      <c r="R1208" t="str">
        <f t="shared" si="168"/>
        <v>Mismatch</v>
      </c>
      <c r="S1208" t="str">
        <f t="shared" si="169"/>
        <v>Match</v>
      </c>
    </row>
    <row r="1209" spans="1:19" x14ac:dyDescent="0.25">
      <c r="A1209" t="s">
        <v>1140</v>
      </c>
      <c r="B1209">
        <v>12000</v>
      </c>
      <c r="C1209">
        <f t="shared" si="170"/>
        <v>120</v>
      </c>
      <c r="D1209">
        <v>10</v>
      </c>
      <c r="E1209">
        <v>6</v>
      </c>
      <c r="F1209">
        <v>10800</v>
      </c>
      <c r="G1209">
        <f t="shared" si="162"/>
        <v>108</v>
      </c>
      <c r="H1209">
        <v>120</v>
      </c>
      <c r="I1209" s="4">
        <f>Full_Data[[#This Row],[Selling Price]]/Full_Data[[#This Row],[Weight (g)]]</f>
        <v>0.9</v>
      </c>
      <c r="J1209" t="b">
        <v>0</v>
      </c>
      <c r="K1209">
        <v>120</v>
      </c>
      <c r="L1209">
        <f t="shared" si="163"/>
        <v>12</v>
      </c>
      <c r="M1209" t="str">
        <f t="shared" si="164"/>
        <v>Medium</v>
      </c>
      <c r="N1209" t="str">
        <f t="shared" si="165"/>
        <v>6-10%</v>
      </c>
      <c r="O1209" t="str">
        <f t="shared" si="166"/>
        <v>OK</v>
      </c>
      <c r="P1209">
        <f>IFERROR(Full_Data!G1209/Full_Data!H1209,"Check data")</f>
        <v>0.9</v>
      </c>
      <c r="Q1209" t="str">
        <f t="shared" si="167"/>
        <v>Match</v>
      </c>
      <c r="R1209" t="str">
        <f t="shared" si="168"/>
        <v>Match</v>
      </c>
      <c r="S1209" t="str">
        <f t="shared" si="169"/>
        <v>Match</v>
      </c>
    </row>
    <row r="1210" spans="1:19" x14ac:dyDescent="0.25">
      <c r="A1210" t="s">
        <v>1141</v>
      </c>
      <c r="B1210">
        <v>3500</v>
      </c>
      <c r="C1210">
        <f t="shared" si="170"/>
        <v>35</v>
      </c>
      <c r="D1210">
        <v>2</v>
      </c>
      <c r="E1210">
        <v>6</v>
      </c>
      <c r="F1210">
        <v>3400</v>
      </c>
      <c r="G1210">
        <f t="shared" si="162"/>
        <v>34</v>
      </c>
      <c r="H1210">
        <v>75</v>
      </c>
      <c r="I1210" s="4">
        <f>Full_Data[[#This Row],[Selling Price]]/Full_Data[[#This Row],[Weight (g)]]</f>
        <v>0.45333333333333331</v>
      </c>
      <c r="J1210" t="b">
        <v>0</v>
      </c>
      <c r="K1210">
        <v>75</v>
      </c>
      <c r="L1210">
        <f t="shared" si="163"/>
        <v>1</v>
      </c>
      <c r="M1210" t="str">
        <f t="shared" si="164"/>
        <v>Low</v>
      </c>
      <c r="N1210" t="str">
        <f t="shared" si="165"/>
        <v>0-5%</v>
      </c>
      <c r="O1210" t="str">
        <f t="shared" si="166"/>
        <v>OK</v>
      </c>
      <c r="P1210">
        <f>IFERROR(Full_Data!G1210/Full_Data!H1210,"Check data")</f>
        <v>0.45333333333333331</v>
      </c>
      <c r="Q1210" t="str">
        <f t="shared" si="167"/>
        <v>Match</v>
      </c>
      <c r="R1210" t="str">
        <f t="shared" si="168"/>
        <v>Mismatch</v>
      </c>
      <c r="S1210" t="str">
        <f t="shared" si="169"/>
        <v>Mismatch</v>
      </c>
    </row>
    <row r="1211" spans="1:19" x14ac:dyDescent="0.25">
      <c r="A1211" t="s">
        <v>1142</v>
      </c>
      <c r="B1211">
        <v>11400</v>
      </c>
      <c r="C1211">
        <f t="shared" si="170"/>
        <v>114</v>
      </c>
      <c r="D1211">
        <v>18</v>
      </c>
      <c r="E1211">
        <v>2</v>
      </c>
      <c r="F1211">
        <v>9300</v>
      </c>
      <c r="G1211">
        <f t="shared" si="162"/>
        <v>93</v>
      </c>
      <c r="H1211">
        <v>200</v>
      </c>
      <c r="I1211" s="4">
        <f>Full_Data[[#This Row],[Selling Price]]/Full_Data[[#This Row],[Weight (g)]]</f>
        <v>0.46500000000000002</v>
      </c>
      <c r="J1211" t="b">
        <v>0</v>
      </c>
      <c r="K1211">
        <v>200</v>
      </c>
      <c r="L1211">
        <f t="shared" si="163"/>
        <v>21</v>
      </c>
      <c r="M1211" t="str">
        <f t="shared" si="164"/>
        <v>Medium</v>
      </c>
      <c r="N1211" t="str">
        <f t="shared" si="165"/>
        <v>16-20%</v>
      </c>
      <c r="O1211" t="str">
        <f t="shared" si="166"/>
        <v>OK</v>
      </c>
      <c r="P1211">
        <f>IFERROR(Full_Data!G1211/Full_Data!H1211,"Check data")</f>
        <v>0.46500000000000002</v>
      </c>
      <c r="Q1211" t="str">
        <f t="shared" si="167"/>
        <v>Match</v>
      </c>
      <c r="R1211" t="str">
        <f t="shared" si="168"/>
        <v>Mismatch</v>
      </c>
      <c r="S1211" t="str">
        <f t="shared" si="169"/>
        <v>Match</v>
      </c>
    </row>
    <row r="1212" spans="1:19" x14ac:dyDescent="0.25">
      <c r="A1212" t="s">
        <v>1143</v>
      </c>
      <c r="B1212">
        <v>22500</v>
      </c>
      <c r="C1212">
        <f t="shared" si="170"/>
        <v>225</v>
      </c>
      <c r="D1212">
        <v>24</v>
      </c>
      <c r="E1212">
        <v>6</v>
      </c>
      <c r="F1212">
        <v>16900</v>
      </c>
      <c r="G1212">
        <f t="shared" si="162"/>
        <v>169</v>
      </c>
      <c r="H1212">
        <v>150</v>
      </c>
      <c r="I1212" s="4">
        <f>Full_Data[[#This Row],[Selling Price]]/Full_Data[[#This Row],[Weight (g)]]</f>
        <v>1.1266666666666667</v>
      </c>
      <c r="J1212" t="b">
        <v>0</v>
      </c>
      <c r="K1212">
        <v>150</v>
      </c>
      <c r="L1212">
        <f t="shared" si="163"/>
        <v>56</v>
      </c>
      <c r="M1212" t="str">
        <f t="shared" si="164"/>
        <v>Medium</v>
      </c>
      <c r="N1212" t="str">
        <f t="shared" si="165"/>
        <v>21%+</v>
      </c>
      <c r="O1212" t="str">
        <f t="shared" si="166"/>
        <v>OK</v>
      </c>
      <c r="P1212">
        <f>IFERROR(Full_Data!G1212/Full_Data!H1212,"Check data")</f>
        <v>1.1266666666666667</v>
      </c>
      <c r="Q1212" t="str">
        <f t="shared" si="167"/>
        <v>Match</v>
      </c>
      <c r="R1212" t="str">
        <f t="shared" si="168"/>
        <v>Mismatch</v>
      </c>
      <c r="S1212" t="str">
        <f t="shared" si="169"/>
        <v>Mismatch</v>
      </c>
    </row>
    <row r="1213" spans="1:19" x14ac:dyDescent="0.25">
      <c r="A1213" t="s">
        <v>1144</v>
      </c>
      <c r="B1213">
        <v>5800</v>
      </c>
      <c r="C1213">
        <f t="shared" si="170"/>
        <v>58</v>
      </c>
      <c r="D1213">
        <v>5</v>
      </c>
      <c r="E1213">
        <v>6</v>
      </c>
      <c r="F1213">
        <v>5500</v>
      </c>
      <c r="G1213">
        <f t="shared" si="162"/>
        <v>55</v>
      </c>
      <c r="H1213">
        <v>100</v>
      </c>
      <c r="I1213" s="4">
        <f>Full_Data[[#This Row],[Selling Price]]/Full_Data[[#This Row],[Weight (g)]]</f>
        <v>0.55000000000000004</v>
      </c>
      <c r="J1213" t="b">
        <v>0</v>
      </c>
      <c r="K1213">
        <v>100</v>
      </c>
      <c r="L1213">
        <f t="shared" si="163"/>
        <v>3</v>
      </c>
      <c r="M1213" t="str">
        <f t="shared" si="164"/>
        <v>Medium</v>
      </c>
      <c r="N1213" t="str">
        <f t="shared" si="165"/>
        <v>0-5%</v>
      </c>
      <c r="O1213" t="str">
        <f t="shared" si="166"/>
        <v>OK</v>
      </c>
      <c r="P1213">
        <f>IFERROR(Full_Data!G1213/Full_Data!H1213,"Check data")</f>
        <v>0.55000000000000004</v>
      </c>
      <c r="Q1213" t="str">
        <f t="shared" si="167"/>
        <v>Match</v>
      </c>
      <c r="R1213" t="str">
        <f t="shared" si="168"/>
        <v>Mismatch</v>
      </c>
      <c r="S1213" t="str">
        <f t="shared" si="169"/>
        <v>Match</v>
      </c>
    </row>
    <row r="1214" spans="1:19" x14ac:dyDescent="0.25">
      <c r="A1214" t="s">
        <v>1145</v>
      </c>
      <c r="B1214">
        <v>10100</v>
      </c>
      <c r="C1214">
        <f t="shared" si="170"/>
        <v>101</v>
      </c>
      <c r="D1214">
        <v>5</v>
      </c>
      <c r="E1214">
        <v>2</v>
      </c>
      <c r="F1214">
        <v>9500</v>
      </c>
      <c r="G1214">
        <f t="shared" si="162"/>
        <v>95</v>
      </c>
      <c r="H1214">
        <v>150</v>
      </c>
      <c r="I1214" s="4">
        <f>Full_Data[[#This Row],[Selling Price]]/Full_Data[[#This Row],[Weight (g)]]</f>
        <v>0.6333333333333333</v>
      </c>
      <c r="J1214" t="b">
        <v>0</v>
      </c>
      <c r="K1214">
        <v>150</v>
      </c>
      <c r="L1214">
        <f t="shared" si="163"/>
        <v>6</v>
      </c>
      <c r="M1214" t="str">
        <f t="shared" si="164"/>
        <v>Medium</v>
      </c>
      <c r="N1214" t="str">
        <f t="shared" si="165"/>
        <v>0-5%</v>
      </c>
      <c r="O1214" t="str">
        <f t="shared" si="166"/>
        <v>OK</v>
      </c>
      <c r="P1214">
        <f>IFERROR(Full_Data!G1214/Full_Data!H1214,"Check data")</f>
        <v>0.6333333333333333</v>
      </c>
      <c r="Q1214" t="str">
        <f t="shared" si="167"/>
        <v>Match</v>
      </c>
      <c r="R1214" t="str">
        <f t="shared" si="168"/>
        <v>Mismatch</v>
      </c>
      <c r="S1214" t="str">
        <f t="shared" si="169"/>
        <v>Mismatch</v>
      </c>
    </row>
    <row r="1215" spans="1:19" x14ac:dyDescent="0.25">
      <c r="A1215" t="s">
        <v>1146</v>
      </c>
      <c r="B1215">
        <v>43200</v>
      </c>
      <c r="C1215">
        <f t="shared" si="170"/>
        <v>432</v>
      </c>
      <c r="D1215">
        <v>15</v>
      </c>
      <c r="E1215">
        <v>6</v>
      </c>
      <c r="F1215">
        <v>36700</v>
      </c>
      <c r="G1215">
        <f t="shared" si="162"/>
        <v>367</v>
      </c>
      <c r="H1215">
        <v>100</v>
      </c>
      <c r="I1215" s="4">
        <f>Full_Data[[#This Row],[Selling Price]]/Full_Data[[#This Row],[Weight (g)]]</f>
        <v>3.67</v>
      </c>
      <c r="J1215" t="b">
        <v>0</v>
      </c>
      <c r="K1215">
        <v>100</v>
      </c>
      <c r="L1215">
        <f t="shared" si="163"/>
        <v>65</v>
      </c>
      <c r="M1215" t="str">
        <f t="shared" si="164"/>
        <v>High</v>
      </c>
      <c r="N1215" t="str">
        <f t="shared" si="165"/>
        <v>11-15%</v>
      </c>
      <c r="O1215" t="str">
        <f t="shared" si="166"/>
        <v>OK</v>
      </c>
      <c r="P1215">
        <f>IFERROR(Full_Data!G1215/Full_Data!H1215,"Check data")</f>
        <v>3.67</v>
      </c>
      <c r="Q1215" t="str">
        <f t="shared" si="167"/>
        <v>Match</v>
      </c>
      <c r="R1215" t="str">
        <f t="shared" si="168"/>
        <v>Mismatch</v>
      </c>
      <c r="S1215" t="str">
        <f t="shared" si="169"/>
        <v>Match</v>
      </c>
    </row>
    <row r="1216" spans="1:19" x14ac:dyDescent="0.25">
      <c r="A1216" t="s">
        <v>1147</v>
      </c>
      <c r="B1216">
        <v>5000</v>
      </c>
      <c r="C1216">
        <f t="shared" si="170"/>
        <v>50</v>
      </c>
      <c r="D1216">
        <v>0</v>
      </c>
      <c r="E1216">
        <v>6</v>
      </c>
      <c r="F1216">
        <v>5000</v>
      </c>
      <c r="G1216">
        <f t="shared" si="162"/>
        <v>50</v>
      </c>
      <c r="H1216">
        <v>58</v>
      </c>
      <c r="I1216" s="4">
        <f>Full_Data[[#This Row],[Selling Price]]/Full_Data[[#This Row],[Weight (g)]]</f>
        <v>0.86206896551724133</v>
      </c>
      <c r="J1216" t="b">
        <v>0</v>
      </c>
      <c r="K1216">
        <v>1</v>
      </c>
      <c r="L1216">
        <f t="shared" si="163"/>
        <v>0</v>
      </c>
      <c r="M1216" t="str">
        <f t="shared" si="164"/>
        <v>Medium</v>
      </c>
      <c r="N1216" t="str">
        <f t="shared" si="165"/>
        <v>0-5%</v>
      </c>
      <c r="O1216" t="str">
        <f t="shared" si="166"/>
        <v>OK</v>
      </c>
      <c r="P1216">
        <f>IFERROR(Full_Data!G1216/Full_Data!H1216,"Check data")</f>
        <v>0.86206896551724133</v>
      </c>
      <c r="Q1216" t="str">
        <f t="shared" si="167"/>
        <v>Match</v>
      </c>
      <c r="R1216" t="str">
        <f t="shared" si="168"/>
        <v>Match</v>
      </c>
      <c r="S1216" t="str">
        <f t="shared" si="169"/>
        <v>Match</v>
      </c>
    </row>
    <row r="1217" spans="1:19" x14ac:dyDescent="0.25">
      <c r="A1217" t="s">
        <v>1148</v>
      </c>
      <c r="B1217">
        <v>7500</v>
      </c>
      <c r="C1217">
        <f t="shared" si="170"/>
        <v>75</v>
      </c>
      <c r="D1217">
        <v>0</v>
      </c>
      <c r="E1217">
        <v>6</v>
      </c>
      <c r="F1217">
        <v>7500</v>
      </c>
      <c r="G1217">
        <f t="shared" si="162"/>
        <v>75</v>
      </c>
      <c r="H1217">
        <v>125</v>
      </c>
      <c r="I1217" s="4">
        <f>Full_Data[[#This Row],[Selling Price]]/Full_Data[[#This Row],[Weight (g)]]</f>
        <v>0.6</v>
      </c>
      <c r="J1217" t="b">
        <v>0</v>
      </c>
      <c r="K1217">
        <v>125</v>
      </c>
      <c r="L1217">
        <f t="shared" si="163"/>
        <v>0</v>
      </c>
      <c r="M1217" t="str">
        <f t="shared" si="164"/>
        <v>Medium</v>
      </c>
      <c r="N1217" t="str">
        <f t="shared" si="165"/>
        <v>0-5%</v>
      </c>
      <c r="O1217" t="str">
        <f t="shared" si="166"/>
        <v>OK</v>
      </c>
      <c r="P1217">
        <f>IFERROR(Full_Data!G1217/Full_Data!H1217,"Check data")</f>
        <v>0.6</v>
      </c>
      <c r="Q1217" t="str">
        <f t="shared" si="167"/>
        <v>Match</v>
      </c>
      <c r="R1217" t="str">
        <f t="shared" si="168"/>
        <v>Match</v>
      </c>
      <c r="S1217" t="str">
        <f t="shared" si="169"/>
        <v>Match</v>
      </c>
    </row>
    <row r="1218" spans="1:19" x14ac:dyDescent="0.25">
      <c r="A1218" t="s">
        <v>1149</v>
      </c>
      <c r="B1218">
        <v>7900</v>
      </c>
      <c r="C1218">
        <f t="shared" si="170"/>
        <v>79</v>
      </c>
      <c r="D1218">
        <v>13</v>
      </c>
      <c r="E1218">
        <v>6</v>
      </c>
      <c r="F1218">
        <v>6800</v>
      </c>
      <c r="G1218">
        <f t="shared" ref="G1218:G1281" si="171">F1218/100</f>
        <v>68</v>
      </c>
      <c r="H1218">
        <v>50</v>
      </c>
      <c r="I1218" s="4">
        <f>Full_Data[[#This Row],[Selling Price]]/Full_Data[[#This Row],[Weight (g)]]</f>
        <v>1.36</v>
      </c>
      <c r="J1218" t="b">
        <v>0</v>
      </c>
      <c r="K1218">
        <v>50</v>
      </c>
      <c r="L1218">
        <f t="shared" ref="L1218:L1281" si="172">C1218-G1218</f>
        <v>11</v>
      </c>
      <c r="M1218" t="str">
        <f t="shared" ref="M1218:M1281" si="173">IF(G1218&lt;50,"Low",IF(G1218&lt;200,"Medium","High"))</f>
        <v>Medium</v>
      </c>
      <c r="N1218" t="str">
        <f t="shared" ref="N1218:N1281" si="174">IF(D1218&lt;=5,"0-5%",
IF(D1218&lt;=10,"6-10%",
IF(D1218&lt;=15,"11-15%",
IF(D1218&lt;=20,"16-20%","21%+"))))</f>
        <v>11-15%</v>
      </c>
      <c r="O1218" t="str">
        <f t="shared" ref="O1218:O1281" si="175">IF(AND(C1218=0,G1218=0),"Review: Zero MRP and selling price",IF(C1218&lt;=0,"Review: Invalid MRP",IF(G1218&lt;0,"Review: Negative selling price",IF(G1218=0,"Review: Zero selling price",IF(H1218&lt;=0,"Review: Invalid weight","OK")))))</f>
        <v>OK</v>
      </c>
      <c r="P1218">
        <f>IFERROR(Full_Data!G1218/Full_Data!H1218,"Check data")</f>
        <v>1.36</v>
      </c>
      <c r="Q1218" t="str">
        <f t="shared" ref="Q1218:Q1281" si="176">IF(OR(H1218="",H1218&lt;=0),"Invalid weight",IF(G1218="","Missing selling price",IF(ROUND(G1218/H1218,2)=ROUND(I1218,2),"Match","Mismatch")))</f>
        <v>Match</v>
      </c>
      <c r="R1218" t="str">
        <f t="shared" ref="R1218:R1281" si="177">IF(OR(C1218&lt;=0,G1218=""),"Check data",IF(ROUND((C1218-G1218)/C1218*100,2)=ROUND(D1218,2),"Match","Mismatch"))</f>
        <v>Mismatch</v>
      </c>
      <c r="S1218" t="str">
        <f t="shared" ref="S1218:S1281" si="178">IF(OR(C1218&lt;=0,G1218=""),"Check data",IF(ROUND((C1218-G1218)/C1218*100,0)=D1218,"Match","Mismatch"))</f>
        <v>Mismatch</v>
      </c>
    </row>
    <row r="1219" spans="1:19" x14ac:dyDescent="0.25">
      <c r="A1219" t="s">
        <v>1150</v>
      </c>
      <c r="B1219">
        <v>16600</v>
      </c>
      <c r="C1219">
        <f t="shared" ref="C1219:C1282" si="179">B1219/100</f>
        <v>166</v>
      </c>
      <c r="D1219">
        <v>5</v>
      </c>
      <c r="E1219">
        <v>4</v>
      </c>
      <c r="F1219">
        <v>15700</v>
      </c>
      <c r="G1219">
        <f t="shared" si="171"/>
        <v>157</v>
      </c>
      <c r="H1219">
        <v>375</v>
      </c>
      <c r="I1219" s="4">
        <f>Full_Data[[#This Row],[Selling Price]]/Full_Data[[#This Row],[Weight (g)]]</f>
        <v>0.41866666666666669</v>
      </c>
      <c r="J1219" t="b">
        <v>0</v>
      </c>
      <c r="K1219">
        <v>375</v>
      </c>
      <c r="L1219">
        <f t="shared" si="172"/>
        <v>9</v>
      </c>
      <c r="M1219" t="str">
        <f t="shared" si="173"/>
        <v>Medium</v>
      </c>
      <c r="N1219" t="str">
        <f t="shared" si="174"/>
        <v>0-5%</v>
      </c>
      <c r="O1219" t="str">
        <f t="shared" si="175"/>
        <v>OK</v>
      </c>
      <c r="P1219">
        <f>IFERROR(Full_Data!G1219/Full_Data!H1219,"Check data")</f>
        <v>0.41866666666666669</v>
      </c>
      <c r="Q1219" t="str">
        <f t="shared" si="176"/>
        <v>Match</v>
      </c>
      <c r="R1219" t="str">
        <f t="shared" si="177"/>
        <v>Mismatch</v>
      </c>
      <c r="S1219" t="str">
        <f t="shared" si="178"/>
        <v>Match</v>
      </c>
    </row>
    <row r="1220" spans="1:19" x14ac:dyDescent="0.25">
      <c r="A1220" t="s">
        <v>1151</v>
      </c>
      <c r="B1220">
        <v>26000</v>
      </c>
      <c r="C1220">
        <f t="shared" si="179"/>
        <v>260</v>
      </c>
      <c r="D1220">
        <v>5</v>
      </c>
      <c r="E1220">
        <v>6</v>
      </c>
      <c r="F1220">
        <v>24700</v>
      </c>
      <c r="G1220">
        <f t="shared" si="171"/>
        <v>247</v>
      </c>
      <c r="H1220">
        <v>625</v>
      </c>
      <c r="I1220" s="4">
        <f>Full_Data[[#This Row],[Selling Price]]/Full_Data[[#This Row],[Weight (g)]]</f>
        <v>0.3952</v>
      </c>
      <c r="J1220" t="b">
        <v>0</v>
      </c>
      <c r="K1220">
        <v>625</v>
      </c>
      <c r="L1220">
        <f t="shared" si="172"/>
        <v>13</v>
      </c>
      <c r="M1220" t="str">
        <f t="shared" si="173"/>
        <v>High</v>
      </c>
      <c r="N1220" t="str">
        <f t="shared" si="174"/>
        <v>0-5%</v>
      </c>
      <c r="O1220" t="str">
        <f t="shared" si="175"/>
        <v>OK</v>
      </c>
      <c r="P1220">
        <f>IFERROR(Full_Data!G1220/Full_Data!H1220,"Check data")</f>
        <v>0.3952</v>
      </c>
      <c r="Q1220" t="str">
        <f t="shared" si="176"/>
        <v>Match</v>
      </c>
      <c r="R1220" t="str">
        <f t="shared" si="177"/>
        <v>Match</v>
      </c>
      <c r="S1220" t="str">
        <f t="shared" si="178"/>
        <v>Match</v>
      </c>
    </row>
    <row r="1221" spans="1:19" x14ac:dyDescent="0.25">
      <c r="A1221" t="s">
        <v>1152</v>
      </c>
      <c r="B1221">
        <v>25000</v>
      </c>
      <c r="C1221">
        <f t="shared" si="179"/>
        <v>250</v>
      </c>
      <c r="D1221">
        <v>10</v>
      </c>
      <c r="E1221">
        <v>3</v>
      </c>
      <c r="F1221">
        <v>22500</v>
      </c>
      <c r="G1221">
        <f t="shared" si="171"/>
        <v>225</v>
      </c>
      <c r="H1221">
        <v>100</v>
      </c>
      <c r="I1221" s="4">
        <f>Full_Data[[#This Row],[Selling Price]]/Full_Data[[#This Row],[Weight (g)]]</f>
        <v>2.25</v>
      </c>
      <c r="J1221" t="b">
        <v>0</v>
      </c>
      <c r="K1221">
        <v>100</v>
      </c>
      <c r="L1221">
        <f t="shared" si="172"/>
        <v>25</v>
      </c>
      <c r="M1221" t="str">
        <f t="shared" si="173"/>
        <v>High</v>
      </c>
      <c r="N1221" t="str">
        <f t="shared" si="174"/>
        <v>6-10%</v>
      </c>
      <c r="O1221" t="str">
        <f t="shared" si="175"/>
        <v>OK</v>
      </c>
      <c r="P1221">
        <f>IFERROR(Full_Data!G1221/Full_Data!H1221,"Check data")</f>
        <v>2.25</v>
      </c>
      <c r="Q1221" t="str">
        <f t="shared" si="176"/>
        <v>Match</v>
      </c>
      <c r="R1221" t="str">
        <f t="shared" si="177"/>
        <v>Match</v>
      </c>
      <c r="S1221" t="str">
        <f t="shared" si="178"/>
        <v>Match</v>
      </c>
    </row>
    <row r="1222" spans="1:19" x14ac:dyDescent="0.25">
      <c r="A1222" t="s">
        <v>1153</v>
      </c>
      <c r="B1222">
        <v>3000</v>
      </c>
      <c r="C1222">
        <f t="shared" si="179"/>
        <v>30</v>
      </c>
      <c r="D1222">
        <v>3</v>
      </c>
      <c r="E1222">
        <v>3</v>
      </c>
      <c r="F1222">
        <v>2900</v>
      </c>
      <c r="G1222">
        <f t="shared" si="171"/>
        <v>29</v>
      </c>
      <c r="H1222">
        <v>100</v>
      </c>
      <c r="I1222" s="4">
        <f>Full_Data[[#This Row],[Selling Price]]/Full_Data[[#This Row],[Weight (g)]]</f>
        <v>0.28999999999999998</v>
      </c>
      <c r="J1222" t="b">
        <v>0</v>
      </c>
      <c r="K1222">
        <v>125</v>
      </c>
      <c r="L1222">
        <f t="shared" si="172"/>
        <v>1</v>
      </c>
      <c r="M1222" t="str">
        <f t="shared" si="173"/>
        <v>Low</v>
      </c>
      <c r="N1222" t="str">
        <f t="shared" si="174"/>
        <v>0-5%</v>
      </c>
      <c r="O1222" t="str">
        <f t="shared" si="175"/>
        <v>OK</v>
      </c>
      <c r="P1222">
        <f>IFERROR(Full_Data!G1222/Full_Data!H1222,"Check data")</f>
        <v>0.28999999999999998</v>
      </c>
      <c r="Q1222" t="str">
        <f t="shared" si="176"/>
        <v>Match</v>
      </c>
      <c r="R1222" t="str">
        <f t="shared" si="177"/>
        <v>Mismatch</v>
      </c>
      <c r="S1222" t="str">
        <f t="shared" si="178"/>
        <v>Match</v>
      </c>
    </row>
    <row r="1223" spans="1:19" x14ac:dyDescent="0.25">
      <c r="A1223" t="s">
        <v>1141</v>
      </c>
      <c r="B1223">
        <v>7000</v>
      </c>
      <c r="C1223">
        <f t="shared" si="179"/>
        <v>70</v>
      </c>
      <c r="D1223">
        <v>10</v>
      </c>
      <c r="E1223">
        <v>6</v>
      </c>
      <c r="F1223">
        <v>6300</v>
      </c>
      <c r="G1223">
        <f t="shared" si="171"/>
        <v>63</v>
      </c>
      <c r="H1223">
        <v>125</v>
      </c>
      <c r="I1223" s="4">
        <f>Full_Data[[#This Row],[Selling Price]]/Full_Data[[#This Row],[Weight (g)]]</f>
        <v>0.504</v>
      </c>
      <c r="J1223" t="b">
        <v>0</v>
      </c>
      <c r="K1223">
        <v>125</v>
      </c>
      <c r="L1223">
        <f t="shared" si="172"/>
        <v>7</v>
      </c>
      <c r="M1223" t="str">
        <f t="shared" si="173"/>
        <v>Medium</v>
      </c>
      <c r="N1223" t="str">
        <f t="shared" si="174"/>
        <v>6-10%</v>
      </c>
      <c r="O1223" t="str">
        <f t="shared" si="175"/>
        <v>OK</v>
      </c>
      <c r="P1223">
        <f>IFERROR(Full_Data!G1223/Full_Data!H1223,"Check data")</f>
        <v>0.504</v>
      </c>
      <c r="Q1223" t="str">
        <f t="shared" si="176"/>
        <v>Match</v>
      </c>
      <c r="R1223" t="str">
        <f t="shared" si="177"/>
        <v>Match</v>
      </c>
      <c r="S1223" t="str">
        <f t="shared" si="178"/>
        <v>Match</v>
      </c>
    </row>
    <row r="1224" spans="1:19" x14ac:dyDescent="0.25">
      <c r="A1224" t="s">
        <v>1154</v>
      </c>
      <c r="B1224">
        <v>1000</v>
      </c>
      <c r="C1224">
        <f t="shared" si="179"/>
        <v>10</v>
      </c>
      <c r="D1224">
        <v>0</v>
      </c>
      <c r="E1224">
        <v>6</v>
      </c>
      <c r="F1224">
        <v>1000</v>
      </c>
      <c r="G1224">
        <f t="shared" si="171"/>
        <v>10</v>
      </c>
      <c r="H1224">
        <v>18</v>
      </c>
      <c r="I1224" s="4">
        <f>Full_Data[[#This Row],[Selling Price]]/Full_Data[[#This Row],[Weight (g)]]</f>
        <v>0.55555555555555558</v>
      </c>
      <c r="J1224" t="b">
        <v>0</v>
      </c>
      <c r="K1224">
        <v>18</v>
      </c>
      <c r="L1224">
        <f t="shared" si="172"/>
        <v>0</v>
      </c>
      <c r="M1224" t="str">
        <f t="shared" si="173"/>
        <v>Low</v>
      </c>
      <c r="N1224" t="str">
        <f t="shared" si="174"/>
        <v>0-5%</v>
      </c>
      <c r="O1224" t="str">
        <f t="shared" si="175"/>
        <v>OK</v>
      </c>
      <c r="P1224">
        <f>IFERROR(Full_Data!G1224/Full_Data!H1224,"Check data")</f>
        <v>0.55555555555555558</v>
      </c>
      <c r="Q1224" t="str">
        <f t="shared" si="176"/>
        <v>Match</v>
      </c>
      <c r="R1224" t="str">
        <f t="shared" si="177"/>
        <v>Match</v>
      </c>
      <c r="S1224" t="str">
        <f t="shared" si="178"/>
        <v>Match</v>
      </c>
    </row>
    <row r="1225" spans="1:19" x14ac:dyDescent="0.25">
      <c r="A1225" t="s">
        <v>1155</v>
      </c>
      <c r="B1225">
        <v>21300</v>
      </c>
      <c r="C1225">
        <f t="shared" si="179"/>
        <v>213</v>
      </c>
      <c r="D1225">
        <v>10</v>
      </c>
      <c r="E1225">
        <v>6</v>
      </c>
      <c r="F1225">
        <v>19000</v>
      </c>
      <c r="G1225">
        <f t="shared" si="171"/>
        <v>190</v>
      </c>
      <c r="H1225">
        <v>110</v>
      </c>
      <c r="I1225" s="4">
        <f>Full_Data[[#This Row],[Selling Price]]/Full_Data[[#This Row],[Weight (g)]]</f>
        <v>1.7272727272727273</v>
      </c>
      <c r="J1225" t="b">
        <v>0</v>
      </c>
      <c r="K1225">
        <v>110</v>
      </c>
      <c r="L1225">
        <f t="shared" si="172"/>
        <v>23</v>
      </c>
      <c r="M1225" t="str">
        <f t="shared" si="173"/>
        <v>Medium</v>
      </c>
      <c r="N1225" t="str">
        <f t="shared" si="174"/>
        <v>6-10%</v>
      </c>
      <c r="O1225" t="str">
        <f t="shared" si="175"/>
        <v>OK</v>
      </c>
      <c r="P1225">
        <f>IFERROR(Full_Data!G1225/Full_Data!H1225,"Check data")</f>
        <v>1.7272727272727273</v>
      </c>
      <c r="Q1225" t="str">
        <f t="shared" si="176"/>
        <v>Match</v>
      </c>
      <c r="R1225" t="str">
        <f t="shared" si="177"/>
        <v>Mismatch</v>
      </c>
      <c r="S1225" t="str">
        <f t="shared" si="178"/>
        <v>Mismatch</v>
      </c>
    </row>
    <row r="1226" spans="1:19" x14ac:dyDescent="0.25">
      <c r="A1226" t="s">
        <v>1156</v>
      </c>
      <c r="B1226">
        <v>5000</v>
      </c>
      <c r="C1226">
        <f t="shared" si="179"/>
        <v>50</v>
      </c>
      <c r="D1226">
        <v>10</v>
      </c>
      <c r="E1226">
        <v>4</v>
      </c>
      <c r="F1226">
        <v>4500</v>
      </c>
      <c r="G1226">
        <f t="shared" si="171"/>
        <v>45</v>
      </c>
      <c r="H1226">
        <v>50</v>
      </c>
      <c r="I1226" s="4">
        <f>Full_Data[[#This Row],[Selling Price]]/Full_Data[[#This Row],[Weight (g)]]</f>
        <v>0.9</v>
      </c>
      <c r="J1226" t="b">
        <v>0</v>
      </c>
      <c r="K1226">
        <v>50</v>
      </c>
      <c r="L1226">
        <f t="shared" si="172"/>
        <v>5</v>
      </c>
      <c r="M1226" t="str">
        <f t="shared" si="173"/>
        <v>Low</v>
      </c>
      <c r="N1226" t="str">
        <f t="shared" si="174"/>
        <v>6-10%</v>
      </c>
      <c r="O1226" t="str">
        <f t="shared" si="175"/>
        <v>OK</v>
      </c>
      <c r="P1226">
        <f>IFERROR(Full_Data!G1226/Full_Data!H1226,"Check data")</f>
        <v>0.9</v>
      </c>
      <c r="Q1226" t="str">
        <f t="shared" si="176"/>
        <v>Match</v>
      </c>
      <c r="R1226" t="str">
        <f t="shared" si="177"/>
        <v>Match</v>
      </c>
      <c r="S1226" t="str">
        <f t="shared" si="178"/>
        <v>Match</v>
      </c>
    </row>
    <row r="1227" spans="1:19" x14ac:dyDescent="0.25">
      <c r="A1227" t="s">
        <v>1157</v>
      </c>
      <c r="B1227">
        <v>3000</v>
      </c>
      <c r="C1227">
        <f t="shared" si="179"/>
        <v>30</v>
      </c>
      <c r="D1227">
        <v>0</v>
      </c>
      <c r="E1227">
        <v>6</v>
      </c>
      <c r="F1227">
        <v>3000</v>
      </c>
      <c r="G1227">
        <f t="shared" si="171"/>
        <v>30</v>
      </c>
      <c r="H1227">
        <v>20</v>
      </c>
      <c r="I1227" s="4">
        <f>Full_Data[[#This Row],[Selling Price]]/Full_Data[[#This Row],[Weight (g)]]</f>
        <v>1.5</v>
      </c>
      <c r="J1227" t="b">
        <v>0</v>
      </c>
      <c r="K1227">
        <v>20</v>
      </c>
      <c r="L1227">
        <f t="shared" si="172"/>
        <v>0</v>
      </c>
      <c r="M1227" t="str">
        <f t="shared" si="173"/>
        <v>Low</v>
      </c>
      <c r="N1227" t="str">
        <f t="shared" si="174"/>
        <v>0-5%</v>
      </c>
      <c r="O1227" t="str">
        <f t="shared" si="175"/>
        <v>OK</v>
      </c>
      <c r="P1227">
        <f>IFERROR(Full_Data!G1227/Full_Data!H1227,"Check data")</f>
        <v>1.5</v>
      </c>
      <c r="Q1227" t="str">
        <f t="shared" si="176"/>
        <v>Match</v>
      </c>
      <c r="R1227" t="str">
        <f t="shared" si="177"/>
        <v>Match</v>
      </c>
      <c r="S1227" t="str">
        <f t="shared" si="178"/>
        <v>Match</v>
      </c>
    </row>
    <row r="1228" spans="1:19" x14ac:dyDescent="0.25">
      <c r="A1228" t="s">
        <v>1158</v>
      </c>
      <c r="B1228">
        <v>13000</v>
      </c>
      <c r="C1228">
        <f t="shared" si="179"/>
        <v>130</v>
      </c>
      <c r="D1228">
        <v>8</v>
      </c>
      <c r="E1228">
        <v>1</v>
      </c>
      <c r="F1228">
        <v>11900</v>
      </c>
      <c r="G1228">
        <f t="shared" si="171"/>
        <v>119</v>
      </c>
      <c r="H1228">
        <v>150</v>
      </c>
      <c r="I1228" s="4">
        <f>Full_Data[[#This Row],[Selling Price]]/Full_Data[[#This Row],[Weight (g)]]</f>
        <v>0.79333333333333333</v>
      </c>
      <c r="J1228" t="b">
        <v>0</v>
      </c>
      <c r="K1228">
        <v>200</v>
      </c>
      <c r="L1228">
        <f t="shared" si="172"/>
        <v>11</v>
      </c>
      <c r="M1228" t="str">
        <f t="shared" si="173"/>
        <v>Medium</v>
      </c>
      <c r="N1228" t="str">
        <f t="shared" si="174"/>
        <v>6-10%</v>
      </c>
      <c r="O1228" t="str">
        <f t="shared" si="175"/>
        <v>OK</v>
      </c>
      <c r="P1228">
        <f>IFERROR(Full_Data!G1228/Full_Data!H1228,"Check data")</f>
        <v>0.79333333333333333</v>
      </c>
      <c r="Q1228" t="str">
        <f t="shared" si="176"/>
        <v>Match</v>
      </c>
      <c r="R1228" t="str">
        <f t="shared" si="177"/>
        <v>Mismatch</v>
      </c>
      <c r="S1228" t="str">
        <f t="shared" si="178"/>
        <v>Match</v>
      </c>
    </row>
    <row r="1229" spans="1:19" x14ac:dyDescent="0.25">
      <c r="A1229" t="s">
        <v>1159</v>
      </c>
      <c r="B1229">
        <v>3000</v>
      </c>
      <c r="C1229">
        <f t="shared" si="179"/>
        <v>30</v>
      </c>
      <c r="D1229">
        <v>0</v>
      </c>
      <c r="E1229">
        <v>6</v>
      </c>
      <c r="F1229">
        <v>3000</v>
      </c>
      <c r="G1229">
        <f t="shared" si="171"/>
        <v>30</v>
      </c>
      <c r="H1229">
        <v>20</v>
      </c>
      <c r="I1229" s="4">
        <f>Full_Data[[#This Row],[Selling Price]]/Full_Data[[#This Row],[Weight (g)]]</f>
        <v>1.5</v>
      </c>
      <c r="J1229" t="b">
        <v>0</v>
      </c>
      <c r="K1229">
        <v>20</v>
      </c>
      <c r="L1229">
        <f t="shared" si="172"/>
        <v>0</v>
      </c>
      <c r="M1229" t="str">
        <f t="shared" si="173"/>
        <v>Low</v>
      </c>
      <c r="N1229" t="str">
        <f t="shared" si="174"/>
        <v>0-5%</v>
      </c>
      <c r="O1229" t="str">
        <f t="shared" si="175"/>
        <v>OK</v>
      </c>
      <c r="P1229">
        <f>IFERROR(Full_Data!G1229/Full_Data!H1229,"Check data")</f>
        <v>1.5</v>
      </c>
      <c r="Q1229" t="str">
        <f t="shared" si="176"/>
        <v>Match</v>
      </c>
      <c r="R1229" t="str">
        <f t="shared" si="177"/>
        <v>Match</v>
      </c>
      <c r="S1229" t="str">
        <f t="shared" si="178"/>
        <v>Match</v>
      </c>
    </row>
    <row r="1230" spans="1:19" x14ac:dyDescent="0.25">
      <c r="A1230" t="s">
        <v>1160</v>
      </c>
      <c r="B1230">
        <v>13500</v>
      </c>
      <c r="C1230">
        <f t="shared" si="179"/>
        <v>135</v>
      </c>
      <c r="D1230">
        <v>5</v>
      </c>
      <c r="E1230">
        <v>6</v>
      </c>
      <c r="F1230">
        <v>12800</v>
      </c>
      <c r="G1230">
        <f t="shared" si="171"/>
        <v>128</v>
      </c>
      <c r="H1230">
        <v>50</v>
      </c>
      <c r="I1230" s="4">
        <f>Full_Data[[#This Row],[Selling Price]]/Full_Data[[#This Row],[Weight (g)]]</f>
        <v>2.56</v>
      </c>
      <c r="J1230" t="b">
        <v>0</v>
      </c>
      <c r="K1230">
        <v>50</v>
      </c>
      <c r="L1230">
        <f t="shared" si="172"/>
        <v>7</v>
      </c>
      <c r="M1230" t="str">
        <f t="shared" si="173"/>
        <v>Medium</v>
      </c>
      <c r="N1230" t="str">
        <f t="shared" si="174"/>
        <v>0-5%</v>
      </c>
      <c r="O1230" t="str">
        <f t="shared" si="175"/>
        <v>OK</v>
      </c>
      <c r="P1230">
        <f>IFERROR(Full_Data!G1230/Full_Data!H1230,"Check data")</f>
        <v>2.56</v>
      </c>
      <c r="Q1230" t="str">
        <f t="shared" si="176"/>
        <v>Match</v>
      </c>
      <c r="R1230" t="str">
        <f t="shared" si="177"/>
        <v>Mismatch</v>
      </c>
      <c r="S1230" t="str">
        <f t="shared" si="178"/>
        <v>Match</v>
      </c>
    </row>
    <row r="1231" spans="1:19" x14ac:dyDescent="0.25">
      <c r="A1231" t="s">
        <v>1161</v>
      </c>
      <c r="B1231">
        <v>5000</v>
      </c>
      <c r="C1231">
        <f t="shared" si="179"/>
        <v>50</v>
      </c>
      <c r="D1231">
        <v>2</v>
      </c>
      <c r="E1231">
        <v>1</v>
      </c>
      <c r="F1231">
        <v>4900</v>
      </c>
      <c r="G1231">
        <f t="shared" si="171"/>
        <v>49</v>
      </c>
      <c r="H1231">
        <v>80</v>
      </c>
      <c r="I1231" s="4">
        <f>Full_Data[[#This Row],[Selling Price]]/Full_Data[[#This Row],[Weight (g)]]</f>
        <v>0.61250000000000004</v>
      </c>
      <c r="J1231" t="b">
        <v>0</v>
      </c>
      <c r="K1231">
        <v>80</v>
      </c>
      <c r="L1231">
        <f t="shared" si="172"/>
        <v>1</v>
      </c>
      <c r="M1231" t="str">
        <f t="shared" si="173"/>
        <v>Low</v>
      </c>
      <c r="N1231" t="str">
        <f t="shared" si="174"/>
        <v>0-5%</v>
      </c>
      <c r="O1231" t="str">
        <f t="shared" si="175"/>
        <v>OK</v>
      </c>
      <c r="P1231">
        <f>IFERROR(Full_Data!G1231/Full_Data!H1231,"Check data")</f>
        <v>0.61250000000000004</v>
      </c>
      <c r="Q1231" t="str">
        <f t="shared" si="176"/>
        <v>Match</v>
      </c>
      <c r="R1231" t="str">
        <f t="shared" si="177"/>
        <v>Match</v>
      </c>
      <c r="S1231" t="str">
        <f t="shared" si="178"/>
        <v>Match</v>
      </c>
    </row>
    <row r="1232" spans="1:19" x14ac:dyDescent="0.25">
      <c r="A1232" t="s">
        <v>1162</v>
      </c>
      <c r="B1232">
        <v>19900</v>
      </c>
      <c r="C1232">
        <f t="shared" si="179"/>
        <v>199</v>
      </c>
      <c r="D1232">
        <v>6</v>
      </c>
      <c r="E1232">
        <v>5</v>
      </c>
      <c r="F1232">
        <v>18600</v>
      </c>
      <c r="G1232">
        <f t="shared" si="171"/>
        <v>186</v>
      </c>
      <c r="H1232">
        <v>375</v>
      </c>
      <c r="I1232" s="4">
        <f>Full_Data[[#This Row],[Selling Price]]/Full_Data[[#This Row],[Weight (g)]]</f>
        <v>0.496</v>
      </c>
      <c r="J1232" t="b">
        <v>0</v>
      </c>
      <c r="K1232">
        <v>375</v>
      </c>
      <c r="L1232">
        <f t="shared" si="172"/>
        <v>13</v>
      </c>
      <c r="M1232" t="str">
        <f t="shared" si="173"/>
        <v>Medium</v>
      </c>
      <c r="N1232" t="str">
        <f t="shared" si="174"/>
        <v>6-10%</v>
      </c>
      <c r="O1232" t="str">
        <f t="shared" si="175"/>
        <v>OK</v>
      </c>
      <c r="P1232">
        <f>IFERROR(Full_Data!G1232/Full_Data!H1232,"Check data")</f>
        <v>0.496</v>
      </c>
      <c r="Q1232" t="str">
        <f t="shared" si="176"/>
        <v>Match</v>
      </c>
      <c r="R1232" t="str">
        <f t="shared" si="177"/>
        <v>Mismatch</v>
      </c>
      <c r="S1232" t="str">
        <f t="shared" si="178"/>
        <v>Mismatch</v>
      </c>
    </row>
    <row r="1233" spans="1:19" x14ac:dyDescent="0.25">
      <c r="A1233" t="s">
        <v>1163</v>
      </c>
      <c r="B1233">
        <v>8800</v>
      </c>
      <c r="C1233">
        <f t="shared" si="179"/>
        <v>88</v>
      </c>
      <c r="D1233">
        <v>6</v>
      </c>
      <c r="E1233">
        <v>6</v>
      </c>
      <c r="F1233">
        <v>8200</v>
      </c>
      <c r="G1233">
        <f t="shared" si="171"/>
        <v>82</v>
      </c>
      <c r="H1233">
        <v>290</v>
      </c>
      <c r="I1233" s="4">
        <f>Full_Data[[#This Row],[Selling Price]]/Full_Data[[#This Row],[Weight (g)]]</f>
        <v>0.28275862068965518</v>
      </c>
      <c r="J1233" t="b">
        <v>0</v>
      </c>
      <c r="K1233">
        <v>5</v>
      </c>
      <c r="L1233">
        <f t="shared" si="172"/>
        <v>6</v>
      </c>
      <c r="M1233" t="str">
        <f t="shared" si="173"/>
        <v>Medium</v>
      </c>
      <c r="N1233" t="str">
        <f t="shared" si="174"/>
        <v>6-10%</v>
      </c>
      <c r="O1233" t="str">
        <f t="shared" si="175"/>
        <v>OK</v>
      </c>
      <c r="P1233">
        <f>IFERROR(Full_Data!G1233/Full_Data!H1233,"Check data")</f>
        <v>0.28275862068965518</v>
      </c>
      <c r="Q1233" t="str">
        <f t="shared" si="176"/>
        <v>Match</v>
      </c>
      <c r="R1233" t="str">
        <f t="shared" si="177"/>
        <v>Mismatch</v>
      </c>
      <c r="S1233" t="str">
        <f t="shared" si="178"/>
        <v>Mismatch</v>
      </c>
    </row>
    <row r="1234" spans="1:19" x14ac:dyDescent="0.25">
      <c r="A1234" t="s">
        <v>1161</v>
      </c>
      <c r="B1234">
        <v>16000</v>
      </c>
      <c r="C1234">
        <f t="shared" si="179"/>
        <v>160</v>
      </c>
      <c r="D1234">
        <v>10</v>
      </c>
      <c r="E1234">
        <v>4</v>
      </c>
      <c r="F1234">
        <v>14400</v>
      </c>
      <c r="G1234">
        <f t="shared" si="171"/>
        <v>144</v>
      </c>
      <c r="H1234">
        <v>300</v>
      </c>
      <c r="I1234" s="4">
        <f>Full_Data[[#This Row],[Selling Price]]/Full_Data[[#This Row],[Weight (g)]]</f>
        <v>0.48</v>
      </c>
      <c r="J1234" t="b">
        <v>0</v>
      </c>
      <c r="K1234">
        <v>300</v>
      </c>
      <c r="L1234">
        <f t="shared" si="172"/>
        <v>16</v>
      </c>
      <c r="M1234" t="str">
        <f t="shared" si="173"/>
        <v>Medium</v>
      </c>
      <c r="N1234" t="str">
        <f t="shared" si="174"/>
        <v>6-10%</v>
      </c>
      <c r="O1234" t="str">
        <f t="shared" si="175"/>
        <v>OK</v>
      </c>
      <c r="P1234">
        <f>IFERROR(Full_Data!G1234/Full_Data!H1234,"Check data")</f>
        <v>0.48</v>
      </c>
      <c r="Q1234" t="str">
        <f t="shared" si="176"/>
        <v>Match</v>
      </c>
      <c r="R1234" t="str">
        <f t="shared" si="177"/>
        <v>Match</v>
      </c>
      <c r="S1234" t="str">
        <f t="shared" si="178"/>
        <v>Match</v>
      </c>
    </row>
    <row r="1235" spans="1:19" x14ac:dyDescent="0.25">
      <c r="A1235" t="s">
        <v>1164</v>
      </c>
      <c r="B1235">
        <v>3000</v>
      </c>
      <c r="C1235">
        <f t="shared" si="179"/>
        <v>30</v>
      </c>
      <c r="D1235">
        <v>0</v>
      </c>
      <c r="E1235">
        <v>4</v>
      </c>
      <c r="F1235">
        <v>3000</v>
      </c>
      <c r="G1235">
        <f t="shared" si="171"/>
        <v>30</v>
      </c>
      <c r="H1235">
        <v>20</v>
      </c>
      <c r="I1235" s="4">
        <f>Full_Data[[#This Row],[Selling Price]]/Full_Data[[#This Row],[Weight (g)]]</f>
        <v>1.5</v>
      </c>
      <c r="J1235" t="b">
        <v>0</v>
      </c>
      <c r="K1235">
        <v>20</v>
      </c>
      <c r="L1235">
        <f t="shared" si="172"/>
        <v>0</v>
      </c>
      <c r="M1235" t="str">
        <f t="shared" si="173"/>
        <v>Low</v>
      </c>
      <c r="N1235" t="str">
        <f t="shared" si="174"/>
        <v>0-5%</v>
      </c>
      <c r="O1235" t="str">
        <f t="shared" si="175"/>
        <v>OK</v>
      </c>
      <c r="P1235">
        <f>IFERROR(Full_Data!G1235/Full_Data!H1235,"Check data")</f>
        <v>1.5</v>
      </c>
      <c r="Q1235" t="str">
        <f t="shared" si="176"/>
        <v>Match</v>
      </c>
      <c r="R1235" t="str">
        <f t="shared" si="177"/>
        <v>Match</v>
      </c>
      <c r="S1235" t="str">
        <f t="shared" si="178"/>
        <v>Match</v>
      </c>
    </row>
    <row r="1236" spans="1:19" x14ac:dyDescent="0.25">
      <c r="A1236" t="s">
        <v>1165</v>
      </c>
      <c r="B1236">
        <v>18500</v>
      </c>
      <c r="C1236">
        <f t="shared" si="179"/>
        <v>185</v>
      </c>
      <c r="D1236">
        <v>15</v>
      </c>
      <c r="E1236">
        <v>3</v>
      </c>
      <c r="F1236">
        <v>15700</v>
      </c>
      <c r="G1236">
        <f t="shared" si="171"/>
        <v>157</v>
      </c>
      <c r="H1236">
        <v>100</v>
      </c>
      <c r="I1236" s="4">
        <f>Full_Data[[#This Row],[Selling Price]]/Full_Data[[#This Row],[Weight (g)]]</f>
        <v>1.57</v>
      </c>
      <c r="J1236" t="b">
        <v>0</v>
      </c>
      <c r="K1236">
        <v>100</v>
      </c>
      <c r="L1236">
        <f t="shared" si="172"/>
        <v>28</v>
      </c>
      <c r="M1236" t="str">
        <f t="shared" si="173"/>
        <v>Medium</v>
      </c>
      <c r="N1236" t="str">
        <f t="shared" si="174"/>
        <v>11-15%</v>
      </c>
      <c r="O1236" t="str">
        <f t="shared" si="175"/>
        <v>OK</v>
      </c>
      <c r="P1236">
        <f>IFERROR(Full_Data!G1236/Full_Data!H1236,"Check data")</f>
        <v>1.57</v>
      </c>
      <c r="Q1236" t="str">
        <f t="shared" si="176"/>
        <v>Match</v>
      </c>
      <c r="R1236" t="str">
        <f t="shared" si="177"/>
        <v>Mismatch</v>
      </c>
      <c r="S1236" t="str">
        <f t="shared" si="178"/>
        <v>Match</v>
      </c>
    </row>
    <row r="1237" spans="1:19" x14ac:dyDescent="0.25">
      <c r="A1237" t="s">
        <v>1166</v>
      </c>
      <c r="B1237">
        <v>29000</v>
      </c>
      <c r="C1237">
        <f t="shared" si="179"/>
        <v>290</v>
      </c>
      <c r="D1237">
        <v>10</v>
      </c>
      <c r="E1237">
        <v>6</v>
      </c>
      <c r="F1237">
        <v>26100</v>
      </c>
      <c r="G1237">
        <f t="shared" si="171"/>
        <v>261</v>
      </c>
      <c r="H1237">
        <v>625</v>
      </c>
      <c r="I1237" s="4">
        <f>Full_Data[[#This Row],[Selling Price]]/Full_Data[[#This Row],[Weight (g)]]</f>
        <v>0.41760000000000003</v>
      </c>
      <c r="J1237" t="b">
        <v>0</v>
      </c>
      <c r="K1237">
        <v>625</v>
      </c>
      <c r="L1237">
        <f t="shared" si="172"/>
        <v>29</v>
      </c>
      <c r="M1237" t="str">
        <f t="shared" si="173"/>
        <v>High</v>
      </c>
      <c r="N1237" t="str">
        <f t="shared" si="174"/>
        <v>6-10%</v>
      </c>
      <c r="O1237" t="str">
        <f t="shared" si="175"/>
        <v>OK</v>
      </c>
      <c r="P1237">
        <f>IFERROR(Full_Data!G1237/Full_Data!H1237,"Check data")</f>
        <v>0.41760000000000003</v>
      </c>
      <c r="Q1237" t="str">
        <f t="shared" si="176"/>
        <v>Match</v>
      </c>
      <c r="R1237" t="str">
        <f t="shared" si="177"/>
        <v>Match</v>
      </c>
      <c r="S1237" t="str">
        <f t="shared" si="178"/>
        <v>Match</v>
      </c>
    </row>
    <row r="1238" spans="1:19" x14ac:dyDescent="0.25">
      <c r="A1238" t="s">
        <v>1167</v>
      </c>
      <c r="B1238">
        <v>22500</v>
      </c>
      <c r="C1238">
        <f t="shared" si="179"/>
        <v>225</v>
      </c>
      <c r="D1238">
        <v>6</v>
      </c>
      <c r="E1238">
        <v>4</v>
      </c>
      <c r="F1238">
        <v>21000</v>
      </c>
      <c r="G1238">
        <f t="shared" si="171"/>
        <v>210</v>
      </c>
      <c r="H1238">
        <v>418</v>
      </c>
      <c r="I1238" s="4">
        <f>Full_Data[[#This Row],[Selling Price]]/Full_Data[[#This Row],[Weight (g)]]</f>
        <v>0.50239234449760761</v>
      </c>
      <c r="J1238" t="b">
        <v>0</v>
      </c>
      <c r="K1238">
        <v>418</v>
      </c>
      <c r="L1238">
        <f t="shared" si="172"/>
        <v>15</v>
      </c>
      <c r="M1238" t="str">
        <f t="shared" si="173"/>
        <v>High</v>
      </c>
      <c r="N1238" t="str">
        <f t="shared" si="174"/>
        <v>6-10%</v>
      </c>
      <c r="O1238" t="str">
        <f t="shared" si="175"/>
        <v>OK</v>
      </c>
      <c r="P1238">
        <f>IFERROR(Full_Data!G1238/Full_Data!H1238,"Check data")</f>
        <v>0.50239234449760761</v>
      </c>
      <c r="Q1238" t="str">
        <f t="shared" si="176"/>
        <v>Match</v>
      </c>
      <c r="R1238" t="str">
        <f t="shared" si="177"/>
        <v>Mismatch</v>
      </c>
      <c r="S1238" t="str">
        <f t="shared" si="178"/>
        <v>Mismatch</v>
      </c>
    </row>
    <row r="1239" spans="1:19" x14ac:dyDescent="0.25">
      <c r="A1239" t="s">
        <v>1168</v>
      </c>
      <c r="B1239">
        <v>15000</v>
      </c>
      <c r="C1239">
        <f t="shared" si="179"/>
        <v>150</v>
      </c>
      <c r="D1239">
        <v>6</v>
      </c>
      <c r="E1239">
        <v>5</v>
      </c>
      <c r="F1239">
        <v>14100</v>
      </c>
      <c r="G1239">
        <f t="shared" si="171"/>
        <v>141</v>
      </c>
      <c r="H1239">
        <v>180</v>
      </c>
      <c r="I1239" s="4">
        <f>Full_Data[[#This Row],[Selling Price]]/Full_Data[[#This Row],[Weight (g)]]</f>
        <v>0.78333333333333333</v>
      </c>
      <c r="J1239" t="b">
        <v>0</v>
      </c>
      <c r="K1239">
        <v>180</v>
      </c>
      <c r="L1239">
        <f t="shared" si="172"/>
        <v>9</v>
      </c>
      <c r="M1239" t="str">
        <f t="shared" si="173"/>
        <v>Medium</v>
      </c>
      <c r="N1239" t="str">
        <f t="shared" si="174"/>
        <v>6-10%</v>
      </c>
      <c r="O1239" t="str">
        <f t="shared" si="175"/>
        <v>OK</v>
      </c>
      <c r="P1239">
        <f>IFERROR(Full_Data!G1239/Full_Data!H1239,"Check data")</f>
        <v>0.78333333333333333</v>
      </c>
      <c r="Q1239" t="str">
        <f t="shared" si="176"/>
        <v>Match</v>
      </c>
      <c r="R1239" t="str">
        <f t="shared" si="177"/>
        <v>Match</v>
      </c>
      <c r="S1239" t="str">
        <f t="shared" si="178"/>
        <v>Match</v>
      </c>
    </row>
    <row r="1240" spans="1:19" x14ac:dyDescent="0.25">
      <c r="A1240" t="s">
        <v>1169</v>
      </c>
      <c r="B1240">
        <v>49900</v>
      </c>
      <c r="C1240">
        <f t="shared" si="179"/>
        <v>499</v>
      </c>
      <c r="D1240">
        <v>7</v>
      </c>
      <c r="E1240">
        <v>4</v>
      </c>
      <c r="F1240">
        <v>46000</v>
      </c>
      <c r="G1240">
        <f t="shared" si="171"/>
        <v>460</v>
      </c>
      <c r="H1240">
        <v>232</v>
      </c>
      <c r="I1240" s="4">
        <f>Full_Data[[#This Row],[Selling Price]]/Full_Data[[#This Row],[Weight (g)]]</f>
        <v>1.9827586206896552</v>
      </c>
      <c r="J1240" t="b">
        <v>0</v>
      </c>
      <c r="K1240">
        <v>4</v>
      </c>
      <c r="L1240">
        <f t="shared" si="172"/>
        <v>39</v>
      </c>
      <c r="M1240" t="str">
        <f t="shared" si="173"/>
        <v>High</v>
      </c>
      <c r="N1240" t="str">
        <f t="shared" si="174"/>
        <v>6-10%</v>
      </c>
      <c r="O1240" t="str">
        <f t="shared" si="175"/>
        <v>OK</v>
      </c>
      <c r="P1240">
        <f>IFERROR(Full_Data!G1240/Full_Data!H1240,"Check data")</f>
        <v>1.9827586206896552</v>
      </c>
      <c r="Q1240" t="str">
        <f t="shared" si="176"/>
        <v>Match</v>
      </c>
      <c r="R1240" t="str">
        <f t="shared" si="177"/>
        <v>Mismatch</v>
      </c>
      <c r="S1240" t="str">
        <f t="shared" si="178"/>
        <v>Mismatch</v>
      </c>
    </row>
    <row r="1241" spans="1:19" x14ac:dyDescent="0.25">
      <c r="A1241" t="s">
        <v>1170</v>
      </c>
      <c r="B1241">
        <v>19900</v>
      </c>
      <c r="C1241">
        <f t="shared" si="179"/>
        <v>199</v>
      </c>
      <c r="D1241">
        <v>20</v>
      </c>
      <c r="E1241">
        <v>2</v>
      </c>
      <c r="F1241">
        <v>15900</v>
      </c>
      <c r="G1241">
        <f t="shared" si="171"/>
        <v>159</v>
      </c>
      <c r="H1241">
        <v>250</v>
      </c>
      <c r="I1241" s="4">
        <f>Full_Data[[#This Row],[Selling Price]]/Full_Data[[#This Row],[Weight (g)]]</f>
        <v>0.63600000000000001</v>
      </c>
      <c r="J1241" t="b">
        <v>0</v>
      </c>
      <c r="K1241">
        <v>250</v>
      </c>
      <c r="L1241">
        <f t="shared" si="172"/>
        <v>40</v>
      </c>
      <c r="M1241" t="str">
        <f t="shared" si="173"/>
        <v>Medium</v>
      </c>
      <c r="N1241" t="str">
        <f t="shared" si="174"/>
        <v>16-20%</v>
      </c>
      <c r="O1241" t="str">
        <f t="shared" si="175"/>
        <v>OK</v>
      </c>
      <c r="P1241">
        <f>IFERROR(Full_Data!G1241/Full_Data!H1241,"Check data")</f>
        <v>0.63600000000000001</v>
      </c>
      <c r="Q1241" t="str">
        <f t="shared" si="176"/>
        <v>Match</v>
      </c>
      <c r="R1241" t="str">
        <f t="shared" si="177"/>
        <v>Mismatch</v>
      </c>
      <c r="S1241" t="str">
        <f t="shared" si="178"/>
        <v>Match</v>
      </c>
    </row>
    <row r="1242" spans="1:19" x14ac:dyDescent="0.25">
      <c r="A1242" t="s">
        <v>1171</v>
      </c>
      <c r="B1242">
        <v>9900</v>
      </c>
      <c r="C1242">
        <f t="shared" si="179"/>
        <v>99</v>
      </c>
      <c r="D1242">
        <v>0</v>
      </c>
      <c r="E1242">
        <v>6</v>
      </c>
      <c r="F1242">
        <v>9900</v>
      </c>
      <c r="G1242">
        <f t="shared" si="171"/>
        <v>99</v>
      </c>
      <c r="H1242">
        <v>750</v>
      </c>
      <c r="I1242" s="4">
        <f>Full_Data[[#This Row],[Selling Price]]/Full_Data[[#This Row],[Weight (g)]]</f>
        <v>0.13200000000000001</v>
      </c>
      <c r="J1242" t="b">
        <v>0</v>
      </c>
      <c r="K1242">
        <v>750</v>
      </c>
      <c r="L1242">
        <f t="shared" si="172"/>
        <v>0</v>
      </c>
      <c r="M1242" t="str">
        <f t="shared" si="173"/>
        <v>Medium</v>
      </c>
      <c r="N1242" t="str">
        <f t="shared" si="174"/>
        <v>0-5%</v>
      </c>
      <c r="O1242" t="str">
        <f t="shared" si="175"/>
        <v>OK</v>
      </c>
      <c r="P1242">
        <f>IFERROR(Full_Data!G1242/Full_Data!H1242,"Check data")</f>
        <v>0.13200000000000001</v>
      </c>
      <c r="Q1242" t="str">
        <f t="shared" si="176"/>
        <v>Match</v>
      </c>
      <c r="R1242" t="str">
        <f t="shared" si="177"/>
        <v>Match</v>
      </c>
      <c r="S1242" t="str">
        <f t="shared" si="178"/>
        <v>Match</v>
      </c>
    </row>
    <row r="1243" spans="1:19" x14ac:dyDescent="0.25">
      <c r="A1243" t="s">
        <v>1172</v>
      </c>
      <c r="B1243">
        <v>10000</v>
      </c>
      <c r="C1243">
        <f t="shared" si="179"/>
        <v>100</v>
      </c>
      <c r="D1243">
        <v>5</v>
      </c>
      <c r="E1243">
        <v>6</v>
      </c>
      <c r="F1243">
        <v>9500</v>
      </c>
      <c r="G1243">
        <f t="shared" si="171"/>
        <v>95</v>
      </c>
      <c r="H1243">
        <v>200</v>
      </c>
      <c r="I1243" s="4">
        <f>Full_Data[[#This Row],[Selling Price]]/Full_Data[[#This Row],[Weight (g)]]</f>
        <v>0.47499999999999998</v>
      </c>
      <c r="J1243" t="b">
        <v>0</v>
      </c>
      <c r="K1243">
        <v>200</v>
      </c>
      <c r="L1243">
        <f t="shared" si="172"/>
        <v>5</v>
      </c>
      <c r="M1243" t="str">
        <f t="shared" si="173"/>
        <v>Medium</v>
      </c>
      <c r="N1243" t="str">
        <f t="shared" si="174"/>
        <v>0-5%</v>
      </c>
      <c r="O1243" t="str">
        <f t="shared" si="175"/>
        <v>OK</v>
      </c>
      <c r="P1243">
        <f>IFERROR(Full_Data!G1243/Full_Data!H1243,"Check data")</f>
        <v>0.47499999999999998</v>
      </c>
      <c r="Q1243" t="str">
        <f t="shared" si="176"/>
        <v>Match</v>
      </c>
      <c r="R1243" t="str">
        <f t="shared" si="177"/>
        <v>Match</v>
      </c>
      <c r="S1243" t="str">
        <f t="shared" si="178"/>
        <v>Match</v>
      </c>
    </row>
    <row r="1244" spans="1:19" x14ac:dyDescent="0.25">
      <c r="A1244" t="s">
        <v>1173</v>
      </c>
      <c r="B1244">
        <v>8800</v>
      </c>
      <c r="C1244">
        <f t="shared" si="179"/>
        <v>88</v>
      </c>
      <c r="D1244">
        <v>0</v>
      </c>
      <c r="E1244">
        <v>2</v>
      </c>
      <c r="F1244">
        <v>8800</v>
      </c>
      <c r="G1244">
        <f t="shared" si="171"/>
        <v>88</v>
      </c>
      <c r="H1244">
        <v>180</v>
      </c>
      <c r="I1244" s="4">
        <f>Full_Data[[#This Row],[Selling Price]]/Full_Data[[#This Row],[Weight (g)]]</f>
        <v>0.48888888888888887</v>
      </c>
      <c r="J1244" t="b">
        <v>0</v>
      </c>
      <c r="K1244">
        <v>180</v>
      </c>
      <c r="L1244">
        <f t="shared" si="172"/>
        <v>0</v>
      </c>
      <c r="M1244" t="str">
        <f t="shared" si="173"/>
        <v>Medium</v>
      </c>
      <c r="N1244" t="str">
        <f t="shared" si="174"/>
        <v>0-5%</v>
      </c>
      <c r="O1244" t="str">
        <f t="shared" si="175"/>
        <v>OK</v>
      </c>
      <c r="P1244">
        <f>IFERROR(Full_Data!G1244/Full_Data!H1244,"Check data")</f>
        <v>0.48888888888888887</v>
      </c>
      <c r="Q1244" t="str">
        <f t="shared" si="176"/>
        <v>Match</v>
      </c>
      <c r="R1244" t="str">
        <f t="shared" si="177"/>
        <v>Match</v>
      </c>
      <c r="S1244" t="str">
        <f t="shared" si="178"/>
        <v>Match</v>
      </c>
    </row>
    <row r="1245" spans="1:19" x14ac:dyDescent="0.25">
      <c r="A1245" t="s">
        <v>1174</v>
      </c>
      <c r="B1245">
        <v>8900</v>
      </c>
      <c r="C1245">
        <f t="shared" si="179"/>
        <v>89</v>
      </c>
      <c r="D1245">
        <v>4</v>
      </c>
      <c r="E1245">
        <v>6</v>
      </c>
      <c r="F1245">
        <v>8500</v>
      </c>
      <c r="G1245">
        <f t="shared" si="171"/>
        <v>85</v>
      </c>
      <c r="H1245">
        <v>200</v>
      </c>
      <c r="I1245" s="4">
        <f>Full_Data[[#This Row],[Selling Price]]/Full_Data[[#This Row],[Weight (g)]]</f>
        <v>0.42499999999999999</v>
      </c>
      <c r="J1245" t="b">
        <v>0</v>
      </c>
      <c r="K1245">
        <v>200</v>
      </c>
      <c r="L1245">
        <f t="shared" si="172"/>
        <v>4</v>
      </c>
      <c r="M1245" t="str">
        <f t="shared" si="173"/>
        <v>Medium</v>
      </c>
      <c r="N1245" t="str">
        <f t="shared" si="174"/>
        <v>0-5%</v>
      </c>
      <c r="O1245" t="str">
        <f t="shared" si="175"/>
        <v>OK</v>
      </c>
      <c r="P1245">
        <f>IFERROR(Full_Data!G1245/Full_Data!H1245,"Check data")</f>
        <v>0.42499999999999999</v>
      </c>
      <c r="Q1245" t="str">
        <f t="shared" si="176"/>
        <v>Match</v>
      </c>
      <c r="R1245" t="str">
        <f t="shared" si="177"/>
        <v>Mismatch</v>
      </c>
      <c r="S1245" t="str">
        <f t="shared" si="178"/>
        <v>Match</v>
      </c>
    </row>
    <row r="1246" spans="1:19" x14ac:dyDescent="0.25">
      <c r="A1246" t="s">
        <v>1175</v>
      </c>
      <c r="B1246">
        <v>19900</v>
      </c>
      <c r="C1246">
        <f t="shared" si="179"/>
        <v>199</v>
      </c>
      <c r="D1246">
        <v>0</v>
      </c>
      <c r="E1246">
        <v>6</v>
      </c>
      <c r="F1246">
        <v>19900</v>
      </c>
      <c r="G1246">
        <f t="shared" si="171"/>
        <v>199</v>
      </c>
      <c r="H1246">
        <v>192</v>
      </c>
      <c r="I1246" s="4">
        <f>Full_Data[[#This Row],[Selling Price]]/Full_Data[[#This Row],[Weight (g)]]</f>
        <v>1.0364583333333333</v>
      </c>
      <c r="J1246" t="b">
        <v>0</v>
      </c>
      <c r="K1246">
        <v>180</v>
      </c>
      <c r="L1246">
        <f t="shared" si="172"/>
        <v>0</v>
      </c>
      <c r="M1246" t="str">
        <f t="shared" si="173"/>
        <v>Medium</v>
      </c>
      <c r="N1246" t="str">
        <f t="shared" si="174"/>
        <v>0-5%</v>
      </c>
      <c r="O1246" t="str">
        <f t="shared" si="175"/>
        <v>OK</v>
      </c>
      <c r="P1246">
        <f>IFERROR(Full_Data!G1246/Full_Data!H1246,"Check data")</f>
        <v>1.0364583333333333</v>
      </c>
      <c r="Q1246" t="str">
        <f t="shared" si="176"/>
        <v>Match</v>
      </c>
      <c r="R1246" t="str">
        <f t="shared" si="177"/>
        <v>Match</v>
      </c>
      <c r="S1246" t="str">
        <f t="shared" si="178"/>
        <v>Match</v>
      </c>
    </row>
    <row r="1247" spans="1:19" x14ac:dyDescent="0.25">
      <c r="A1247" t="s">
        <v>1176</v>
      </c>
      <c r="B1247">
        <v>9000</v>
      </c>
      <c r="C1247">
        <f t="shared" si="179"/>
        <v>90</v>
      </c>
      <c r="D1247">
        <v>0</v>
      </c>
      <c r="E1247">
        <v>5</v>
      </c>
      <c r="F1247">
        <v>9000</v>
      </c>
      <c r="G1247">
        <f t="shared" si="171"/>
        <v>90</v>
      </c>
      <c r="H1247">
        <v>150</v>
      </c>
      <c r="I1247" s="4">
        <f>Full_Data[[#This Row],[Selling Price]]/Full_Data[[#This Row],[Weight (g)]]</f>
        <v>0.6</v>
      </c>
      <c r="J1247" t="b">
        <v>0</v>
      </c>
      <c r="K1247">
        <v>150</v>
      </c>
      <c r="L1247">
        <f t="shared" si="172"/>
        <v>0</v>
      </c>
      <c r="M1247" t="str">
        <f t="shared" si="173"/>
        <v>Medium</v>
      </c>
      <c r="N1247" t="str">
        <f t="shared" si="174"/>
        <v>0-5%</v>
      </c>
      <c r="O1247" t="str">
        <f t="shared" si="175"/>
        <v>OK</v>
      </c>
      <c r="P1247">
        <f>IFERROR(Full_Data!G1247/Full_Data!H1247,"Check data")</f>
        <v>0.6</v>
      </c>
      <c r="Q1247" t="str">
        <f t="shared" si="176"/>
        <v>Match</v>
      </c>
      <c r="R1247" t="str">
        <f t="shared" si="177"/>
        <v>Match</v>
      </c>
      <c r="S1247" t="str">
        <f t="shared" si="178"/>
        <v>Match</v>
      </c>
    </row>
    <row r="1248" spans="1:19" x14ac:dyDescent="0.25">
      <c r="A1248" t="s">
        <v>1177</v>
      </c>
      <c r="B1248">
        <v>19500</v>
      </c>
      <c r="C1248">
        <f t="shared" si="179"/>
        <v>195</v>
      </c>
      <c r="D1248">
        <v>10</v>
      </c>
      <c r="E1248">
        <v>4</v>
      </c>
      <c r="F1248">
        <v>17400</v>
      </c>
      <c r="G1248">
        <f t="shared" si="171"/>
        <v>174</v>
      </c>
      <c r="H1248">
        <v>180</v>
      </c>
      <c r="I1248" s="4">
        <f>Full_Data[[#This Row],[Selling Price]]/Full_Data[[#This Row],[Weight (g)]]</f>
        <v>0.96666666666666667</v>
      </c>
      <c r="J1248" t="b">
        <v>0</v>
      </c>
      <c r="K1248">
        <v>180</v>
      </c>
      <c r="L1248">
        <f t="shared" si="172"/>
        <v>21</v>
      </c>
      <c r="M1248" t="str">
        <f t="shared" si="173"/>
        <v>Medium</v>
      </c>
      <c r="N1248" t="str">
        <f t="shared" si="174"/>
        <v>6-10%</v>
      </c>
      <c r="O1248" t="str">
        <f t="shared" si="175"/>
        <v>OK</v>
      </c>
      <c r="P1248">
        <f>IFERROR(Full_Data!G1248/Full_Data!H1248,"Check data")</f>
        <v>0.96666666666666667</v>
      </c>
      <c r="Q1248" t="str">
        <f t="shared" si="176"/>
        <v>Match</v>
      </c>
      <c r="R1248" t="str">
        <f t="shared" si="177"/>
        <v>Mismatch</v>
      </c>
      <c r="S1248" t="str">
        <f t="shared" si="178"/>
        <v>Mismatch</v>
      </c>
    </row>
    <row r="1249" spans="1:19" x14ac:dyDescent="0.25">
      <c r="A1249" t="s">
        <v>1178</v>
      </c>
      <c r="B1249">
        <v>13000</v>
      </c>
      <c r="C1249">
        <f t="shared" si="179"/>
        <v>130</v>
      </c>
      <c r="D1249">
        <v>10</v>
      </c>
      <c r="E1249">
        <v>2</v>
      </c>
      <c r="F1249">
        <v>11700</v>
      </c>
      <c r="G1249">
        <f t="shared" si="171"/>
        <v>117</v>
      </c>
      <c r="H1249">
        <v>80</v>
      </c>
      <c r="I1249" s="4">
        <f>Full_Data[[#This Row],[Selling Price]]/Full_Data[[#This Row],[Weight (g)]]</f>
        <v>1.4624999999999999</v>
      </c>
      <c r="J1249" t="b">
        <v>0</v>
      </c>
      <c r="K1249">
        <v>80</v>
      </c>
      <c r="L1249">
        <f t="shared" si="172"/>
        <v>13</v>
      </c>
      <c r="M1249" t="str">
        <f t="shared" si="173"/>
        <v>Medium</v>
      </c>
      <c r="N1249" t="str">
        <f t="shared" si="174"/>
        <v>6-10%</v>
      </c>
      <c r="O1249" t="str">
        <f t="shared" si="175"/>
        <v>OK</v>
      </c>
      <c r="P1249">
        <f>IFERROR(Full_Data!G1249/Full_Data!H1249,"Check data")</f>
        <v>1.4624999999999999</v>
      </c>
      <c r="Q1249" t="str">
        <f t="shared" si="176"/>
        <v>Match</v>
      </c>
      <c r="R1249" t="str">
        <f t="shared" si="177"/>
        <v>Match</v>
      </c>
      <c r="S1249" t="str">
        <f t="shared" si="178"/>
        <v>Match</v>
      </c>
    </row>
    <row r="1250" spans="1:19" x14ac:dyDescent="0.25">
      <c r="A1250" t="s">
        <v>1179</v>
      </c>
      <c r="B1250">
        <v>14000</v>
      </c>
      <c r="C1250">
        <f t="shared" si="179"/>
        <v>140</v>
      </c>
      <c r="D1250">
        <v>8</v>
      </c>
      <c r="E1250">
        <v>2</v>
      </c>
      <c r="F1250">
        <v>12800</v>
      </c>
      <c r="G1250">
        <f t="shared" si="171"/>
        <v>128</v>
      </c>
      <c r="H1250">
        <v>200</v>
      </c>
      <c r="I1250" s="4">
        <f>Full_Data[[#This Row],[Selling Price]]/Full_Data[[#This Row],[Weight (g)]]</f>
        <v>0.64</v>
      </c>
      <c r="J1250" t="b">
        <v>0</v>
      </c>
      <c r="K1250">
        <v>200</v>
      </c>
      <c r="L1250">
        <f t="shared" si="172"/>
        <v>12</v>
      </c>
      <c r="M1250" t="str">
        <f t="shared" si="173"/>
        <v>Medium</v>
      </c>
      <c r="N1250" t="str">
        <f t="shared" si="174"/>
        <v>6-10%</v>
      </c>
      <c r="O1250" t="str">
        <f t="shared" si="175"/>
        <v>OK</v>
      </c>
      <c r="P1250">
        <f>IFERROR(Full_Data!G1250/Full_Data!H1250,"Check data")</f>
        <v>0.64</v>
      </c>
      <c r="Q1250" t="str">
        <f t="shared" si="176"/>
        <v>Match</v>
      </c>
      <c r="R1250" t="str">
        <f t="shared" si="177"/>
        <v>Mismatch</v>
      </c>
      <c r="S1250" t="str">
        <f t="shared" si="178"/>
        <v>Mismatch</v>
      </c>
    </row>
    <row r="1251" spans="1:19" x14ac:dyDescent="0.25">
      <c r="A1251" t="s">
        <v>1180</v>
      </c>
      <c r="B1251">
        <v>3000</v>
      </c>
      <c r="C1251">
        <f t="shared" si="179"/>
        <v>30</v>
      </c>
      <c r="D1251">
        <v>3</v>
      </c>
      <c r="E1251">
        <v>6</v>
      </c>
      <c r="F1251">
        <v>2900</v>
      </c>
      <c r="G1251">
        <f t="shared" si="171"/>
        <v>29</v>
      </c>
      <c r="H1251">
        <v>406</v>
      </c>
      <c r="I1251" s="4">
        <f>Full_Data[[#This Row],[Selling Price]]/Full_Data[[#This Row],[Weight (g)]]</f>
        <v>7.1428571428571425E-2</v>
      </c>
      <c r="J1251" t="b">
        <v>0</v>
      </c>
      <c r="K1251">
        <v>7</v>
      </c>
      <c r="L1251">
        <f t="shared" si="172"/>
        <v>1</v>
      </c>
      <c r="M1251" t="str">
        <f t="shared" si="173"/>
        <v>Low</v>
      </c>
      <c r="N1251" t="str">
        <f t="shared" si="174"/>
        <v>0-5%</v>
      </c>
      <c r="O1251" t="str">
        <f t="shared" si="175"/>
        <v>OK</v>
      </c>
      <c r="P1251">
        <f>IFERROR(Full_Data!G1251/Full_Data!H1251,"Check data")</f>
        <v>7.1428571428571425E-2</v>
      </c>
      <c r="Q1251" t="str">
        <f t="shared" si="176"/>
        <v>Match</v>
      </c>
      <c r="R1251" t="str">
        <f t="shared" si="177"/>
        <v>Mismatch</v>
      </c>
      <c r="S1251" t="str">
        <f t="shared" si="178"/>
        <v>Match</v>
      </c>
    </row>
    <row r="1252" spans="1:19" x14ac:dyDescent="0.25">
      <c r="A1252" t="s">
        <v>1181</v>
      </c>
      <c r="B1252">
        <v>9900</v>
      </c>
      <c r="C1252">
        <f t="shared" si="179"/>
        <v>99</v>
      </c>
      <c r="D1252">
        <v>4</v>
      </c>
      <c r="E1252">
        <v>6</v>
      </c>
      <c r="F1252">
        <v>9500</v>
      </c>
      <c r="G1252">
        <f t="shared" si="171"/>
        <v>95</v>
      </c>
      <c r="H1252">
        <v>750</v>
      </c>
      <c r="I1252" s="4">
        <f>Full_Data[[#This Row],[Selling Price]]/Full_Data[[#This Row],[Weight (g)]]</f>
        <v>0.12666666666666668</v>
      </c>
      <c r="J1252" t="b">
        <v>0</v>
      </c>
      <c r="K1252">
        <v>750</v>
      </c>
      <c r="L1252">
        <f t="shared" si="172"/>
        <v>4</v>
      </c>
      <c r="M1252" t="str">
        <f t="shared" si="173"/>
        <v>Medium</v>
      </c>
      <c r="N1252" t="str">
        <f t="shared" si="174"/>
        <v>0-5%</v>
      </c>
      <c r="O1252" t="str">
        <f t="shared" si="175"/>
        <v>OK</v>
      </c>
      <c r="P1252">
        <f>IFERROR(Full_Data!G1252/Full_Data!H1252,"Check data")</f>
        <v>0.12666666666666668</v>
      </c>
      <c r="Q1252" t="str">
        <f t="shared" si="176"/>
        <v>Match</v>
      </c>
      <c r="R1252" t="str">
        <f t="shared" si="177"/>
        <v>Mismatch</v>
      </c>
      <c r="S1252" t="str">
        <f t="shared" si="178"/>
        <v>Match</v>
      </c>
    </row>
    <row r="1253" spans="1:19" x14ac:dyDescent="0.25">
      <c r="A1253" t="s">
        <v>1182</v>
      </c>
      <c r="B1253">
        <v>19000</v>
      </c>
      <c r="C1253">
        <f t="shared" si="179"/>
        <v>190</v>
      </c>
      <c r="D1253">
        <v>14</v>
      </c>
      <c r="E1253">
        <v>6</v>
      </c>
      <c r="F1253">
        <v>16200</v>
      </c>
      <c r="G1253">
        <f t="shared" si="171"/>
        <v>162</v>
      </c>
      <c r="H1253">
        <v>175</v>
      </c>
      <c r="I1253" s="4">
        <f>Full_Data[[#This Row],[Selling Price]]/Full_Data[[#This Row],[Weight (g)]]</f>
        <v>0.92571428571428571</v>
      </c>
      <c r="J1253" t="b">
        <v>0</v>
      </c>
      <c r="K1253">
        <v>80</v>
      </c>
      <c r="L1253">
        <f t="shared" si="172"/>
        <v>28</v>
      </c>
      <c r="M1253" t="str">
        <f t="shared" si="173"/>
        <v>Medium</v>
      </c>
      <c r="N1253" t="str">
        <f t="shared" si="174"/>
        <v>11-15%</v>
      </c>
      <c r="O1253" t="str">
        <f t="shared" si="175"/>
        <v>OK</v>
      </c>
      <c r="P1253">
        <f>IFERROR(Full_Data!G1253/Full_Data!H1253,"Check data")</f>
        <v>0.92571428571428571</v>
      </c>
      <c r="Q1253" t="str">
        <f t="shared" si="176"/>
        <v>Match</v>
      </c>
      <c r="R1253" t="str">
        <f t="shared" si="177"/>
        <v>Mismatch</v>
      </c>
      <c r="S1253" t="str">
        <f t="shared" si="178"/>
        <v>Mismatch</v>
      </c>
    </row>
    <row r="1254" spans="1:19" x14ac:dyDescent="0.25">
      <c r="A1254" t="s">
        <v>1183</v>
      </c>
      <c r="B1254">
        <v>7500</v>
      </c>
      <c r="C1254">
        <f t="shared" si="179"/>
        <v>75</v>
      </c>
      <c r="D1254">
        <v>5</v>
      </c>
      <c r="E1254">
        <v>4</v>
      </c>
      <c r="F1254">
        <v>7100</v>
      </c>
      <c r="G1254">
        <f t="shared" si="171"/>
        <v>71</v>
      </c>
      <c r="H1254">
        <v>100</v>
      </c>
      <c r="I1254" s="4">
        <f>Full_Data[[#This Row],[Selling Price]]/Full_Data[[#This Row],[Weight (g)]]</f>
        <v>0.71</v>
      </c>
      <c r="J1254" t="b">
        <v>0</v>
      </c>
      <c r="K1254">
        <v>100</v>
      </c>
      <c r="L1254">
        <f t="shared" si="172"/>
        <v>4</v>
      </c>
      <c r="M1254" t="str">
        <f t="shared" si="173"/>
        <v>Medium</v>
      </c>
      <c r="N1254" t="str">
        <f t="shared" si="174"/>
        <v>0-5%</v>
      </c>
      <c r="O1254" t="str">
        <f t="shared" si="175"/>
        <v>OK</v>
      </c>
      <c r="P1254">
        <f>IFERROR(Full_Data!G1254/Full_Data!H1254,"Check data")</f>
        <v>0.71</v>
      </c>
      <c r="Q1254" t="str">
        <f t="shared" si="176"/>
        <v>Match</v>
      </c>
      <c r="R1254" t="str">
        <f t="shared" si="177"/>
        <v>Mismatch</v>
      </c>
      <c r="S1254" t="str">
        <f t="shared" si="178"/>
        <v>Match</v>
      </c>
    </row>
    <row r="1255" spans="1:19" x14ac:dyDescent="0.25">
      <c r="A1255" t="s">
        <v>1184</v>
      </c>
      <c r="B1255">
        <v>8200</v>
      </c>
      <c r="C1255">
        <f t="shared" si="179"/>
        <v>82</v>
      </c>
      <c r="D1255">
        <v>9</v>
      </c>
      <c r="E1255">
        <v>6</v>
      </c>
      <c r="F1255">
        <v>7400</v>
      </c>
      <c r="G1255">
        <f t="shared" si="171"/>
        <v>74</v>
      </c>
      <c r="H1255">
        <v>190</v>
      </c>
      <c r="I1255" s="4">
        <f>Full_Data[[#This Row],[Selling Price]]/Full_Data[[#This Row],[Weight (g)]]</f>
        <v>0.38947368421052631</v>
      </c>
      <c r="J1255" t="b">
        <v>0</v>
      </c>
      <c r="K1255">
        <v>190</v>
      </c>
      <c r="L1255">
        <f t="shared" si="172"/>
        <v>8</v>
      </c>
      <c r="M1255" t="str">
        <f t="shared" si="173"/>
        <v>Medium</v>
      </c>
      <c r="N1255" t="str">
        <f t="shared" si="174"/>
        <v>6-10%</v>
      </c>
      <c r="O1255" t="str">
        <f t="shared" si="175"/>
        <v>OK</v>
      </c>
      <c r="P1255">
        <f>IFERROR(Full_Data!G1255/Full_Data!H1255,"Check data")</f>
        <v>0.38947368421052631</v>
      </c>
      <c r="Q1255" t="str">
        <f t="shared" si="176"/>
        <v>Match</v>
      </c>
      <c r="R1255" t="str">
        <f t="shared" si="177"/>
        <v>Mismatch</v>
      </c>
      <c r="S1255" t="str">
        <f t="shared" si="178"/>
        <v>Mismatch</v>
      </c>
    </row>
    <row r="1256" spans="1:19" x14ac:dyDescent="0.25">
      <c r="A1256" t="s">
        <v>1185</v>
      </c>
      <c r="B1256">
        <v>7900</v>
      </c>
      <c r="C1256">
        <f t="shared" si="179"/>
        <v>79</v>
      </c>
      <c r="D1256">
        <v>6</v>
      </c>
      <c r="E1256">
        <v>6</v>
      </c>
      <c r="F1256">
        <v>7400</v>
      </c>
      <c r="G1256">
        <f t="shared" si="171"/>
        <v>74</v>
      </c>
      <c r="H1256">
        <v>1160</v>
      </c>
      <c r="I1256" s="4">
        <f>Full_Data[[#This Row],[Selling Price]]/Full_Data[[#This Row],[Weight (g)]]</f>
        <v>6.3793103448275865E-2</v>
      </c>
      <c r="J1256" t="b">
        <v>0</v>
      </c>
      <c r="K1256">
        <v>20</v>
      </c>
      <c r="L1256">
        <f t="shared" si="172"/>
        <v>5</v>
      </c>
      <c r="M1256" t="str">
        <f t="shared" si="173"/>
        <v>Medium</v>
      </c>
      <c r="N1256" t="str">
        <f t="shared" si="174"/>
        <v>6-10%</v>
      </c>
      <c r="O1256" t="str">
        <f t="shared" si="175"/>
        <v>OK</v>
      </c>
      <c r="P1256">
        <f>IFERROR(Full_Data!G1256/Full_Data!H1256,"Check data")</f>
        <v>6.3793103448275865E-2</v>
      </c>
      <c r="Q1256" t="str">
        <f t="shared" si="176"/>
        <v>Match</v>
      </c>
      <c r="R1256" t="str">
        <f t="shared" si="177"/>
        <v>Mismatch</v>
      </c>
      <c r="S1256" t="str">
        <f t="shared" si="178"/>
        <v>Match</v>
      </c>
    </row>
    <row r="1257" spans="1:19" x14ac:dyDescent="0.25">
      <c r="A1257" t="s">
        <v>1186</v>
      </c>
      <c r="B1257">
        <v>7900</v>
      </c>
      <c r="C1257">
        <f t="shared" si="179"/>
        <v>79</v>
      </c>
      <c r="D1257">
        <v>0</v>
      </c>
      <c r="E1257">
        <v>6</v>
      </c>
      <c r="F1257">
        <v>7900</v>
      </c>
      <c r="G1257">
        <f t="shared" si="171"/>
        <v>79</v>
      </c>
      <c r="H1257">
        <v>200</v>
      </c>
      <c r="I1257" s="4">
        <f>Full_Data[[#This Row],[Selling Price]]/Full_Data[[#This Row],[Weight (g)]]</f>
        <v>0.39500000000000002</v>
      </c>
      <c r="J1257" t="b">
        <v>0</v>
      </c>
      <c r="K1257">
        <v>200</v>
      </c>
      <c r="L1257">
        <f t="shared" si="172"/>
        <v>0</v>
      </c>
      <c r="M1257" t="str">
        <f t="shared" si="173"/>
        <v>Medium</v>
      </c>
      <c r="N1257" t="str">
        <f t="shared" si="174"/>
        <v>0-5%</v>
      </c>
      <c r="O1257" t="str">
        <f t="shared" si="175"/>
        <v>OK</v>
      </c>
      <c r="P1257">
        <f>IFERROR(Full_Data!G1257/Full_Data!H1257,"Check data")</f>
        <v>0.39500000000000002</v>
      </c>
      <c r="Q1257" t="str">
        <f t="shared" si="176"/>
        <v>Match</v>
      </c>
      <c r="R1257" t="str">
        <f t="shared" si="177"/>
        <v>Match</v>
      </c>
      <c r="S1257" t="str">
        <f t="shared" si="178"/>
        <v>Match</v>
      </c>
    </row>
    <row r="1258" spans="1:19" x14ac:dyDescent="0.25">
      <c r="A1258" t="s">
        <v>1187</v>
      </c>
      <c r="B1258">
        <v>7500</v>
      </c>
      <c r="C1258">
        <f t="shared" si="179"/>
        <v>75</v>
      </c>
      <c r="D1258">
        <v>9</v>
      </c>
      <c r="E1258">
        <v>6</v>
      </c>
      <c r="F1258">
        <v>6800</v>
      </c>
      <c r="G1258">
        <f t="shared" si="171"/>
        <v>68</v>
      </c>
      <c r="H1258">
        <v>70</v>
      </c>
      <c r="I1258" s="4">
        <f>Full_Data[[#This Row],[Selling Price]]/Full_Data[[#This Row],[Weight (g)]]</f>
        <v>0.97142857142857142</v>
      </c>
      <c r="J1258" t="b">
        <v>0</v>
      </c>
      <c r="K1258">
        <v>70</v>
      </c>
      <c r="L1258">
        <f t="shared" si="172"/>
        <v>7</v>
      </c>
      <c r="M1258" t="str">
        <f t="shared" si="173"/>
        <v>Medium</v>
      </c>
      <c r="N1258" t="str">
        <f t="shared" si="174"/>
        <v>6-10%</v>
      </c>
      <c r="O1258" t="str">
        <f t="shared" si="175"/>
        <v>OK</v>
      </c>
      <c r="P1258">
        <f>IFERROR(Full_Data!G1258/Full_Data!H1258,"Check data")</f>
        <v>0.97142857142857142</v>
      </c>
      <c r="Q1258" t="str">
        <f t="shared" si="176"/>
        <v>Match</v>
      </c>
      <c r="R1258" t="str">
        <f t="shared" si="177"/>
        <v>Mismatch</v>
      </c>
      <c r="S1258" t="str">
        <f t="shared" si="178"/>
        <v>Match</v>
      </c>
    </row>
    <row r="1259" spans="1:19" x14ac:dyDescent="0.25">
      <c r="A1259" t="s">
        <v>1188</v>
      </c>
      <c r="B1259">
        <v>13500</v>
      </c>
      <c r="C1259">
        <f t="shared" si="179"/>
        <v>135</v>
      </c>
      <c r="D1259">
        <v>5</v>
      </c>
      <c r="E1259">
        <v>5</v>
      </c>
      <c r="F1259">
        <v>12800</v>
      </c>
      <c r="G1259">
        <f t="shared" si="171"/>
        <v>128</v>
      </c>
      <c r="H1259">
        <v>50</v>
      </c>
      <c r="I1259" s="4">
        <f>Full_Data[[#This Row],[Selling Price]]/Full_Data[[#This Row],[Weight (g)]]</f>
        <v>2.56</v>
      </c>
      <c r="J1259" t="b">
        <v>0</v>
      </c>
      <c r="K1259">
        <v>50</v>
      </c>
      <c r="L1259">
        <f t="shared" si="172"/>
        <v>7</v>
      </c>
      <c r="M1259" t="str">
        <f t="shared" si="173"/>
        <v>Medium</v>
      </c>
      <c r="N1259" t="str">
        <f t="shared" si="174"/>
        <v>0-5%</v>
      </c>
      <c r="O1259" t="str">
        <f t="shared" si="175"/>
        <v>OK</v>
      </c>
      <c r="P1259">
        <f>IFERROR(Full_Data!G1259/Full_Data!H1259,"Check data")</f>
        <v>2.56</v>
      </c>
      <c r="Q1259" t="str">
        <f t="shared" si="176"/>
        <v>Match</v>
      </c>
      <c r="R1259" t="str">
        <f t="shared" si="177"/>
        <v>Mismatch</v>
      </c>
      <c r="S1259" t="str">
        <f t="shared" si="178"/>
        <v>Match</v>
      </c>
    </row>
    <row r="1260" spans="1:19" x14ac:dyDescent="0.25">
      <c r="A1260" t="s">
        <v>1189</v>
      </c>
      <c r="B1260">
        <v>26500</v>
      </c>
      <c r="C1260">
        <f t="shared" si="179"/>
        <v>265</v>
      </c>
      <c r="D1260">
        <v>0</v>
      </c>
      <c r="E1260">
        <v>2</v>
      </c>
      <c r="F1260">
        <v>26500</v>
      </c>
      <c r="G1260">
        <f t="shared" si="171"/>
        <v>265</v>
      </c>
      <c r="H1260">
        <v>396</v>
      </c>
      <c r="I1260" s="4">
        <f>Full_Data[[#This Row],[Selling Price]]/Full_Data[[#This Row],[Weight (g)]]</f>
        <v>0.66919191919191923</v>
      </c>
      <c r="J1260" t="b">
        <v>0</v>
      </c>
      <c r="K1260">
        <v>360</v>
      </c>
      <c r="L1260">
        <f t="shared" si="172"/>
        <v>0</v>
      </c>
      <c r="M1260" t="str">
        <f t="shared" si="173"/>
        <v>High</v>
      </c>
      <c r="N1260" t="str">
        <f t="shared" si="174"/>
        <v>0-5%</v>
      </c>
      <c r="O1260" t="str">
        <f t="shared" si="175"/>
        <v>OK</v>
      </c>
      <c r="P1260">
        <f>IFERROR(Full_Data!G1260/Full_Data!H1260,"Check data")</f>
        <v>0.66919191919191923</v>
      </c>
      <c r="Q1260" t="str">
        <f t="shared" si="176"/>
        <v>Match</v>
      </c>
      <c r="R1260" t="str">
        <f t="shared" si="177"/>
        <v>Match</v>
      </c>
      <c r="S1260" t="str">
        <f t="shared" si="178"/>
        <v>Match</v>
      </c>
    </row>
    <row r="1261" spans="1:19" x14ac:dyDescent="0.25">
      <c r="A1261" t="s">
        <v>1190</v>
      </c>
      <c r="B1261">
        <v>16000</v>
      </c>
      <c r="C1261">
        <f t="shared" si="179"/>
        <v>160</v>
      </c>
      <c r="D1261">
        <v>11</v>
      </c>
      <c r="E1261">
        <v>6</v>
      </c>
      <c r="F1261">
        <v>14100</v>
      </c>
      <c r="G1261">
        <f t="shared" si="171"/>
        <v>141</v>
      </c>
      <c r="H1261">
        <v>375</v>
      </c>
      <c r="I1261" s="4">
        <f>Full_Data[[#This Row],[Selling Price]]/Full_Data[[#This Row],[Weight (g)]]</f>
        <v>0.376</v>
      </c>
      <c r="J1261" t="b">
        <v>0</v>
      </c>
      <c r="K1261">
        <v>375</v>
      </c>
      <c r="L1261">
        <f t="shared" si="172"/>
        <v>19</v>
      </c>
      <c r="M1261" t="str">
        <f t="shared" si="173"/>
        <v>Medium</v>
      </c>
      <c r="N1261" t="str">
        <f t="shared" si="174"/>
        <v>11-15%</v>
      </c>
      <c r="O1261" t="str">
        <f t="shared" si="175"/>
        <v>OK</v>
      </c>
      <c r="P1261">
        <f>IFERROR(Full_Data!G1261/Full_Data!H1261,"Check data")</f>
        <v>0.376</v>
      </c>
      <c r="Q1261" t="str">
        <f t="shared" si="176"/>
        <v>Match</v>
      </c>
      <c r="R1261" t="str">
        <f t="shared" si="177"/>
        <v>Mismatch</v>
      </c>
      <c r="S1261" t="str">
        <f t="shared" si="178"/>
        <v>Mismatch</v>
      </c>
    </row>
    <row r="1262" spans="1:19" x14ac:dyDescent="0.25">
      <c r="A1262" t="s">
        <v>1191</v>
      </c>
      <c r="B1262">
        <v>14000</v>
      </c>
      <c r="C1262">
        <f t="shared" si="179"/>
        <v>140</v>
      </c>
      <c r="D1262">
        <v>15</v>
      </c>
      <c r="E1262">
        <v>6</v>
      </c>
      <c r="F1262">
        <v>11900</v>
      </c>
      <c r="G1262">
        <f t="shared" si="171"/>
        <v>119</v>
      </c>
      <c r="H1262">
        <v>5</v>
      </c>
      <c r="I1262" s="4">
        <f>Full_Data[[#This Row],[Selling Price]]/Full_Data[[#This Row],[Weight (g)]]</f>
        <v>23.8</v>
      </c>
      <c r="J1262" t="b">
        <v>0</v>
      </c>
      <c r="K1262">
        <v>4</v>
      </c>
      <c r="L1262">
        <f t="shared" si="172"/>
        <v>21</v>
      </c>
      <c r="M1262" t="str">
        <f t="shared" si="173"/>
        <v>Medium</v>
      </c>
      <c r="N1262" t="str">
        <f t="shared" si="174"/>
        <v>11-15%</v>
      </c>
      <c r="O1262" t="str">
        <f t="shared" si="175"/>
        <v>OK</v>
      </c>
      <c r="P1262">
        <f>IFERROR(Full_Data!G1262/Full_Data!H1262,"Check data")</f>
        <v>23.8</v>
      </c>
      <c r="Q1262" t="str">
        <f t="shared" si="176"/>
        <v>Match</v>
      </c>
      <c r="R1262" t="str">
        <f t="shared" si="177"/>
        <v>Match</v>
      </c>
      <c r="S1262" t="str">
        <f t="shared" si="178"/>
        <v>Match</v>
      </c>
    </row>
    <row r="1263" spans="1:19" x14ac:dyDescent="0.25">
      <c r="A1263" t="s">
        <v>1192</v>
      </c>
      <c r="B1263">
        <v>9900</v>
      </c>
      <c r="C1263">
        <f t="shared" si="179"/>
        <v>99</v>
      </c>
      <c r="D1263">
        <v>0</v>
      </c>
      <c r="E1263">
        <v>3</v>
      </c>
      <c r="F1263">
        <v>9900</v>
      </c>
      <c r="G1263">
        <f t="shared" si="171"/>
        <v>99</v>
      </c>
      <c r="H1263">
        <v>232</v>
      </c>
      <c r="I1263" s="4">
        <f>Full_Data[[#This Row],[Selling Price]]/Full_Data[[#This Row],[Weight (g)]]</f>
        <v>0.42672413793103448</v>
      </c>
      <c r="J1263" t="b">
        <v>0</v>
      </c>
      <c r="K1263">
        <v>4</v>
      </c>
      <c r="L1263">
        <f t="shared" si="172"/>
        <v>0</v>
      </c>
      <c r="M1263" t="str">
        <f t="shared" si="173"/>
        <v>Medium</v>
      </c>
      <c r="N1263" t="str">
        <f t="shared" si="174"/>
        <v>0-5%</v>
      </c>
      <c r="O1263" t="str">
        <f t="shared" si="175"/>
        <v>OK</v>
      </c>
      <c r="P1263">
        <f>IFERROR(Full_Data!G1263/Full_Data!H1263,"Check data")</f>
        <v>0.42672413793103448</v>
      </c>
      <c r="Q1263" t="str">
        <f t="shared" si="176"/>
        <v>Match</v>
      </c>
      <c r="R1263" t="str">
        <f t="shared" si="177"/>
        <v>Match</v>
      </c>
      <c r="S1263" t="str">
        <f t="shared" si="178"/>
        <v>Match</v>
      </c>
    </row>
    <row r="1264" spans="1:19" x14ac:dyDescent="0.25">
      <c r="A1264" t="s">
        <v>1193</v>
      </c>
      <c r="B1264">
        <v>25000</v>
      </c>
      <c r="C1264">
        <f t="shared" si="179"/>
        <v>250</v>
      </c>
      <c r="D1264">
        <v>10</v>
      </c>
      <c r="E1264">
        <v>3</v>
      </c>
      <c r="F1264">
        <v>22500</v>
      </c>
      <c r="G1264">
        <f t="shared" si="171"/>
        <v>225</v>
      </c>
      <c r="H1264">
        <v>30</v>
      </c>
      <c r="I1264" s="4">
        <f>Full_Data[[#This Row],[Selling Price]]/Full_Data[[#This Row],[Weight (g)]]</f>
        <v>7.5</v>
      </c>
      <c r="J1264" t="b">
        <v>0</v>
      </c>
      <c r="K1264">
        <v>30</v>
      </c>
      <c r="L1264">
        <f t="shared" si="172"/>
        <v>25</v>
      </c>
      <c r="M1264" t="str">
        <f t="shared" si="173"/>
        <v>High</v>
      </c>
      <c r="N1264" t="str">
        <f t="shared" si="174"/>
        <v>6-10%</v>
      </c>
      <c r="O1264" t="str">
        <f t="shared" si="175"/>
        <v>OK</v>
      </c>
      <c r="P1264">
        <f>IFERROR(Full_Data!G1264/Full_Data!H1264,"Check data")</f>
        <v>7.5</v>
      </c>
      <c r="Q1264" t="str">
        <f t="shared" si="176"/>
        <v>Match</v>
      </c>
      <c r="R1264" t="str">
        <f t="shared" si="177"/>
        <v>Match</v>
      </c>
      <c r="S1264" t="str">
        <f t="shared" si="178"/>
        <v>Match</v>
      </c>
    </row>
    <row r="1265" spans="1:19" x14ac:dyDescent="0.25">
      <c r="A1265" t="s">
        <v>1194</v>
      </c>
      <c r="B1265">
        <v>49900</v>
      </c>
      <c r="C1265">
        <f t="shared" si="179"/>
        <v>499</v>
      </c>
      <c r="D1265">
        <v>10</v>
      </c>
      <c r="E1265">
        <v>3</v>
      </c>
      <c r="F1265">
        <v>44900</v>
      </c>
      <c r="G1265">
        <f t="shared" si="171"/>
        <v>449</v>
      </c>
      <c r="H1265">
        <v>650</v>
      </c>
      <c r="I1265" s="4">
        <f>Full_Data[[#This Row],[Selling Price]]/Full_Data[[#This Row],[Weight (g)]]</f>
        <v>0.6907692307692308</v>
      </c>
      <c r="J1265" t="b">
        <v>0</v>
      </c>
      <c r="K1265">
        <v>650</v>
      </c>
      <c r="L1265">
        <f t="shared" si="172"/>
        <v>50</v>
      </c>
      <c r="M1265" t="str">
        <f t="shared" si="173"/>
        <v>High</v>
      </c>
      <c r="N1265" t="str">
        <f t="shared" si="174"/>
        <v>6-10%</v>
      </c>
      <c r="O1265" t="str">
        <f t="shared" si="175"/>
        <v>OK</v>
      </c>
      <c r="P1265">
        <f>IFERROR(Full_Data!G1265/Full_Data!H1265,"Check data")</f>
        <v>0.6907692307692308</v>
      </c>
      <c r="Q1265" t="str">
        <f t="shared" si="176"/>
        <v>Match</v>
      </c>
      <c r="R1265" t="str">
        <f t="shared" si="177"/>
        <v>Mismatch</v>
      </c>
      <c r="S1265" t="str">
        <f t="shared" si="178"/>
        <v>Match</v>
      </c>
    </row>
    <row r="1266" spans="1:19" x14ac:dyDescent="0.25">
      <c r="A1266" t="s">
        <v>1195</v>
      </c>
      <c r="B1266">
        <v>9800</v>
      </c>
      <c r="C1266">
        <f t="shared" si="179"/>
        <v>98</v>
      </c>
      <c r="D1266">
        <v>0</v>
      </c>
      <c r="E1266">
        <v>5</v>
      </c>
      <c r="F1266">
        <v>9800</v>
      </c>
      <c r="G1266">
        <f t="shared" si="171"/>
        <v>98</v>
      </c>
      <c r="H1266">
        <v>100</v>
      </c>
      <c r="I1266" s="4">
        <f>Full_Data[[#This Row],[Selling Price]]/Full_Data[[#This Row],[Weight (g)]]</f>
        <v>0.98</v>
      </c>
      <c r="J1266" t="b">
        <v>0</v>
      </c>
      <c r="K1266">
        <v>100</v>
      </c>
      <c r="L1266">
        <f t="shared" si="172"/>
        <v>0</v>
      </c>
      <c r="M1266" t="str">
        <f t="shared" si="173"/>
        <v>Medium</v>
      </c>
      <c r="N1266" t="str">
        <f t="shared" si="174"/>
        <v>0-5%</v>
      </c>
      <c r="O1266" t="str">
        <f t="shared" si="175"/>
        <v>OK</v>
      </c>
      <c r="P1266">
        <f>IFERROR(Full_Data!G1266/Full_Data!H1266,"Check data")</f>
        <v>0.98</v>
      </c>
      <c r="Q1266" t="str">
        <f t="shared" si="176"/>
        <v>Match</v>
      </c>
      <c r="R1266" t="str">
        <f t="shared" si="177"/>
        <v>Match</v>
      </c>
      <c r="S1266" t="str">
        <f t="shared" si="178"/>
        <v>Match</v>
      </c>
    </row>
    <row r="1267" spans="1:19" x14ac:dyDescent="0.25">
      <c r="A1267" t="s">
        <v>1196</v>
      </c>
      <c r="B1267">
        <v>12000</v>
      </c>
      <c r="C1267">
        <f t="shared" si="179"/>
        <v>120</v>
      </c>
      <c r="D1267">
        <v>0</v>
      </c>
      <c r="E1267">
        <v>3</v>
      </c>
      <c r="F1267">
        <v>12000</v>
      </c>
      <c r="G1267">
        <f t="shared" si="171"/>
        <v>120</v>
      </c>
      <c r="H1267">
        <v>348</v>
      </c>
      <c r="I1267" s="4">
        <f>Full_Data[[#This Row],[Selling Price]]/Full_Data[[#This Row],[Weight (g)]]</f>
        <v>0.34482758620689657</v>
      </c>
      <c r="J1267" t="b">
        <v>0</v>
      </c>
      <c r="K1267">
        <v>6</v>
      </c>
      <c r="L1267">
        <f t="shared" si="172"/>
        <v>0</v>
      </c>
      <c r="M1267" t="str">
        <f t="shared" si="173"/>
        <v>Medium</v>
      </c>
      <c r="N1267" t="str">
        <f t="shared" si="174"/>
        <v>0-5%</v>
      </c>
      <c r="O1267" t="str">
        <f t="shared" si="175"/>
        <v>OK</v>
      </c>
      <c r="P1267">
        <f>IFERROR(Full_Data!G1267/Full_Data!H1267,"Check data")</f>
        <v>0.34482758620689657</v>
      </c>
      <c r="Q1267" t="str">
        <f t="shared" si="176"/>
        <v>Match</v>
      </c>
      <c r="R1267" t="str">
        <f t="shared" si="177"/>
        <v>Match</v>
      </c>
      <c r="S1267" t="str">
        <f t="shared" si="178"/>
        <v>Match</v>
      </c>
    </row>
    <row r="1268" spans="1:19" x14ac:dyDescent="0.25">
      <c r="A1268" t="s">
        <v>1197</v>
      </c>
      <c r="B1268">
        <v>18900</v>
      </c>
      <c r="C1268">
        <f t="shared" si="179"/>
        <v>189</v>
      </c>
      <c r="D1268">
        <v>0</v>
      </c>
      <c r="E1268">
        <v>6</v>
      </c>
      <c r="F1268">
        <v>18900</v>
      </c>
      <c r="G1268">
        <f t="shared" si="171"/>
        <v>189</v>
      </c>
      <c r="H1268">
        <v>1500</v>
      </c>
      <c r="I1268" s="4">
        <f>Full_Data[[#This Row],[Selling Price]]/Full_Data[[#This Row],[Weight (g)]]</f>
        <v>0.126</v>
      </c>
      <c r="J1268" t="b">
        <v>0</v>
      </c>
      <c r="K1268">
        <v>1500</v>
      </c>
      <c r="L1268">
        <f t="shared" si="172"/>
        <v>0</v>
      </c>
      <c r="M1268" t="str">
        <f t="shared" si="173"/>
        <v>Medium</v>
      </c>
      <c r="N1268" t="str">
        <f t="shared" si="174"/>
        <v>0-5%</v>
      </c>
      <c r="O1268" t="str">
        <f t="shared" si="175"/>
        <v>OK</v>
      </c>
      <c r="P1268">
        <f>IFERROR(Full_Data!G1268/Full_Data!H1268,"Check data")</f>
        <v>0.126</v>
      </c>
      <c r="Q1268" t="str">
        <f t="shared" si="176"/>
        <v>Match</v>
      </c>
      <c r="R1268" t="str">
        <f t="shared" si="177"/>
        <v>Match</v>
      </c>
      <c r="S1268" t="str">
        <f t="shared" si="178"/>
        <v>Match</v>
      </c>
    </row>
    <row r="1269" spans="1:19" x14ac:dyDescent="0.25">
      <c r="A1269" t="s">
        <v>1198</v>
      </c>
      <c r="B1269">
        <v>7500</v>
      </c>
      <c r="C1269">
        <f t="shared" si="179"/>
        <v>75</v>
      </c>
      <c r="D1269">
        <v>0</v>
      </c>
      <c r="E1269">
        <v>6</v>
      </c>
      <c r="F1269">
        <v>7500</v>
      </c>
      <c r="G1269">
        <f t="shared" si="171"/>
        <v>75</v>
      </c>
      <c r="H1269">
        <v>40</v>
      </c>
      <c r="I1269" s="4">
        <f>Full_Data[[#This Row],[Selling Price]]/Full_Data[[#This Row],[Weight (g)]]</f>
        <v>1.875</v>
      </c>
      <c r="J1269" t="b">
        <v>0</v>
      </c>
      <c r="K1269">
        <v>40</v>
      </c>
      <c r="L1269">
        <f t="shared" si="172"/>
        <v>0</v>
      </c>
      <c r="M1269" t="str">
        <f t="shared" si="173"/>
        <v>Medium</v>
      </c>
      <c r="N1269" t="str">
        <f t="shared" si="174"/>
        <v>0-5%</v>
      </c>
      <c r="O1269" t="str">
        <f t="shared" si="175"/>
        <v>OK</v>
      </c>
      <c r="P1269">
        <f>IFERROR(Full_Data!G1269/Full_Data!H1269,"Check data")</f>
        <v>1.875</v>
      </c>
      <c r="Q1269" t="str">
        <f t="shared" si="176"/>
        <v>Match</v>
      </c>
      <c r="R1269" t="str">
        <f t="shared" si="177"/>
        <v>Match</v>
      </c>
      <c r="S1269" t="str">
        <f t="shared" si="178"/>
        <v>Match</v>
      </c>
    </row>
    <row r="1270" spans="1:19" x14ac:dyDescent="0.25">
      <c r="A1270" t="s">
        <v>1199</v>
      </c>
      <c r="B1270">
        <v>33000</v>
      </c>
      <c r="C1270">
        <f t="shared" si="179"/>
        <v>330</v>
      </c>
      <c r="D1270">
        <v>2</v>
      </c>
      <c r="E1270">
        <v>6</v>
      </c>
      <c r="F1270">
        <v>32300</v>
      </c>
      <c r="G1270">
        <f t="shared" si="171"/>
        <v>323</v>
      </c>
      <c r="H1270">
        <v>30</v>
      </c>
      <c r="I1270" s="4">
        <f>Full_Data[[#This Row],[Selling Price]]/Full_Data[[#This Row],[Weight (g)]]</f>
        <v>10.766666666666667</v>
      </c>
      <c r="J1270" t="b">
        <v>0</v>
      </c>
      <c r="K1270">
        <v>30</v>
      </c>
      <c r="L1270">
        <f t="shared" si="172"/>
        <v>7</v>
      </c>
      <c r="M1270" t="str">
        <f t="shared" si="173"/>
        <v>High</v>
      </c>
      <c r="N1270" t="str">
        <f t="shared" si="174"/>
        <v>0-5%</v>
      </c>
      <c r="O1270" t="str">
        <f t="shared" si="175"/>
        <v>OK</v>
      </c>
      <c r="P1270">
        <f>IFERROR(Full_Data!G1270/Full_Data!H1270,"Check data")</f>
        <v>10.766666666666667</v>
      </c>
      <c r="Q1270" t="str">
        <f t="shared" si="176"/>
        <v>Match</v>
      </c>
      <c r="R1270" t="str">
        <f t="shared" si="177"/>
        <v>Mismatch</v>
      </c>
      <c r="S1270" t="str">
        <f t="shared" si="178"/>
        <v>Match</v>
      </c>
    </row>
    <row r="1271" spans="1:19" x14ac:dyDescent="0.25">
      <c r="A1271" t="s">
        <v>1200</v>
      </c>
      <c r="B1271">
        <v>8000</v>
      </c>
      <c r="C1271">
        <f t="shared" si="179"/>
        <v>80</v>
      </c>
      <c r="D1271">
        <v>0</v>
      </c>
      <c r="E1271">
        <v>1</v>
      </c>
      <c r="F1271">
        <v>8000</v>
      </c>
      <c r="G1271">
        <f t="shared" si="171"/>
        <v>80</v>
      </c>
      <c r="H1271">
        <v>60</v>
      </c>
      <c r="I1271" s="4">
        <f>Full_Data[[#This Row],[Selling Price]]/Full_Data[[#This Row],[Weight (g)]]</f>
        <v>1.3333333333333333</v>
      </c>
      <c r="J1271" t="b">
        <v>0</v>
      </c>
      <c r="K1271">
        <v>60</v>
      </c>
      <c r="L1271">
        <f t="shared" si="172"/>
        <v>0</v>
      </c>
      <c r="M1271" t="str">
        <f t="shared" si="173"/>
        <v>Medium</v>
      </c>
      <c r="N1271" t="str">
        <f t="shared" si="174"/>
        <v>0-5%</v>
      </c>
      <c r="O1271" t="str">
        <f t="shared" si="175"/>
        <v>OK</v>
      </c>
      <c r="P1271">
        <f>IFERROR(Full_Data!G1271/Full_Data!H1271,"Check data")</f>
        <v>1.3333333333333333</v>
      </c>
      <c r="Q1271" t="str">
        <f t="shared" si="176"/>
        <v>Match</v>
      </c>
      <c r="R1271" t="str">
        <f t="shared" si="177"/>
        <v>Match</v>
      </c>
      <c r="S1271" t="str">
        <f t="shared" si="178"/>
        <v>Match</v>
      </c>
    </row>
    <row r="1272" spans="1:19" x14ac:dyDescent="0.25">
      <c r="A1272" t="s">
        <v>1201</v>
      </c>
      <c r="B1272">
        <v>21000</v>
      </c>
      <c r="C1272">
        <f t="shared" si="179"/>
        <v>210</v>
      </c>
      <c r="D1272">
        <v>0</v>
      </c>
      <c r="E1272">
        <v>6</v>
      </c>
      <c r="F1272">
        <v>21000</v>
      </c>
      <c r="G1272">
        <f t="shared" si="171"/>
        <v>210</v>
      </c>
      <c r="H1272">
        <v>150</v>
      </c>
      <c r="I1272" s="4">
        <f>Full_Data[[#This Row],[Selling Price]]/Full_Data[[#This Row],[Weight (g)]]</f>
        <v>1.4</v>
      </c>
      <c r="J1272" t="b">
        <v>0</v>
      </c>
      <c r="K1272">
        <v>150</v>
      </c>
      <c r="L1272">
        <f t="shared" si="172"/>
        <v>0</v>
      </c>
      <c r="M1272" t="str">
        <f t="shared" si="173"/>
        <v>High</v>
      </c>
      <c r="N1272" t="str">
        <f t="shared" si="174"/>
        <v>0-5%</v>
      </c>
      <c r="O1272" t="str">
        <f t="shared" si="175"/>
        <v>OK</v>
      </c>
      <c r="P1272">
        <f>IFERROR(Full_Data!G1272/Full_Data!H1272,"Check data")</f>
        <v>1.4</v>
      </c>
      <c r="Q1272" t="str">
        <f t="shared" si="176"/>
        <v>Match</v>
      </c>
      <c r="R1272" t="str">
        <f t="shared" si="177"/>
        <v>Match</v>
      </c>
      <c r="S1272" t="str">
        <f t="shared" si="178"/>
        <v>Match</v>
      </c>
    </row>
    <row r="1273" spans="1:19" x14ac:dyDescent="0.25">
      <c r="A1273" t="s">
        <v>1202</v>
      </c>
      <c r="B1273">
        <v>9900</v>
      </c>
      <c r="C1273">
        <f t="shared" si="179"/>
        <v>99</v>
      </c>
      <c r="D1273">
        <v>0</v>
      </c>
      <c r="E1273">
        <v>6</v>
      </c>
      <c r="F1273">
        <v>9900</v>
      </c>
      <c r="G1273">
        <f t="shared" si="171"/>
        <v>99</v>
      </c>
      <c r="H1273">
        <v>232</v>
      </c>
      <c r="I1273" s="4">
        <f>Full_Data[[#This Row],[Selling Price]]/Full_Data[[#This Row],[Weight (g)]]</f>
        <v>0.42672413793103448</v>
      </c>
      <c r="J1273" t="b">
        <v>0</v>
      </c>
      <c r="K1273">
        <v>4</v>
      </c>
      <c r="L1273">
        <f t="shared" si="172"/>
        <v>0</v>
      </c>
      <c r="M1273" t="str">
        <f t="shared" si="173"/>
        <v>Medium</v>
      </c>
      <c r="N1273" t="str">
        <f t="shared" si="174"/>
        <v>0-5%</v>
      </c>
      <c r="O1273" t="str">
        <f t="shared" si="175"/>
        <v>OK</v>
      </c>
      <c r="P1273">
        <f>IFERROR(Full_Data!G1273/Full_Data!H1273,"Check data")</f>
        <v>0.42672413793103448</v>
      </c>
      <c r="Q1273" t="str">
        <f t="shared" si="176"/>
        <v>Match</v>
      </c>
      <c r="R1273" t="str">
        <f t="shared" si="177"/>
        <v>Match</v>
      </c>
      <c r="S1273" t="str">
        <f t="shared" si="178"/>
        <v>Match</v>
      </c>
    </row>
    <row r="1274" spans="1:19" x14ac:dyDescent="0.25">
      <c r="A1274" t="s">
        <v>1203</v>
      </c>
      <c r="B1274">
        <v>44900</v>
      </c>
      <c r="C1274">
        <f t="shared" si="179"/>
        <v>449</v>
      </c>
      <c r="D1274">
        <v>7</v>
      </c>
      <c r="E1274">
        <v>6</v>
      </c>
      <c r="F1274">
        <v>41500</v>
      </c>
      <c r="G1274">
        <f t="shared" si="171"/>
        <v>415</v>
      </c>
      <c r="H1274">
        <v>44</v>
      </c>
      <c r="I1274" s="4">
        <f>Full_Data[[#This Row],[Selling Price]]/Full_Data[[#This Row],[Weight (g)]]</f>
        <v>9.4318181818181817</v>
      </c>
      <c r="J1274" t="b">
        <v>0</v>
      </c>
      <c r="K1274">
        <v>44</v>
      </c>
      <c r="L1274">
        <f t="shared" si="172"/>
        <v>34</v>
      </c>
      <c r="M1274" t="str">
        <f t="shared" si="173"/>
        <v>High</v>
      </c>
      <c r="N1274" t="str">
        <f t="shared" si="174"/>
        <v>6-10%</v>
      </c>
      <c r="O1274" t="str">
        <f t="shared" si="175"/>
        <v>OK</v>
      </c>
      <c r="P1274">
        <f>IFERROR(Full_Data!G1274/Full_Data!H1274,"Check data")</f>
        <v>9.4318181818181817</v>
      </c>
      <c r="Q1274" t="str">
        <f t="shared" si="176"/>
        <v>Match</v>
      </c>
      <c r="R1274" t="str">
        <f t="shared" si="177"/>
        <v>Mismatch</v>
      </c>
      <c r="S1274" t="str">
        <f t="shared" si="178"/>
        <v>Mismatch</v>
      </c>
    </row>
    <row r="1275" spans="1:19" x14ac:dyDescent="0.25">
      <c r="A1275" t="s">
        <v>1204</v>
      </c>
      <c r="B1275">
        <v>9000</v>
      </c>
      <c r="C1275">
        <f t="shared" si="179"/>
        <v>90</v>
      </c>
      <c r="D1275">
        <v>0</v>
      </c>
      <c r="E1275">
        <v>6</v>
      </c>
      <c r="F1275">
        <v>9000</v>
      </c>
      <c r="G1275">
        <f t="shared" si="171"/>
        <v>90</v>
      </c>
      <c r="H1275">
        <v>1160</v>
      </c>
      <c r="I1275" s="4">
        <f>Full_Data[[#This Row],[Selling Price]]/Full_Data[[#This Row],[Weight (g)]]</f>
        <v>7.7586206896551727E-2</v>
      </c>
      <c r="J1275" t="b">
        <v>0</v>
      </c>
      <c r="K1275">
        <v>20</v>
      </c>
      <c r="L1275">
        <f t="shared" si="172"/>
        <v>0</v>
      </c>
      <c r="M1275" t="str">
        <f t="shared" si="173"/>
        <v>Medium</v>
      </c>
      <c r="N1275" t="str">
        <f t="shared" si="174"/>
        <v>0-5%</v>
      </c>
      <c r="O1275" t="str">
        <f t="shared" si="175"/>
        <v>OK</v>
      </c>
      <c r="P1275">
        <f>IFERROR(Full_Data!G1275/Full_Data!H1275,"Check data")</f>
        <v>7.7586206896551727E-2</v>
      </c>
      <c r="Q1275" t="str">
        <f t="shared" si="176"/>
        <v>Match</v>
      </c>
      <c r="R1275" t="str">
        <f t="shared" si="177"/>
        <v>Match</v>
      </c>
      <c r="S1275" t="str">
        <f t="shared" si="178"/>
        <v>Match</v>
      </c>
    </row>
    <row r="1276" spans="1:19" x14ac:dyDescent="0.25">
      <c r="A1276" t="s">
        <v>1205</v>
      </c>
      <c r="B1276">
        <v>21000</v>
      </c>
      <c r="C1276">
        <f t="shared" si="179"/>
        <v>210</v>
      </c>
      <c r="D1276">
        <v>7</v>
      </c>
      <c r="E1276">
        <v>5</v>
      </c>
      <c r="F1276">
        <v>19400</v>
      </c>
      <c r="G1276">
        <f t="shared" si="171"/>
        <v>194</v>
      </c>
      <c r="H1276">
        <v>150</v>
      </c>
      <c r="I1276" s="4">
        <f>Full_Data[[#This Row],[Selling Price]]/Full_Data[[#This Row],[Weight (g)]]</f>
        <v>1.2933333333333332</v>
      </c>
      <c r="J1276" t="b">
        <v>0</v>
      </c>
      <c r="K1276">
        <v>150</v>
      </c>
      <c r="L1276">
        <f t="shared" si="172"/>
        <v>16</v>
      </c>
      <c r="M1276" t="str">
        <f t="shared" si="173"/>
        <v>Medium</v>
      </c>
      <c r="N1276" t="str">
        <f t="shared" si="174"/>
        <v>6-10%</v>
      </c>
      <c r="O1276" t="str">
        <f t="shared" si="175"/>
        <v>OK</v>
      </c>
      <c r="P1276">
        <f>IFERROR(Full_Data!G1276/Full_Data!H1276,"Check data")</f>
        <v>1.2933333333333332</v>
      </c>
      <c r="Q1276" t="str">
        <f t="shared" si="176"/>
        <v>Match</v>
      </c>
      <c r="R1276" t="str">
        <f t="shared" si="177"/>
        <v>Mismatch</v>
      </c>
      <c r="S1276" t="str">
        <f t="shared" si="178"/>
        <v>Mismatch</v>
      </c>
    </row>
    <row r="1277" spans="1:19" x14ac:dyDescent="0.25">
      <c r="A1277" t="s">
        <v>1206</v>
      </c>
      <c r="B1277">
        <v>15000</v>
      </c>
      <c r="C1277">
        <f t="shared" si="179"/>
        <v>150</v>
      </c>
      <c r="D1277">
        <v>0</v>
      </c>
      <c r="E1277">
        <v>4</v>
      </c>
      <c r="F1277">
        <v>15000</v>
      </c>
      <c r="G1277">
        <f t="shared" si="171"/>
        <v>150</v>
      </c>
      <c r="H1277">
        <v>180</v>
      </c>
      <c r="I1277" s="4">
        <f>Full_Data[[#This Row],[Selling Price]]/Full_Data[[#This Row],[Weight (g)]]</f>
        <v>0.83333333333333337</v>
      </c>
      <c r="J1277" t="b">
        <v>0</v>
      </c>
      <c r="K1277">
        <v>180</v>
      </c>
      <c r="L1277">
        <f t="shared" si="172"/>
        <v>0</v>
      </c>
      <c r="M1277" t="str">
        <f t="shared" si="173"/>
        <v>Medium</v>
      </c>
      <c r="N1277" t="str">
        <f t="shared" si="174"/>
        <v>0-5%</v>
      </c>
      <c r="O1277" t="str">
        <f t="shared" si="175"/>
        <v>OK</v>
      </c>
      <c r="P1277">
        <f>IFERROR(Full_Data!G1277/Full_Data!H1277,"Check data")</f>
        <v>0.83333333333333337</v>
      </c>
      <c r="Q1277" t="str">
        <f t="shared" si="176"/>
        <v>Match</v>
      </c>
      <c r="R1277" t="str">
        <f t="shared" si="177"/>
        <v>Match</v>
      </c>
      <c r="S1277" t="str">
        <f t="shared" si="178"/>
        <v>Match</v>
      </c>
    </row>
    <row r="1278" spans="1:19" x14ac:dyDescent="0.25">
      <c r="A1278" t="s">
        <v>1207</v>
      </c>
      <c r="B1278">
        <v>10500</v>
      </c>
      <c r="C1278">
        <f t="shared" si="179"/>
        <v>105</v>
      </c>
      <c r="D1278">
        <v>0</v>
      </c>
      <c r="E1278">
        <v>2</v>
      </c>
      <c r="F1278">
        <v>10500</v>
      </c>
      <c r="G1278">
        <f t="shared" si="171"/>
        <v>105</v>
      </c>
      <c r="H1278">
        <v>175</v>
      </c>
      <c r="I1278" s="4">
        <f>Full_Data[[#This Row],[Selling Price]]/Full_Data[[#This Row],[Weight (g)]]</f>
        <v>0.6</v>
      </c>
      <c r="J1278" t="b">
        <v>0</v>
      </c>
      <c r="K1278">
        <v>175</v>
      </c>
      <c r="L1278">
        <f t="shared" si="172"/>
        <v>0</v>
      </c>
      <c r="M1278" t="str">
        <f t="shared" si="173"/>
        <v>Medium</v>
      </c>
      <c r="N1278" t="str">
        <f t="shared" si="174"/>
        <v>0-5%</v>
      </c>
      <c r="O1278" t="str">
        <f t="shared" si="175"/>
        <v>OK</v>
      </c>
      <c r="P1278">
        <f>IFERROR(Full_Data!G1278/Full_Data!H1278,"Check data")</f>
        <v>0.6</v>
      </c>
      <c r="Q1278" t="str">
        <f t="shared" si="176"/>
        <v>Match</v>
      </c>
      <c r="R1278" t="str">
        <f t="shared" si="177"/>
        <v>Match</v>
      </c>
      <c r="S1278" t="str">
        <f t="shared" si="178"/>
        <v>Match</v>
      </c>
    </row>
    <row r="1279" spans="1:19" x14ac:dyDescent="0.25">
      <c r="A1279" t="s">
        <v>1208</v>
      </c>
      <c r="B1279">
        <v>21000</v>
      </c>
      <c r="C1279">
        <f t="shared" si="179"/>
        <v>210</v>
      </c>
      <c r="D1279">
        <v>7</v>
      </c>
      <c r="E1279">
        <v>6</v>
      </c>
      <c r="F1279">
        <v>19400</v>
      </c>
      <c r="G1279">
        <f t="shared" si="171"/>
        <v>194</v>
      </c>
      <c r="H1279">
        <v>120</v>
      </c>
      <c r="I1279" s="4">
        <f>Full_Data[[#This Row],[Selling Price]]/Full_Data[[#This Row],[Weight (g)]]</f>
        <v>1.6166666666666667</v>
      </c>
      <c r="J1279" t="b">
        <v>0</v>
      </c>
      <c r="K1279">
        <v>120</v>
      </c>
      <c r="L1279">
        <f t="shared" si="172"/>
        <v>16</v>
      </c>
      <c r="M1279" t="str">
        <f t="shared" si="173"/>
        <v>Medium</v>
      </c>
      <c r="N1279" t="str">
        <f t="shared" si="174"/>
        <v>6-10%</v>
      </c>
      <c r="O1279" t="str">
        <f t="shared" si="175"/>
        <v>OK</v>
      </c>
      <c r="P1279">
        <f>IFERROR(Full_Data!G1279/Full_Data!H1279,"Check data")</f>
        <v>1.6166666666666667</v>
      </c>
      <c r="Q1279" t="str">
        <f t="shared" si="176"/>
        <v>Match</v>
      </c>
      <c r="R1279" t="str">
        <f t="shared" si="177"/>
        <v>Mismatch</v>
      </c>
      <c r="S1279" t="str">
        <f t="shared" si="178"/>
        <v>Mismatch</v>
      </c>
    </row>
    <row r="1280" spans="1:19" x14ac:dyDescent="0.25">
      <c r="A1280" t="s">
        <v>1209</v>
      </c>
      <c r="B1280">
        <v>38000</v>
      </c>
      <c r="C1280">
        <f t="shared" si="179"/>
        <v>380</v>
      </c>
      <c r="D1280">
        <v>0</v>
      </c>
      <c r="E1280">
        <v>3</v>
      </c>
      <c r="F1280">
        <v>38000</v>
      </c>
      <c r="G1280">
        <f t="shared" si="171"/>
        <v>380</v>
      </c>
      <c r="H1280">
        <v>340</v>
      </c>
      <c r="I1280" s="4">
        <f>Full_Data[[#This Row],[Selling Price]]/Full_Data[[#This Row],[Weight (g)]]</f>
        <v>1.1176470588235294</v>
      </c>
      <c r="J1280" t="b">
        <v>0</v>
      </c>
      <c r="K1280">
        <v>340</v>
      </c>
      <c r="L1280">
        <f t="shared" si="172"/>
        <v>0</v>
      </c>
      <c r="M1280" t="str">
        <f t="shared" si="173"/>
        <v>High</v>
      </c>
      <c r="N1280" t="str">
        <f t="shared" si="174"/>
        <v>0-5%</v>
      </c>
      <c r="O1280" t="str">
        <f t="shared" si="175"/>
        <v>OK</v>
      </c>
      <c r="P1280">
        <f>IFERROR(Full_Data!G1280/Full_Data!H1280,"Check data")</f>
        <v>1.1176470588235294</v>
      </c>
      <c r="Q1280" t="str">
        <f t="shared" si="176"/>
        <v>Match</v>
      </c>
      <c r="R1280" t="str">
        <f t="shared" si="177"/>
        <v>Match</v>
      </c>
      <c r="S1280" t="str">
        <f t="shared" si="178"/>
        <v>Match</v>
      </c>
    </row>
    <row r="1281" spans="1:19" x14ac:dyDescent="0.25">
      <c r="A1281" t="s">
        <v>1210</v>
      </c>
      <c r="B1281">
        <v>18000</v>
      </c>
      <c r="C1281">
        <f t="shared" si="179"/>
        <v>180</v>
      </c>
      <c r="D1281">
        <v>0</v>
      </c>
      <c r="E1281">
        <v>1</v>
      </c>
      <c r="F1281">
        <v>18000</v>
      </c>
      <c r="G1281">
        <f t="shared" si="171"/>
        <v>180</v>
      </c>
      <c r="H1281">
        <v>100</v>
      </c>
      <c r="I1281" s="4">
        <f>Full_Data[[#This Row],[Selling Price]]/Full_Data[[#This Row],[Weight (g)]]</f>
        <v>1.8</v>
      </c>
      <c r="J1281" t="b">
        <v>0</v>
      </c>
      <c r="K1281">
        <v>100</v>
      </c>
      <c r="L1281">
        <f t="shared" si="172"/>
        <v>0</v>
      </c>
      <c r="M1281" t="str">
        <f t="shared" si="173"/>
        <v>Medium</v>
      </c>
      <c r="N1281" t="str">
        <f t="shared" si="174"/>
        <v>0-5%</v>
      </c>
      <c r="O1281" t="str">
        <f t="shared" si="175"/>
        <v>OK</v>
      </c>
      <c r="P1281">
        <f>IFERROR(Full_Data!G1281/Full_Data!H1281,"Check data")</f>
        <v>1.8</v>
      </c>
      <c r="Q1281" t="str">
        <f t="shared" si="176"/>
        <v>Match</v>
      </c>
      <c r="R1281" t="str">
        <f t="shared" si="177"/>
        <v>Match</v>
      </c>
      <c r="S1281" t="str">
        <f t="shared" si="178"/>
        <v>Match</v>
      </c>
    </row>
    <row r="1282" spans="1:19" x14ac:dyDescent="0.25">
      <c r="A1282" t="s">
        <v>1211</v>
      </c>
      <c r="B1282">
        <v>7500</v>
      </c>
      <c r="C1282">
        <f t="shared" si="179"/>
        <v>75</v>
      </c>
      <c r="D1282">
        <v>13</v>
      </c>
      <c r="E1282">
        <v>4</v>
      </c>
      <c r="F1282">
        <v>6500</v>
      </c>
      <c r="G1282">
        <f t="shared" ref="G1282:G1345" si="180">F1282/100</f>
        <v>65</v>
      </c>
      <c r="H1282">
        <v>25</v>
      </c>
      <c r="I1282" s="4">
        <f>Full_Data[[#This Row],[Selling Price]]/Full_Data[[#This Row],[Weight (g)]]</f>
        <v>2.6</v>
      </c>
      <c r="J1282" t="b">
        <v>0</v>
      </c>
      <c r="K1282">
        <v>25</v>
      </c>
      <c r="L1282">
        <f t="shared" ref="L1282:L1345" si="181">C1282-G1282</f>
        <v>10</v>
      </c>
      <c r="M1282" t="str">
        <f t="shared" ref="M1282:M1345" si="182">IF(G1282&lt;50,"Low",IF(G1282&lt;200,"Medium","High"))</f>
        <v>Medium</v>
      </c>
      <c r="N1282" t="str">
        <f t="shared" ref="N1282:N1345" si="183">IF(D1282&lt;=5,"0-5%",
IF(D1282&lt;=10,"6-10%",
IF(D1282&lt;=15,"11-15%",
IF(D1282&lt;=20,"16-20%","21%+"))))</f>
        <v>11-15%</v>
      </c>
      <c r="O1282" t="str">
        <f t="shared" ref="O1282:O1345" si="184">IF(AND(C1282=0,G1282=0),"Review: Zero MRP and selling price",IF(C1282&lt;=0,"Review: Invalid MRP",IF(G1282&lt;0,"Review: Negative selling price",IF(G1282=0,"Review: Zero selling price",IF(H1282&lt;=0,"Review: Invalid weight","OK")))))</f>
        <v>OK</v>
      </c>
      <c r="P1282">
        <f>IFERROR(Full_Data!G1282/Full_Data!H1282,"Check data")</f>
        <v>2.6</v>
      </c>
      <c r="Q1282" t="str">
        <f t="shared" ref="Q1282:Q1345" si="185">IF(OR(H1282="",H1282&lt;=0),"Invalid weight",IF(G1282="","Missing selling price",IF(ROUND(G1282/H1282,2)=ROUND(I1282,2),"Match","Mismatch")))</f>
        <v>Match</v>
      </c>
      <c r="R1282" t="str">
        <f t="shared" ref="R1282:R1345" si="186">IF(OR(C1282&lt;=0,G1282=""),"Check data",IF(ROUND((C1282-G1282)/C1282*100,2)=ROUND(D1282,2),"Match","Mismatch"))</f>
        <v>Mismatch</v>
      </c>
      <c r="S1282" t="str">
        <f t="shared" ref="S1282:S1345" si="187">IF(OR(C1282&lt;=0,G1282=""),"Check data",IF(ROUND((C1282-G1282)/C1282*100,0)=D1282,"Match","Mismatch"))</f>
        <v>Match</v>
      </c>
    </row>
    <row r="1283" spans="1:19" x14ac:dyDescent="0.25">
      <c r="A1283" t="s">
        <v>1212</v>
      </c>
      <c r="B1283">
        <v>19500</v>
      </c>
      <c r="C1283">
        <f t="shared" ref="C1283:C1346" si="188">B1283/100</f>
        <v>195</v>
      </c>
      <c r="D1283">
        <v>10</v>
      </c>
      <c r="E1283">
        <v>6</v>
      </c>
      <c r="F1283">
        <v>17400</v>
      </c>
      <c r="G1283">
        <f t="shared" si="180"/>
        <v>174</v>
      </c>
      <c r="H1283">
        <v>150</v>
      </c>
      <c r="I1283" s="4">
        <f>Full_Data[[#This Row],[Selling Price]]/Full_Data[[#This Row],[Weight (g)]]</f>
        <v>1.1599999999999999</v>
      </c>
      <c r="J1283" t="b">
        <v>0</v>
      </c>
      <c r="K1283">
        <v>150</v>
      </c>
      <c r="L1283">
        <f t="shared" si="181"/>
        <v>21</v>
      </c>
      <c r="M1283" t="str">
        <f t="shared" si="182"/>
        <v>Medium</v>
      </c>
      <c r="N1283" t="str">
        <f t="shared" si="183"/>
        <v>6-10%</v>
      </c>
      <c r="O1283" t="str">
        <f t="shared" si="184"/>
        <v>OK</v>
      </c>
      <c r="P1283">
        <f>IFERROR(Full_Data!G1283/Full_Data!H1283,"Check data")</f>
        <v>1.1599999999999999</v>
      </c>
      <c r="Q1283" t="str">
        <f t="shared" si="185"/>
        <v>Match</v>
      </c>
      <c r="R1283" t="str">
        <f t="shared" si="186"/>
        <v>Mismatch</v>
      </c>
      <c r="S1283" t="str">
        <f t="shared" si="187"/>
        <v>Mismatch</v>
      </c>
    </row>
    <row r="1284" spans="1:19" x14ac:dyDescent="0.25">
      <c r="A1284" t="s">
        <v>1213</v>
      </c>
      <c r="B1284">
        <v>2000</v>
      </c>
      <c r="C1284">
        <f t="shared" si="188"/>
        <v>20</v>
      </c>
      <c r="D1284">
        <v>0</v>
      </c>
      <c r="E1284">
        <v>1</v>
      </c>
      <c r="F1284">
        <v>2000</v>
      </c>
      <c r="G1284">
        <f t="shared" si="180"/>
        <v>20</v>
      </c>
      <c r="H1284">
        <v>58</v>
      </c>
      <c r="I1284" s="4">
        <f>Full_Data[[#This Row],[Selling Price]]/Full_Data[[#This Row],[Weight (g)]]</f>
        <v>0.34482758620689657</v>
      </c>
      <c r="J1284" t="b">
        <v>0</v>
      </c>
      <c r="K1284">
        <v>1</v>
      </c>
      <c r="L1284">
        <f t="shared" si="181"/>
        <v>0</v>
      </c>
      <c r="M1284" t="str">
        <f t="shared" si="182"/>
        <v>Low</v>
      </c>
      <c r="N1284" t="str">
        <f t="shared" si="183"/>
        <v>0-5%</v>
      </c>
      <c r="O1284" t="str">
        <f t="shared" si="184"/>
        <v>OK</v>
      </c>
      <c r="P1284">
        <f>IFERROR(Full_Data!G1284/Full_Data!H1284,"Check data")</f>
        <v>0.34482758620689657</v>
      </c>
      <c r="Q1284" t="str">
        <f t="shared" si="185"/>
        <v>Match</v>
      </c>
      <c r="R1284" t="str">
        <f t="shared" si="186"/>
        <v>Match</v>
      </c>
      <c r="S1284" t="str">
        <f t="shared" si="187"/>
        <v>Match</v>
      </c>
    </row>
    <row r="1285" spans="1:19" x14ac:dyDescent="0.25">
      <c r="A1285" t="s">
        <v>1214</v>
      </c>
      <c r="B1285">
        <v>15000</v>
      </c>
      <c r="C1285">
        <f t="shared" si="188"/>
        <v>150</v>
      </c>
      <c r="D1285">
        <v>20</v>
      </c>
      <c r="E1285">
        <v>5</v>
      </c>
      <c r="F1285">
        <v>12000</v>
      </c>
      <c r="G1285">
        <f t="shared" si="180"/>
        <v>120</v>
      </c>
      <c r="H1285">
        <v>250</v>
      </c>
      <c r="I1285" s="4">
        <f>Full_Data[[#This Row],[Selling Price]]/Full_Data[[#This Row],[Weight (g)]]</f>
        <v>0.48</v>
      </c>
      <c r="J1285" t="b">
        <v>0</v>
      </c>
      <c r="K1285">
        <v>250</v>
      </c>
      <c r="L1285">
        <f t="shared" si="181"/>
        <v>30</v>
      </c>
      <c r="M1285" t="str">
        <f t="shared" si="182"/>
        <v>Medium</v>
      </c>
      <c r="N1285" t="str">
        <f t="shared" si="183"/>
        <v>16-20%</v>
      </c>
      <c r="O1285" t="str">
        <f t="shared" si="184"/>
        <v>OK</v>
      </c>
      <c r="P1285">
        <f>IFERROR(Full_Data!G1285/Full_Data!H1285,"Check data")</f>
        <v>0.48</v>
      </c>
      <c r="Q1285" t="str">
        <f t="shared" si="185"/>
        <v>Match</v>
      </c>
      <c r="R1285" t="str">
        <f t="shared" si="186"/>
        <v>Match</v>
      </c>
      <c r="S1285" t="str">
        <f t="shared" si="187"/>
        <v>Match</v>
      </c>
    </row>
    <row r="1286" spans="1:19" x14ac:dyDescent="0.25">
      <c r="A1286" t="s">
        <v>1215</v>
      </c>
      <c r="B1286">
        <v>9900</v>
      </c>
      <c r="C1286">
        <f t="shared" si="188"/>
        <v>99</v>
      </c>
      <c r="D1286">
        <v>0</v>
      </c>
      <c r="E1286">
        <v>6</v>
      </c>
      <c r="F1286">
        <v>9900</v>
      </c>
      <c r="G1286">
        <f t="shared" si="180"/>
        <v>99</v>
      </c>
      <c r="H1286">
        <v>232</v>
      </c>
      <c r="I1286" s="4">
        <f>Full_Data[[#This Row],[Selling Price]]/Full_Data[[#This Row],[Weight (g)]]</f>
        <v>0.42672413793103448</v>
      </c>
      <c r="J1286" t="b">
        <v>0</v>
      </c>
      <c r="K1286">
        <v>4</v>
      </c>
      <c r="L1286">
        <f t="shared" si="181"/>
        <v>0</v>
      </c>
      <c r="M1286" t="str">
        <f t="shared" si="182"/>
        <v>Medium</v>
      </c>
      <c r="N1286" t="str">
        <f t="shared" si="183"/>
        <v>0-5%</v>
      </c>
      <c r="O1286" t="str">
        <f t="shared" si="184"/>
        <v>OK</v>
      </c>
      <c r="P1286">
        <f>IFERROR(Full_Data!G1286/Full_Data!H1286,"Check data")</f>
        <v>0.42672413793103448</v>
      </c>
      <c r="Q1286" t="str">
        <f t="shared" si="185"/>
        <v>Match</v>
      </c>
      <c r="R1286" t="str">
        <f t="shared" si="186"/>
        <v>Match</v>
      </c>
      <c r="S1286" t="str">
        <f t="shared" si="187"/>
        <v>Match</v>
      </c>
    </row>
    <row r="1287" spans="1:19" x14ac:dyDescent="0.25">
      <c r="A1287" t="s">
        <v>1216</v>
      </c>
      <c r="B1287">
        <v>9900</v>
      </c>
      <c r="C1287">
        <f t="shared" si="188"/>
        <v>99</v>
      </c>
      <c r="D1287">
        <v>0</v>
      </c>
      <c r="E1287">
        <v>3</v>
      </c>
      <c r="F1287">
        <v>9900</v>
      </c>
      <c r="G1287">
        <f t="shared" si="180"/>
        <v>99</v>
      </c>
      <c r="H1287">
        <v>750</v>
      </c>
      <c r="I1287" s="4">
        <f>Full_Data[[#This Row],[Selling Price]]/Full_Data[[#This Row],[Weight (g)]]</f>
        <v>0.13200000000000001</v>
      </c>
      <c r="J1287" t="b">
        <v>0</v>
      </c>
      <c r="K1287">
        <v>750</v>
      </c>
      <c r="L1287">
        <f t="shared" si="181"/>
        <v>0</v>
      </c>
      <c r="M1287" t="str">
        <f t="shared" si="182"/>
        <v>Medium</v>
      </c>
      <c r="N1287" t="str">
        <f t="shared" si="183"/>
        <v>0-5%</v>
      </c>
      <c r="O1287" t="str">
        <f t="shared" si="184"/>
        <v>OK</v>
      </c>
      <c r="P1287">
        <f>IFERROR(Full_Data!G1287/Full_Data!H1287,"Check data")</f>
        <v>0.13200000000000001</v>
      </c>
      <c r="Q1287" t="str">
        <f t="shared" si="185"/>
        <v>Match</v>
      </c>
      <c r="R1287" t="str">
        <f t="shared" si="186"/>
        <v>Match</v>
      </c>
      <c r="S1287" t="str">
        <f t="shared" si="187"/>
        <v>Match</v>
      </c>
    </row>
    <row r="1288" spans="1:19" x14ac:dyDescent="0.25">
      <c r="A1288" t="s">
        <v>1217</v>
      </c>
      <c r="B1288">
        <v>11000</v>
      </c>
      <c r="C1288">
        <f t="shared" si="188"/>
        <v>110</v>
      </c>
      <c r="D1288">
        <v>10</v>
      </c>
      <c r="E1288">
        <v>3</v>
      </c>
      <c r="F1288">
        <v>9900</v>
      </c>
      <c r="G1288">
        <f t="shared" si="180"/>
        <v>99</v>
      </c>
      <c r="H1288">
        <v>120</v>
      </c>
      <c r="I1288" s="4">
        <f>Full_Data[[#This Row],[Selling Price]]/Full_Data[[#This Row],[Weight (g)]]</f>
        <v>0.82499999999999996</v>
      </c>
      <c r="J1288" t="b">
        <v>0</v>
      </c>
      <c r="K1288">
        <v>120</v>
      </c>
      <c r="L1288">
        <f t="shared" si="181"/>
        <v>11</v>
      </c>
      <c r="M1288" t="str">
        <f t="shared" si="182"/>
        <v>Medium</v>
      </c>
      <c r="N1288" t="str">
        <f t="shared" si="183"/>
        <v>6-10%</v>
      </c>
      <c r="O1288" t="str">
        <f t="shared" si="184"/>
        <v>OK</v>
      </c>
      <c r="P1288">
        <f>IFERROR(Full_Data!G1288/Full_Data!H1288,"Check data")</f>
        <v>0.82499999999999996</v>
      </c>
      <c r="Q1288" t="str">
        <f t="shared" si="185"/>
        <v>Match</v>
      </c>
      <c r="R1288" t="str">
        <f t="shared" si="186"/>
        <v>Match</v>
      </c>
      <c r="S1288" t="str">
        <f t="shared" si="187"/>
        <v>Match</v>
      </c>
    </row>
    <row r="1289" spans="1:19" x14ac:dyDescent="0.25">
      <c r="A1289" t="s">
        <v>1218</v>
      </c>
      <c r="B1289">
        <v>3000</v>
      </c>
      <c r="C1289">
        <f t="shared" si="188"/>
        <v>30</v>
      </c>
      <c r="D1289">
        <v>16</v>
      </c>
      <c r="E1289">
        <v>6</v>
      </c>
      <c r="F1289">
        <v>2500</v>
      </c>
      <c r="G1289">
        <f t="shared" si="180"/>
        <v>25</v>
      </c>
      <c r="H1289">
        <v>58</v>
      </c>
      <c r="I1289" s="4">
        <f>Full_Data[[#This Row],[Selling Price]]/Full_Data[[#This Row],[Weight (g)]]</f>
        <v>0.43103448275862066</v>
      </c>
      <c r="J1289" t="b">
        <v>0</v>
      </c>
      <c r="K1289">
        <v>1</v>
      </c>
      <c r="L1289">
        <f t="shared" si="181"/>
        <v>5</v>
      </c>
      <c r="M1289" t="str">
        <f t="shared" si="182"/>
        <v>Low</v>
      </c>
      <c r="N1289" t="str">
        <f t="shared" si="183"/>
        <v>16-20%</v>
      </c>
      <c r="O1289" t="str">
        <f t="shared" si="184"/>
        <v>OK</v>
      </c>
      <c r="P1289">
        <f>IFERROR(Full_Data!G1289/Full_Data!H1289,"Check data")</f>
        <v>0.43103448275862066</v>
      </c>
      <c r="Q1289" t="str">
        <f t="shared" si="185"/>
        <v>Match</v>
      </c>
      <c r="R1289" t="str">
        <f t="shared" si="186"/>
        <v>Mismatch</v>
      </c>
      <c r="S1289" t="str">
        <f t="shared" si="187"/>
        <v>Mismatch</v>
      </c>
    </row>
    <row r="1290" spans="1:19" x14ac:dyDescent="0.25">
      <c r="A1290" t="s">
        <v>1219</v>
      </c>
      <c r="B1290">
        <v>26000</v>
      </c>
      <c r="C1290">
        <f t="shared" si="188"/>
        <v>260</v>
      </c>
      <c r="D1290">
        <v>10</v>
      </c>
      <c r="E1290">
        <v>6</v>
      </c>
      <c r="F1290">
        <v>23400</v>
      </c>
      <c r="G1290">
        <f t="shared" si="180"/>
        <v>234</v>
      </c>
      <c r="H1290">
        <v>116</v>
      </c>
      <c r="I1290" s="4">
        <f>Full_Data[[#This Row],[Selling Price]]/Full_Data[[#This Row],[Weight (g)]]</f>
        <v>2.0172413793103448</v>
      </c>
      <c r="J1290" t="b">
        <v>0</v>
      </c>
      <c r="K1290">
        <v>2</v>
      </c>
      <c r="L1290">
        <f t="shared" si="181"/>
        <v>26</v>
      </c>
      <c r="M1290" t="str">
        <f t="shared" si="182"/>
        <v>High</v>
      </c>
      <c r="N1290" t="str">
        <f t="shared" si="183"/>
        <v>6-10%</v>
      </c>
      <c r="O1290" t="str">
        <f t="shared" si="184"/>
        <v>OK</v>
      </c>
      <c r="P1290">
        <f>IFERROR(Full_Data!G1290/Full_Data!H1290,"Check data")</f>
        <v>2.0172413793103448</v>
      </c>
      <c r="Q1290" t="str">
        <f t="shared" si="185"/>
        <v>Match</v>
      </c>
      <c r="R1290" t="str">
        <f t="shared" si="186"/>
        <v>Match</v>
      </c>
      <c r="S1290" t="str">
        <f t="shared" si="187"/>
        <v>Match</v>
      </c>
    </row>
    <row r="1291" spans="1:19" x14ac:dyDescent="0.25">
      <c r="A1291" t="s">
        <v>1220</v>
      </c>
      <c r="B1291">
        <v>14900</v>
      </c>
      <c r="C1291">
        <f t="shared" si="188"/>
        <v>149</v>
      </c>
      <c r="D1291">
        <v>0</v>
      </c>
      <c r="E1291">
        <v>2</v>
      </c>
      <c r="F1291">
        <v>14900</v>
      </c>
      <c r="G1291">
        <f t="shared" si="180"/>
        <v>149</v>
      </c>
      <c r="H1291">
        <v>0</v>
      </c>
      <c r="I1291" s="4" t="e">
        <f>Full_Data[[#This Row],[Selling Price]]/Full_Data[[#This Row],[Weight (g)]]</f>
        <v>#DIV/0!</v>
      </c>
      <c r="J1291" t="b">
        <v>0</v>
      </c>
      <c r="K1291">
        <v>0</v>
      </c>
      <c r="L1291">
        <f t="shared" si="181"/>
        <v>0</v>
      </c>
      <c r="M1291" t="str">
        <f t="shared" si="182"/>
        <v>Medium</v>
      </c>
      <c r="N1291" t="str">
        <f t="shared" si="183"/>
        <v>0-5%</v>
      </c>
      <c r="O1291" t="str">
        <f t="shared" si="184"/>
        <v>Review: Invalid weight</v>
      </c>
      <c r="P1291" t="str">
        <f>IFERROR(Full_Data!G1291/Full_Data!H1291,"Check data")</f>
        <v>Check data</v>
      </c>
      <c r="Q1291" t="str">
        <f t="shared" si="185"/>
        <v>Invalid weight</v>
      </c>
      <c r="R1291" t="str">
        <f t="shared" si="186"/>
        <v>Match</v>
      </c>
      <c r="S1291" t="str">
        <f t="shared" si="187"/>
        <v>Match</v>
      </c>
    </row>
    <row r="1292" spans="1:19" x14ac:dyDescent="0.25">
      <c r="A1292" t="s">
        <v>1221</v>
      </c>
      <c r="B1292">
        <v>5500</v>
      </c>
      <c r="C1292">
        <f t="shared" si="188"/>
        <v>55</v>
      </c>
      <c r="D1292">
        <v>0</v>
      </c>
      <c r="E1292">
        <v>3</v>
      </c>
      <c r="F1292">
        <v>5500</v>
      </c>
      <c r="G1292">
        <f t="shared" si="180"/>
        <v>55</v>
      </c>
      <c r="H1292">
        <v>100</v>
      </c>
      <c r="I1292" s="4">
        <f>Full_Data[[#This Row],[Selling Price]]/Full_Data[[#This Row],[Weight (g)]]</f>
        <v>0.55000000000000004</v>
      </c>
      <c r="J1292" t="b">
        <v>0</v>
      </c>
      <c r="K1292">
        <v>100</v>
      </c>
      <c r="L1292">
        <f t="shared" si="181"/>
        <v>0</v>
      </c>
      <c r="M1292" t="str">
        <f t="shared" si="182"/>
        <v>Medium</v>
      </c>
      <c r="N1292" t="str">
        <f t="shared" si="183"/>
        <v>0-5%</v>
      </c>
      <c r="O1292" t="str">
        <f t="shared" si="184"/>
        <v>OK</v>
      </c>
      <c r="P1292">
        <f>IFERROR(Full_Data!G1292/Full_Data!H1292,"Check data")</f>
        <v>0.55000000000000004</v>
      </c>
      <c r="Q1292" t="str">
        <f t="shared" si="185"/>
        <v>Match</v>
      </c>
      <c r="R1292" t="str">
        <f t="shared" si="186"/>
        <v>Match</v>
      </c>
      <c r="S1292" t="str">
        <f t="shared" si="187"/>
        <v>Match</v>
      </c>
    </row>
    <row r="1293" spans="1:19" x14ac:dyDescent="0.25">
      <c r="A1293" t="s">
        <v>1222</v>
      </c>
      <c r="B1293">
        <v>5800</v>
      </c>
      <c r="C1293">
        <f t="shared" si="188"/>
        <v>58</v>
      </c>
      <c r="D1293">
        <v>0</v>
      </c>
      <c r="E1293">
        <v>6</v>
      </c>
      <c r="F1293">
        <v>5800</v>
      </c>
      <c r="G1293">
        <f t="shared" si="180"/>
        <v>58</v>
      </c>
      <c r="H1293">
        <v>150</v>
      </c>
      <c r="I1293" s="4">
        <f>Full_Data[[#This Row],[Selling Price]]/Full_Data[[#This Row],[Weight (g)]]</f>
        <v>0.38666666666666666</v>
      </c>
      <c r="J1293" t="b">
        <v>0</v>
      </c>
      <c r="K1293">
        <v>150</v>
      </c>
      <c r="L1293">
        <f t="shared" si="181"/>
        <v>0</v>
      </c>
      <c r="M1293" t="str">
        <f t="shared" si="182"/>
        <v>Medium</v>
      </c>
      <c r="N1293" t="str">
        <f t="shared" si="183"/>
        <v>0-5%</v>
      </c>
      <c r="O1293" t="str">
        <f t="shared" si="184"/>
        <v>OK</v>
      </c>
      <c r="P1293">
        <f>IFERROR(Full_Data!G1293/Full_Data!H1293,"Check data")</f>
        <v>0.38666666666666666</v>
      </c>
      <c r="Q1293" t="str">
        <f t="shared" si="185"/>
        <v>Match</v>
      </c>
      <c r="R1293" t="str">
        <f t="shared" si="186"/>
        <v>Match</v>
      </c>
      <c r="S1293" t="str">
        <f t="shared" si="187"/>
        <v>Match</v>
      </c>
    </row>
    <row r="1294" spans="1:19" x14ac:dyDescent="0.25">
      <c r="A1294" t="s">
        <v>1223</v>
      </c>
      <c r="B1294">
        <v>3300</v>
      </c>
      <c r="C1294">
        <f t="shared" si="188"/>
        <v>33</v>
      </c>
      <c r="D1294">
        <v>0</v>
      </c>
      <c r="E1294">
        <v>6</v>
      </c>
      <c r="F1294">
        <v>3300</v>
      </c>
      <c r="G1294">
        <f t="shared" si="180"/>
        <v>33</v>
      </c>
      <c r="H1294">
        <v>20</v>
      </c>
      <c r="I1294" s="4">
        <f>Full_Data[[#This Row],[Selling Price]]/Full_Data[[#This Row],[Weight (g)]]</f>
        <v>1.65</v>
      </c>
      <c r="J1294" t="b">
        <v>0</v>
      </c>
      <c r="K1294">
        <v>20</v>
      </c>
      <c r="L1294">
        <f t="shared" si="181"/>
        <v>0</v>
      </c>
      <c r="M1294" t="str">
        <f t="shared" si="182"/>
        <v>Low</v>
      </c>
      <c r="N1294" t="str">
        <f t="shared" si="183"/>
        <v>0-5%</v>
      </c>
      <c r="O1294" t="str">
        <f t="shared" si="184"/>
        <v>OK</v>
      </c>
      <c r="P1294">
        <f>IFERROR(Full_Data!G1294/Full_Data!H1294,"Check data")</f>
        <v>1.65</v>
      </c>
      <c r="Q1294" t="str">
        <f t="shared" si="185"/>
        <v>Match</v>
      </c>
      <c r="R1294" t="str">
        <f t="shared" si="186"/>
        <v>Match</v>
      </c>
      <c r="S1294" t="str">
        <f t="shared" si="187"/>
        <v>Match</v>
      </c>
    </row>
    <row r="1295" spans="1:19" x14ac:dyDescent="0.25">
      <c r="A1295" t="s">
        <v>1224</v>
      </c>
      <c r="B1295">
        <v>12000</v>
      </c>
      <c r="C1295">
        <f t="shared" si="188"/>
        <v>120</v>
      </c>
      <c r="D1295">
        <v>10</v>
      </c>
      <c r="E1295">
        <v>4</v>
      </c>
      <c r="F1295">
        <v>10800</v>
      </c>
      <c r="G1295">
        <f t="shared" si="180"/>
        <v>108</v>
      </c>
      <c r="H1295">
        <v>232</v>
      </c>
      <c r="I1295" s="4">
        <f>Full_Data[[#This Row],[Selling Price]]/Full_Data[[#This Row],[Weight (g)]]</f>
        <v>0.46551724137931033</v>
      </c>
      <c r="J1295" t="b">
        <v>0</v>
      </c>
      <c r="K1295">
        <v>4</v>
      </c>
      <c r="L1295">
        <f t="shared" si="181"/>
        <v>12</v>
      </c>
      <c r="M1295" t="str">
        <f t="shared" si="182"/>
        <v>Medium</v>
      </c>
      <c r="N1295" t="str">
        <f t="shared" si="183"/>
        <v>6-10%</v>
      </c>
      <c r="O1295" t="str">
        <f t="shared" si="184"/>
        <v>OK</v>
      </c>
      <c r="P1295">
        <f>IFERROR(Full_Data!G1295/Full_Data!H1295,"Check data")</f>
        <v>0.46551724137931033</v>
      </c>
      <c r="Q1295" t="str">
        <f t="shared" si="185"/>
        <v>Match</v>
      </c>
      <c r="R1295" t="str">
        <f t="shared" si="186"/>
        <v>Match</v>
      </c>
      <c r="S1295" t="str">
        <f t="shared" si="187"/>
        <v>Match</v>
      </c>
    </row>
    <row r="1296" spans="1:19" x14ac:dyDescent="0.25">
      <c r="A1296" t="s">
        <v>1225</v>
      </c>
      <c r="B1296">
        <v>17500</v>
      </c>
      <c r="C1296">
        <f t="shared" si="188"/>
        <v>175</v>
      </c>
      <c r="D1296">
        <v>10</v>
      </c>
      <c r="E1296">
        <v>4</v>
      </c>
      <c r="F1296">
        <v>15700</v>
      </c>
      <c r="G1296">
        <f t="shared" si="180"/>
        <v>157</v>
      </c>
      <c r="H1296">
        <v>100</v>
      </c>
      <c r="I1296" s="4">
        <f>Full_Data[[#This Row],[Selling Price]]/Full_Data[[#This Row],[Weight (g)]]</f>
        <v>1.57</v>
      </c>
      <c r="J1296" t="b">
        <v>0</v>
      </c>
      <c r="K1296">
        <v>100</v>
      </c>
      <c r="L1296">
        <f t="shared" si="181"/>
        <v>18</v>
      </c>
      <c r="M1296" t="str">
        <f t="shared" si="182"/>
        <v>Medium</v>
      </c>
      <c r="N1296" t="str">
        <f t="shared" si="183"/>
        <v>6-10%</v>
      </c>
      <c r="O1296" t="str">
        <f t="shared" si="184"/>
        <v>OK</v>
      </c>
      <c r="P1296">
        <f>IFERROR(Full_Data!G1296/Full_Data!H1296,"Check data")</f>
        <v>1.57</v>
      </c>
      <c r="Q1296" t="str">
        <f t="shared" si="185"/>
        <v>Match</v>
      </c>
      <c r="R1296" t="str">
        <f t="shared" si="186"/>
        <v>Mismatch</v>
      </c>
      <c r="S1296" t="str">
        <f t="shared" si="187"/>
        <v>Match</v>
      </c>
    </row>
    <row r="1297" spans="1:19" x14ac:dyDescent="0.25">
      <c r="A1297" t="s">
        <v>1226</v>
      </c>
      <c r="B1297">
        <v>9900</v>
      </c>
      <c r="C1297">
        <f t="shared" si="188"/>
        <v>99</v>
      </c>
      <c r="D1297">
        <v>0</v>
      </c>
      <c r="E1297">
        <v>1</v>
      </c>
      <c r="F1297">
        <v>9900</v>
      </c>
      <c r="G1297">
        <f t="shared" si="180"/>
        <v>99</v>
      </c>
      <c r="H1297">
        <v>232</v>
      </c>
      <c r="I1297" s="4">
        <f>Full_Data[[#This Row],[Selling Price]]/Full_Data[[#This Row],[Weight (g)]]</f>
        <v>0.42672413793103448</v>
      </c>
      <c r="J1297" t="b">
        <v>0</v>
      </c>
      <c r="K1297">
        <v>4</v>
      </c>
      <c r="L1297">
        <f t="shared" si="181"/>
        <v>0</v>
      </c>
      <c r="M1297" t="str">
        <f t="shared" si="182"/>
        <v>Medium</v>
      </c>
      <c r="N1297" t="str">
        <f t="shared" si="183"/>
        <v>0-5%</v>
      </c>
      <c r="O1297" t="str">
        <f t="shared" si="184"/>
        <v>OK</v>
      </c>
      <c r="P1297">
        <f>IFERROR(Full_Data!G1297/Full_Data!H1297,"Check data")</f>
        <v>0.42672413793103448</v>
      </c>
      <c r="Q1297" t="str">
        <f t="shared" si="185"/>
        <v>Match</v>
      </c>
      <c r="R1297" t="str">
        <f t="shared" si="186"/>
        <v>Match</v>
      </c>
      <c r="S1297" t="str">
        <f t="shared" si="187"/>
        <v>Match</v>
      </c>
    </row>
    <row r="1298" spans="1:19" x14ac:dyDescent="0.25">
      <c r="A1298" t="s">
        <v>1227</v>
      </c>
      <c r="B1298">
        <v>14900</v>
      </c>
      <c r="C1298">
        <f t="shared" si="188"/>
        <v>149</v>
      </c>
      <c r="D1298">
        <v>10</v>
      </c>
      <c r="E1298">
        <v>4</v>
      </c>
      <c r="F1298">
        <v>13400</v>
      </c>
      <c r="G1298">
        <f t="shared" si="180"/>
        <v>134</v>
      </c>
      <c r="H1298">
        <v>50</v>
      </c>
      <c r="I1298" s="4">
        <f>Full_Data[[#This Row],[Selling Price]]/Full_Data[[#This Row],[Weight (g)]]</f>
        <v>2.68</v>
      </c>
      <c r="J1298" t="b">
        <v>0</v>
      </c>
      <c r="K1298">
        <v>50</v>
      </c>
      <c r="L1298">
        <f t="shared" si="181"/>
        <v>15</v>
      </c>
      <c r="M1298" t="str">
        <f t="shared" si="182"/>
        <v>Medium</v>
      </c>
      <c r="N1298" t="str">
        <f t="shared" si="183"/>
        <v>6-10%</v>
      </c>
      <c r="O1298" t="str">
        <f t="shared" si="184"/>
        <v>OK</v>
      </c>
      <c r="P1298">
        <f>IFERROR(Full_Data!G1298/Full_Data!H1298,"Check data")</f>
        <v>2.68</v>
      </c>
      <c r="Q1298" t="str">
        <f t="shared" si="185"/>
        <v>Match</v>
      </c>
      <c r="R1298" t="str">
        <f t="shared" si="186"/>
        <v>Mismatch</v>
      </c>
      <c r="S1298" t="str">
        <f t="shared" si="187"/>
        <v>Match</v>
      </c>
    </row>
    <row r="1299" spans="1:19" x14ac:dyDescent="0.25">
      <c r="A1299" t="s">
        <v>1228</v>
      </c>
      <c r="B1299">
        <v>20000</v>
      </c>
      <c r="C1299">
        <f t="shared" si="188"/>
        <v>200</v>
      </c>
      <c r="D1299">
        <v>10</v>
      </c>
      <c r="E1299">
        <v>3</v>
      </c>
      <c r="F1299">
        <v>18000</v>
      </c>
      <c r="G1299">
        <f t="shared" si="180"/>
        <v>180</v>
      </c>
      <c r="H1299">
        <v>72</v>
      </c>
      <c r="I1299" s="4">
        <f>Full_Data[[#This Row],[Selling Price]]/Full_Data[[#This Row],[Weight (g)]]</f>
        <v>2.5</v>
      </c>
      <c r="J1299" t="b">
        <v>0</v>
      </c>
      <c r="K1299">
        <v>72</v>
      </c>
      <c r="L1299">
        <f t="shared" si="181"/>
        <v>20</v>
      </c>
      <c r="M1299" t="str">
        <f t="shared" si="182"/>
        <v>Medium</v>
      </c>
      <c r="N1299" t="str">
        <f t="shared" si="183"/>
        <v>6-10%</v>
      </c>
      <c r="O1299" t="str">
        <f t="shared" si="184"/>
        <v>OK</v>
      </c>
      <c r="P1299">
        <f>IFERROR(Full_Data!G1299/Full_Data!H1299,"Check data")</f>
        <v>2.5</v>
      </c>
      <c r="Q1299" t="str">
        <f t="shared" si="185"/>
        <v>Match</v>
      </c>
      <c r="R1299" t="str">
        <f t="shared" si="186"/>
        <v>Match</v>
      </c>
      <c r="S1299" t="str">
        <f t="shared" si="187"/>
        <v>Match</v>
      </c>
    </row>
    <row r="1300" spans="1:19" x14ac:dyDescent="0.25">
      <c r="A1300" t="s">
        <v>1229</v>
      </c>
      <c r="B1300">
        <v>34000</v>
      </c>
      <c r="C1300">
        <f t="shared" si="188"/>
        <v>340</v>
      </c>
      <c r="D1300">
        <v>12</v>
      </c>
      <c r="E1300">
        <v>6</v>
      </c>
      <c r="F1300">
        <v>29800</v>
      </c>
      <c r="G1300">
        <f t="shared" si="180"/>
        <v>298</v>
      </c>
      <c r="H1300">
        <v>28</v>
      </c>
      <c r="I1300" s="4">
        <f>Full_Data[[#This Row],[Selling Price]]/Full_Data[[#This Row],[Weight (g)]]</f>
        <v>10.642857142857142</v>
      </c>
      <c r="J1300" t="b">
        <v>0</v>
      </c>
      <c r="K1300">
        <v>28</v>
      </c>
      <c r="L1300">
        <f t="shared" si="181"/>
        <v>42</v>
      </c>
      <c r="M1300" t="str">
        <f t="shared" si="182"/>
        <v>High</v>
      </c>
      <c r="N1300" t="str">
        <f t="shared" si="183"/>
        <v>11-15%</v>
      </c>
      <c r="O1300" t="str">
        <f t="shared" si="184"/>
        <v>OK</v>
      </c>
      <c r="P1300">
        <f>IFERROR(Full_Data!G1300/Full_Data!H1300,"Check data")</f>
        <v>10.642857142857142</v>
      </c>
      <c r="Q1300" t="str">
        <f t="shared" si="185"/>
        <v>Match</v>
      </c>
      <c r="R1300" t="str">
        <f t="shared" si="186"/>
        <v>Mismatch</v>
      </c>
      <c r="S1300" t="str">
        <f t="shared" si="187"/>
        <v>Match</v>
      </c>
    </row>
    <row r="1301" spans="1:19" x14ac:dyDescent="0.25">
      <c r="A1301" t="s">
        <v>1230</v>
      </c>
      <c r="B1301">
        <v>62000</v>
      </c>
      <c r="C1301">
        <f t="shared" si="188"/>
        <v>620</v>
      </c>
      <c r="D1301">
        <v>0</v>
      </c>
      <c r="E1301">
        <v>1</v>
      </c>
      <c r="F1301">
        <v>62000</v>
      </c>
      <c r="G1301">
        <f t="shared" si="180"/>
        <v>620</v>
      </c>
      <c r="H1301">
        <v>172</v>
      </c>
      <c r="I1301" s="4">
        <f>Full_Data[[#This Row],[Selling Price]]/Full_Data[[#This Row],[Weight (g)]]</f>
        <v>3.6046511627906979</v>
      </c>
      <c r="J1301" t="b">
        <v>0</v>
      </c>
      <c r="K1301">
        <v>172</v>
      </c>
      <c r="L1301">
        <f t="shared" si="181"/>
        <v>0</v>
      </c>
      <c r="M1301" t="str">
        <f t="shared" si="182"/>
        <v>High</v>
      </c>
      <c r="N1301" t="str">
        <f t="shared" si="183"/>
        <v>0-5%</v>
      </c>
      <c r="O1301" t="str">
        <f t="shared" si="184"/>
        <v>OK</v>
      </c>
      <c r="P1301">
        <f>IFERROR(Full_Data!G1301/Full_Data!H1301,"Check data")</f>
        <v>3.6046511627906979</v>
      </c>
      <c r="Q1301" t="str">
        <f t="shared" si="185"/>
        <v>Match</v>
      </c>
      <c r="R1301" t="str">
        <f t="shared" si="186"/>
        <v>Match</v>
      </c>
      <c r="S1301" t="str">
        <f t="shared" si="187"/>
        <v>Match</v>
      </c>
    </row>
    <row r="1302" spans="1:19" x14ac:dyDescent="0.25">
      <c r="A1302" t="s">
        <v>1231</v>
      </c>
      <c r="B1302">
        <v>8500</v>
      </c>
      <c r="C1302">
        <f t="shared" si="188"/>
        <v>85</v>
      </c>
      <c r="D1302">
        <v>15</v>
      </c>
      <c r="E1302">
        <v>4</v>
      </c>
      <c r="F1302">
        <v>7200</v>
      </c>
      <c r="G1302">
        <f t="shared" si="180"/>
        <v>72</v>
      </c>
      <c r="H1302">
        <v>64</v>
      </c>
      <c r="I1302" s="4">
        <f>Full_Data[[#This Row],[Selling Price]]/Full_Data[[#This Row],[Weight (g)]]</f>
        <v>1.125</v>
      </c>
      <c r="J1302" t="b">
        <v>0</v>
      </c>
      <c r="K1302">
        <v>64</v>
      </c>
      <c r="L1302">
        <f t="shared" si="181"/>
        <v>13</v>
      </c>
      <c r="M1302" t="str">
        <f t="shared" si="182"/>
        <v>Medium</v>
      </c>
      <c r="N1302" t="str">
        <f t="shared" si="183"/>
        <v>11-15%</v>
      </c>
      <c r="O1302" t="str">
        <f t="shared" si="184"/>
        <v>OK</v>
      </c>
      <c r="P1302">
        <f>IFERROR(Full_Data!G1302/Full_Data!H1302,"Check data")</f>
        <v>1.125</v>
      </c>
      <c r="Q1302" t="str">
        <f t="shared" si="185"/>
        <v>Match</v>
      </c>
      <c r="R1302" t="str">
        <f t="shared" si="186"/>
        <v>Mismatch</v>
      </c>
      <c r="S1302" t="str">
        <f t="shared" si="187"/>
        <v>Match</v>
      </c>
    </row>
    <row r="1303" spans="1:19" x14ac:dyDescent="0.25">
      <c r="A1303" t="s">
        <v>1232</v>
      </c>
      <c r="B1303">
        <v>19500</v>
      </c>
      <c r="C1303">
        <f t="shared" si="188"/>
        <v>195</v>
      </c>
      <c r="D1303">
        <v>10</v>
      </c>
      <c r="E1303">
        <v>5</v>
      </c>
      <c r="F1303">
        <v>17400</v>
      </c>
      <c r="G1303">
        <f t="shared" si="180"/>
        <v>174</v>
      </c>
      <c r="H1303">
        <v>150</v>
      </c>
      <c r="I1303" s="4">
        <f>Full_Data[[#This Row],[Selling Price]]/Full_Data[[#This Row],[Weight (g)]]</f>
        <v>1.1599999999999999</v>
      </c>
      <c r="J1303" t="b">
        <v>0</v>
      </c>
      <c r="K1303">
        <v>150</v>
      </c>
      <c r="L1303">
        <f t="shared" si="181"/>
        <v>21</v>
      </c>
      <c r="M1303" t="str">
        <f t="shared" si="182"/>
        <v>Medium</v>
      </c>
      <c r="N1303" t="str">
        <f t="shared" si="183"/>
        <v>6-10%</v>
      </c>
      <c r="O1303" t="str">
        <f t="shared" si="184"/>
        <v>OK</v>
      </c>
      <c r="P1303">
        <f>IFERROR(Full_Data!G1303/Full_Data!H1303,"Check data")</f>
        <v>1.1599999999999999</v>
      </c>
      <c r="Q1303" t="str">
        <f t="shared" si="185"/>
        <v>Match</v>
      </c>
      <c r="R1303" t="str">
        <f t="shared" si="186"/>
        <v>Mismatch</v>
      </c>
      <c r="S1303" t="str">
        <f t="shared" si="187"/>
        <v>Mismatch</v>
      </c>
    </row>
    <row r="1304" spans="1:19" x14ac:dyDescent="0.25">
      <c r="A1304" t="s">
        <v>1233</v>
      </c>
      <c r="B1304">
        <v>6000</v>
      </c>
      <c r="C1304">
        <f t="shared" si="188"/>
        <v>60</v>
      </c>
      <c r="D1304">
        <v>0</v>
      </c>
      <c r="E1304">
        <v>6</v>
      </c>
      <c r="F1304">
        <v>6000</v>
      </c>
      <c r="G1304">
        <f t="shared" si="180"/>
        <v>60</v>
      </c>
      <c r="H1304">
        <v>100</v>
      </c>
      <c r="I1304" s="4">
        <f>Full_Data[[#This Row],[Selling Price]]/Full_Data[[#This Row],[Weight (g)]]</f>
        <v>0.6</v>
      </c>
      <c r="J1304" t="b">
        <v>0</v>
      </c>
      <c r="K1304">
        <v>100</v>
      </c>
      <c r="L1304">
        <f t="shared" si="181"/>
        <v>0</v>
      </c>
      <c r="M1304" t="str">
        <f t="shared" si="182"/>
        <v>Medium</v>
      </c>
      <c r="N1304" t="str">
        <f t="shared" si="183"/>
        <v>0-5%</v>
      </c>
      <c r="O1304" t="str">
        <f t="shared" si="184"/>
        <v>OK</v>
      </c>
      <c r="P1304">
        <f>IFERROR(Full_Data!G1304/Full_Data!H1304,"Check data")</f>
        <v>0.6</v>
      </c>
      <c r="Q1304" t="str">
        <f t="shared" si="185"/>
        <v>Match</v>
      </c>
      <c r="R1304" t="str">
        <f t="shared" si="186"/>
        <v>Match</v>
      </c>
      <c r="S1304" t="str">
        <f t="shared" si="187"/>
        <v>Match</v>
      </c>
    </row>
    <row r="1305" spans="1:19" x14ac:dyDescent="0.25">
      <c r="A1305" t="s">
        <v>1234</v>
      </c>
      <c r="B1305">
        <v>9900</v>
      </c>
      <c r="C1305">
        <f t="shared" si="188"/>
        <v>99</v>
      </c>
      <c r="D1305">
        <v>10</v>
      </c>
      <c r="E1305">
        <v>4</v>
      </c>
      <c r="F1305">
        <v>8900</v>
      </c>
      <c r="G1305">
        <f t="shared" si="180"/>
        <v>89</v>
      </c>
      <c r="H1305">
        <v>100</v>
      </c>
      <c r="I1305" s="4">
        <f>Full_Data[[#This Row],[Selling Price]]/Full_Data[[#This Row],[Weight (g)]]</f>
        <v>0.89</v>
      </c>
      <c r="J1305" t="b">
        <v>0</v>
      </c>
      <c r="K1305">
        <v>100</v>
      </c>
      <c r="L1305">
        <f t="shared" si="181"/>
        <v>10</v>
      </c>
      <c r="M1305" t="str">
        <f t="shared" si="182"/>
        <v>Medium</v>
      </c>
      <c r="N1305" t="str">
        <f t="shared" si="183"/>
        <v>6-10%</v>
      </c>
      <c r="O1305" t="str">
        <f t="shared" si="184"/>
        <v>OK</v>
      </c>
      <c r="P1305">
        <f>IFERROR(Full_Data!G1305/Full_Data!H1305,"Check data")</f>
        <v>0.89</v>
      </c>
      <c r="Q1305" t="str">
        <f t="shared" si="185"/>
        <v>Match</v>
      </c>
      <c r="R1305" t="str">
        <f t="shared" si="186"/>
        <v>Mismatch</v>
      </c>
      <c r="S1305" t="str">
        <f t="shared" si="187"/>
        <v>Match</v>
      </c>
    </row>
    <row r="1306" spans="1:19" x14ac:dyDescent="0.25">
      <c r="A1306" t="s">
        <v>1235</v>
      </c>
      <c r="B1306">
        <v>109900</v>
      </c>
      <c r="C1306">
        <f t="shared" si="188"/>
        <v>1099</v>
      </c>
      <c r="D1306">
        <v>18</v>
      </c>
      <c r="E1306">
        <v>2</v>
      </c>
      <c r="F1306">
        <v>89900</v>
      </c>
      <c r="G1306">
        <f t="shared" si="180"/>
        <v>899</v>
      </c>
      <c r="H1306">
        <v>44</v>
      </c>
      <c r="I1306" s="4">
        <f>Full_Data[[#This Row],[Selling Price]]/Full_Data[[#This Row],[Weight (g)]]</f>
        <v>20.431818181818183</v>
      </c>
      <c r="J1306" t="b">
        <v>0</v>
      </c>
      <c r="K1306">
        <v>44</v>
      </c>
      <c r="L1306">
        <f t="shared" si="181"/>
        <v>200</v>
      </c>
      <c r="M1306" t="str">
        <f t="shared" si="182"/>
        <v>High</v>
      </c>
      <c r="N1306" t="str">
        <f t="shared" si="183"/>
        <v>16-20%</v>
      </c>
      <c r="O1306" t="str">
        <f t="shared" si="184"/>
        <v>OK</v>
      </c>
      <c r="P1306">
        <f>IFERROR(Full_Data!G1306/Full_Data!H1306,"Check data")</f>
        <v>20.431818181818183</v>
      </c>
      <c r="Q1306" t="str">
        <f t="shared" si="185"/>
        <v>Match</v>
      </c>
      <c r="R1306" t="str">
        <f t="shared" si="186"/>
        <v>Mismatch</v>
      </c>
      <c r="S1306" t="str">
        <f t="shared" si="187"/>
        <v>Match</v>
      </c>
    </row>
    <row r="1307" spans="1:19" x14ac:dyDescent="0.25">
      <c r="A1307" t="s">
        <v>1236</v>
      </c>
      <c r="B1307">
        <v>19900</v>
      </c>
      <c r="C1307">
        <f t="shared" si="188"/>
        <v>199</v>
      </c>
      <c r="D1307">
        <v>20</v>
      </c>
      <c r="E1307">
        <v>2</v>
      </c>
      <c r="F1307">
        <v>15900</v>
      </c>
      <c r="G1307">
        <f t="shared" si="180"/>
        <v>159</v>
      </c>
      <c r="H1307">
        <v>150</v>
      </c>
      <c r="I1307" s="4">
        <f>Full_Data[[#This Row],[Selling Price]]/Full_Data[[#This Row],[Weight (g)]]</f>
        <v>1.06</v>
      </c>
      <c r="J1307" t="b">
        <v>0</v>
      </c>
      <c r="K1307">
        <v>150</v>
      </c>
      <c r="L1307">
        <f t="shared" si="181"/>
        <v>40</v>
      </c>
      <c r="M1307" t="str">
        <f t="shared" si="182"/>
        <v>Medium</v>
      </c>
      <c r="N1307" t="str">
        <f t="shared" si="183"/>
        <v>16-20%</v>
      </c>
      <c r="O1307" t="str">
        <f t="shared" si="184"/>
        <v>OK</v>
      </c>
      <c r="P1307">
        <f>IFERROR(Full_Data!G1307/Full_Data!H1307,"Check data")</f>
        <v>1.06</v>
      </c>
      <c r="Q1307" t="str">
        <f t="shared" si="185"/>
        <v>Match</v>
      </c>
      <c r="R1307" t="str">
        <f t="shared" si="186"/>
        <v>Mismatch</v>
      </c>
      <c r="S1307" t="str">
        <f t="shared" si="187"/>
        <v>Match</v>
      </c>
    </row>
    <row r="1308" spans="1:19" x14ac:dyDescent="0.25">
      <c r="A1308" t="s">
        <v>1237</v>
      </c>
      <c r="B1308">
        <v>62000</v>
      </c>
      <c r="C1308">
        <f t="shared" si="188"/>
        <v>620</v>
      </c>
      <c r="D1308">
        <v>0</v>
      </c>
      <c r="E1308">
        <v>6</v>
      </c>
      <c r="F1308">
        <v>62000</v>
      </c>
      <c r="G1308">
        <f t="shared" si="180"/>
        <v>620</v>
      </c>
      <c r="H1308">
        <v>172</v>
      </c>
      <c r="I1308" s="4">
        <f>Full_Data[[#This Row],[Selling Price]]/Full_Data[[#This Row],[Weight (g)]]</f>
        <v>3.6046511627906979</v>
      </c>
      <c r="J1308" t="b">
        <v>0</v>
      </c>
      <c r="K1308">
        <v>172</v>
      </c>
      <c r="L1308">
        <f t="shared" si="181"/>
        <v>0</v>
      </c>
      <c r="M1308" t="str">
        <f t="shared" si="182"/>
        <v>High</v>
      </c>
      <c r="N1308" t="str">
        <f t="shared" si="183"/>
        <v>0-5%</v>
      </c>
      <c r="O1308" t="str">
        <f t="shared" si="184"/>
        <v>OK</v>
      </c>
      <c r="P1308">
        <f>IFERROR(Full_Data!G1308/Full_Data!H1308,"Check data")</f>
        <v>3.6046511627906979</v>
      </c>
      <c r="Q1308" t="str">
        <f t="shared" si="185"/>
        <v>Match</v>
      </c>
      <c r="R1308" t="str">
        <f t="shared" si="186"/>
        <v>Match</v>
      </c>
      <c r="S1308" t="str">
        <f t="shared" si="187"/>
        <v>Match</v>
      </c>
    </row>
    <row r="1309" spans="1:19" x14ac:dyDescent="0.25">
      <c r="A1309" t="s">
        <v>1238</v>
      </c>
      <c r="B1309">
        <v>7500</v>
      </c>
      <c r="C1309">
        <f t="shared" si="188"/>
        <v>75</v>
      </c>
      <c r="D1309">
        <v>9</v>
      </c>
      <c r="E1309">
        <v>4</v>
      </c>
      <c r="F1309">
        <v>6800</v>
      </c>
      <c r="G1309">
        <f t="shared" si="180"/>
        <v>68</v>
      </c>
      <c r="H1309">
        <v>200</v>
      </c>
      <c r="I1309" s="4">
        <f>Full_Data[[#This Row],[Selling Price]]/Full_Data[[#This Row],[Weight (g)]]</f>
        <v>0.34</v>
      </c>
      <c r="J1309" t="b">
        <v>0</v>
      </c>
      <c r="K1309">
        <v>200</v>
      </c>
      <c r="L1309">
        <f t="shared" si="181"/>
        <v>7</v>
      </c>
      <c r="M1309" t="str">
        <f t="shared" si="182"/>
        <v>Medium</v>
      </c>
      <c r="N1309" t="str">
        <f t="shared" si="183"/>
        <v>6-10%</v>
      </c>
      <c r="O1309" t="str">
        <f t="shared" si="184"/>
        <v>OK</v>
      </c>
      <c r="P1309">
        <f>IFERROR(Full_Data!G1309/Full_Data!H1309,"Check data")</f>
        <v>0.34</v>
      </c>
      <c r="Q1309" t="str">
        <f t="shared" si="185"/>
        <v>Match</v>
      </c>
      <c r="R1309" t="str">
        <f t="shared" si="186"/>
        <v>Mismatch</v>
      </c>
      <c r="S1309" t="str">
        <f t="shared" si="187"/>
        <v>Match</v>
      </c>
    </row>
    <row r="1310" spans="1:19" x14ac:dyDescent="0.25">
      <c r="A1310" t="s">
        <v>1239</v>
      </c>
      <c r="B1310">
        <v>14900</v>
      </c>
      <c r="C1310">
        <f t="shared" si="188"/>
        <v>149</v>
      </c>
      <c r="D1310">
        <v>0</v>
      </c>
      <c r="E1310">
        <v>6</v>
      </c>
      <c r="F1310">
        <v>14900</v>
      </c>
      <c r="G1310">
        <f t="shared" si="180"/>
        <v>149</v>
      </c>
      <c r="H1310">
        <v>600</v>
      </c>
      <c r="I1310" s="4">
        <f>Full_Data[[#This Row],[Selling Price]]/Full_Data[[#This Row],[Weight (g)]]</f>
        <v>0.24833333333333332</v>
      </c>
      <c r="J1310" t="b">
        <v>0</v>
      </c>
      <c r="K1310">
        <v>600</v>
      </c>
      <c r="L1310">
        <f t="shared" si="181"/>
        <v>0</v>
      </c>
      <c r="M1310" t="str">
        <f t="shared" si="182"/>
        <v>Medium</v>
      </c>
      <c r="N1310" t="str">
        <f t="shared" si="183"/>
        <v>0-5%</v>
      </c>
      <c r="O1310" t="str">
        <f t="shared" si="184"/>
        <v>OK</v>
      </c>
      <c r="P1310">
        <f>IFERROR(Full_Data!G1310/Full_Data!H1310,"Check data")</f>
        <v>0.24833333333333332</v>
      </c>
      <c r="Q1310" t="str">
        <f t="shared" si="185"/>
        <v>Match</v>
      </c>
      <c r="R1310" t="str">
        <f t="shared" si="186"/>
        <v>Match</v>
      </c>
      <c r="S1310" t="str">
        <f t="shared" si="187"/>
        <v>Match</v>
      </c>
    </row>
    <row r="1311" spans="1:19" x14ac:dyDescent="0.25">
      <c r="A1311" t="s">
        <v>1240</v>
      </c>
      <c r="B1311">
        <v>12000</v>
      </c>
      <c r="C1311">
        <f t="shared" si="188"/>
        <v>120</v>
      </c>
      <c r="D1311">
        <v>6</v>
      </c>
      <c r="E1311">
        <v>5</v>
      </c>
      <c r="F1311">
        <v>11200</v>
      </c>
      <c r="G1311">
        <f t="shared" si="180"/>
        <v>112</v>
      </c>
      <c r="H1311">
        <v>180</v>
      </c>
      <c r="I1311" s="4">
        <f>Full_Data[[#This Row],[Selling Price]]/Full_Data[[#This Row],[Weight (g)]]</f>
        <v>0.62222222222222223</v>
      </c>
      <c r="J1311" t="b">
        <v>0</v>
      </c>
      <c r="K1311">
        <v>180</v>
      </c>
      <c r="L1311">
        <f t="shared" si="181"/>
        <v>8</v>
      </c>
      <c r="M1311" t="str">
        <f t="shared" si="182"/>
        <v>Medium</v>
      </c>
      <c r="N1311" t="str">
        <f t="shared" si="183"/>
        <v>6-10%</v>
      </c>
      <c r="O1311" t="str">
        <f t="shared" si="184"/>
        <v>OK</v>
      </c>
      <c r="P1311">
        <f>IFERROR(Full_Data!G1311/Full_Data!H1311,"Check data")</f>
        <v>0.62222222222222223</v>
      </c>
      <c r="Q1311" t="str">
        <f t="shared" si="185"/>
        <v>Match</v>
      </c>
      <c r="R1311" t="str">
        <f t="shared" si="186"/>
        <v>Mismatch</v>
      </c>
      <c r="S1311" t="str">
        <f t="shared" si="187"/>
        <v>Mismatch</v>
      </c>
    </row>
    <row r="1312" spans="1:19" x14ac:dyDescent="0.25">
      <c r="A1312" t="s">
        <v>1241</v>
      </c>
      <c r="B1312">
        <v>23500</v>
      </c>
      <c r="C1312">
        <f t="shared" si="188"/>
        <v>235</v>
      </c>
      <c r="D1312">
        <v>7</v>
      </c>
      <c r="E1312">
        <v>6</v>
      </c>
      <c r="F1312">
        <v>21800</v>
      </c>
      <c r="G1312">
        <f t="shared" si="180"/>
        <v>218</v>
      </c>
      <c r="H1312">
        <v>1160</v>
      </c>
      <c r="I1312" s="4">
        <f>Full_Data[[#This Row],[Selling Price]]/Full_Data[[#This Row],[Weight (g)]]</f>
        <v>0.18793103448275861</v>
      </c>
      <c r="J1312" t="b">
        <v>0</v>
      </c>
      <c r="K1312">
        <v>20</v>
      </c>
      <c r="L1312">
        <f t="shared" si="181"/>
        <v>17</v>
      </c>
      <c r="M1312" t="str">
        <f t="shared" si="182"/>
        <v>High</v>
      </c>
      <c r="N1312" t="str">
        <f t="shared" si="183"/>
        <v>6-10%</v>
      </c>
      <c r="O1312" t="str">
        <f t="shared" si="184"/>
        <v>OK</v>
      </c>
      <c r="P1312">
        <f>IFERROR(Full_Data!G1312/Full_Data!H1312,"Check data")</f>
        <v>0.18793103448275861</v>
      </c>
      <c r="Q1312" t="str">
        <f t="shared" si="185"/>
        <v>Match</v>
      </c>
      <c r="R1312" t="str">
        <f t="shared" si="186"/>
        <v>Mismatch</v>
      </c>
      <c r="S1312" t="str">
        <f t="shared" si="187"/>
        <v>Match</v>
      </c>
    </row>
    <row r="1313" spans="1:19" x14ac:dyDescent="0.25">
      <c r="A1313" t="s">
        <v>1185</v>
      </c>
      <c r="B1313">
        <v>24500</v>
      </c>
      <c r="C1313">
        <f t="shared" si="188"/>
        <v>245</v>
      </c>
      <c r="D1313">
        <v>9</v>
      </c>
      <c r="E1313">
        <v>6</v>
      </c>
      <c r="F1313">
        <v>22100</v>
      </c>
      <c r="G1313">
        <f t="shared" si="180"/>
        <v>221</v>
      </c>
      <c r="H1313">
        <v>72</v>
      </c>
      <c r="I1313" s="4">
        <f>Full_Data[[#This Row],[Selling Price]]/Full_Data[[#This Row],[Weight (g)]]</f>
        <v>3.0694444444444446</v>
      </c>
      <c r="J1313" t="b">
        <v>0</v>
      </c>
      <c r="K1313">
        <v>72</v>
      </c>
      <c r="L1313">
        <f t="shared" si="181"/>
        <v>24</v>
      </c>
      <c r="M1313" t="str">
        <f t="shared" si="182"/>
        <v>High</v>
      </c>
      <c r="N1313" t="str">
        <f t="shared" si="183"/>
        <v>6-10%</v>
      </c>
      <c r="O1313" t="str">
        <f t="shared" si="184"/>
        <v>OK</v>
      </c>
      <c r="P1313">
        <f>IFERROR(Full_Data!G1313/Full_Data!H1313,"Check data")</f>
        <v>3.0694444444444446</v>
      </c>
      <c r="Q1313" t="str">
        <f t="shared" si="185"/>
        <v>Match</v>
      </c>
      <c r="R1313" t="str">
        <f t="shared" si="186"/>
        <v>Mismatch</v>
      </c>
      <c r="S1313" t="str">
        <f t="shared" si="187"/>
        <v>Mismatch</v>
      </c>
    </row>
    <row r="1314" spans="1:19" x14ac:dyDescent="0.25">
      <c r="A1314" t="s">
        <v>1242</v>
      </c>
      <c r="B1314">
        <v>19900</v>
      </c>
      <c r="C1314">
        <f t="shared" si="188"/>
        <v>199</v>
      </c>
      <c r="D1314">
        <v>11</v>
      </c>
      <c r="E1314">
        <v>4</v>
      </c>
      <c r="F1314">
        <v>17700</v>
      </c>
      <c r="G1314">
        <f t="shared" si="180"/>
        <v>177</v>
      </c>
      <c r="H1314">
        <v>196</v>
      </c>
      <c r="I1314" s="4">
        <f>Full_Data[[#This Row],[Selling Price]]/Full_Data[[#This Row],[Weight (g)]]</f>
        <v>0.90306122448979587</v>
      </c>
      <c r="J1314" t="b">
        <v>0</v>
      </c>
      <c r="K1314">
        <v>196</v>
      </c>
      <c r="L1314">
        <f t="shared" si="181"/>
        <v>22</v>
      </c>
      <c r="M1314" t="str">
        <f t="shared" si="182"/>
        <v>Medium</v>
      </c>
      <c r="N1314" t="str">
        <f t="shared" si="183"/>
        <v>11-15%</v>
      </c>
      <c r="O1314" t="str">
        <f t="shared" si="184"/>
        <v>OK</v>
      </c>
      <c r="P1314">
        <f>IFERROR(Full_Data!G1314/Full_Data!H1314,"Check data")</f>
        <v>0.90306122448979587</v>
      </c>
      <c r="Q1314" t="str">
        <f t="shared" si="185"/>
        <v>Match</v>
      </c>
      <c r="R1314" t="str">
        <f t="shared" si="186"/>
        <v>Mismatch</v>
      </c>
      <c r="S1314" t="str">
        <f t="shared" si="187"/>
        <v>Match</v>
      </c>
    </row>
    <row r="1315" spans="1:19" x14ac:dyDescent="0.25">
      <c r="A1315" t="s">
        <v>1243</v>
      </c>
      <c r="B1315">
        <v>21500</v>
      </c>
      <c r="C1315">
        <f t="shared" si="188"/>
        <v>215</v>
      </c>
      <c r="D1315">
        <v>6</v>
      </c>
      <c r="E1315">
        <v>3</v>
      </c>
      <c r="F1315">
        <v>20000</v>
      </c>
      <c r="G1315">
        <f t="shared" si="180"/>
        <v>200</v>
      </c>
      <c r="H1315">
        <v>100</v>
      </c>
      <c r="I1315" s="4">
        <f>Full_Data[[#This Row],[Selling Price]]/Full_Data[[#This Row],[Weight (g)]]</f>
        <v>2</v>
      </c>
      <c r="J1315" t="b">
        <v>0</v>
      </c>
      <c r="K1315">
        <v>100</v>
      </c>
      <c r="L1315">
        <f t="shared" si="181"/>
        <v>15</v>
      </c>
      <c r="M1315" t="str">
        <f t="shared" si="182"/>
        <v>High</v>
      </c>
      <c r="N1315" t="str">
        <f t="shared" si="183"/>
        <v>6-10%</v>
      </c>
      <c r="O1315" t="str">
        <f t="shared" si="184"/>
        <v>OK</v>
      </c>
      <c r="P1315">
        <f>IFERROR(Full_Data!G1315/Full_Data!H1315,"Check data")</f>
        <v>2</v>
      </c>
      <c r="Q1315" t="str">
        <f t="shared" si="185"/>
        <v>Match</v>
      </c>
      <c r="R1315" t="str">
        <f t="shared" si="186"/>
        <v>Mismatch</v>
      </c>
      <c r="S1315" t="str">
        <f t="shared" si="187"/>
        <v>Mismatch</v>
      </c>
    </row>
    <row r="1316" spans="1:19" x14ac:dyDescent="0.25">
      <c r="A1316" t="s">
        <v>1244</v>
      </c>
      <c r="B1316">
        <v>31500</v>
      </c>
      <c r="C1316">
        <f t="shared" si="188"/>
        <v>315</v>
      </c>
      <c r="D1316">
        <v>0</v>
      </c>
      <c r="E1316">
        <v>4</v>
      </c>
      <c r="F1316">
        <v>31500</v>
      </c>
      <c r="G1316">
        <f t="shared" si="180"/>
        <v>315</v>
      </c>
      <c r="H1316">
        <v>30</v>
      </c>
      <c r="I1316" s="4">
        <f>Full_Data[[#This Row],[Selling Price]]/Full_Data[[#This Row],[Weight (g)]]</f>
        <v>10.5</v>
      </c>
      <c r="J1316" t="b">
        <v>0</v>
      </c>
      <c r="K1316">
        <v>30</v>
      </c>
      <c r="L1316">
        <f t="shared" si="181"/>
        <v>0</v>
      </c>
      <c r="M1316" t="str">
        <f t="shared" si="182"/>
        <v>High</v>
      </c>
      <c r="N1316" t="str">
        <f t="shared" si="183"/>
        <v>0-5%</v>
      </c>
      <c r="O1316" t="str">
        <f t="shared" si="184"/>
        <v>OK</v>
      </c>
      <c r="P1316">
        <f>IFERROR(Full_Data!G1316/Full_Data!H1316,"Check data")</f>
        <v>10.5</v>
      </c>
      <c r="Q1316" t="str">
        <f t="shared" si="185"/>
        <v>Match</v>
      </c>
      <c r="R1316" t="str">
        <f t="shared" si="186"/>
        <v>Match</v>
      </c>
      <c r="S1316" t="str">
        <f t="shared" si="187"/>
        <v>Match</v>
      </c>
    </row>
    <row r="1317" spans="1:19" x14ac:dyDescent="0.25">
      <c r="A1317" t="s">
        <v>1245</v>
      </c>
      <c r="B1317">
        <v>8000</v>
      </c>
      <c r="C1317">
        <f t="shared" si="188"/>
        <v>80</v>
      </c>
      <c r="D1317">
        <v>8</v>
      </c>
      <c r="E1317">
        <v>4</v>
      </c>
      <c r="F1317">
        <v>7300</v>
      </c>
      <c r="G1317">
        <f t="shared" si="180"/>
        <v>73</v>
      </c>
      <c r="H1317">
        <v>100</v>
      </c>
      <c r="I1317" s="4">
        <f>Full_Data[[#This Row],[Selling Price]]/Full_Data[[#This Row],[Weight (g)]]</f>
        <v>0.73</v>
      </c>
      <c r="J1317" t="b">
        <v>0</v>
      </c>
      <c r="K1317">
        <v>100</v>
      </c>
      <c r="L1317">
        <f t="shared" si="181"/>
        <v>7</v>
      </c>
      <c r="M1317" t="str">
        <f t="shared" si="182"/>
        <v>Medium</v>
      </c>
      <c r="N1317" t="str">
        <f t="shared" si="183"/>
        <v>6-10%</v>
      </c>
      <c r="O1317" t="str">
        <f t="shared" si="184"/>
        <v>OK</v>
      </c>
      <c r="P1317">
        <f>IFERROR(Full_Data!G1317/Full_Data!H1317,"Check data")</f>
        <v>0.73</v>
      </c>
      <c r="Q1317" t="str">
        <f t="shared" si="185"/>
        <v>Match</v>
      </c>
      <c r="R1317" t="str">
        <f t="shared" si="186"/>
        <v>Mismatch</v>
      </c>
      <c r="S1317" t="str">
        <f t="shared" si="187"/>
        <v>Mismatch</v>
      </c>
    </row>
    <row r="1318" spans="1:19" x14ac:dyDescent="0.25">
      <c r="A1318" t="s">
        <v>1246</v>
      </c>
      <c r="B1318">
        <v>22500</v>
      </c>
      <c r="C1318">
        <f t="shared" si="188"/>
        <v>225</v>
      </c>
      <c r="D1318">
        <v>20</v>
      </c>
      <c r="E1318">
        <v>4</v>
      </c>
      <c r="F1318">
        <v>18000</v>
      </c>
      <c r="G1318">
        <f t="shared" si="180"/>
        <v>180</v>
      </c>
      <c r="H1318">
        <v>250</v>
      </c>
      <c r="I1318" s="4">
        <f>Full_Data[[#This Row],[Selling Price]]/Full_Data[[#This Row],[Weight (g)]]</f>
        <v>0.72</v>
      </c>
      <c r="J1318" t="b">
        <v>0</v>
      </c>
      <c r="K1318">
        <v>250</v>
      </c>
      <c r="L1318">
        <f t="shared" si="181"/>
        <v>45</v>
      </c>
      <c r="M1318" t="str">
        <f t="shared" si="182"/>
        <v>Medium</v>
      </c>
      <c r="N1318" t="str">
        <f t="shared" si="183"/>
        <v>16-20%</v>
      </c>
      <c r="O1318" t="str">
        <f t="shared" si="184"/>
        <v>OK</v>
      </c>
      <c r="P1318">
        <f>IFERROR(Full_Data!G1318/Full_Data!H1318,"Check data")</f>
        <v>0.72</v>
      </c>
      <c r="Q1318" t="str">
        <f t="shared" si="185"/>
        <v>Match</v>
      </c>
      <c r="R1318" t="str">
        <f t="shared" si="186"/>
        <v>Match</v>
      </c>
      <c r="S1318" t="str">
        <f t="shared" si="187"/>
        <v>Match</v>
      </c>
    </row>
    <row r="1319" spans="1:19" x14ac:dyDescent="0.25">
      <c r="A1319" t="s">
        <v>1247</v>
      </c>
      <c r="B1319">
        <v>17500</v>
      </c>
      <c r="C1319">
        <f t="shared" si="188"/>
        <v>175</v>
      </c>
      <c r="D1319">
        <v>0</v>
      </c>
      <c r="E1319">
        <v>5</v>
      </c>
      <c r="F1319">
        <v>17500</v>
      </c>
      <c r="G1319">
        <f t="shared" si="180"/>
        <v>175</v>
      </c>
      <c r="H1319">
        <v>870</v>
      </c>
      <c r="I1319" s="4">
        <f>Full_Data[[#This Row],[Selling Price]]/Full_Data[[#This Row],[Weight (g)]]</f>
        <v>0.20114942528735633</v>
      </c>
      <c r="J1319" t="b">
        <v>0</v>
      </c>
      <c r="K1319">
        <v>15</v>
      </c>
      <c r="L1319">
        <f t="shared" si="181"/>
        <v>0</v>
      </c>
      <c r="M1319" t="str">
        <f t="shared" si="182"/>
        <v>Medium</v>
      </c>
      <c r="N1319" t="str">
        <f t="shared" si="183"/>
        <v>0-5%</v>
      </c>
      <c r="O1319" t="str">
        <f t="shared" si="184"/>
        <v>OK</v>
      </c>
      <c r="P1319">
        <f>IFERROR(Full_Data!G1319/Full_Data!H1319,"Check data")</f>
        <v>0.20114942528735633</v>
      </c>
      <c r="Q1319" t="str">
        <f t="shared" si="185"/>
        <v>Match</v>
      </c>
      <c r="R1319" t="str">
        <f t="shared" si="186"/>
        <v>Match</v>
      </c>
      <c r="S1319" t="str">
        <f t="shared" si="187"/>
        <v>Match</v>
      </c>
    </row>
    <row r="1320" spans="1:19" x14ac:dyDescent="0.25">
      <c r="A1320" t="s">
        <v>1248</v>
      </c>
      <c r="B1320">
        <v>14300</v>
      </c>
      <c r="C1320">
        <f t="shared" si="188"/>
        <v>143</v>
      </c>
      <c r="D1320">
        <v>0</v>
      </c>
      <c r="E1320">
        <v>6</v>
      </c>
      <c r="F1320">
        <v>14300</v>
      </c>
      <c r="G1320">
        <f t="shared" si="180"/>
        <v>143</v>
      </c>
      <c r="H1320">
        <v>200</v>
      </c>
      <c r="I1320" s="4">
        <f>Full_Data[[#This Row],[Selling Price]]/Full_Data[[#This Row],[Weight (g)]]</f>
        <v>0.71499999999999997</v>
      </c>
      <c r="J1320" t="b">
        <v>0</v>
      </c>
      <c r="K1320">
        <v>200</v>
      </c>
      <c r="L1320">
        <f t="shared" si="181"/>
        <v>0</v>
      </c>
      <c r="M1320" t="str">
        <f t="shared" si="182"/>
        <v>Medium</v>
      </c>
      <c r="N1320" t="str">
        <f t="shared" si="183"/>
        <v>0-5%</v>
      </c>
      <c r="O1320" t="str">
        <f t="shared" si="184"/>
        <v>OK</v>
      </c>
      <c r="P1320">
        <f>IFERROR(Full_Data!G1320/Full_Data!H1320,"Check data")</f>
        <v>0.71499999999999997</v>
      </c>
      <c r="Q1320" t="str">
        <f t="shared" si="185"/>
        <v>Match</v>
      </c>
      <c r="R1320" t="str">
        <f t="shared" si="186"/>
        <v>Match</v>
      </c>
      <c r="S1320" t="str">
        <f t="shared" si="187"/>
        <v>Match</v>
      </c>
    </row>
    <row r="1321" spans="1:19" x14ac:dyDescent="0.25">
      <c r="A1321" t="s">
        <v>1249</v>
      </c>
      <c r="B1321">
        <v>23500</v>
      </c>
      <c r="C1321">
        <f t="shared" si="188"/>
        <v>235</v>
      </c>
      <c r="D1321">
        <v>9</v>
      </c>
      <c r="E1321">
        <v>6</v>
      </c>
      <c r="F1321">
        <v>21200</v>
      </c>
      <c r="G1321">
        <f t="shared" si="180"/>
        <v>212</v>
      </c>
      <c r="H1321">
        <v>125</v>
      </c>
      <c r="I1321" s="4">
        <f>Full_Data[[#This Row],[Selling Price]]/Full_Data[[#This Row],[Weight (g)]]</f>
        <v>1.696</v>
      </c>
      <c r="J1321" t="b">
        <v>0</v>
      </c>
      <c r="K1321">
        <v>125</v>
      </c>
      <c r="L1321">
        <f t="shared" si="181"/>
        <v>23</v>
      </c>
      <c r="M1321" t="str">
        <f t="shared" si="182"/>
        <v>High</v>
      </c>
      <c r="N1321" t="str">
        <f t="shared" si="183"/>
        <v>6-10%</v>
      </c>
      <c r="O1321" t="str">
        <f t="shared" si="184"/>
        <v>OK</v>
      </c>
      <c r="P1321">
        <f>IFERROR(Full_Data!G1321/Full_Data!H1321,"Check data")</f>
        <v>1.696</v>
      </c>
      <c r="Q1321" t="str">
        <f t="shared" si="185"/>
        <v>Match</v>
      </c>
      <c r="R1321" t="str">
        <f t="shared" si="186"/>
        <v>Mismatch</v>
      </c>
      <c r="S1321" t="str">
        <f t="shared" si="187"/>
        <v>Mismatch</v>
      </c>
    </row>
    <row r="1322" spans="1:19" x14ac:dyDescent="0.25">
      <c r="A1322" t="s">
        <v>1250</v>
      </c>
      <c r="B1322">
        <v>9500</v>
      </c>
      <c r="C1322">
        <f t="shared" si="188"/>
        <v>95</v>
      </c>
      <c r="D1322">
        <v>0</v>
      </c>
      <c r="E1322">
        <v>4</v>
      </c>
      <c r="F1322">
        <v>9500</v>
      </c>
      <c r="G1322">
        <f t="shared" si="180"/>
        <v>95</v>
      </c>
      <c r="H1322">
        <v>200</v>
      </c>
      <c r="I1322" s="4">
        <f>Full_Data[[#This Row],[Selling Price]]/Full_Data[[#This Row],[Weight (g)]]</f>
        <v>0.47499999999999998</v>
      </c>
      <c r="J1322" t="b">
        <v>0</v>
      </c>
      <c r="K1322">
        <v>200</v>
      </c>
      <c r="L1322">
        <f t="shared" si="181"/>
        <v>0</v>
      </c>
      <c r="M1322" t="str">
        <f t="shared" si="182"/>
        <v>Medium</v>
      </c>
      <c r="N1322" t="str">
        <f t="shared" si="183"/>
        <v>0-5%</v>
      </c>
      <c r="O1322" t="str">
        <f t="shared" si="184"/>
        <v>OK</v>
      </c>
      <c r="P1322">
        <f>IFERROR(Full_Data!G1322/Full_Data!H1322,"Check data")</f>
        <v>0.47499999999999998</v>
      </c>
      <c r="Q1322" t="str">
        <f t="shared" si="185"/>
        <v>Match</v>
      </c>
      <c r="R1322" t="str">
        <f t="shared" si="186"/>
        <v>Match</v>
      </c>
      <c r="S1322" t="str">
        <f t="shared" si="187"/>
        <v>Match</v>
      </c>
    </row>
    <row r="1323" spans="1:19" x14ac:dyDescent="0.25">
      <c r="A1323" t="s">
        <v>1251</v>
      </c>
      <c r="B1323">
        <v>19900</v>
      </c>
      <c r="C1323">
        <f t="shared" si="188"/>
        <v>199</v>
      </c>
      <c r="D1323">
        <v>0</v>
      </c>
      <c r="E1323">
        <v>3</v>
      </c>
      <c r="F1323">
        <v>19900</v>
      </c>
      <c r="G1323">
        <f t="shared" si="180"/>
        <v>199</v>
      </c>
      <c r="H1323">
        <v>192</v>
      </c>
      <c r="I1323" s="4">
        <f>Full_Data[[#This Row],[Selling Price]]/Full_Data[[#This Row],[Weight (g)]]</f>
        <v>1.0364583333333333</v>
      </c>
      <c r="J1323" t="b">
        <v>0</v>
      </c>
      <c r="K1323">
        <v>192</v>
      </c>
      <c r="L1323">
        <f t="shared" si="181"/>
        <v>0</v>
      </c>
      <c r="M1323" t="str">
        <f t="shared" si="182"/>
        <v>Medium</v>
      </c>
      <c r="N1323" t="str">
        <f t="shared" si="183"/>
        <v>0-5%</v>
      </c>
      <c r="O1323" t="str">
        <f t="shared" si="184"/>
        <v>OK</v>
      </c>
      <c r="P1323">
        <f>IFERROR(Full_Data!G1323/Full_Data!H1323,"Check data")</f>
        <v>1.0364583333333333</v>
      </c>
      <c r="Q1323" t="str">
        <f t="shared" si="185"/>
        <v>Match</v>
      </c>
      <c r="R1323" t="str">
        <f t="shared" si="186"/>
        <v>Match</v>
      </c>
      <c r="S1323" t="str">
        <f t="shared" si="187"/>
        <v>Match</v>
      </c>
    </row>
    <row r="1324" spans="1:19" x14ac:dyDescent="0.25">
      <c r="A1324" t="s">
        <v>1252</v>
      </c>
      <c r="B1324">
        <v>19900</v>
      </c>
      <c r="C1324">
        <f t="shared" si="188"/>
        <v>199</v>
      </c>
      <c r="D1324">
        <v>4</v>
      </c>
      <c r="E1324">
        <v>5</v>
      </c>
      <c r="F1324">
        <v>19100</v>
      </c>
      <c r="G1324">
        <f t="shared" si="180"/>
        <v>191</v>
      </c>
      <c r="H1324">
        <v>250</v>
      </c>
      <c r="I1324" s="4">
        <f>Full_Data[[#This Row],[Selling Price]]/Full_Data[[#This Row],[Weight (g)]]</f>
        <v>0.76400000000000001</v>
      </c>
      <c r="J1324" t="b">
        <v>0</v>
      </c>
      <c r="K1324">
        <v>250</v>
      </c>
      <c r="L1324">
        <f t="shared" si="181"/>
        <v>8</v>
      </c>
      <c r="M1324" t="str">
        <f t="shared" si="182"/>
        <v>Medium</v>
      </c>
      <c r="N1324" t="str">
        <f t="shared" si="183"/>
        <v>0-5%</v>
      </c>
      <c r="O1324" t="str">
        <f t="shared" si="184"/>
        <v>OK</v>
      </c>
      <c r="P1324">
        <f>IFERROR(Full_Data!G1324/Full_Data!H1324,"Check data")</f>
        <v>0.76400000000000001</v>
      </c>
      <c r="Q1324" t="str">
        <f t="shared" si="185"/>
        <v>Match</v>
      </c>
      <c r="R1324" t="str">
        <f t="shared" si="186"/>
        <v>Mismatch</v>
      </c>
      <c r="S1324" t="str">
        <f t="shared" si="187"/>
        <v>Match</v>
      </c>
    </row>
    <row r="1325" spans="1:19" x14ac:dyDescent="0.25">
      <c r="A1325" t="s">
        <v>1253</v>
      </c>
      <c r="B1325">
        <v>13500</v>
      </c>
      <c r="C1325">
        <f t="shared" si="188"/>
        <v>135</v>
      </c>
      <c r="D1325">
        <v>0</v>
      </c>
      <c r="E1325">
        <v>1</v>
      </c>
      <c r="F1325">
        <v>13500</v>
      </c>
      <c r="G1325">
        <f t="shared" si="180"/>
        <v>135</v>
      </c>
      <c r="H1325">
        <v>192</v>
      </c>
      <c r="I1325" s="4">
        <f>Full_Data[[#This Row],[Selling Price]]/Full_Data[[#This Row],[Weight (g)]]</f>
        <v>0.703125</v>
      </c>
      <c r="J1325" t="b">
        <v>0</v>
      </c>
      <c r="K1325">
        <v>192</v>
      </c>
      <c r="L1325">
        <f t="shared" si="181"/>
        <v>0</v>
      </c>
      <c r="M1325" t="str">
        <f t="shared" si="182"/>
        <v>Medium</v>
      </c>
      <c r="N1325" t="str">
        <f t="shared" si="183"/>
        <v>0-5%</v>
      </c>
      <c r="O1325" t="str">
        <f t="shared" si="184"/>
        <v>OK</v>
      </c>
      <c r="P1325">
        <f>IFERROR(Full_Data!G1325/Full_Data!H1325,"Check data")</f>
        <v>0.703125</v>
      </c>
      <c r="Q1325" t="str">
        <f t="shared" si="185"/>
        <v>Match</v>
      </c>
      <c r="R1325" t="str">
        <f t="shared" si="186"/>
        <v>Match</v>
      </c>
      <c r="S1325" t="str">
        <f t="shared" si="187"/>
        <v>Match</v>
      </c>
    </row>
    <row r="1326" spans="1:19" x14ac:dyDescent="0.25">
      <c r="A1326" t="s">
        <v>1254</v>
      </c>
      <c r="B1326">
        <v>2500</v>
      </c>
      <c r="C1326">
        <f t="shared" si="188"/>
        <v>25</v>
      </c>
      <c r="D1326">
        <v>0</v>
      </c>
      <c r="E1326">
        <v>5</v>
      </c>
      <c r="F1326">
        <v>2500</v>
      </c>
      <c r="G1326">
        <f t="shared" si="180"/>
        <v>25</v>
      </c>
      <c r="H1326">
        <v>20</v>
      </c>
      <c r="I1326" s="4">
        <f>Full_Data[[#This Row],[Selling Price]]/Full_Data[[#This Row],[Weight (g)]]</f>
        <v>1.25</v>
      </c>
      <c r="J1326" t="b">
        <v>0</v>
      </c>
      <c r="K1326">
        <v>20</v>
      </c>
      <c r="L1326">
        <f t="shared" si="181"/>
        <v>0</v>
      </c>
      <c r="M1326" t="str">
        <f t="shared" si="182"/>
        <v>Low</v>
      </c>
      <c r="N1326" t="str">
        <f t="shared" si="183"/>
        <v>0-5%</v>
      </c>
      <c r="O1326" t="str">
        <f t="shared" si="184"/>
        <v>OK</v>
      </c>
      <c r="P1326">
        <f>IFERROR(Full_Data!G1326/Full_Data!H1326,"Check data")</f>
        <v>1.25</v>
      </c>
      <c r="Q1326" t="str">
        <f t="shared" si="185"/>
        <v>Match</v>
      </c>
      <c r="R1326" t="str">
        <f t="shared" si="186"/>
        <v>Match</v>
      </c>
      <c r="S1326" t="str">
        <f t="shared" si="187"/>
        <v>Match</v>
      </c>
    </row>
    <row r="1327" spans="1:19" x14ac:dyDescent="0.25">
      <c r="A1327" t="s">
        <v>1255</v>
      </c>
      <c r="B1327">
        <v>8000</v>
      </c>
      <c r="C1327">
        <f t="shared" si="188"/>
        <v>80</v>
      </c>
      <c r="D1327">
        <v>6</v>
      </c>
      <c r="E1327">
        <v>2</v>
      </c>
      <c r="F1327">
        <v>7500</v>
      </c>
      <c r="G1327">
        <f t="shared" si="180"/>
        <v>75</v>
      </c>
      <c r="H1327">
        <v>250</v>
      </c>
      <c r="I1327" s="4">
        <f>Full_Data[[#This Row],[Selling Price]]/Full_Data[[#This Row],[Weight (g)]]</f>
        <v>0.3</v>
      </c>
      <c r="J1327" t="b">
        <v>0</v>
      </c>
      <c r="K1327">
        <v>250</v>
      </c>
      <c r="L1327">
        <f t="shared" si="181"/>
        <v>5</v>
      </c>
      <c r="M1327" t="str">
        <f t="shared" si="182"/>
        <v>Medium</v>
      </c>
      <c r="N1327" t="str">
        <f t="shared" si="183"/>
        <v>6-10%</v>
      </c>
      <c r="O1327" t="str">
        <f t="shared" si="184"/>
        <v>OK</v>
      </c>
      <c r="P1327">
        <f>IFERROR(Full_Data!G1327/Full_Data!H1327,"Check data")</f>
        <v>0.3</v>
      </c>
      <c r="Q1327" t="str">
        <f t="shared" si="185"/>
        <v>Match</v>
      </c>
      <c r="R1327" t="str">
        <f t="shared" si="186"/>
        <v>Mismatch</v>
      </c>
      <c r="S1327" t="str">
        <f t="shared" si="187"/>
        <v>Match</v>
      </c>
    </row>
    <row r="1328" spans="1:19" x14ac:dyDescent="0.25">
      <c r="A1328" t="s">
        <v>1256</v>
      </c>
      <c r="B1328">
        <v>17000</v>
      </c>
      <c r="C1328">
        <f t="shared" si="188"/>
        <v>170</v>
      </c>
      <c r="D1328">
        <v>10</v>
      </c>
      <c r="E1328">
        <v>6</v>
      </c>
      <c r="F1328">
        <v>15300</v>
      </c>
      <c r="G1328">
        <f t="shared" si="180"/>
        <v>153</v>
      </c>
      <c r="H1328">
        <v>150</v>
      </c>
      <c r="I1328" s="4">
        <f>Full_Data[[#This Row],[Selling Price]]/Full_Data[[#This Row],[Weight (g)]]</f>
        <v>1.02</v>
      </c>
      <c r="J1328" t="b">
        <v>0</v>
      </c>
      <c r="K1328">
        <v>150</v>
      </c>
      <c r="L1328">
        <f t="shared" si="181"/>
        <v>17</v>
      </c>
      <c r="M1328" t="str">
        <f t="shared" si="182"/>
        <v>Medium</v>
      </c>
      <c r="N1328" t="str">
        <f t="shared" si="183"/>
        <v>6-10%</v>
      </c>
      <c r="O1328" t="str">
        <f t="shared" si="184"/>
        <v>OK</v>
      </c>
      <c r="P1328">
        <f>IFERROR(Full_Data!G1328/Full_Data!H1328,"Check data")</f>
        <v>1.02</v>
      </c>
      <c r="Q1328" t="str">
        <f t="shared" si="185"/>
        <v>Match</v>
      </c>
      <c r="R1328" t="str">
        <f t="shared" si="186"/>
        <v>Match</v>
      </c>
      <c r="S1328" t="str">
        <f t="shared" si="187"/>
        <v>Match</v>
      </c>
    </row>
    <row r="1329" spans="1:19" x14ac:dyDescent="0.25">
      <c r="A1329" t="s">
        <v>1257</v>
      </c>
      <c r="B1329">
        <v>6500</v>
      </c>
      <c r="C1329">
        <f t="shared" si="188"/>
        <v>65</v>
      </c>
      <c r="D1329">
        <v>9</v>
      </c>
      <c r="E1329">
        <v>3</v>
      </c>
      <c r="F1329">
        <v>5900</v>
      </c>
      <c r="G1329">
        <f t="shared" si="180"/>
        <v>59</v>
      </c>
      <c r="H1329">
        <v>24</v>
      </c>
      <c r="I1329" s="4">
        <f>Full_Data[[#This Row],[Selling Price]]/Full_Data[[#This Row],[Weight (g)]]</f>
        <v>2.4583333333333335</v>
      </c>
      <c r="J1329" t="b">
        <v>0</v>
      </c>
      <c r="K1329">
        <v>24</v>
      </c>
      <c r="L1329">
        <f t="shared" si="181"/>
        <v>6</v>
      </c>
      <c r="M1329" t="str">
        <f t="shared" si="182"/>
        <v>Medium</v>
      </c>
      <c r="N1329" t="str">
        <f t="shared" si="183"/>
        <v>6-10%</v>
      </c>
      <c r="O1329" t="str">
        <f t="shared" si="184"/>
        <v>OK</v>
      </c>
      <c r="P1329">
        <f>IFERROR(Full_Data!G1329/Full_Data!H1329,"Check data")</f>
        <v>2.4583333333333335</v>
      </c>
      <c r="Q1329" t="str">
        <f t="shared" si="185"/>
        <v>Match</v>
      </c>
      <c r="R1329" t="str">
        <f t="shared" si="186"/>
        <v>Mismatch</v>
      </c>
      <c r="S1329" t="str">
        <f t="shared" si="187"/>
        <v>Match</v>
      </c>
    </row>
    <row r="1330" spans="1:19" x14ac:dyDescent="0.25">
      <c r="A1330" t="s">
        <v>1258</v>
      </c>
      <c r="B1330">
        <v>13300</v>
      </c>
      <c r="C1330">
        <f t="shared" si="188"/>
        <v>133</v>
      </c>
      <c r="D1330">
        <v>2</v>
      </c>
      <c r="E1330">
        <v>5</v>
      </c>
      <c r="F1330">
        <v>13000</v>
      </c>
      <c r="G1330">
        <f t="shared" si="180"/>
        <v>130</v>
      </c>
      <c r="H1330">
        <v>1160</v>
      </c>
      <c r="I1330" s="4">
        <f>Full_Data[[#This Row],[Selling Price]]/Full_Data[[#This Row],[Weight (g)]]</f>
        <v>0.11206896551724138</v>
      </c>
      <c r="J1330" t="b">
        <v>0</v>
      </c>
      <c r="K1330">
        <v>20</v>
      </c>
      <c r="L1330">
        <f t="shared" si="181"/>
        <v>3</v>
      </c>
      <c r="M1330" t="str">
        <f t="shared" si="182"/>
        <v>Medium</v>
      </c>
      <c r="N1330" t="str">
        <f t="shared" si="183"/>
        <v>0-5%</v>
      </c>
      <c r="O1330" t="str">
        <f t="shared" si="184"/>
        <v>OK</v>
      </c>
      <c r="P1330">
        <f>IFERROR(Full_Data!G1330/Full_Data!H1330,"Check data")</f>
        <v>0.11206896551724138</v>
      </c>
      <c r="Q1330" t="str">
        <f t="shared" si="185"/>
        <v>Match</v>
      </c>
      <c r="R1330" t="str">
        <f t="shared" si="186"/>
        <v>Mismatch</v>
      </c>
      <c r="S1330" t="str">
        <f t="shared" si="187"/>
        <v>Match</v>
      </c>
    </row>
    <row r="1331" spans="1:19" x14ac:dyDescent="0.25">
      <c r="A1331" t="s">
        <v>1259</v>
      </c>
      <c r="B1331">
        <v>15800</v>
      </c>
      <c r="C1331">
        <f t="shared" si="188"/>
        <v>158</v>
      </c>
      <c r="D1331">
        <v>6</v>
      </c>
      <c r="E1331">
        <v>5</v>
      </c>
      <c r="F1331">
        <v>14700</v>
      </c>
      <c r="G1331">
        <f t="shared" si="180"/>
        <v>147</v>
      </c>
      <c r="H1331">
        <v>180</v>
      </c>
      <c r="I1331" s="4">
        <f>Full_Data[[#This Row],[Selling Price]]/Full_Data[[#This Row],[Weight (g)]]</f>
        <v>0.81666666666666665</v>
      </c>
      <c r="J1331" t="b">
        <v>0</v>
      </c>
      <c r="K1331">
        <v>180</v>
      </c>
      <c r="L1331">
        <f t="shared" si="181"/>
        <v>11</v>
      </c>
      <c r="M1331" t="str">
        <f t="shared" si="182"/>
        <v>Medium</v>
      </c>
      <c r="N1331" t="str">
        <f t="shared" si="183"/>
        <v>6-10%</v>
      </c>
      <c r="O1331" t="str">
        <f t="shared" si="184"/>
        <v>OK</v>
      </c>
      <c r="P1331">
        <f>IFERROR(Full_Data!G1331/Full_Data!H1331,"Check data")</f>
        <v>0.81666666666666665</v>
      </c>
      <c r="Q1331" t="str">
        <f t="shared" si="185"/>
        <v>Match</v>
      </c>
      <c r="R1331" t="str">
        <f t="shared" si="186"/>
        <v>Mismatch</v>
      </c>
      <c r="S1331" t="str">
        <f t="shared" si="187"/>
        <v>Mismatch</v>
      </c>
    </row>
    <row r="1332" spans="1:19" x14ac:dyDescent="0.25">
      <c r="A1332" t="s">
        <v>1260</v>
      </c>
      <c r="B1332">
        <v>28500</v>
      </c>
      <c r="C1332">
        <f t="shared" si="188"/>
        <v>285</v>
      </c>
      <c r="D1332">
        <v>0</v>
      </c>
      <c r="E1332">
        <v>5</v>
      </c>
      <c r="F1332">
        <v>28500</v>
      </c>
      <c r="G1332">
        <f t="shared" si="180"/>
        <v>285</v>
      </c>
      <c r="H1332">
        <v>340</v>
      </c>
      <c r="I1332" s="4">
        <f>Full_Data[[#This Row],[Selling Price]]/Full_Data[[#This Row],[Weight (g)]]</f>
        <v>0.83823529411764708</v>
      </c>
      <c r="J1332" t="b">
        <v>0</v>
      </c>
      <c r="K1332">
        <v>240</v>
      </c>
      <c r="L1332">
        <f t="shared" si="181"/>
        <v>0</v>
      </c>
      <c r="M1332" t="str">
        <f t="shared" si="182"/>
        <v>High</v>
      </c>
      <c r="N1332" t="str">
        <f t="shared" si="183"/>
        <v>0-5%</v>
      </c>
      <c r="O1332" t="str">
        <f t="shared" si="184"/>
        <v>OK</v>
      </c>
      <c r="P1332">
        <f>IFERROR(Full_Data!G1332/Full_Data!H1332,"Check data")</f>
        <v>0.83823529411764708</v>
      </c>
      <c r="Q1332" t="str">
        <f t="shared" si="185"/>
        <v>Match</v>
      </c>
      <c r="R1332" t="str">
        <f t="shared" si="186"/>
        <v>Match</v>
      </c>
      <c r="S1332" t="str">
        <f t="shared" si="187"/>
        <v>Match</v>
      </c>
    </row>
    <row r="1333" spans="1:19" x14ac:dyDescent="0.25">
      <c r="A1333" t="s">
        <v>1261</v>
      </c>
      <c r="B1333">
        <v>55000</v>
      </c>
      <c r="C1333">
        <f t="shared" si="188"/>
        <v>550</v>
      </c>
      <c r="D1333">
        <v>0</v>
      </c>
      <c r="E1333">
        <v>6</v>
      </c>
      <c r="F1333">
        <v>55000</v>
      </c>
      <c r="G1333">
        <f t="shared" si="180"/>
        <v>550</v>
      </c>
      <c r="H1333">
        <v>159</v>
      </c>
      <c r="I1333" s="4">
        <f>Full_Data[[#This Row],[Selling Price]]/Full_Data[[#This Row],[Weight (g)]]</f>
        <v>3.459119496855346</v>
      </c>
      <c r="J1333" t="b">
        <v>0</v>
      </c>
      <c r="K1333">
        <v>87</v>
      </c>
      <c r="L1333">
        <f t="shared" si="181"/>
        <v>0</v>
      </c>
      <c r="M1333" t="str">
        <f t="shared" si="182"/>
        <v>High</v>
      </c>
      <c r="N1333" t="str">
        <f t="shared" si="183"/>
        <v>0-5%</v>
      </c>
      <c r="O1333" t="str">
        <f t="shared" si="184"/>
        <v>OK</v>
      </c>
      <c r="P1333">
        <f>IFERROR(Full_Data!G1333/Full_Data!H1333,"Check data")</f>
        <v>3.459119496855346</v>
      </c>
      <c r="Q1333" t="str">
        <f t="shared" si="185"/>
        <v>Match</v>
      </c>
      <c r="R1333" t="str">
        <f t="shared" si="186"/>
        <v>Match</v>
      </c>
      <c r="S1333" t="str">
        <f t="shared" si="187"/>
        <v>Match</v>
      </c>
    </row>
    <row r="1334" spans="1:19" x14ac:dyDescent="0.25">
      <c r="A1334" t="s">
        <v>1262</v>
      </c>
      <c r="B1334">
        <v>39900</v>
      </c>
      <c r="C1334">
        <f t="shared" si="188"/>
        <v>399</v>
      </c>
      <c r="D1334">
        <v>10</v>
      </c>
      <c r="E1334">
        <v>6</v>
      </c>
      <c r="F1334">
        <v>35900</v>
      </c>
      <c r="G1334">
        <f t="shared" si="180"/>
        <v>359</v>
      </c>
      <c r="H1334">
        <v>150</v>
      </c>
      <c r="I1334" s="4">
        <f>Full_Data[[#This Row],[Selling Price]]/Full_Data[[#This Row],[Weight (g)]]</f>
        <v>2.3933333333333335</v>
      </c>
      <c r="J1334" t="b">
        <v>0</v>
      </c>
      <c r="K1334">
        <v>150</v>
      </c>
      <c r="L1334">
        <f t="shared" si="181"/>
        <v>40</v>
      </c>
      <c r="M1334" t="str">
        <f t="shared" si="182"/>
        <v>High</v>
      </c>
      <c r="N1334" t="str">
        <f t="shared" si="183"/>
        <v>6-10%</v>
      </c>
      <c r="O1334" t="str">
        <f t="shared" si="184"/>
        <v>OK</v>
      </c>
      <c r="P1334">
        <f>IFERROR(Full_Data!G1334/Full_Data!H1334,"Check data")</f>
        <v>2.3933333333333335</v>
      </c>
      <c r="Q1334" t="str">
        <f t="shared" si="185"/>
        <v>Match</v>
      </c>
      <c r="R1334" t="str">
        <f t="shared" si="186"/>
        <v>Mismatch</v>
      </c>
      <c r="S1334" t="str">
        <f t="shared" si="187"/>
        <v>Match</v>
      </c>
    </row>
    <row r="1335" spans="1:19" x14ac:dyDescent="0.25">
      <c r="A1335" t="s">
        <v>1263</v>
      </c>
      <c r="B1335">
        <v>55000</v>
      </c>
      <c r="C1335">
        <f t="shared" si="188"/>
        <v>550</v>
      </c>
      <c r="D1335">
        <v>0</v>
      </c>
      <c r="E1335">
        <v>4</v>
      </c>
      <c r="F1335">
        <v>55000</v>
      </c>
      <c r="G1335">
        <f t="shared" si="180"/>
        <v>550</v>
      </c>
      <c r="H1335">
        <v>159</v>
      </c>
      <c r="I1335" s="4">
        <f>Full_Data[[#This Row],[Selling Price]]/Full_Data[[#This Row],[Weight (g)]]</f>
        <v>3.459119496855346</v>
      </c>
      <c r="J1335" t="b">
        <v>0</v>
      </c>
      <c r="K1335">
        <v>159</v>
      </c>
      <c r="L1335">
        <f t="shared" si="181"/>
        <v>0</v>
      </c>
      <c r="M1335" t="str">
        <f t="shared" si="182"/>
        <v>High</v>
      </c>
      <c r="N1335" t="str">
        <f t="shared" si="183"/>
        <v>0-5%</v>
      </c>
      <c r="O1335" t="str">
        <f t="shared" si="184"/>
        <v>OK</v>
      </c>
      <c r="P1335">
        <f>IFERROR(Full_Data!G1335/Full_Data!H1335,"Check data")</f>
        <v>3.459119496855346</v>
      </c>
      <c r="Q1335" t="str">
        <f t="shared" si="185"/>
        <v>Match</v>
      </c>
      <c r="R1335" t="str">
        <f t="shared" si="186"/>
        <v>Match</v>
      </c>
      <c r="S1335" t="str">
        <f t="shared" si="187"/>
        <v>Match</v>
      </c>
    </row>
    <row r="1336" spans="1:19" x14ac:dyDescent="0.25">
      <c r="A1336" t="s">
        <v>1264</v>
      </c>
      <c r="B1336">
        <v>9900</v>
      </c>
      <c r="C1336">
        <f t="shared" si="188"/>
        <v>99</v>
      </c>
      <c r="D1336">
        <v>10</v>
      </c>
      <c r="E1336">
        <v>6</v>
      </c>
      <c r="F1336">
        <v>8900</v>
      </c>
      <c r="G1336">
        <f t="shared" si="180"/>
        <v>89</v>
      </c>
      <c r="H1336">
        <v>250</v>
      </c>
      <c r="I1336" s="4">
        <f>Full_Data[[#This Row],[Selling Price]]/Full_Data[[#This Row],[Weight (g)]]</f>
        <v>0.35599999999999998</v>
      </c>
      <c r="J1336" t="b">
        <v>0</v>
      </c>
      <c r="K1336">
        <v>250</v>
      </c>
      <c r="L1336">
        <f t="shared" si="181"/>
        <v>10</v>
      </c>
      <c r="M1336" t="str">
        <f t="shared" si="182"/>
        <v>Medium</v>
      </c>
      <c r="N1336" t="str">
        <f t="shared" si="183"/>
        <v>6-10%</v>
      </c>
      <c r="O1336" t="str">
        <f t="shared" si="184"/>
        <v>OK</v>
      </c>
      <c r="P1336">
        <f>IFERROR(Full_Data!G1336/Full_Data!H1336,"Check data")</f>
        <v>0.35599999999999998</v>
      </c>
      <c r="Q1336" t="str">
        <f t="shared" si="185"/>
        <v>Match</v>
      </c>
      <c r="R1336" t="str">
        <f t="shared" si="186"/>
        <v>Mismatch</v>
      </c>
      <c r="S1336" t="str">
        <f t="shared" si="187"/>
        <v>Match</v>
      </c>
    </row>
    <row r="1337" spans="1:19" x14ac:dyDescent="0.25">
      <c r="A1337" t="s">
        <v>1265</v>
      </c>
      <c r="B1337">
        <v>9800</v>
      </c>
      <c r="C1337">
        <f t="shared" si="188"/>
        <v>98</v>
      </c>
      <c r="D1337">
        <v>0</v>
      </c>
      <c r="E1337">
        <v>4</v>
      </c>
      <c r="F1337">
        <v>9800</v>
      </c>
      <c r="G1337">
        <f t="shared" si="180"/>
        <v>98</v>
      </c>
      <c r="H1337">
        <v>232</v>
      </c>
      <c r="I1337" s="4">
        <f>Full_Data[[#This Row],[Selling Price]]/Full_Data[[#This Row],[Weight (g)]]</f>
        <v>0.42241379310344829</v>
      </c>
      <c r="J1337" t="b">
        <v>0</v>
      </c>
      <c r="K1337">
        <v>4</v>
      </c>
      <c r="L1337">
        <f t="shared" si="181"/>
        <v>0</v>
      </c>
      <c r="M1337" t="str">
        <f t="shared" si="182"/>
        <v>Medium</v>
      </c>
      <c r="N1337" t="str">
        <f t="shared" si="183"/>
        <v>0-5%</v>
      </c>
      <c r="O1337" t="str">
        <f t="shared" si="184"/>
        <v>OK</v>
      </c>
      <c r="P1337">
        <f>IFERROR(Full_Data!G1337/Full_Data!H1337,"Check data")</f>
        <v>0.42241379310344829</v>
      </c>
      <c r="Q1337" t="str">
        <f t="shared" si="185"/>
        <v>Match</v>
      </c>
      <c r="R1337" t="str">
        <f t="shared" si="186"/>
        <v>Match</v>
      </c>
      <c r="S1337" t="str">
        <f t="shared" si="187"/>
        <v>Match</v>
      </c>
    </row>
    <row r="1338" spans="1:19" x14ac:dyDescent="0.25">
      <c r="A1338" t="s">
        <v>1266</v>
      </c>
      <c r="B1338">
        <v>20000</v>
      </c>
      <c r="C1338">
        <f t="shared" si="188"/>
        <v>200</v>
      </c>
      <c r="D1338">
        <v>10</v>
      </c>
      <c r="E1338">
        <v>3</v>
      </c>
      <c r="F1338">
        <v>18000</v>
      </c>
      <c r="G1338">
        <f t="shared" si="180"/>
        <v>180</v>
      </c>
      <c r="H1338">
        <v>120</v>
      </c>
      <c r="I1338" s="4">
        <f>Full_Data[[#This Row],[Selling Price]]/Full_Data[[#This Row],[Weight (g)]]</f>
        <v>1.5</v>
      </c>
      <c r="J1338" t="b">
        <v>0</v>
      </c>
      <c r="K1338">
        <v>120</v>
      </c>
      <c r="L1338">
        <f t="shared" si="181"/>
        <v>20</v>
      </c>
      <c r="M1338" t="str">
        <f t="shared" si="182"/>
        <v>Medium</v>
      </c>
      <c r="N1338" t="str">
        <f t="shared" si="183"/>
        <v>6-10%</v>
      </c>
      <c r="O1338" t="str">
        <f t="shared" si="184"/>
        <v>OK</v>
      </c>
      <c r="P1338">
        <f>IFERROR(Full_Data!G1338/Full_Data!H1338,"Check data")</f>
        <v>1.5</v>
      </c>
      <c r="Q1338" t="str">
        <f t="shared" si="185"/>
        <v>Match</v>
      </c>
      <c r="R1338" t="str">
        <f t="shared" si="186"/>
        <v>Match</v>
      </c>
      <c r="S1338" t="str">
        <f t="shared" si="187"/>
        <v>Match</v>
      </c>
    </row>
    <row r="1339" spans="1:19" x14ac:dyDescent="0.25">
      <c r="A1339" t="s">
        <v>1267</v>
      </c>
      <c r="B1339">
        <v>19900</v>
      </c>
      <c r="C1339">
        <f t="shared" si="188"/>
        <v>199</v>
      </c>
      <c r="D1339">
        <v>0</v>
      </c>
      <c r="E1339">
        <v>4</v>
      </c>
      <c r="F1339">
        <v>19900</v>
      </c>
      <c r="G1339">
        <f t="shared" si="180"/>
        <v>199</v>
      </c>
      <c r="H1339">
        <v>200</v>
      </c>
      <c r="I1339" s="4">
        <f>Full_Data[[#This Row],[Selling Price]]/Full_Data[[#This Row],[Weight (g)]]</f>
        <v>0.995</v>
      </c>
      <c r="J1339" t="b">
        <v>0</v>
      </c>
      <c r="K1339">
        <v>200</v>
      </c>
      <c r="L1339">
        <f t="shared" si="181"/>
        <v>0</v>
      </c>
      <c r="M1339" t="str">
        <f t="shared" si="182"/>
        <v>Medium</v>
      </c>
      <c r="N1339" t="str">
        <f t="shared" si="183"/>
        <v>0-5%</v>
      </c>
      <c r="O1339" t="str">
        <f t="shared" si="184"/>
        <v>OK</v>
      </c>
      <c r="P1339">
        <f>IFERROR(Full_Data!G1339/Full_Data!H1339,"Check data")</f>
        <v>0.995</v>
      </c>
      <c r="Q1339" t="str">
        <f t="shared" si="185"/>
        <v>Match</v>
      </c>
      <c r="R1339" t="str">
        <f t="shared" si="186"/>
        <v>Match</v>
      </c>
      <c r="S1339" t="str">
        <f t="shared" si="187"/>
        <v>Match</v>
      </c>
    </row>
    <row r="1340" spans="1:19" x14ac:dyDescent="0.25">
      <c r="A1340" t="s">
        <v>1268</v>
      </c>
      <c r="B1340">
        <v>26000</v>
      </c>
      <c r="C1340">
        <f t="shared" si="188"/>
        <v>260</v>
      </c>
      <c r="D1340">
        <v>5</v>
      </c>
      <c r="E1340">
        <v>6</v>
      </c>
      <c r="F1340">
        <v>24700</v>
      </c>
      <c r="G1340">
        <f t="shared" si="180"/>
        <v>247</v>
      </c>
      <c r="H1340">
        <v>625</v>
      </c>
      <c r="I1340" s="4">
        <f>Full_Data[[#This Row],[Selling Price]]/Full_Data[[#This Row],[Weight (g)]]</f>
        <v>0.3952</v>
      </c>
      <c r="J1340" t="b">
        <v>0</v>
      </c>
      <c r="K1340">
        <v>625</v>
      </c>
      <c r="L1340">
        <f t="shared" si="181"/>
        <v>13</v>
      </c>
      <c r="M1340" t="str">
        <f t="shared" si="182"/>
        <v>High</v>
      </c>
      <c r="N1340" t="str">
        <f t="shared" si="183"/>
        <v>0-5%</v>
      </c>
      <c r="O1340" t="str">
        <f t="shared" si="184"/>
        <v>OK</v>
      </c>
      <c r="P1340">
        <f>IFERROR(Full_Data!G1340/Full_Data!H1340,"Check data")</f>
        <v>0.3952</v>
      </c>
      <c r="Q1340" t="str">
        <f t="shared" si="185"/>
        <v>Match</v>
      </c>
      <c r="R1340" t="str">
        <f t="shared" si="186"/>
        <v>Match</v>
      </c>
      <c r="S1340" t="str">
        <f t="shared" si="187"/>
        <v>Match</v>
      </c>
    </row>
    <row r="1341" spans="1:19" x14ac:dyDescent="0.25">
      <c r="A1341" t="s">
        <v>1269</v>
      </c>
      <c r="B1341">
        <v>7500</v>
      </c>
      <c r="C1341">
        <f t="shared" si="188"/>
        <v>75</v>
      </c>
      <c r="D1341">
        <v>0</v>
      </c>
      <c r="E1341">
        <v>6</v>
      </c>
      <c r="F1341">
        <v>7500</v>
      </c>
      <c r="G1341">
        <f t="shared" si="180"/>
        <v>75</v>
      </c>
      <c r="H1341">
        <v>200</v>
      </c>
      <c r="I1341" s="4">
        <f>Full_Data[[#This Row],[Selling Price]]/Full_Data[[#This Row],[Weight (g)]]</f>
        <v>0.375</v>
      </c>
      <c r="J1341" t="b">
        <v>0</v>
      </c>
      <c r="K1341">
        <v>200</v>
      </c>
      <c r="L1341">
        <f t="shared" si="181"/>
        <v>0</v>
      </c>
      <c r="M1341" t="str">
        <f t="shared" si="182"/>
        <v>Medium</v>
      </c>
      <c r="N1341" t="str">
        <f t="shared" si="183"/>
        <v>0-5%</v>
      </c>
      <c r="O1341" t="str">
        <f t="shared" si="184"/>
        <v>OK</v>
      </c>
      <c r="P1341">
        <f>IFERROR(Full_Data!G1341/Full_Data!H1341,"Check data")</f>
        <v>0.375</v>
      </c>
      <c r="Q1341" t="str">
        <f t="shared" si="185"/>
        <v>Match</v>
      </c>
      <c r="R1341" t="str">
        <f t="shared" si="186"/>
        <v>Match</v>
      </c>
      <c r="S1341" t="str">
        <f t="shared" si="187"/>
        <v>Match</v>
      </c>
    </row>
    <row r="1342" spans="1:19" x14ac:dyDescent="0.25">
      <c r="A1342" t="s">
        <v>1270</v>
      </c>
      <c r="B1342">
        <v>29900</v>
      </c>
      <c r="C1342">
        <f t="shared" si="188"/>
        <v>299</v>
      </c>
      <c r="D1342">
        <v>6</v>
      </c>
      <c r="E1342">
        <v>5</v>
      </c>
      <c r="F1342">
        <v>27900</v>
      </c>
      <c r="G1342">
        <f t="shared" si="180"/>
        <v>279</v>
      </c>
      <c r="H1342">
        <v>28</v>
      </c>
      <c r="I1342" s="4">
        <f>Full_Data[[#This Row],[Selling Price]]/Full_Data[[#This Row],[Weight (g)]]</f>
        <v>9.9642857142857135</v>
      </c>
      <c r="J1342" t="b">
        <v>0</v>
      </c>
      <c r="K1342">
        <v>28</v>
      </c>
      <c r="L1342">
        <f t="shared" si="181"/>
        <v>20</v>
      </c>
      <c r="M1342" t="str">
        <f t="shared" si="182"/>
        <v>High</v>
      </c>
      <c r="N1342" t="str">
        <f t="shared" si="183"/>
        <v>6-10%</v>
      </c>
      <c r="O1342" t="str">
        <f t="shared" si="184"/>
        <v>OK</v>
      </c>
      <c r="P1342">
        <f>IFERROR(Full_Data!G1342/Full_Data!H1342,"Check data")</f>
        <v>9.9642857142857135</v>
      </c>
      <c r="Q1342" t="str">
        <f t="shared" si="185"/>
        <v>Match</v>
      </c>
      <c r="R1342" t="str">
        <f t="shared" si="186"/>
        <v>Mismatch</v>
      </c>
      <c r="S1342" t="str">
        <f t="shared" si="187"/>
        <v>Mismatch</v>
      </c>
    </row>
    <row r="1343" spans="1:19" x14ac:dyDescent="0.25">
      <c r="A1343" t="s">
        <v>1271</v>
      </c>
      <c r="B1343">
        <v>7000</v>
      </c>
      <c r="C1343">
        <f t="shared" si="188"/>
        <v>70</v>
      </c>
      <c r="D1343">
        <v>0</v>
      </c>
      <c r="E1343">
        <v>6</v>
      </c>
      <c r="F1343">
        <v>7000</v>
      </c>
      <c r="G1343">
        <f t="shared" si="180"/>
        <v>70</v>
      </c>
      <c r="H1343">
        <v>100</v>
      </c>
      <c r="I1343" s="4">
        <f>Full_Data[[#This Row],[Selling Price]]/Full_Data[[#This Row],[Weight (g)]]</f>
        <v>0.7</v>
      </c>
      <c r="J1343" t="b">
        <v>0</v>
      </c>
      <c r="K1343">
        <v>100</v>
      </c>
      <c r="L1343">
        <f t="shared" si="181"/>
        <v>0</v>
      </c>
      <c r="M1343" t="str">
        <f t="shared" si="182"/>
        <v>Medium</v>
      </c>
      <c r="N1343" t="str">
        <f t="shared" si="183"/>
        <v>0-5%</v>
      </c>
      <c r="O1343" t="str">
        <f t="shared" si="184"/>
        <v>OK</v>
      </c>
      <c r="P1343">
        <f>IFERROR(Full_Data!G1343/Full_Data!H1343,"Check data")</f>
        <v>0.7</v>
      </c>
      <c r="Q1343" t="str">
        <f t="shared" si="185"/>
        <v>Match</v>
      </c>
      <c r="R1343" t="str">
        <f t="shared" si="186"/>
        <v>Match</v>
      </c>
      <c r="S1343" t="str">
        <f t="shared" si="187"/>
        <v>Match</v>
      </c>
    </row>
    <row r="1344" spans="1:19" x14ac:dyDescent="0.25">
      <c r="A1344" t="s">
        <v>1272</v>
      </c>
      <c r="B1344">
        <v>20000</v>
      </c>
      <c r="C1344">
        <f t="shared" si="188"/>
        <v>200</v>
      </c>
      <c r="D1344">
        <v>10</v>
      </c>
      <c r="E1344">
        <v>6</v>
      </c>
      <c r="F1344">
        <v>18000</v>
      </c>
      <c r="G1344">
        <f t="shared" si="180"/>
        <v>180</v>
      </c>
      <c r="H1344">
        <v>120</v>
      </c>
      <c r="I1344" s="4">
        <f>Full_Data[[#This Row],[Selling Price]]/Full_Data[[#This Row],[Weight (g)]]</f>
        <v>1.5</v>
      </c>
      <c r="J1344" t="b">
        <v>0</v>
      </c>
      <c r="K1344">
        <v>120</v>
      </c>
      <c r="L1344">
        <f t="shared" si="181"/>
        <v>20</v>
      </c>
      <c r="M1344" t="str">
        <f t="shared" si="182"/>
        <v>Medium</v>
      </c>
      <c r="N1344" t="str">
        <f t="shared" si="183"/>
        <v>6-10%</v>
      </c>
      <c r="O1344" t="str">
        <f t="shared" si="184"/>
        <v>OK</v>
      </c>
      <c r="P1344">
        <f>IFERROR(Full_Data!G1344/Full_Data!H1344,"Check data")</f>
        <v>1.5</v>
      </c>
      <c r="Q1344" t="str">
        <f t="shared" si="185"/>
        <v>Match</v>
      </c>
      <c r="R1344" t="str">
        <f t="shared" si="186"/>
        <v>Match</v>
      </c>
      <c r="S1344" t="str">
        <f t="shared" si="187"/>
        <v>Match</v>
      </c>
    </row>
    <row r="1345" spans="1:19" x14ac:dyDescent="0.25">
      <c r="A1345" t="s">
        <v>1273</v>
      </c>
      <c r="B1345">
        <v>6500</v>
      </c>
      <c r="C1345">
        <f t="shared" si="188"/>
        <v>65</v>
      </c>
      <c r="D1345">
        <v>10</v>
      </c>
      <c r="E1345">
        <v>4</v>
      </c>
      <c r="F1345">
        <v>5800</v>
      </c>
      <c r="G1345">
        <f t="shared" si="180"/>
        <v>58</v>
      </c>
      <c r="H1345">
        <v>40</v>
      </c>
      <c r="I1345" s="4">
        <f>Full_Data[[#This Row],[Selling Price]]/Full_Data[[#This Row],[Weight (g)]]</f>
        <v>1.45</v>
      </c>
      <c r="J1345" t="b">
        <v>0</v>
      </c>
      <c r="K1345">
        <v>40</v>
      </c>
      <c r="L1345">
        <f t="shared" si="181"/>
        <v>7</v>
      </c>
      <c r="M1345" t="str">
        <f t="shared" si="182"/>
        <v>Medium</v>
      </c>
      <c r="N1345" t="str">
        <f t="shared" si="183"/>
        <v>6-10%</v>
      </c>
      <c r="O1345" t="str">
        <f t="shared" si="184"/>
        <v>OK</v>
      </c>
      <c r="P1345">
        <f>IFERROR(Full_Data!G1345/Full_Data!H1345,"Check data")</f>
        <v>1.45</v>
      </c>
      <c r="Q1345" t="str">
        <f t="shared" si="185"/>
        <v>Match</v>
      </c>
      <c r="R1345" t="str">
        <f t="shared" si="186"/>
        <v>Mismatch</v>
      </c>
      <c r="S1345" t="str">
        <f t="shared" si="187"/>
        <v>Mismatch</v>
      </c>
    </row>
    <row r="1346" spans="1:19" x14ac:dyDescent="0.25">
      <c r="A1346" t="s">
        <v>1274</v>
      </c>
      <c r="B1346">
        <v>19000</v>
      </c>
      <c r="C1346">
        <f t="shared" si="188"/>
        <v>190</v>
      </c>
      <c r="D1346">
        <v>0</v>
      </c>
      <c r="E1346">
        <v>4</v>
      </c>
      <c r="F1346">
        <v>19000</v>
      </c>
      <c r="G1346">
        <f t="shared" ref="G1346:G1409" si="189">F1346/100</f>
        <v>190</v>
      </c>
      <c r="H1346">
        <v>175</v>
      </c>
      <c r="I1346" s="4">
        <f>Full_Data[[#This Row],[Selling Price]]/Full_Data[[#This Row],[Weight (g)]]</f>
        <v>1.0857142857142856</v>
      </c>
      <c r="J1346" t="b">
        <v>0</v>
      </c>
      <c r="K1346">
        <v>175</v>
      </c>
      <c r="L1346">
        <f t="shared" ref="L1346:L1409" si="190">C1346-G1346</f>
        <v>0</v>
      </c>
      <c r="M1346" t="str">
        <f t="shared" ref="M1346:M1409" si="191">IF(G1346&lt;50,"Low",IF(G1346&lt;200,"Medium","High"))</f>
        <v>Medium</v>
      </c>
      <c r="N1346" t="str">
        <f t="shared" ref="N1346:N1409" si="192">IF(D1346&lt;=5,"0-5%",
IF(D1346&lt;=10,"6-10%",
IF(D1346&lt;=15,"11-15%",
IF(D1346&lt;=20,"16-20%","21%+"))))</f>
        <v>0-5%</v>
      </c>
      <c r="O1346" t="str">
        <f t="shared" ref="O1346:O1409" si="193">IF(AND(C1346=0,G1346=0),"Review: Zero MRP and selling price",IF(C1346&lt;=0,"Review: Invalid MRP",IF(G1346&lt;0,"Review: Negative selling price",IF(G1346=0,"Review: Zero selling price",IF(H1346&lt;=0,"Review: Invalid weight","OK")))))</f>
        <v>OK</v>
      </c>
      <c r="P1346">
        <f>IFERROR(Full_Data!G1346/Full_Data!H1346,"Check data")</f>
        <v>1.0857142857142856</v>
      </c>
      <c r="Q1346" t="str">
        <f t="shared" ref="Q1346:Q1409" si="194">IF(OR(H1346="",H1346&lt;=0),"Invalid weight",IF(G1346="","Missing selling price",IF(ROUND(G1346/H1346,2)=ROUND(I1346,2),"Match","Mismatch")))</f>
        <v>Match</v>
      </c>
      <c r="R1346" t="str">
        <f t="shared" ref="R1346:R1409" si="195">IF(OR(C1346&lt;=0,G1346=""),"Check data",IF(ROUND((C1346-G1346)/C1346*100,2)=ROUND(D1346,2),"Match","Mismatch"))</f>
        <v>Match</v>
      </c>
      <c r="S1346" t="str">
        <f t="shared" ref="S1346:S1409" si="196">IF(OR(C1346&lt;=0,G1346=""),"Check data",IF(ROUND((C1346-G1346)/C1346*100,0)=D1346,"Match","Mismatch"))</f>
        <v>Match</v>
      </c>
    </row>
    <row r="1347" spans="1:19" x14ac:dyDescent="0.25">
      <c r="A1347" t="s">
        <v>1275</v>
      </c>
      <c r="B1347">
        <v>13000</v>
      </c>
      <c r="C1347">
        <f t="shared" ref="C1347:C1410" si="197">B1347/100</f>
        <v>130</v>
      </c>
      <c r="D1347">
        <v>12</v>
      </c>
      <c r="E1347">
        <v>2</v>
      </c>
      <c r="F1347">
        <v>11400</v>
      </c>
      <c r="G1347">
        <f t="shared" si="189"/>
        <v>114</v>
      </c>
      <c r="H1347">
        <v>200</v>
      </c>
      <c r="I1347" s="4">
        <f>Full_Data[[#This Row],[Selling Price]]/Full_Data[[#This Row],[Weight (g)]]</f>
        <v>0.56999999999999995</v>
      </c>
      <c r="J1347" t="b">
        <v>0</v>
      </c>
      <c r="K1347">
        <v>200</v>
      </c>
      <c r="L1347">
        <f t="shared" si="190"/>
        <v>16</v>
      </c>
      <c r="M1347" t="str">
        <f t="shared" si="191"/>
        <v>Medium</v>
      </c>
      <c r="N1347" t="str">
        <f t="shared" si="192"/>
        <v>11-15%</v>
      </c>
      <c r="O1347" t="str">
        <f t="shared" si="193"/>
        <v>OK</v>
      </c>
      <c r="P1347">
        <f>IFERROR(Full_Data!G1347/Full_Data!H1347,"Check data")</f>
        <v>0.56999999999999995</v>
      </c>
      <c r="Q1347" t="str">
        <f t="shared" si="194"/>
        <v>Match</v>
      </c>
      <c r="R1347" t="str">
        <f t="shared" si="195"/>
        <v>Mismatch</v>
      </c>
      <c r="S1347" t="str">
        <f t="shared" si="196"/>
        <v>Match</v>
      </c>
    </row>
    <row r="1348" spans="1:19" x14ac:dyDescent="0.25">
      <c r="A1348" t="s">
        <v>1276</v>
      </c>
      <c r="B1348">
        <v>17600</v>
      </c>
      <c r="C1348">
        <f t="shared" si="197"/>
        <v>176</v>
      </c>
      <c r="D1348">
        <v>10</v>
      </c>
      <c r="E1348">
        <v>3</v>
      </c>
      <c r="F1348">
        <v>15800</v>
      </c>
      <c r="G1348">
        <f t="shared" si="189"/>
        <v>158</v>
      </c>
      <c r="H1348">
        <v>375</v>
      </c>
      <c r="I1348" s="4">
        <f>Full_Data[[#This Row],[Selling Price]]/Full_Data[[#This Row],[Weight (g)]]</f>
        <v>0.42133333333333334</v>
      </c>
      <c r="J1348" t="b">
        <v>0</v>
      </c>
      <c r="K1348">
        <v>375</v>
      </c>
      <c r="L1348">
        <f t="shared" si="190"/>
        <v>18</v>
      </c>
      <c r="M1348" t="str">
        <f t="shared" si="191"/>
        <v>Medium</v>
      </c>
      <c r="N1348" t="str">
        <f t="shared" si="192"/>
        <v>6-10%</v>
      </c>
      <c r="O1348" t="str">
        <f t="shared" si="193"/>
        <v>OK</v>
      </c>
      <c r="P1348">
        <f>IFERROR(Full_Data!G1348/Full_Data!H1348,"Check data")</f>
        <v>0.42133333333333334</v>
      </c>
      <c r="Q1348" t="str">
        <f t="shared" si="194"/>
        <v>Match</v>
      </c>
      <c r="R1348" t="str">
        <f t="shared" si="195"/>
        <v>Mismatch</v>
      </c>
      <c r="S1348" t="str">
        <f t="shared" si="196"/>
        <v>Match</v>
      </c>
    </row>
    <row r="1349" spans="1:19" x14ac:dyDescent="0.25">
      <c r="A1349" t="s">
        <v>1277</v>
      </c>
      <c r="B1349">
        <v>12500</v>
      </c>
      <c r="C1349">
        <f t="shared" si="197"/>
        <v>125</v>
      </c>
      <c r="D1349">
        <v>0</v>
      </c>
      <c r="E1349">
        <v>6</v>
      </c>
      <c r="F1349">
        <v>12500</v>
      </c>
      <c r="G1349">
        <f t="shared" si="189"/>
        <v>125</v>
      </c>
      <c r="H1349">
        <v>75</v>
      </c>
      <c r="I1349" s="4">
        <f>Full_Data[[#This Row],[Selling Price]]/Full_Data[[#This Row],[Weight (g)]]</f>
        <v>1.6666666666666667</v>
      </c>
      <c r="J1349" t="b">
        <v>0</v>
      </c>
      <c r="K1349">
        <v>75</v>
      </c>
      <c r="L1349">
        <f t="shared" si="190"/>
        <v>0</v>
      </c>
      <c r="M1349" t="str">
        <f t="shared" si="191"/>
        <v>Medium</v>
      </c>
      <c r="N1349" t="str">
        <f t="shared" si="192"/>
        <v>0-5%</v>
      </c>
      <c r="O1349" t="str">
        <f t="shared" si="193"/>
        <v>OK</v>
      </c>
      <c r="P1349">
        <f>IFERROR(Full_Data!G1349/Full_Data!H1349,"Check data")</f>
        <v>1.6666666666666667</v>
      </c>
      <c r="Q1349" t="str">
        <f t="shared" si="194"/>
        <v>Match</v>
      </c>
      <c r="R1349" t="str">
        <f t="shared" si="195"/>
        <v>Match</v>
      </c>
      <c r="S1349" t="str">
        <f t="shared" si="196"/>
        <v>Match</v>
      </c>
    </row>
    <row r="1350" spans="1:19" x14ac:dyDescent="0.25">
      <c r="A1350" t="s">
        <v>1278</v>
      </c>
      <c r="B1350">
        <v>15000</v>
      </c>
      <c r="C1350">
        <f t="shared" si="197"/>
        <v>150</v>
      </c>
      <c r="D1350">
        <v>6</v>
      </c>
      <c r="E1350">
        <v>3</v>
      </c>
      <c r="F1350">
        <v>14000</v>
      </c>
      <c r="G1350">
        <f t="shared" si="189"/>
        <v>140</v>
      </c>
      <c r="H1350">
        <v>400</v>
      </c>
      <c r="I1350" s="4">
        <f>Full_Data[[#This Row],[Selling Price]]/Full_Data[[#This Row],[Weight (g)]]</f>
        <v>0.35</v>
      </c>
      <c r="J1350" t="b">
        <v>0</v>
      </c>
      <c r="K1350">
        <v>400</v>
      </c>
      <c r="L1350">
        <f t="shared" si="190"/>
        <v>10</v>
      </c>
      <c r="M1350" t="str">
        <f t="shared" si="191"/>
        <v>Medium</v>
      </c>
      <c r="N1350" t="str">
        <f t="shared" si="192"/>
        <v>6-10%</v>
      </c>
      <c r="O1350" t="str">
        <f t="shared" si="193"/>
        <v>OK</v>
      </c>
      <c r="P1350">
        <f>IFERROR(Full_Data!G1350/Full_Data!H1350,"Check data")</f>
        <v>0.35</v>
      </c>
      <c r="Q1350" t="str">
        <f t="shared" si="194"/>
        <v>Match</v>
      </c>
      <c r="R1350" t="str">
        <f t="shared" si="195"/>
        <v>Mismatch</v>
      </c>
      <c r="S1350" t="str">
        <f t="shared" si="196"/>
        <v>Mismatch</v>
      </c>
    </row>
    <row r="1351" spans="1:19" x14ac:dyDescent="0.25">
      <c r="A1351" t="s">
        <v>1279</v>
      </c>
      <c r="B1351">
        <v>9900</v>
      </c>
      <c r="C1351">
        <f t="shared" si="197"/>
        <v>99</v>
      </c>
      <c r="D1351">
        <v>10</v>
      </c>
      <c r="E1351">
        <v>6</v>
      </c>
      <c r="F1351">
        <v>8900</v>
      </c>
      <c r="G1351">
        <f t="shared" si="189"/>
        <v>89</v>
      </c>
      <c r="H1351">
        <v>250</v>
      </c>
      <c r="I1351" s="4">
        <f>Full_Data[[#This Row],[Selling Price]]/Full_Data[[#This Row],[Weight (g)]]</f>
        <v>0.35599999999999998</v>
      </c>
      <c r="J1351" t="b">
        <v>0</v>
      </c>
      <c r="K1351">
        <v>250</v>
      </c>
      <c r="L1351">
        <f t="shared" si="190"/>
        <v>10</v>
      </c>
      <c r="M1351" t="str">
        <f t="shared" si="191"/>
        <v>Medium</v>
      </c>
      <c r="N1351" t="str">
        <f t="shared" si="192"/>
        <v>6-10%</v>
      </c>
      <c r="O1351" t="str">
        <f t="shared" si="193"/>
        <v>OK</v>
      </c>
      <c r="P1351">
        <f>IFERROR(Full_Data!G1351/Full_Data!H1351,"Check data")</f>
        <v>0.35599999999999998</v>
      </c>
      <c r="Q1351" t="str">
        <f t="shared" si="194"/>
        <v>Match</v>
      </c>
      <c r="R1351" t="str">
        <f t="shared" si="195"/>
        <v>Mismatch</v>
      </c>
      <c r="S1351" t="str">
        <f t="shared" si="196"/>
        <v>Match</v>
      </c>
    </row>
    <row r="1352" spans="1:19" x14ac:dyDescent="0.25">
      <c r="A1352" t="s">
        <v>1280</v>
      </c>
      <c r="B1352">
        <v>16000</v>
      </c>
      <c r="C1352">
        <f t="shared" si="197"/>
        <v>160</v>
      </c>
      <c r="D1352">
        <v>0</v>
      </c>
      <c r="E1352">
        <v>5</v>
      </c>
      <c r="F1352">
        <v>16000</v>
      </c>
      <c r="G1352">
        <f t="shared" si="189"/>
        <v>160</v>
      </c>
      <c r="H1352">
        <v>232</v>
      </c>
      <c r="I1352" s="4">
        <f>Full_Data[[#This Row],[Selling Price]]/Full_Data[[#This Row],[Weight (g)]]</f>
        <v>0.68965517241379315</v>
      </c>
      <c r="J1352" t="b">
        <v>0</v>
      </c>
      <c r="K1352">
        <v>4</v>
      </c>
      <c r="L1352">
        <f t="shared" si="190"/>
        <v>0</v>
      </c>
      <c r="M1352" t="str">
        <f t="shared" si="191"/>
        <v>Medium</v>
      </c>
      <c r="N1352" t="str">
        <f t="shared" si="192"/>
        <v>0-5%</v>
      </c>
      <c r="O1352" t="str">
        <f t="shared" si="193"/>
        <v>OK</v>
      </c>
      <c r="P1352">
        <f>IFERROR(Full_Data!G1352/Full_Data!H1352,"Check data")</f>
        <v>0.68965517241379315</v>
      </c>
      <c r="Q1352" t="str">
        <f t="shared" si="194"/>
        <v>Match</v>
      </c>
      <c r="R1352" t="str">
        <f t="shared" si="195"/>
        <v>Match</v>
      </c>
      <c r="S1352" t="str">
        <f t="shared" si="196"/>
        <v>Match</v>
      </c>
    </row>
    <row r="1353" spans="1:19" x14ac:dyDescent="0.25">
      <c r="A1353" t="s">
        <v>1281</v>
      </c>
      <c r="B1353">
        <v>34900</v>
      </c>
      <c r="C1353">
        <f t="shared" si="197"/>
        <v>349</v>
      </c>
      <c r="D1353">
        <v>6</v>
      </c>
      <c r="E1353">
        <v>5</v>
      </c>
      <c r="F1353">
        <v>32500</v>
      </c>
      <c r="G1353">
        <f t="shared" si="189"/>
        <v>325</v>
      </c>
      <c r="H1353">
        <v>58</v>
      </c>
      <c r="I1353" s="4">
        <f>Full_Data[[#This Row],[Selling Price]]/Full_Data[[#This Row],[Weight (g)]]</f>
        <v>5.6034482758620694</v>
      </c>
      <c r="J1353" t="b">
        <v>0</v>
      </c>
      <c r="K1353">
        <v>1</v>
      </c>
      <c r="L1353">
        <f t="shared" si="190"/>
        <v>24</v>
      </c>
      <c r="M1353" t="str">
        <f t="shared" si="191"/>
        <v>High</v>
      </c>
      <c r="N1353" t="str">
        <f t="shared" si="192"/>
        <v>6-10%</v>
      </c>
      <c r="O1353" t="str">
        <f t="shared" si="193"/>
        <v>OK</v>
      </c>
      <c r="P1353">
        <f>IFERROR(Full_Data!G1353/Full_Data!H1353,"Check data")</f>
        <v>5.6034482758620694</v>
      </c>
      <c r="Q1353" t="str">
        <f t="shared" si="194"/>
        <v>Match</v>
      </c>
      <c r="R1353" t="str">
        <f t="shared" si="195"/>
        <v>Mismatch</v>
      </c>
      <c r="S1353" t="str">
        <f t="shared" si="196"/>
        <v>Mismatch</v>
      </c>
    </row>
    <row r="1354" spans="1:19" x14ac:dyDescent="0.25">
      <c r="A1354" t="s">
        <v>1282</v>
      </c>
      <c r="B1354">
        <v>16500</v>
      </c>
      <c r="C1354">
        <f t="shared" si="197"/>
        <v>165</v>
      </c>
      <c r="D1354">
        <v>12</v>
      </c>
      <c r="E1354">
        <v>3</v>
      </c>
      <c r="F1354">
        <v>14500</v>
      </c>
      <c r="G1354">
        <f t="shared" si="189"/>
        <v>145</v>
      </c>
      <c r="H1354">
        <v>200</v>
      </c>
      <c r="I1354" s="4">
        <f>Full_Data[[#This Row],[Selling Price]]/Full_Data[[#This Row],[Weight (g)]]</f>
        <v>0.72499999999999998</v>
      </c>
      <c r="J1354" t="b">
        <v>0</v>
      </c>
      <c r="K1354">
        <v>200</v>
      </c>
      <c r="L1354">
        <f t="shared" si="190"/>
        <v>20</v>
      </c>
      <c r="M1354" t="str">
        <f t="shared" si="191"/>
        <v>Medium</v>
      </c>
      <c r="N1354" t="str">
        <f t="shared" si="192"/>
        <v>11-15%</v>
      </c>
      <c r="O1354" t="str">
        <f t="shared" si="193"/>
        <v>OK</v>
      </c>
      <c r="P1354">
        <f>IFERROR(Full_Data!G1354/Full_Data!H1354,"Check data")</f>
        <v>0.72499999999999998</v>
      </c>
      <c r="Q1354" t="str">
        <f t="shared" si="194"/>
        <v>Match</v>
      </c>
      <c r="R1354" t="str">
        <f t="shared" si="195"/>
        <v>Mismatch</v>
      </c>
      <c r="S1354" t="str">
        <f t="shared" si="196"/>
        <v>Match</v>
      </c>
    </row>
    <row r="1355" spans="1:19" x14ac:dyDescent="0.25">
      <c r="A1355" t="s">
        <v>1283</v>
      </c>
      <c r="B1355">
        <v>37500</v>
      </c>
      <c r="C1355">
        <f t="shared" si="197"/>
        <v>375</v>
      </c>
      <c r="D1355">
        <v>0</v>
      </c>
      <c r="E1355">
        <v>1</v>
      </c>
      <c r="F1355">
        <v>37500</v>
      </c>
      <c r="G1355">
        <f t="shared" si="189"/>
        <v>375</v>
      </c>
      <c r="H1355">
        <v>340</v>
      </c>
      <c r="I1355" s="4">
        <f>Full_Data[[#This Row],[Selling Price]]/Full_Data[[#This Row],[Weight (g)]]</f>
        <v>1.1029411764705883</v>
      </c>
      <c r="J1355" t="b">
        <v>0</v>
      </c>
      <c r="K1355">
        <v>180</v>
      </c>
      <c r="L1355">
        <f t="shared" si="190"/>
        <v>0</v>
      </c>
      <c r="M1355" t="str">
        <f t="shared" si="191"/>
        <v>High</v>
      </c>
      <c r="N1355" t="str">
        <f t="shared" si="192"/>
        <v>0-5%</v>
      </c>
      <c r="O1355" t="str">
        <f t="shared" si="193"/>
        <v>OK</v>
      </c>
      <c r="P1355">
        <f>IFERROR(Full_Data!G1355/Full_Data!H1355,"Check data")</f>
        <v>1.1029411764705883</v>
      </c>
      <c r="Q1355" t="str">
        <f t="shared" si="194"/>
        <v>Match</v>
      </c>
      <c r="R1355" t="str">
        <f t="shared" si="195"/>
        <v>Match</v>
      </c>
      <c r="S1355" t="str">
        <f t="shared" si="196"/>
        <v>Match</v>
      </c>
    </row>
    <row r="1356" spans="1:19" x14ac:dyDescent="0.25">
      <c r="A1356" t="s">
        <v>1284</v>
      </c>
      <c r="B1356">
        <v>24900</v>
      </c>
      <c r="C1356">
        <f t="shared" si="197"/>
        <v>249</v>
      </c>
      <c r="D1356">
        <v>6</v>
      </c>
      <c r="E1356">
        <v>6</v>
      </c>
      <c r="F1356">
        <v>23400</v>
      </c>
      <c r="G1356">
        <f t="shared" si="189"/>
        <v>234</v>
      </c>
      <c r="H1356">
        <v>340</v>
      </c>
      <c r="I1356" s="4">
        <f>Full_Data[[#This Row],[Selling Price]]/Full_Data[[#This Row],[Weight (g)]]</f>
        <v>0.68823529411764706</v>
      </c>
      <c r="J1356" t="b">
        <v>0</v>
      </c>
      <c r="K1356">
        <v>340</v>
      </c>
      <c r="L1356">
        <f t="shared" si="190"/>
        <v>15</v>
      </c>
      <c r="M1356" t="str">
        <f t="shared" si="191"/>
        <v>High</v>
      </c>
      <c r="N1356" t="str">
        <f t="shared" si="192"/>
        <v>6-10%</v>
      </c>
      <c r="O1356" t="str">
        <f t="shared" si="193"/>
        <v>OK</v>
      </c>
      <c r="P1356">
        <f>IFERROR(Full_Data!G1356/Full_Data!H1356,"Check data")</f>
        <v>0.68823529411764706</v>
      </c>
      <c r="Q1356" t="str">
        <f t="shared" si="194"/>
        <v>Match</v>
      </c>
      <c r="R1356" t="str">
        <f t="shared" si="195"/>
        <v>Mismatch</v>
      </c>
      <c r="S1356" t="str">
        <f t="shared" si="196"/>
        <v>Match</v>
      </c>
    </row>
    <row r="1357" spans="1:19" x14ac:dyDescent="0.25">
      <c r="A1357" t="s">
        <v>1285</v>
      </c>
      <c r="B1357">
        <v>22500</v>
      </c>
      <c r="C1357">
        <f t="shared" si="197"/>
        <v>225</v>
      </c>
      <c r="D1357">
        <v>4</v>
      </c>
      <c r="E1357">
        <v>3</v>
      </c>
      <c r="F1357">
        <v>21400</v>
      </c>
      <c r="G1357">
        <f t="shared" si="189"/>
        <v>214</v>
      </c>
      <c r="H1357">
        <v>250</v>
      </c>
      <c r="I1357" s="4">
        <f>Full_Data[[#This Row],[Selling Price]]/Full_Data[[#This Row],[Weight (g)]]</f>
        <v>0.85599999999999998</v>
      </c>
      <c r="J1357" t="b">
        <v>0</v>
      </c>
      <c r="K1357">
        <v>250</v>
      </c>
      <c r="L1357">
        <f t="shared" si="190"/>
        <v>11</v>
      </c>
      <c r="M1357" t="str">
        <f t="shared" si="191"/>
        <v>High</v>
      </c>
      <c r="N1357" t="str">
        <f t="shared" si="192"/>
        <v>0-5%</v>
      </c>
      <c r="O1357" t="str">
        <f t="shared" si="193"/>
        <v>OK</v>
      </c>
      <c r="P1357">
        <f>IFERROR(Full_Data!G1357/Full_Data!H1357,"Check data")</f>
        <v>0.85599999999999998</v>
      </c>
      <c r="Q1357" t="str">
        <f t="shared" si="194"/>
        <v>Match</v>
      </c>
      <c r="R1357" t="str">
        <f t="shared" si="195"/>
        <v>Mismatch</v>
      </c>
      <c r="S1357" t="str">
        <f t="shared" si="196"/>
        <v>Mismatch</v>
      </c>
    </row>
    <row r="1358" spans="1:19" x14ac:dyDescent="0.25">
      <c r="A1358" t="s">
        <v>1286</v>
      </c>
      <c r="B1358">
        <v>60000</v>
      </c>
      <c r="C1358">
        <f t="shared" si="197"/>
        <v>600</v>
      </c>
      <c r="D1358">
        <v>10</v>
      </c>
      <c r="E1358">
        <v>2</v>
      </c>
      <c r="F1358">
        <v>54000</v>
      </c>
      <c r="G1358">
        <f t="shared" si="189"/>
        <v>540</v>
      </c>
      <c r="H1358">
        <v>200</v>
      </c>
      <c r="I1358" s="4">
        <f>Full_Data[[#This Row],[Selling Price]]/Full_Data[[#This Row],[Weight (g)]]</f>
        <v>2.7</v>
      </c>
      <c r="J1358" t="b">
        <v>0</v>
      </c>
      <c r="K1358">
        <v>200</v>
      </c>
      <c r="L1358">
        <f t="shared" si="190"/>
        <v>60</v>
      </c>
      <c r="M1358" t="str">
        <f t="shared" si="191"/>
        <v>High</v>
      </c>
      <c r="N1358" t="str">
        <f t="shared" si="192"/>
        <v>6-10%</v>
      </c>
      <c r="O1358" t="str">
        <f t="shared" si="193"/>
        <v>OK</v>
      </c>
      <c r="P1358">
        <f>IFERROR(Full_Data!G1358/Full_Data!H1358,"Check data")</f>
        <v>2.7</v>
      </c>
      <c r="Q1358" t="str">
        <f t="shared" si="194"/>
        <v>Match</v>
      </c>
      <c r="R1358" t="str">
        <f t="shared" si="195"/>
        <v>Match</v>
      </c>
      <c r="S1358" t="str">
        <f t="shared" si="196"/>
        <v>Match</v>
      </c>
    </row>
    <row r="1359" spans="1:19" x14ac:dyDescent="0.25">
      <c r="A1359" t="s">
        <v>1287</v>
      </c>
      <c r="B1359">
        <v>15000</v>
      </c>
      <c r="C1359">
        <f t="shared" si="197"/>
        <v>150</v>
      </c>
      <c r="D1359">
        <v>10</v>
      </c>
      <c r="E1359">
        <v>6</v>
      </c>
      <c r="F1359">
        <v>13500</v>
      </c>
      <c r="G1359">
        <f t="shared" si="189"/>
        <v>135</v>
      </c>
      <c r="H1359">
        <v>250</v>
      </c>
      <c r="I1359" s="4">
        <f>Full_Data[[#This Row],[Selling Price]]/Full_Data[[#This Row],[Weight (g)]]</f>
        <v>0.54</v>
      </c>
      <c r="J1359" t="b">
        <v>0</v>
      </c>
      <c r="K1359">
        <v>250</v>
      </c>
      <c r="L1359">
        <f t="shared" si="190"/>
        <v>15</v>
      </c>
      <c r="M1359" t="str">
        <f t="shared" si="191"/>
        <v>Medium</v>
      </c>
      <c r="N1359" t="str">
        <f t="shared" si="192"/>
        <v>6-10%</v>
      </c>
      <c r="O1359" t="str">
        <f t="shared" si="193"/>
        <v>OK</v>
      </c>
      <c r="P1359">
        <f>IFERROR(Full_Data!G1359/Full_Data!H1359,"Check data")</f>
        <v>0.54</v>
      </c>
      <c r="Q1359" t="str">
        <f t="shared" si="194"/>
        <v>Match</v>
      </c>
      <c r="R1359" t="str">
        <f t="shared" si="195"/>
        <v>Match</v>
      </c>
      <c r="S1359" t="str">
        <f t="shared" si="196"/>
        <v>Match</v>
      </c>
    </row>
    <row r="1360" spans="1:19" x14ac:dyDescent="0.25">
      <c r="A1360" t="s">
        <v>1288</v>
      </c>
      <c r="B1360">
        <v>62000</v>
      </c>
      <c r="C1360">
        <f t="shared" si="197"/>
        <v>620</v>
      </c>
      <c r="D1360">
        <v>0</v>
      </c>
      <c r="E1360">
        <v>6</v>
      </c>
      <c r="F1360">
        <v>62000</v>
      </c>
      <c r="G1360">
        <f t="shared" si="189"/>
        <v>620</v>
      </c>
      <c r="H1360">
        <v>172</v>
      </c>
      <c r="I1360" s="4">
        <f>Full_Data[[#This Row],[Selling Price]]/Full_Data[[#This Row],[Weight (g)]]</f>
        <v>3.6046511627906979</v>
      </c>
      <c r="J1360" t="b">
        <v>0</v>
      </c>
      <c r="K1360">
        <v>172</v>
      </c>
      <c r="L1360">
        <f t="shared" si="190"/>
        <v>0</v>
      </c>
      <c r="M1360" t="str">
        <f t="shared" si="191"/>
        <v>High</v>
      </c>
      <c r="N1360" t="str">
        <f t="shared" si="192"/>
        <v>0-5%</v>
      </c>
      <c r="O1360" t="str">
        <f t="shared" si="193"/>
        <v>OK</v>
      </c>
      <c r="P1360">
        <f>IFERROR(Full_Data!G1360/Full_Data!H1360,"Check data")</f>
        <v>3.6046511627906979</v>
      </c>
      <c r="Q1360" t="str">
        <f t="shared" si="194"/>
        <v>Match</v>
      </c>
      <c r="R1360" t="str">
        <f t="shared" si="195"/>
        <v>Match</v>
      </c>
      <c r="S1360" t="str">
        <f t="shared" si="196"/>
        <v>Match</v>
      </c>
    </row>
    <row r="1361" spans="1:19" x14ac:dyDescent="0.25">
      <c r="A1361" t="s">
        <v>1289</v>
      </c>
      <c r="B1361">
        <v>16500</v>
      </c>
      <c r="C1361">
        <f t="shared" si="197"/>
        <v>165</v>
      </c>
      <c r="D1361">
        <v>9</v>
      </c>
      <c r="E1361">
        <v>6</v>
      </c>
      <c r="F1361">
        <v>15000</v>
      </c>
      <c r="G1361">
        <f t="shared" si="189"/>
        <v>150</v>
      </c>
      <c r="H1361">
        <v>200</v>
      </c>
      <c r="I1361" s="4">
        <f>Full_Data[[#This Row],[Selling Price]]/Full_Data[[#This Row],[Weight (g)]]</f>
        <v>0.75</v>
      </c>
      <c r="J1361" t="b">
        <v>0</v>
      </c>
      <c r="K1361">
        <v>200</v>
      </c>
      <c r="L1361">
        <f t="shared" si="190"/>
        <v>15</v>
      </c>
      <c r="M1361" t="str">
        <f t="shared" si="191"/>
        <v>Medium</v>
      </c>
      <c r="N1361" t="str">
        <f t="shared" si="192"/>
        <v>6-10%</v>
      </c>
      <c r="O1361" t="str">
        <f t="shared" si="193"/>
        <v>OK</v>
      </c>
      <c r="P1361">
        <f>IFERROR(Full_Data!G1361/Full_Data!H1361,"Check data")</f>
        <v>0.75</v>
      </c>
      <c r="Q1361" t="str">
        <f t="shared" si="194"/>
        <v>Match</v>
      </c>
      <c r="R1361" t="str">
        <f t="shared" si="195"/>
        <v>Mismatch</v>
      </c>
      <c r="S1361" t="str">
        <f t="shared" si="196"/>
        <v>Match</v>
      </c>
    </row>
    <row r="1362" spans="1:19" x14ac:dyDescent="0.25">
      <c r="A1362" t="s">
        <v>1290</v>
      </c>
      <c r="B1362">
        <v>55000</v>
      </c>
      <c r="C1362">
        <f t="shared" si="197"/>
        <v>550</v>
      </c>
      <c r="D1362">
        <v>0</v>
      </c>
      <c r="E1362">
        <v>4</v>
      </c>
      <c r="F1362">
        <v>55000</v>
      </c>
      <c r="G1362">
        <f t="shared" si="189"/>
        <v>550</v>
      </c>
      <c r="H1362">
        <v>160</v>
      </c>
      <c r="I1362" s="4">
        <f>Full_Data[[#This Row],[Selling Price]]/Full_Data[[#This Row],[Weight (g)]]</f>
        <v>3.4375</v>
      </c>
      <c r="J1362" t="b">
        <v>0</v>
      </c>
      <c r="K1362">
        <v>159</v>
      </c>
      <c r="L1362">
        <f t="shared" si="190"/>
        <v>0</v>
      </c>
      <c r="M1362" t="str">
        <f t="shared" si="191"/>
        <v>High</v>
      </c>
      <c r="N1362" t="str">
        <f t="shared" si="192"/>
        <v>0-5%</v>
      </c>
      <c r="O1362" t="str">
        <f t="shared" si="193"/>
        <v>OK</v>
      </c>
      <c r="P1362">
        <f>IFERROR(Full_Data!G1362/Full_Data!H1362,"Check data")</f>
        <v>3.4375</v>
      </c>
      <c r="Q1362" t="str">
        <f t="shared" si="194"/>
        <v>Match</v>
      </c>
      <c r="R1362" t="str">
        <f t="shared" si="195"/>
        <v>Match</v>
      </c>
      <c r="S1362" t="str">
        <f t="shared" si="196"/>
        <v>Match</v>
      </c>
    </row>
    <row r="1363" spans="1:19" x14ac:dyDescent="0.25">
      <c r="A1363" t="s">
        <v>1291</v>
      </c>
      <c r="B1363">
        <v>28200</v>
      </c>
      <c r="C1363">
        <f t="shared" si="197"/>
        <v>282</v>
      </c>
      <c r="D1363">
        <v>0</v>
      </c>
      <c r="E1363">
        <v>3</v>
      </c>
      <c r="F1363">
        <v>28200</v>
      </c>
      <c r="G1363">
        <f t="shared" si="189"/>
        <v>282</v>
      </c>
      <c r="H1363">
        <v>360</v>
      </c>
      <c r="I1363" s="4">
        <f>Full_Data[[#This Row],[Selling Price]]/Full_Data[[#This Row],[Weight (g)]]</f>
        <v>0.78333333333333333</v>
      </c>
      <c r="J1363" t="b">
        <v>0</v>
      </c>
      <c r="K1363">
        <v>360</v>
      </c>
      <c r="L1363">
        <f t="shared" si="190"/>
        <v>0</v>
      </c>
      <c r="M1363" t="str">
        <f t="shared" si="191"/>
        <v>High</v>
      </c>
      <c r="N1363" t="str">
        <f t="shared" si="192"/>
        <v>0-5%</v>
      </c>
      <c r="O1363" t="str">
        <f t="shared" si="193"/>
        <v>OK</v>
      </c>
      <c r="P1363">
        <f>IFERROR(Full_Data!G1363/Full_Data!H1363,"Check data")</f>
        <v>0.78333333333333333</v>
      </c>
      <c r="Q1363" t="str">
        <f t="shared" si="194"/>
        <v>Match</v>
      </c>
      <c r="R1363" t="str">
        <f t="shared" si="195"/>
        <v>Match</v>
      </c>
      <c r="S1363" t="str">
        <f t="shared" si="196"/>
        <v>Match</v>
      </c>
    </row>
    <row r="1364" spans="1:19" x14ac:dyDescent="0.25">
      <c r="A1364" t="s">
        <v>1292</v>
      </c>
      <c r="B1364">
        <v>17600</v>
      </c>
      <c r="C1364">
        <f t="shared" si="197"/>
        <v>176</v>
      </c>
      <c r="D1364">
        <v>10</v>
      </c>
      <c r="E1364">
        <v>6</v>
      </c>
      <c r="F1364">
        <v>15800</v>
      </c>
      <c r="G1364">
        <f t="shared" si="189"/>
        <v>158</v>
      </c>
      <c r="H1364">
        <v>375</v>
      </c>
      <c r="I1364" s="4">
        <f>Full_Data[[#This Row],[Selling Price]]/Full_Data[[#This Row],[Weight (g)]]</f>
        <v>0.42133333333333334</v>
      </c>
      <c r="J1364" t="b">
        <v>0</v>
      </c>
      <c r="K1364">
        <v>375</v>
      </c>
      <c r="L1364">
        <f t="shared" si="190"/>
        <v>18</v>
      </c>
      <c r="M1364" t="str">
        <f t="shared" si="191"/>
        <v>Medium</v>
      </c>
      <c r="N1364" t="str">
        <f t="shared" si="192"/>
        <v>6-10%</v>
      </c>
      <c r="O1364" t="str">
        <f t="shared" si="193"/>
        <v>OK</v>
      </c>
      <c r="P1364">
        <f>IFERROR(Full_Data!G1364/Full_Data!H1364,"Check data")</f>
        <v>0.42133333333333334</v>
      </c>
      <c r="Q1364" t="str">
        <f t="shared" si="194"/>
        <v>Match</v>
      </c>
      <c r="R1364" t="str">
        <f t="shared" si="195"/>
        <v>Mismatch</v>
      </c>
      <c r="S1364" t="str">
        <f t="shared" si="196"/>
        <v>Match</v>
      </c>
    </row>
    <row r="1365" spans="1:19" x14ac:dyDescent="0.25">
      <c r="A1365" t="s">
        <v>1293</v>
      </c>
      <c r="B1365">
        <v>15000</v>
      </c>
      <c r="C1365">
        <f t="shared" si="197"/>
        <v>150</v>
      </c>
      <c r="D1365">
        <v>20</v>
      </c>
      <c r="E1365">
        <v>5</v>
      </c>
      <c r="F1365">
        <v>12000</v>
      </c>
      <c r="G1365">
        <f t="shared" si="189"/>
        <v>120</v>
      </c>
      <c r="H1365">
        <v>250</v>
      </c>
      <c r="I1365" s="4">
        <f>Full_Data[[#This Row],[Selling Price]]/Full_Data[[#This Row],[Weight (g)]]</f>
        <v>0.48</v>
      </c>
      <c r="J1365" t="b">
        <v>0</v>
      </c>
      <c r="K1365">
        <v>250</v>
      </c>
      <c r="L1365">
        <f t="shared" si="190"/>
        <v>30</v>
      </c>
      <c r="M1365" t="str">
        <f t="shared" si="191"/>
        <v>Medium</v>
      </c>
      <c r="N1365" t="str">
        <f t="shared" si="192"/>
        <v>16-20%</v>
      </c>
      <c r="O1365" t="str">
        <f t="shared" si="193"/>
        <v>OK</v>
      </c>
      <c r="P1365">
        <f>IFERROR(Full_Data!G1365/Full_Data!H1365,"Check data")</f>
        <v>0.48</v>
      </c>
      <c r="Q1365" t="str">
        <f t="shared" si="194"/>
        <v>Match</v>
      </c>
      <c r="R1365" t="str">
        <f t="shared" si="195"/>
        <v>Match</v>
      </c>
      <c r="S1365" t="str">
        <f t="shared" si="196"/>
        <v>Match</v>
      </c>
    </row>
    <row r="1366" spans="1:19" x14ac:dyDescent="0.25">
      <c r="A1366" t="s">
        <v>1294</v>
      </c>
      <c r="B1366">
        <v>9000</v>
      </c>
      <c r="C1366">
        <f t="shared" si="197"/>
        <v>90</v>
      </c>
      <c r="D1366">
        <v>10</v>
      </c>
      <c r="E1366">
        <v>1</v>
      </c>
      <c r="F1366">
        <v>8100</v>
      </c>
      <c r="G1366">
        <f t="shared" si="189"/>
        <v>81</v>
      </c>
      <c r="H1366">
        <v>80</v>
      </c>
      <c r="I1366" s="4">
        <f>Full_Data[[#This Row],[Selling Price]]/Full_Data[[#This Row],[Weight (g)]]</f>
        <v>1.0125</v>
      </c>
      <c r="J1366" t="b">
        <v>0</v>
      </c>
      <c r="K1366">
        <v>80</v>
      </c>
      <c r="L1366">
        <f t="shared" si="190"/>
        <v>9</v>
      </c>
      <c r="M1366" t="str">
        <f t="shared" si="191"/>
        <v>Medium</v>
      </c>
      <c r="N1366" t="str">
        <f t="shared" si="192"/>
        <v>6-10%</v>
      </c>
      <c r="O1366" t="str">
        <f t="shared" si="193"/>
        <v>OK</v>
      </c>
      <c r="P1366">
        <f>IFERROR(Full_Data!G1366/Full_Data!H1366,"Check data")</f>
        <v>1.0125</v>
      </c>
      <c r="Q1366" t="str">
        <f t="shared" si="194"/>
        <v>Match</v>
      </c>
      <c r="R1366" t="str">
        <f t="shared" si="195"/>
        <v>Match</v>
      </c>
      <c r="S1366" t="str">
        <f t="shared" si="196"/>
        <v>Match</v>
      </c>
    </row>
    <row r="1367" spans="1:19" x14ac:dyDescent="0.25">
      <c r="A1367" t="s">
        <v>1295</v>
      </c>
      <c r="B1367">
        <v>11000</v>
      </c>
      <c r="C1367">
        <f t="shared" si="197"/>
        <v>110</v>
      </c>
      <c r="D1367">
        <v>0</v>
      </c>
      <c r="E1367">
        <v>6</v>
      </c>
      <c r="F1367">
        <v>11000</v>
      </c>
      <c r="G1367">
        <f t="shared" si="189"/>
        <v>110</v>
      </c>
      <c r="H1367">
        <v>200</v>
      </c>
      <c r="I1367" s="4">
        <f>Full_Data[[#This Row],[Selling Price]]/Full_Data[[#This Row],[Weight (g)]]</f>
        <v>0.55000000000000004</v>
      </c>
      <c r="J1367" t="b">
        <v>0</v>
      </c>
      <c r="K1367">
        <v>200</v>
      </c>
      <c r="L1367">
        <f t="shared" si="190"/>
        <v>0</v>
      </c>
      <c r="M1367" t="str">
        <f t="shared" si="191"/>
        <v>Medium</v>
      </c>
      <c r="N1367" t="str">
        <f t="shared" si="192"/>
        <v>0-5%</v>
      </c>
      <c r="O1367" t="str">
        <f t="shared" si="193"/>
        <v>OK</v>
      </c>
      <c r="P1367">
        <f>IFERROR(Full_Data!G1367/Full_Data!H1367,"Check data")</f>
        <v>0.55000000000000004</v>
      </c>
      <c r="Q1367" t="str">
        <f t="shared" si="194"/>
        <v>Match</v>
      </c>
      <c r="R1367" t="str">
        <f t="shared" si="195"/>
        <v>Match</v>
      </c>
      <c r="S1367" t="str">
        <f t="shared" si="196"/>
        <v>Match</v>
      </c>
    </row>
    <row r="1368" spans="1:19" x14ac:dyDescent="0.25">
      <c r="A1368" t="s">
        <v>1296</v>
      </c>
      <c r="B1368">
        <v>25000</v>
      </c>
      <c r="C1368">
        <f t="shared" si="197"/>
        <v>250</v>
      </c>
      <c r="D1368">
        <v>0</v>
      </c>
      <c r="E1368">
        <v>1</v>
      </c>
      <c r="F1368">
        <v>25000</v>
      </c>
      <c r="G1368">
        <f t="shared" si="189"/>
        <v>250</v>
      </c>
      <c r="H1368">
        <v>150</v>
      </c>
      <c r="I1368" s="4">
        <f>Full_Data[[#This Row],[Selling Price]]/Full_Data[[#This Row],[Weight (g)]]</f>
        <v>1.6666666666666667</v>
      </c>
      <c r="J1368" t="b">
        <v>0</v>
      </c>
      <c r="K1368">
        <v>150</v>
      </c>
      <c r="L1368">
        <f t="shared" si="190"/>
        <v>0</v>
      </c>
      <c r="M1368" t="str">
        <f t="shared" si="191"/>
        <v>High</v>
      </c>
      <c r="N1368" t="str">
        <f t="shared" si="192"/>
        <v>0-5%</v>
      </c>
      <c r="O1368" t="str">
        <f t="shared" si="193"/>
        <v>OK</v>
      </c>
      <c r="P1368">
        <f>IFERROR(Full_Data!G1368/Full_Data!H1368,"Check data")</f>
        <v>1.6666666666666667</v>
      </c>
      <c r="Q1368" t="str">
        <f t="shared" si="194"/>
        <v>Match</v>
      </c>
      <c r="R1368" t="str">
        <f t="shared" si="195"/>
        <v>Match</v>
      </c>
      <c r="S1368" t="str">
        <f t="shared" si="196"/>
        <v>Match</v>
      </c>
    </row>
    <row r="1369" spans="1:19" x14ac:dyDescent="0.25">
      <c r="A1369" t="s">
        <v>1168</v>
      </c>
      <c r="B1369">
        <v>13700</v>
      </c>
      <c r="C1369">
        <f t="shared" si="197"/>
        <v>137</v>
      </c>
      <c r="D1369">
        <v>10</v>
      </c>
      <c r="E1369">
        <v>4</v>
      </c>
      <c r="F1369">
        <v>12300</v>
      </c>
      <c r="G1369">
        <f t="shared" si="189"/>
        <v>123</v>
      </c>
      <c r="H1369">
        <v>180</v>
      </c>
      <c r="I1369" s="4">
        <f>Full_Data[[#This Row],[Selling Price]]/Full_Data[[#This Row],[Weight (g)]]</f>
        <v>0.68333333333333335</v>
      </c>
      <c r="J1369" t="b">
        <v>0</v>
      </c>
      <c r="K1369">
        <v>180</v>
      </c>
      <c r="L1369">
        <f t="shared" si="190"/>
        <v>14</v>
      </c>
      <c r="M1369" t="str">
        <f t="shared" si="191"/>
        <v>Medium</v>
      </c>
      <c r="N1369" t="str">
        <f t="shared" si="192"/>
        <v>6-10%</v>
      </c>
      <c r="O1369" t="str">
        <f t="shared" si="193"/>
        <v>OK</v>
      </c>
      <c r="P1369">
        <f>IFERROR(Full_Data!G1369/Full_Data!H1369,"Check data")</f>
        <v>0.68333333333333335</v>
      </c>
      <c r="Q1369" t="str">
        <f t="shared" si="194"/>
        <v>Match</v>
      </c>
      <c r="R1369" t="str">
        <f t="shared" si="195"/>
        <v>Mismatch</v>
      </c>
      <c r="S1369" t="str">
        <f t="shared" si="196"/>
        <v>Match</v>
      </c>
    </row>
    <row r="1370" spans="1:19" x14ac:dyDescent="0.25">
      <c r="A1370" t="s">
        <v>1297</v>
      </c>
      <c r="B1370">
        <v>25000</v>
      </c>
      <c r="C1370">
        <f t="shared" si="197"/>
        <v>250</v>
      </c>
      <c r="D1370">
        <v>10</v>
      </c>
      <c r="E1370">
        <v>6</v>
      </c>
      <c r="F1370">
        <v>22500</v>
      </c>
      <c r="G1370">
        <f t="shared" si="189"/>
        <v>225</v>
      </c>
      <c r="H1370">
        <v>500</v>
      </c>
      <c r="I1370" s="4">
        <f>Full_Data[[#This Row],[Selling Price]]/Full_Data[[#This Row],[Weight (g)]]</f>
        <v>0.45</v>
      </c>
      <c r="J1370" t="b">
        <v>0</v>
      </c>
      <c r="K1370">
        <v>500</v>
      </c>
      <c r="L1370">
        <f t="shared" si="190"/>
        <v>25</v>
      </c>
      <c r="M1370" t="str">
        <f t="shared" si="191"/>
        <v>High</v>
      </c>
      <c r="N1370" t="str">
        <f t="shared" si="192"/>
        <v>6-10%</v>
      </c>
      <c r="O1370" t="str">
        <f t="shared" si="193"/>
        <v>OK</v>
      </c>
      <c r="P1370">
        <f>IFERROR(Full_Data!G1370/Full_Data!H1370,"Check data")</f>
        <v>0.45</v>
      </c>
      <c r="Q1370" t="str">
        <f t="shared" si="194"/>
        <v>Match</v>
      </c>
      <c r="R1370" t="str">
        <f t="shared" si="195"/>
        <v>Match</v>
      </c>
      <c r="S1370" t="str">
        <f t="shared" si="196"/>
        <v>Match</v>
      </c>
    </row>
    <row r="1371" spans="1:19" x14ac:dyDescent="0.25">
      <c r="A1371" t="s">
        <v>1298</v>
      </c>
      <c r="B1371">
        <v>39900</v>
      </c>
      <c r="C1371">
        <f t="shared" si="197"/>
        <v>399</v>
      </c>
      <c r="D1371">
        <v>20</v>
      </c>
      <c r="E1371">
        <v>3</v>
      </c>
      <c r="F1371">
        <v>31900</v>
      </c>
      <c r="G1371">
        <f t="shared" si="189"/>
        <v>319</v>
      </c>
      <c r="H1371">
        <v>300</v>
      </c>
      <c r="I1371" s="4">
        <f>Full_Data[[#This Row],[Selling Price]]/Full_Data[[#This Row],[Weight (g)]]</f>
        <v>1.0633333333333332</v>
      </c>
      <c r="J1371" t="b">
        <v>0</v>
      </c>
      <c r="K1371">
        <v>300</v>
      </c>
      <c r="L1371">
        <f t="shared" si="190"/>
        <v>80</v>
      </c>
      <c r="M1371" t="str">
        <f t="shared" si="191"/>
        <v>High</v>
      </c>
      <c r="N1371" t="str">
        <f t="shared" si="192"/>
        <v>16-20%</v>
      </c>
      <c r="O1371" t="str">
        <f t="shared" si="193"/>
        <v>OK</v>
      </c>
      <c r="P1371">
        <f>IFERROR(Full_Data!G1371/Full_Data!H1371,"Check data")</f>
        <v>1.0633333333333332</v>
      </c>
      <c r="Q1371" t="str">
        <f t="shared" si="194"/>
        <v>Match</v>
      </c>
      <c r="R1371" t="str">
        <f t="shared" si="195"/>
        <v>Mismatch</v>
      </c>
      <c r="S1371" t="str">
        <f t="shared" si="196"/>
        <v>Match</v>
      </c>
    </row>
    <row r="1372" spans="1:19" x14ac:dyDescent="0.25">
      <c r="A1372" t="s">
        <v>1299</v>
      </c>
      <c r="B1372">
        <v>42900</v>
      </c>
      <c r="C1372">
        <f t="shared" si="197"/>
        <v>429</v>
      </c>
      <c r="D1372">
        <v>15</v>
      </c>
      <c r="E1372">
        <v>1</v>
      </c>
      <c r="F1372">
        <v>36400</v>
      </c>
      <c r="G1372">
        <f t="shared" si="189"/>
        <v>364</v>
      </c>
      <c r="H1372">
        <v>24</v>
      </c>
      <c r="I1372" s="4">
        <f>Full_Data[[#This Row],[Selling Price]]/Full_Data[[#This Row],[Weight (g)]]</f>
        <v>15.166666666666666</v>
      </c>
      <c r="J1372" t="b">
        <v>0</v>
      </c>
      <c r="K1372">
        <v>24</v>
      </c>
      <c r="L1372">
        <f t="shared" si="190"/>
        <v>65</v>
      </c>
      <c r="M1372" t="str">
        <f t="shared" si="191"/>
        <v>High</v>
      </c>
      <c r="N1372" t="str">
        <f t="shared" si="192"/>
        <v>11-15%</v>
      </c>
      <c r="O1372" t="str">
        <f t="shared" si="193"/>
        <v>OK</v>
      </c>
      <c r="P1372">
        <f>IFERROR(Full_Data!G1372/Full_Data!H1372,"Check data")</f>
        <v>15.166666666666666</v>
      </c>
      <c r="Q1372" t="str">
        <f t="shared" si="194"/>
        <v>Match</v>
      </c>
      <c r="R1372" t="str">
        <f t="shared" si="195"/>
        <v>Mismatch</v>
      </c>
      <c r="S1372" t="str">
        <f t="shared" si="196"/>
        <v>Match</v>
      </c>
    </row>
    <row r="1373" spans="1:19" x14ac:dyDescent="0.25">
      <c r="A1373" t="s">
        <v>1300</v>
      </c>
      <c r="B1373">
        <v>9900</v>
      </c>
      <c r="C1373">
        <f t="shared" si="197"/>
        <v>99</v>
      </c>
      <c r="D1373">
        <v>0</v>
      </c>
      <c r="E1373">
        <v>6</v>
      </c>
      <c r="F1373">
        <v>9900</v>
      </c>
      <c r="G1373">
        <f t="shared" si="189"/>
        <v>99</v>
      </c>
      <c r="H1373">
        <v>200</v>
      </c>
      <c r="I1373" s="4">
        <f>Full_Data[[#This Row],[Selling Price]]/Full_Data[[#This Row],[Weight (g)]]</f>
        <v>0.495</v>
      </c>
      <c r="J1373" t="b">
        <v>0</v>
      </c>
      <c r="K1373">
        <v>200</v>
      </c>
      <c r="L1373">
        <f t="shared" si="190"/>
        <v>0</v>
      </c>
      <c r="M1373" t="str">
        <f t="shared" si="191"/>
        <v>Medium</v>
      </c>
      <c r="N1373" t="str">
        <f t="shared" si="192"/>
        <v>0-5%</v>
      </c>
      <c r="O1373" t="str">
        <f t="shared" si="193"/>
        <v>OK</v>
      </c>
      <c r="P1373">
        <f>IFERROR(Full_Data!G1373/Full_Data!H1373,"Check data")</f>
        <v>0.495</v>
      </c>
      <c r="Q1373" t="str">
        <f t="shared" si="194"/>
        <v>Match</v>
      </c>
      <c r="R1373" t="str">
        <f t="shared" si="195"/>
        <v>Match</v>
      </c>
      <c r="S1373" t="str">
        <f t="shared" si="196"/>
        <v>Match</v>
      </c>
    </row>
    <row r="1374" spans="1:19" x14ac:dyDescent="0.25">
      <c r="A1374" t="s">
        <v>1301</v>
      </c>
      <c r="B1374">
        <v>39900</v>
      </c>
      <c r="C1374">
        <f t="shared" si="197"/>
        <v>399</v>
      </c>
      <c r="D1374">
        <v>20</v>
      </c>
      <c r="E1374">
        <v>6</v>
      </c>
      <c r="F1374">
        <v>31900</v>
      </c>
      <c r="G1374">
        <f t="shared" si="189"/>
        <v>319</v>
      </c>
      <c r="H1374">
        <v>400</v>
      </c>
      <c r="I1374" s="4">
        <f>Full_Data[[#This Row],[Selling Price]]/Full_Data[[#This Row],[Weight (g)]]</f>
        <v>0.79749999999999999</v>
      </c>
      <c r="J1374" t="b">
        <v>0</v>
      </c>
      <c r="K1374">
        <v>400</v>
      </c>
      <c r="L1374">
        <f t="shared" si="190"/>
        <v>80</v>
      </c>
      <c r="M1374" t="str">
        <f t="shared" si="191"/>
        <v>High</v>
      </c>
      <c r="N1374" t="str">
        <f t="shared" si="192"/>
        <v>16-20%</v>
      </c>
      <c r="O1374" t="str">
        <f t="shared" si="193"/>
        <v>OK</v>
      </c>
      <c r="P1374">
        <f>IFERROR(Full_Data!G1374/Full_Data!H1374,"Check data")</f>
        <v>0.79749999999999999</v>
      </c>
      <c r="Q1374" t="str">
        <f t="shared" si="194"/>
        <v>Match</v>
      </c>
      <c r="R1374" t="str">
        <f t="shared" si="195"/>
        <v>Mismatch</v>
      </c>
      <c r="S1374" t="str">
        <f t="shared" si="196"/>
        <v>Match</v>
      </c>
    </row>
    <row r="1375" spans="1:19" x14ac:dyDescent="0.25">
      <c r="A1375" t="s">
        <v>1302</v>
      </c>
      <c r="B1375">
        <v>22500</v>
      </c>
      <c r="C1375">
        <f t="shared" si="197"/>
        <v>225</v>
      </c>
      <c r="D1375">
        <v>0</v>
      </c>
      <c r="E1375">
        <v>6</v>
      </c>
      <c r="F1375">
        <v>22500</v>
      </c>
      <c r="G1375">
        <f t="shared" si="189"/>
        <v>225</v>
      </c>
      <c r="H1375">
        <v>60</v>
      </c>
      <c r="I1375" s="4">
        <f>Full_Data[[#This Row],[Selling Price]]/Full_Data[[#This Row],[Weight (g)]]</f>
        <v>3.75</v>
      </c>
      <c r="J1375" t="b">
        <v>0</v>
      </c>
      <c r="K1375">
        <v>60</v>
      </c>
      <c r="L1375">
        <f t="shared" si="190"/>
        <v>0</v>
      </c>
      <c r="M1375" t="str">
        <f t="shared" si="191"/>
        <v>High</v>
      </c>
      <c r="N1375" t="str">
        <f t="shared" si="192"/>
        <v>0-5%</v>
      </c>
      <c r="O1375" t="str">
        <f t="shared" si="193"/>
        <v>OK</v>
      </c>
      <c r="P1375">
        <f>IFERROR(Full_Data!G1375/Full_Data!H1375,"Check data")</f>
        <v>3.75</v>
      </c>
      <c r="Q1375" t="str">
        <f t="shared" si="194"/>
        <v>Match</v>
      </c>
      <c r="R1375" t="str">
        <f t="shared" si="195"/>
        <v>Match</v>
      </c>
      <c r="S1375" t="str">
        <f t="shared" si="196"/>
        <v>Match</v>
      </c>
    </row>
    <row r="1376" spans="1:19" x14ac:dyDescent="0.25">
      <c r="A1376" t="s">
        <v>1303</v>
      </c>
      <c r="B1376">
        <v>17000</v>
      </c>
      <c r="C1376">
        <f t="shared" si="197"/>
        <v>170</v>
      </c>
      <c r="D1376">
        <v>0</v>
      </c>
      <c r="E1376">
        <v>6</v>
      </c>
      <c r="F1376">
        <v>17000</v>
      </c>
      <c r="G1376">
        <f t="shared" si="189"/>
        <v>170</v>
      </c>
      <c r="H1376">
        <v>180</v>
      </c>
      <c r="I1376" s="4">
        <f>Full_Data[[#This Row],[Selling Price]]/Full_Data[[#This Row],[Weight (g)]]</f>
        <v>0.94444444444444442</v>
      </c>
      <c r="J1376" t="b">
        <v>0</v>
      </c>
      <c r="K1376">
        <v>180</v>
      </c>
      <c r="L1376">
        <f t="shared" si="190"/>
        <v>0</v>
      </c>
      <c r="M1376" t="str">
        <f t="shared" si="191"/>
        <v>Medium</v>
      </c>
      <c r="N1376" t="str">
        <f t="shared" si="192"/>
        <v>0-5%</v>
      </c>
      <c r="O1376" t="str">
        <f t="shared" si="193"/>
        <v>OK</v>
      </c>
      <c r="P1376">
        <f>IFERROR(Full_Data!G1376/Full_Data!H1376,"Check data")</f>
        <v>0.94444444444444442</v>
      </c>
      <c r="Q1376" t="str">
        <f t="shared" si="194"/>
        <v>Match</v>
      </c>
      <c r="R1376" t="str">
        <f t="shared" si="195"/>
        <v>Match</v>
      </c>
      <c r="S1376" t="str">
        <f t="shared" si="196"/>
        <v>Match</v>
      </c>
    </row>
    <row r="1377" spans="1:19" x14ac:dyDescent="0.25">
      <c r="A1377" t="s">
        <v>1304</v>
      </c>
      <c r="B1377">
        <v>7500</v>
      </c>
      <c r="C1377">
        <f t="shared" si="197"/>
        <v>75</v>
      </c>
      <c r="D1377">
        <v>0</v>
      </c>
      <c r="E1377">
        <v>5</v>
      </c>
      <c r="F1377">
        <v>7500</v>
      </c>
      <c r="G1377">
        <f t="shared" si="189"/>
        <v>75</v>
      </c>
      <c r="H1377">
        <v>150</v>
      </c>
      <c r="I1377" s="4">
        <f>Full_Data[[#This Row],[Selling Price]]/Full_Data[[#This Row],[Weight (g)]]</f>
        <v>0.5</v>
      </c>
      <c r="J1377" t="b">
        <v>0</v>
      </c>
      <c r="K1377">
        <v>120</v>
      </c>
      <c r="L1377">
        <f t="shared" si="190"/>
        <v>0</v>
      </c>
      <c r="M1377" t="str">
        <f t="shared" si="191"/>
        <v>Medium</v>
      </c>
      <c r="N1377" t="str">
        <f t="shared" si="192"/>
        <v>0-5%</v>
      </c>
      <c r="O1377" t="str">
        <f t="shared" si="193"/>
        <v>OK</v>
      </c>
      <c r="P1377">
        <f>IFERROR(Full_Data!G1377/Full_Data!H1377,"Check data")</f>
        <v>0.5</v>
      </c>
      <c r="Q1377" t="str">
        <f t="shared" si="194"/>
        <v>Match</v>
      </c>
      <c r="R1377" t="str">
        <f t="shared" si="195"/>
        <v>Match</v>
      </c>
      <c r="S1377" t="str">
        <f t="shared" si="196"/>
        <v>Match</v>
      </c>
    </row>
    <row r="1378" spans="1:19" x14ac:dyDescent="0.25">
      <c r="A1378" t="s">
        <v>1305</v>
      </c>
      <c r="B1378">
        <v>10000</v>
      </c>
      <c r="C1378">
        <f t="shared" si="197"/>
        <v>100</v>
      </c>
      <c r="D1378">
        <v>0</v>
      </c>
      <c r="E1378">
        <v>4</v>
      </c>
      <c r="F1378">
        <v>10000</v>
      </c>
      <c r="G1378">
        <f t="shared" si="189"/>
        <v>100</v>
      </c>
      <c r="H1378">
        <v>100</v>
      </c>
      <c r="I1378" s="4">
        <f>Full_Data[[#This Row],[Selling Price]]/Full_Data[[#This Row],[Weight (g)]]</f>
        <v>1</v>
      </c>
      <c r="J1378" t="b">
        <v>0</v>
      </c>
      <c r="K1378">
        <v>100</v>
      </c>
      <c r="L1378">
        <f t="shared" si="190"/>
        <v>0</v>
      </c>
      <c r="M1378" t="str">
        <f t="shared" si="191"/>
        <v>Medium</v>
      </c>
      <c r="N1378" t="str">
        <f t="shared" si="192"/>
        <v>0-5%</v>
      </c>
      <c r="O1378" t="str">
        <f t="shared" si="193"/>
        <v>OK</v>
      </c>
      <c r="P1378">
        <f>IFERROR(Full_Data!G1378/Full_Data!H1378,"Check data")</f>
        <v>1</v>
      </c>
      <c r="Q1378" t="str">
        <f t="shared" si="194"/>
        <v>Match</v>
      </c>
      <c r="R1378" t="str">
        <f t="shared" si="195"/>
        <v>Match</v>
      </c>
      <c r="S1378" t="str">
        <f t="shared" si="196"/>
        <v>Match</v>
      </c>
    </row>
    <row r="1379" spans="1:19" x14ac:dyDescent="0.25">
      <c r="A1379" t="s">
        <v>1179</v>
      </c>
      <c r="B1379">
        <v>14000</v>
      </c>
      <c r="C1379">
        <f t="shared" si="197"/>
        <v>140</v>
      </c>
      <c r="D1379">
        <v>10</v>
      </c>
      <c r="E1379">
        <v>1</v>
      </c>
      <c r="F1379">
        <v>12600</v>
      </c>
      <c r="G1379">
        <f t="shared" si="189"/>
        <v>126</v>
      </c>
      <c r="H1379">
        <v>200</v>
      </c>
      <c r="I1379" s="4">
        <f>Full_Data[[#This Row],[Selling Price]]/Full_Data[[#This Row],[Weight (g)]]</f>
        <v>0.63</v>
      </c>
      <c r="J1379" t="b">
        <v>0</v>
      </c>
      <c r="K1379">
        <v>200</v>
      </c>
      <c r="L1379">
        <f t="shared" si="190"/>
        <v>14</v>
      </c>
      <c r="M1379" t="str">
        <f t="shared" si="191"/>
        <v>Medium</v>
      </c>
      <c r="N1379" t="str">
        <f t="shared" si="192"/>
        <v>6-10%</v>
      </c>
      <c r="O1379" t="str">
        <f t="shared" si="193"/>
        <v>OK</v>
      </c>
      <c r="P1379">
        <f>IFERROR(Full_Data!G1379/Full_Data!H1379,"Check data")</f>
        <v>0.63</v>
      </c>
      <c r="Q1379" t="str">
        <f t="shared" si="194"/>
        <v>Match</v>
      </c>
      <c r="R1379" t="str">
        <f t="shared" si="195"/>
        <v>Match</v>
      </c>
      <c r="S1379" t="str">
        <f t="shared" si="196"/>
        <v>Match</v>
      </c>
    </row>
    <row r="1380" spans="1:19" x14ac:dyDescent="0.25">
      <c r="A1380" t="s">
        <v>1306</v>
      </c>
      <c r="B1380">
        <v>30000</v>
      </c>
      <c r="C1380">
        <f t="shared" si="197"/>
        <v>300</v>
      </c>
      <c r="D1380">
        <v>8</v>
      </c>
      <c r="E1380">
        <v>3</v>
      </c>
      <c r="F1380">
        <v>27500</v>
      </c>
      <c r="G1380">
        <f t="shared" si="189"/>
        <v>275</v>
      </c>
      <c r="H1380">
        <v>0</v>
      </c>
      <c r="I1380" s="4" t="e">
        <f>Full_Data[[#This Row],[Selling Price]]/Full_Data[[#This Row],[Weight (g)]]</f>
        <v>#DIV/0!</v>
      </c>
      <c r="J1380" t="b">
        <v>0</v>
      </c>
      <c r="K1380">
        <v>0</v>
      </c>
      <c r="L1380">
        <f t="shared" si="190"/>
        <v>25</v>
      </c>
      <c r="M1380" t="str">
        <f t="shared" si="191"/>
        <v>High</v>
      </c>
      <c r="N1380" t="str">
        <f t="shared" si="192"/>
        <v>6-10%</v>
      </c>
      <c r="O1380" t="str">
        <f t="shared" si="193"/>
        <v>Review: Invalid weight</v>
      </c>
      <c r="P1380" t="str">
        <f>IFERROR(Full_Data!G1380/Full_Data!H1380,"Check data")</f>
        <v>Check data</v>
      </c>
      <c r="Q1380" t="str">
        <f t="shared" si="194"/>
        <v>Invalid weight</v>
      </c>
      <c r="R1380" t="str">
        <f t="shared" si="195"/>
        <v>Mismatch</v>
      </c>
      <c r="S1380" t="str">
        <f t="shared" si="196"/>
        <v>Match</v>
      </c>
    </row>
    <row r="1381" spans="1:19" x14ac:dyDescent="0.25">
      <c r="A1381" t="s">
        <v>1307</v>
      </c>
      <c r="B1381">
        <v>9000</v>
      </c>
      <c r="C1381">
        <f t="shared" si="197"/>
        <v>90</v>
      </c>
      <c r="D1381">
        <v>10</v>
      </c>
      <c r="E1381">
        <v>6</v>
      </c>
      <c r="F1381">
        <v>8100</v>
      </c>
      <c r="G1381">
        <f t="shared" si="189"/>
        <v>81</v>
      </c>
      <c r="H1381">
        <v>406</v>
      </c>
      <c r="I1381" s="4">
        <f>Full_Data[[#This Row],[Selling Price]]/Full_Data[[#This Row],[Weight (g)]]</f>
        <v>0.19950738916256158</v>
      </c>
      <c r="J1381" t="b">
        <v>0</v>
      </c>
      <c r="K1381">
        <v>7</v>
      </c>
      <c r="L1381">
        <f t="shared" si="190"/>
        <v>9</v>
      </c>
      <c r="M1381" t="str">
        <f t="shared" si="191"/>
        <v>Medium</v>
      </c>
      <c r="N1381" t="str">
        <f t="shared" si="192"/>
        <v>6-10%</v>
      </c>
      <c r="O1381" t="str">
        <f t="shared" si="193"/>
        <v>OK</v>
      </c>
      <c r="P1381">
        <f>IFERROR(Full_Data!G1381/Full_Data!H1381,"Check data")</f>
        <v>0.19950738916256158</v>
      </c>
      <c r="Q1381" t="str">
        <f t="shared" si="194"/>
        <v>Match</v>
      </c>
      <c r="R1381" t="str">
        <f t="shared" si="195"/>
        <v>Match</v>
      </c>
      <c r="S1381" t="str">
        <f t="shared" si="196"/>
        <v>Match</v>
      </c>
    </row>
    <row r="1382" spans="1:19" x14ac:dyDescent="0.25">
      <c r="A1382" t="s">
        <v>1308</v>
      </c>
      <c r="B1382">
        <v>64500</v>
      </c>
      <c r="C1382">
        <f t="shared" si="197"/>
        <v>645</v>
      </c>
      <c r="D1382">
        <v>5</v>
      </c>
      <c r="E1382">
        <v>3</v>
      </c>
      <c r="F1382">
        <v>61200</v>
      </c>
      <c r="G1382">
        <f t="shared" si="189"/>
        <v>612</v>
      </c>
      <c r="H1382">
        <v>650</v>
      </c>
      <c r="I1382" s="4">
        <f>Full_Data[[#This Row],[Selling Price]]/Full_Data[[#This Row],[Weight (g)]]</f>
        <v>0.94153846153846155</v>
      </c>
      <c r="J1382" t="b">
        <v>0</v>
      </c>
      <c r="K1382">
        <v>650</v>
      </c>
      <c r="L1382">
        <f t="shared" si="190"/>
        <v>33</v>
      </c>
      <c r="M1382" t="str">
        <f t="shared" si="191"/>
        <v>High</v>
      </c>
      <c r="N1382" t="str">
        <f t="shared" si="192"/>
        <v>0-5%</v>
      </c>
      <c r="O1382" t="str">
        <f t="shared" si="193"/>
        <v>OK</v>
      </c>
      <c r="P1382">
        <f>IFERROR(Full_Data!G1382/Full_Data!H1382,"Check data")</f>
        <v>0.94153846153846155</v>
      </c>
      <c r="Q1382" t="str">
        <f t="shared" si="194"/>
        <v>Match</v>
      </c>
      <c r="R1382" t="str">
        <f t="shared" si="195"/>
        <v>Mismatch</v>
      </c>
      <c r="S1382" t="str">
        <f t="shared" si="196"/>
        <v>Match</v>
      </c>
    </row>
    <row r="1383" spans="1:19" x14ac:dyDescent="0.25">
      <c r="A1383" t="s">
        <v>1309</v>
      </c>
      <c r="B1383">
        <v>2900</v>
      </c>
      <c r="C1383">
        <f t="shared" si="197"/>
        <v>29</v>
      </c>
      <c r="D1383">
        <v>0</v>
      </c>
      <c r="E1383">
        <v>5</v>
      </c>
      <c r="F1383">
        <v>2900</v>
      </c>
      <c r="G1383">
        <f t="shared" si="189"/>
        <v>29</v>
      </c>
      <c r="H1383">
        <v>20</v>
      </c>
      <c r="I1383" s="4">
        <f>Full_Data[[#This Row],[Selling Price]]/Full_Data[[#This Row],[Weight (g)]]</f>
        <v>1.45</v>
      </c>
      <c r="J1383" t="b">
        <v>0</v>
      </c>
      <c r="K1383">
        <v>20</v>
      </c>
      <c r="L1383">
        <f t="shared" si="190"/>
        <v>0</v>
      </c>
      <c r="M1383" t="str">
        <f t="shared" si="191"/>
        <v>Low</v>
      </c>
      <c r="N1383" t="str">
        <f t="shared" si="192"/>
        <v>0-5%</v>
      </c>
      <c r="O1383" t="str">
        <f t="shared" si="193"/>
        <v>OK</v>
      </c>
      <c r="P1383">
        <f>IFERROR(Full_Data!G1383/Full_Data!H1383,"Check data")</f>
        <v>1.45</v>
      </c>
      <c r="Q1383" t="str">
        <f t="shared" si="194"/>
        <v>Match</v>
      </c>
      <c r="R1383" t="str">
        <f t="shared" si="195"/>
        <v>Match</v>
      </c>
      <c r="S1383" t="str">
        <f t="shared" si="196"/>
        <v>Match</v>
      </c>
    </row>
    <row r="1384" spans="1:19" x14ac:dyDescent="0.25">
      <c r="A1384" t="s">
        <v>1310</v>
      </c>
      <c r="B1384">
        <v>14000</v>
      </c>
      <c r="C1384">
        <f t="shared" si="197"/>
        <v>140</v>
      </c>
      <c r="D1384">
        <v>0</v>
      </c>
      <c r="E1384">
        <v>6</v>
      </c>
      <c r="F1384">
        <v>14000</v>
      </c>
      <c r="G1384">
        <f t="shared" si="189"/>
        <v>140</v>
      </c>
      <c r="H1384">
        <v>160</v>
      </c>
      <c r="I1384" s="4">
        <f>Full_Data[[#This Row],[Selling Price]]/Full_Data[[#This Row],[Weight (g)]]</f>
        <v>0.875</v>
      </c>
      <c r="J1384" t="b">
        <v>0</v>
      </c>
      <c r="K1384">
        <v>160</v>
      </c>
      <c r="L1384">
        <f t="shared" si="190"/>
        <v>0</v>
      </c>
      <c r="M1384" t="str">
        <f t="shared" si="191"/>
        <v>Medium</v>
      </c>
      <c r="N1384" t="str">
        <f t="shared" si="192"/>
        <v>0-5%</v>
      </c>
      <c r="O1384" t="str">
        <f t="shared" si="193"/>
        <v>OK</v>
      </c>
      <c r="P1384">
        <f>IFERROR(Full_Data!G1384/Full_Data!H1384,"Check data")</f>
        <v>0.875</v>
      </c>
      <c r="Q1384" t="str">
        <f t="shared" si="194"/>
        <v>Match</v>
      </c>
      <c r="R1384" t="str">
        <f t="shared" si="195"/>
        <v>Match</v>
      </c>
      <c r="S1384" t="str">
        <f t="shared" si="196"/>
        <v>Match</v>
      </c>
    </row>
    <row r="1385" spans="1:19" x14ac:dyDescent="0.25">
      <c r="A1385" t="s">
        <v>1311</v>
      </c>
      <c r="B1385">
        <v>18200</v>
      </c>
      <c r="C1385">
        <f t="shared" si="197"/>
        <v>182</v>
      </c>
      <c r="D1385">
        <v>15</v>
      </c>
      <c r="E1385">
        <v>6</v>
      </c>
      <c r="F1385">
        <v>15400</v>
      </c>
      <c r="G1385">
        <f t="shared" si="189"/>
        <v>154</v>
      </c>
      <c r="H1385">
        <v>300</v>
      </c>
      <c r="I1385" s="4">
        <f>Full_Data[[#This Row],[Selling Price]]/Full_Data[[#This Row],[Weight (g)]]</f>
        <v>0.51333333333333331</v>
      </c>
      <c r="J1385" t="b">
        <v>0</v>
      </c>
      <c r="K1385">
        <v>300</v>
      </c>
      <c r="L1385">
        <f t="shared" si="190"/>
        <v>28</v>
      </c>
      <c r="M1385" t="str">
        <f t="shared" si="191"/>
        <v>Medium</v>
      </c>
      <c r="N1385" t="str">
        <f t="shared" si="192"/>
        <v>11-15%</v>
      </c>
      <c r="O1385" t="str">
        <f t="shared" si="193"/>
        <v>OK</v>
      </c>
      <c r="P1385">
        <f>IFERROR(Full_Data!G1385/Full_Data!H1385,"Check data")</f>
        <v>0.51333333333333331</v>
      </c>
      <c r="Q1385" t="str">
        <f t="shared" si="194"/>
        <v>Match</v>
      </c>
      <c r="R1385" t="str">
        <f t="shared" si="195"/>
        <v>Mismatch</v>
      </c>
      <c r="S1385" t="str">
        <f t="shared" si="196"/>
        <v>Match</v>
      </c>
    </row>
    <row r="1386" spans="1:19" x14ac:dyDescent="0.25">
      <c r="A1386" t="s">
        <v>1312</v>
      </c>
      <c r="B1386">
        <v>30900</v>
      </c>
      <c r="C1386">
        <f t="shared" si="197"/>
        <v>309</v>
      </c>
      <c r="D1386">
        <v>10</v>
      </c>
      <c r="E1386">
        <v>6</v>
      </c>
      <c r="F1386">
        <v>27800</v>
      </c>
      <c r="G1386">
        <f t="shared" si="189"/>
        <v>278</v>
      </c>
      <c r="H1386">
        <v>250</v>
      </c>
      <c r="I1386" s="4">
        <f>Full_Data[[#This Row],[Selling Price]]/Full_Data[[#This Row],[Weight (g)]]</f>
        <v>1.1120000000000001</v>
      </c>
      <c r="J1386" t="b">
        <v>0</v>
      </c>
      <c r="K1386">
        <v>250</v>
      </c>
      <c r="L1386">
        <f t="shared" si="190"/>
        <v>31</v>
      </c>
      <c r="M1386" t="str">
        <f t="shared" si="191"/>
        <v>High</v>
      </c>
      <c r="N1386" t="str">
        <f t="shared" si="192"/>
        <v>6-10%</v>
      </c>
      <c r="O1386" t="str">
        <f t="shared" si="193"/>
        <v>OK</v>
      </c>
      <c r="P1386">
        <f>IFERROR(Full_Data!G1386/Full_Data!H1386,"Check data")</f>
        <v>1.1120000000000001</v>
      </c>
      <c r="Q1386" t="str">
        <f t="shared" si="194"/>
        <v>Match</v>
      </c>
      <c r="R1386" t="str">
        <f t="shared" si="195"/>
        <v>Mismatch</v>
      </c>
      <c r="S1386" t="str">
        <f t="shared" si="196"/>
        <v>Match</v>
      </c>
    </row>
    <row r="1387" spans="1:19" x14ac:dyDescent="0.25">
      <c r="A1387" t="s">
        <v>1313</v>
      </c>
      <c r="B1387">
        <v>19500</v>
      </c>
      <c r="C1387">
        <f t="shared" si="197"/>
        <v>195</v>
      </c>
      <c r="D1387">
        <v>10</v>
      </c>
      <c r="E1387">
        <v>5</v>
      </c>
      <c r="F1387">
        <v>17400</v>
      </c>
      <c r="G1387">
        <f t="shared" si="189"/>
        <v>174</v>
      </c>
      <c r="H1387">
        <v>150</v>
      </c>
      <c r="I1387" s="4">
        <f>Full_Data[[#This Row],[Selling Price]]/Full_Data[[#This Row],[Weight (g)]]</f>
        <v>1.1599999999999999</v>
      </c>
      <c r="J1387" t="b">
        <v>0</v>
      </c>
      <c r="K1387">
        <v>150</v>
      </c>
      <c r="L1387">
        <f t="shared" si="190"/>
        <v>21</v>
      </c>
      <c r="M1387" t="str">
        <f t="shared" si="191"/>
        <v>Medium</v>
      </c>
      <c r="N1387" t="str">
        <f t="shared" si="192"/>
        <v>6-10%</v>
      </c>
      <c r="O1387" t="str">
        <f t="shared" si="193"/>
        <v>OK</v>
      </c>
      <c r="P1387">
        <f>IFERROR(Full_Data!G1387/Full_Data!H1387,"Check data")</f>
        <v>1.1599999999999999</v>
      </c>
      <c r="Q1387" t="str">
        <f t="shared" si="194"/>
        <v>Match</v>
      </c>
      <c r="R1387" t="str">
        <f t="shared" si="195"/>
        <v>Mismatch</v>
      </c>
      <c r="S1387" t="str">
        <f t="shared" si="196"/>
        <v>Mismatch</v>
      </c>
    </row>
    <row r="1388" spans="1:19" x14ac:dyDescent="0.25">
      <c r="A1388" t="s">
        <v>1314</v>
      </c>
      <c r="B1388">
        <v>12000</v>
      </c>
      <c r="C1388">
        <f t="shared" si="197"/>
        <v>120</v>
      </c>
      <c r="D1388">
        <v>0</v>
      </c>
      <c r="E1388">
        <v>5</v>
      </c>
      <c r="F1388">
        <v>12000</v>
      </c>
      <c r="G1388">
        <f t="shared" si="189"/>
        <v>120</v>
      </c>
      <c r="H1388">
        <v>180</v>
      </c>
      <c r="I1388" s="4">
        <f>Full_Data[[#This Row],[Selling Price]]/Full_Data[[#This Row],[Weight (g)]]</f>
        <v>0.66666666666666663</v>
      </c>
      <c r="J1388" t="b">
        <v>0</v>
      </c>
      <c r="K1388">
        <v>180</v>
      </c>
      <c r="L1388">
        <f t="shared" si="190"/>
        <v>0</v>
      </c>
      <c r="M1388" t="str">
        <f t="shared" si="191"/>
        <v>Medium</v>
      </c>
      <c r="N1388" t="str">
        <f t="shared" si="192"/>
        <v>0-5%</v>
      </c>
      <c r="O1388" t="str">
        <f t="shared" si="193"/>
        <v>OK</v>
      </c>
      <c r="P1388">
        <f>IFERROR(Full_Data!G1388/Full_Data!H1388,"Check data")</f>
        <v>0.66666666666666663</v>
      </c>
      <c r="Q1388" t="str">
        <f t="shared" si="194"/>
        <v>Match</v>
      </c>
      <c r="R1388" t="str">
        <f t="shared" si="195"/>
        <v>Match</v>
      </c>
      <c r="S1388" t="str">
        <f t="shared" si="196"/>
        <v>Match</v>
      </c>
    </row>
    <row r="1389" spans="1:19" x14ac:dyDescent="0.25">
      <c r="A1389" t="s">
        <v>1315</v>
      </c>
      <c r="B1389">
        <v>3000</v>
      </c>
      <c r="C1389">
        <f t="shared" si="197"/>
        <v>30</v>
      </c>
      <c r="D1389">
        <v>0</v>
      </c>
      <c r="E1389">
        <v>2</v>
      </c>
      <c r="F1389">
        <v>3000</v>
      </c>
      <c r="G1389">
        <f t="shared" si="189"/>
        <v>30</v>
      </c>
      <c r="H1389">
        <v>406</v>
      </c>
      <c r="I1389" s="4">
        <f>Full_Data[[#This Row],[Selling Price]]/Full_Data[[#This Row],[Weight (g)]]</f>
        <v>7.3891625615763554E-2</v>
      </c>
      <c r="J1389" t="b">
        <v>0</v>
      </c>
      <c r="K1389">
        <v>7</v>
      </c>
      <c r="L1389">
        <f t="shared" si="190"/>
        <v>0</v>
      </c>
      <c r="M1389" t="str">
        <f t="shared" si="191"/>
        <v>Low</v>
      </c>
      <c r="N1389" t="str">
        <f t="shared" si="192"/>
        <v>0-5%</v>
      </c>
      <c r="O1389" t="str">
        <f t="shared" si="193"/>
        <v>OK</v>
      </c>
      <c r="P1389">
        <f>IFERROR(Full_Data!G1389/Full_Data!H1389,"Check data")</f>
        <v>7.3891625615763554E-2</v>
      </c>
      <c r="Q1389" t="str">
        <f t="shared" si="194"/>
        <v>Match</v>
      </c>
      <c r="R1389" t="str">
        <f t="shared" si="195"/>
        <v>Match</v>
      </c>
      <c r="S1389" t="str">
        <f t="shared" si="196"/>
        <v>Match</v>
      </c>
    </row>
    <row r="1390" spans="1:19" x14ac:dyDescent="0.25">
      <c r="A1390" t="s">
        <v>1316</v>
      </c>
      <c r="B1390">
        <v>15000</v>
      </c>
      <c r="C1390">
        <f t="shared" si="197"/>
        <v>150</v>
      </c>
      <c r="D1390">
        <v>18</v>
      </c>
      <c r="E1390">
        <v>4</v>
      </c>
      <c r="F1390">
        <v>12300</v>
      </c>
      <c r="G1390">
        <f t="shared" si="189"/>
        <v>123</v>
      </c>
      <c r="H1390">
        <v>232</v>
      </c>
      <c r="I1390" s="4">
        <f>Full_Data[[#This Row],[Selling Price]]/Full_Data[[#This Row],[Weight (g)]]</f>
        <v>0.53017241379310343</v>
      </c>
      <c r="J1390" t="b">
        <v>0</v>
      </c>
      <c r="K1390">
        <v>4</v>
      </c>
      <c r="L1390">
        <f t="shared" si="190"/>
        <v>27</v>
      </c>
      <c r="M1390" t="str">
        <f t="shared" si="191"/>
        <v>Medium</v>
      </c>
      <c r="N1390" t="str">
        <f t="shared" si="192"/>
        <v>16-20%</v>
      </c>
      <c r="O1390" t="str">
        <f t="shared" si="193"/>
        <v>OK</v>
      </c>
      <c r="P1390">
        <f>IFERROR(Full_Data!G1390/Full_Data!H1390,"Check data")</f>
        <v>0.53017241379310343</v>
      </c>
      <c r="Q1390" t="str">
        <f t="shared" si="194"/>
        <v>Match</v>
      </c>
      <c r="R1390" t="str">
        <f t="shared" si="195"/>
        <v>Match</v>
      </c>
      <c r="S1390" t="str">
        <f t="shared" si="196"/>
        <v>Match</v>
      </c>
    </row>
    <row r="1391" spans="1:19" x14ac:dyDescent="0.25">
      <c r="A1391" t="s">
        <v>1317</v>
      </c>
      <c r="B1391">
        <v>19900</v>
      </c>
      <c r="C1391">
        <f t="shared" si="197"/>
        <v>199</v>
      </c>
      <c r="D1391">
        <v>6</v>
      </c>
      <c r="E1391">
        <v>5</v>
      </c>
      <c r="F1391">
        <v>18600</v>
      </c>
      <c r="G1391">
        <f t="shared" si="189"/>
        <v>186</v>
      </c>
      <c r="H1391">
        <v>250</v>
      </c>
      <c r="I1391" s="4">
        <f>Full_Data[[#This Row],[Selling Price]]/Full_Data[[#This Row],[Weight (g)]]</f>
        <v>0.74399999999999999</v>
      </c>
      <c r="J1391" t="b">
        <v>0</v>
      </c>
      <c r="K1391">
        <v>250</v>
      </c>
      <c r="L1391">
        <f t="shared" si="190"/>
        <v>13</v>
      </c>
      <c r="M1391" t="str">
        <f t="shared" si="191"/>
        <v>Medium</v>
      </c>
      <c r="N1391" t="str">
        <f t="shared" si="192"/>
        <v>6-10%</v>
      </c>
      <c r="O1391" t="str">
        <f t="shared" si="193"/>
        <v>OK</v>
      </c>
      <c r="P1391">
        <f>IFERROR(Full_Data!G1391/Full_Data!H1391,"Check data")</f>
        <v>0.74399999999999999</v>
      </c>
      <c r="Q1391" t="str">
        <f t="shared" si="194"/>
        <v>Match</v>
      </c>
      <c r="R1391" t="str">
        <f t="shared" si="195"/>
        <v>Mismatch</v>
      </c>
      <c r="S1391" t="str">
        <f t="shared" si="196"/>
        <v>Mismatch</v>
      </c>
    </row>
    <row r="1392" spans="1:19" x14ac:dyDescent="0.25">
      <c r="A1392" t="s">
        <v>1318</v>
      </c>
      <c r="B1392">
        <v>39900</v>
      </c>
      <c r="C1392">
        <f t="shared" si="197"/>
        <v>399</v>
      </c>
      <c r="D1392">
        <v>15</v>
      </c>
      <c r="E1392">
        <v>4</v>
      </c>
      <c r="F1392">
        <v>33900</v>
      </c>
      <c r="G1392">
        <f t="shared" si="189"/>
        <v>339</v>
      </c>
      <c r="H1392">
        <v>400</v>
      </c>
      <c r="I1392" s="4">
        <f>Full_Data[[#This Row],[Selling Price]]/Full_Data[[#This Row],[Weight (g)]]</f>
        <v>0.84750000000000003</v>
      </c>
      <c r="J1392" t="b">
        <v>0</v>
      </c>
      <c r="K1392">
        <v>400</v>
      </c>
      <c r="L1392">
        <f t="shared" si="190"/>
        <v>60</v>
      </c>
      <c r="M1392" t="str">
        <f t="shared" si="191"/>
        <v>High</v>
      </c>
      <c r="N1392" t="str">
        <f t="shared" si="192"/>
        <v>11-15%</v>
      </c>
      <c r="O1392" t="str">
        <f t="shared" si="193"/>
        <v>OK</v>
      </c>
      <c r="P1392">
        <f>IFERROR(Full_Data!G1392/Full_Data!H1392,"Check data")</f>
        <v>0.84750000000000003</v>
      </c>
      <c r="Q1392" t="str">
        <f t="shared" si="194"/>
        <v>Match</v>
      </c>
      <c r="R1392" t="str">
        <f t="shared" si="195"/>
        <v>Mismatch</v>
      </c>
      <c r="S1392" t="str">
        <f t="shared" si="196"/>
        <v>Match</v>
      </c>
    </row>
    <row r="1393" spans="1:19" x14ac:dyDescent="0.25">
      <c r="A1393" t="s">
        <v>1319</v>
      </c>
      <c r="B1393">
        <v>5500</v>
      </c>
      <c r="C1393">
        <f t="shared" si="197"/>
        <v>55</v>
      </c>
      <c r="D1393">
        <v>0</v>
      </c>
      <c r="E1393">
        <v>6</v>
      </c>
      <c r="F1393">
        <v>5500</v>
      </c>
      <c r="G1393">
        <f t="shared" si="189"/>
        <v>55</v>
      </c>
      <c r="H1393">
        <v>10</v>
      </c>
      <c r="I1393" s="4">
        <f>Full_Data[[#This Row],[Selling Price]]/Full_Data[[#This Row],[Weight (g)]]</f>
        <v>5.5</v>
      </c>
      <c r="J1393" t="b">
        <v>0</v>
      </c>
      <c r="K1393">
        <v>10</v>
      </c>
      <c r="L1393">
        <f t="shared" si="190"/>
        <v>0</v>
      </c>
      <c r="M1393" t="str">
        <f t="shared" si="191"/>
        <v>Medium</v>
      </c>
      <c r="N1393" t="str">
        <f t="shared" si="192"/>
        <v>0-5%</v>
      </c>
      <c r="O1393" t="str">
        <f t="shared" si="193"/>
        <v>OK</v>
      </c>
      <c r="P1393">
        <f>IFERROR(Full_Data!G1393/Full_Data!H1393,"Check data")</f>
        <v>5.5</v>
      </c>
      <c r="Q1393" t="str">
        <f t="shared" si="194"/>
        <v>Match</v>
      </c>
      <c r="R1393" t="str">
        <f t="shared" si="195"/>
        <v>Match</v>
      </c>
      <c r="S1393" t="str">
        <f t="shared" si="196"/>
        <v>Match</v>
      </c>
    </row>
    <row r="1394" spans="1:19" x14ac:dyDescent="0.25">
      <c r="A1394" t="s">
        <v>1320</v>
      </c>
      <c r="B1394">
        <v>23000</v>
      </c>
      <c r="C1394">
        <f t="shared" si="197"/>
        <v>230</v>
      </c>
      <c r="D1394">
        <v>18</v>
      </c>
      <c r="E1394">
        <v>1</v>
      </c>
      <c r="F1394">
        <v>18800</v>
      </c>
      <c r="G1394">
        <f t="shared" si="189"/>
        <v>188</v>
      </c>
      <c r="H1394">
        <v>400</v>
      </c>
      <c r="I1394" s="4">
        <f>Full_Data[[#This Row],[Selling Price]]/Full_Data[[#This Row],[Weight (g)]]</f>
        <v>0.47</v>
      </c>
      <c r="J1394" t="b">
        <v>0</v>
      </c>
      <c r="K1394">
        <v>400</v>
      </c>
      <c r="L1394">
        <f t="shared" si="190"/>
        <v>42</v>
      </c>
      <c r="M1394" t="str">
        <f t="shared" si="191"/>
        <v>Medium</v>
      </c>
      <c r="N1394" t="str">
        <f t="shared" si="192"/>
        <v>16-20%</v>
      </c>
      <c r="O1394" t="str">
        <f t="shared" si="193"/>
        <v>OK</v>
      </c>
      <c r="P1394">
        <f>IFERROR(Full_Data!G1394/Full_Data!H1394,"Check data")</f>
        <v>0.47</v>
      </c>
      <c r="Q1394" t="str">
        <f t="shared" si="194"/>
        <v>Match</v>
      </c>
      <c r="R1394" t="str">
        <f t="shared" si="195"/>
        <v>Mismatch</v>
      </c>
      <c r="S1394" t="str">
        <f t="shared" si="196"/>
        <v>Match</v>
      </c>
    </row>
    <row r="1395" spans="1:19" x14ac:dyDescent="0.25">
      <c r="A1395" t="s">
        <v>1298</v>
      </c>
      <c r="B1395">
        <v>31000</v>
      </c>
      <c r="C1395">
        <f t="shared" si="197"/>
        <v>310</v>
      </c>
      <c r="D1395">
        <v>15</v>
      </c>
      <c r="E1395">
        <v>6</v>
      </c>
      <c r="F1395">
        <v>26300</v>
      </c>
      <c r="G1395">
        <f t="shared" si="189"/>
        <v>263</v>
      </c>
      <c r="H1395">
        <v>200</v>
      </c>
      <c r="I1395" s="4">
        <f>Full_Data[[#This Row],[Selling Price]]/Full_Data[[#This Row],[Weight (g)]]</f>
        <v>1.3149999999999999</v>
      </c>
      <c r="J1395" t="b">
        <v>0</v>
      </c>
      <c r="K1395">
        <v>200</v>
      </c>
      <c r="L1395">
        <f t="shared" si="190"/>
        <v>47</v>
      </c>
      <c r="M1395" t="str">
        <f t="shared" si="191"/>
        <v>High</v>
      </c>
      <c r="N1395" t="str">
        <f t="shared" si="192"/>
        <v>11-15%</v>
      </c>
      <c r="O1395" t="str">
        <f t="shared" si="193"/>
        <v>OK</v>
      </c>
      <c r="P1395">
        <f>IFERROR(Full_Data!G1395/Full_Data!H1395,"Check data")</f>
        <v>1.3149999999999999</v>
      </c>
      <c r="Q1395" t="str">
        <f t="shared" si="194"/>
        <v>Match</v>
      </c>
      <c r="R1395" t="str">
        <f t="shared" si="195"/>
        <v>Mismatch</v>
      </c>
      <c r="S1395" t="str">
        <f t="shared" si="196"/>
        <v>Match</v>
      </c>
    </row>
    <row r="1396" spans="1:19" x14ac:dyDescent="0.25">
      <c r="A1396" t="s">
        <v>1321</v>
      </c>
      <c r="B1396">
        <v>20000</v>
      </c>
      <c r="C1396">
        <f t="shared" si="197"/>
        <v>200</v>
      </c>
      <c r="D1396">
        <v>10</v>
      </c>
      <c r="E1396">
        <v>6</v>
      </c>
      <c r="F1396">
        <v>18000</v>
      </c>
      <c r="G1396">
        <f t="shared" si="189"/>
        <v>180</v>
      </c>
      <c r="H1396">
        <v>120</v>
      </c>
      <c r="I1396" s="4">
        <f>Full_Data[[#This Row],[Selling Price]]/Full_Data[[#This Row],[Weight (g)]]</f>
        <v>1.5</v>
      </c>
      <c r="J1396" t="b">
        <v>0</v>
      </c>
      <c r="K1396">
        <v>120</v>
      </c>
      <c r="L1396">
        <f t="shared" si="190"/>
        <v>20</v>
      </c>
      <c r="M1396" t="str">
        <f t="shared" si="191"/>
        <v>Medium</v>
      </c>
      <c r="N1396" t="str">
        <f t="shared" si="192"/>
        <v>6-10%</v>
      </c>
      <c r="O1396" t="str">
        <f t="shared" si="193"/>
        <v>OK</v>
      </c>
      <c r="P1396">
        <f>IFERROR(Full_Data!G1396/Full_Data!H1396,"Check data")</f>
        <v>1.5</v>
      </c>
      <c r="Q1396" t="str">
        <f t="shared" si="194"/>
        <v>Match</v>
      </c>
      <c r="R1396" t="str">
        <f t="shared" si="195"/>
        <v>Match</v>
      </c>
      <c r="S1396" t="str">
        <f t="shared" si="196"/>
        <v>Match</v>
      </c>
    </row>
    <row r="1397" spans="1:19" x14ac:dyDescent="0.25">
      <c r="A1397" t="s">
        <v>1322</v>
      </c>
      <c r="B1397">
        <v>34900</v>
      </c>
      <c r="C1397">
        <f t="shared" si="197"/>
        <v>349</v>
      </c>
      <c r="D1397">
        <v>10</v>
      </c>
      <c r="E1397">
        <v>1</v>
      </c>
      <c r="F1397">
        <v>31400</v>
      </c>
      <c r="G1397">
        <f t="shared" si="189"/>
        <v>314</v>
      </c>
      <c r="H1397">
        <v>100</v>
      </c>
      <c r="I1397" s="4">
        <f>Full_Data[[#This Row],[Selling Price]]/Full_Data[[#This Row],[Weight (g)]]</f>
        <v>3.14</v>
      </c>
      <c r="J1397" t="b">
        <v>0</v>
      </c>
      <c r="K1397">
        <v>100</v>
      </c>
      <c r="L1397">
        <f t="shared" si="190"/>
        <v>35</v>
      </c>
      <c r="M1397" t="str">
        <f t="shared" si="191"/>
        <v>High</v>
      </c>
      <c r="N1397" t="str">
        <f t="shared" si="192"/>
        <v>6-10%</v>
      </c>
      <c r="O1397" t="str">
        <f t="shared" si="193"/>
        <v>OK</v>
      </c>
      <c r="P1397">
        <f>IFERROR(Full_Data!G1397/Full_Data!H1397,"Check data")</f>
        <v>3.14</v>
      </c>
      <c r="Q1397" t="str">
        <f t="shared" si="194"/>
        <v>Match</v>
      </c>
      <c r="R1397" t="str">
        <f t="shared" si="195"/>
        <v>Mismatch</v>
      </c>
      <c r="S1397" t="str">
        <f t="shared" si="196"/>
        <v>Match</v>
      </c>
    </row>
    <row r="1398" spans="1:19" x14ac:dyDescent="0.25">
      <c r="A1398" t="s">
        <v>1323</v>
      </c>
      <c r="B1398">
        <v>27000</v>
      </c>
      <c r="C1398">
        <f t="shared" si="197"/>
        <v>270</v>
      </c>
      <c r="D1398">
        <v>15</v>
      </c>
      <c r="E1398">
        <v>6</v>
      </c>
      <c r="F1398">
        <v>22900</v>
      </c>
      <c r="G1398">
        <f t="shared" si="189"/>
        <v>229</v>
      </c>
      <c r="H1398">
        <v>300</v>
      </c>
      <c r="I1398" s="4">
        <f>Full_Data[[#This Row],[Selling Price]]/Full_Data[[#This Row],[Weight (g)]]</f>
        <v>0.76333333333333331</v>
      </c>
      <c r="J1398" t="b">
        <v>0</v>
      </c>
      <c r="K1398">
        <v>300</v>
      </c>
      <c r="L1398">
        <f t="shared" si="190"/>
        <v>41</v>
      </c>
      <c r="M1398" t="str">
        <f t="shared" si="191"/>
        <v>High</v>
      </c>
      <c r="N1398" t="str">
        <f t="shared" si="192"/>
        <v>11-15%</v>
      </c>
      <c r="O1398" t="str">
        <f t="shared" si="193"/>
        <v>OK</v>
      </c>
      <c r="P1398">
        <f>IFERROR(Full_Data!G1398/Full_Data!H1398,"Check data")</f>
        <v>0.76333333333333331</v>
      </c>
      <c r="Q1398" t="str">
        <f t="shared" si="194"/>
        <v>Match</v>
      </c>
      <c r="R1398" t="str">
        <f t="shared" si="195"/>
        <v>Mismatch</v>
      </c>
      <c r="S1398" t="str">
        <f t="shared" si="196"/>
        <v>Match</v>
      </c>
    </row>
    <row r="1399" spans="1:19" x14ac:dyDescent="0.25">
      <c r="A1399" t="s">
        <v>1324</v>
      </c>
      <c r="B1399">
        <v>16500</v>
      </c>
      <c r="C1399">
        <f t="shared" si="197"/>
        <v>165</v>
      </c>
      <c r="D1399">
        <v>0</v>
      </c>
      <c r="E1399">
        <v>4</v>
      </c>
      <c r="F1399">
        <v>16500</v>
      </c>
      <c r="G1399">
        <f t="shared" si="189"/>
        <v>165</v>
      </c>
      <c r="H1399">
        <v>210</v>
      </c>
      <c r="I1399" s="4">
        <f>Full_Data[[#This Row],[Selling Price]]/Full_Data[[#This Row],[Weight (g)]]</f>
        <v>0.7857142857142857</v>
      </c>
      <c r="J1399" t="b">
        <v>0</v>
      </c>
      <c r="K1399">
        <v>210</v>
      </c>
      <c r="L1399">
        <f t="shared" si="190"/>
        <v>0</v>
      </c>
      <c r="M1399" t="str">
        <f t="shared" si="191"/>
        <v>Medium</v>
      </c>
      <c r="N1399" t="str">
        <f t="shared" si="192"/>
        <v>0-5%</v>
      </c>
      <c r="O1399" t="str">
        <f t="shared" si="193"/>
        <v>OK</v>
      </c>
      <c r="P1399">
        <f>IFERROR(Full_Data!G1399/Full_Data!H1399,"Check data")</f>
        <v>0.7857142857142857</v>
      </c>
      <c r="Q1399" t="str">
        <f t="shared" si="194"/>
        <v>Match</v>
      </c>
      <c r="R1399" t="str">
        <f t="shared" si="195"/>
        <v>Match</v>
      </c>
      <c r="S1399" t="str">
        <f t="shared" si="196"/>
        <v>Match</v>
      </c>
    </row>
    <row r="1400" spans="1:19" x14ac:dyDescent="0.25">
      <c r="A1400" t="s">
        <v>1325</v>
      </c>
      <c r="B1400">
        <v>24900</v>
      </c>
      <c r="C1400">
        <f t="shared" si="197"/>
        <v>249</v>
      </c>
      <c r="D1400">
        <v>0</v>
      </c>
      <c r="E1400">
        <v>6</v>
      </c>
      <c r="F1400">
        <v>24900</v>
      </c>
      <c r="G1400">
        <f t="shared" si="189"/>
        <v>249</v>
      </c>
      <c r="H1400">
        <v>116</v>
      </c>
      <c r="I1400" s="4">
        <f>Full_Data[[#This Row],[Selling Price]]/Full_Data[[#This Row],[Weight (g)]]</f>
        <v>2.146551724137931</v>
      </c>
      <c r="J1400" t="b">
        <v>0</v>
      </c>
      <c r="K1400">
        <v>2</v>
      </c>
      <c r="L1400">
        <f t="shared" si="190"/>
        <v>0</v>
      </c>
      <c r="M1400" t="str">
        <f t="shared" si="191"/>
        <v>High</v>
      </c>
      <c r="N1400" t="str">
        <f t="shared" si="192"/>
        <v>0-5%</v>
      </c>
      <c r="O1400" t="str">
        <f t="shared" si="193"/>
        <v>OK</v>
      </c>
      <c r="P1400">
        <f>IFERROR(Full_Data!G1400/Full_Data!H1400,"Check data")</f>
        <v>2.146551724137931</v>
      </c>
      <c r="Q1400" t="str">
        <f t="shared" si="194"/>
        <v>Match</v>
      </c>
      <c r="R1400" t="str">
        <f t="shared" si="195"/>
        <v>Match</v>
      </c>
      <c r="S1400" t="str">
        <f t="shared" si="196"/>
        <v>Match</v>
      </c>
    </row>
    <row r="1401" spans="1:19" x14ac:dyDescent="0.25">
      <c r="A1401" t="s">
        <v>1326</v>
      </c>
      <c r="B1401">
        <v>18500</v>
      </c>
      <c r="C1401">
        <f t="shared" si="197"/>
        <v>185</v>
      </c>
      <c r="D1401">
        <v>0</v>
      </c>
      <c r="E1401">
        <v>2</v>
      </c>
      <c r="F1401">
        <v>18500</v>
      </c>
      <c r="G1401">
        <f t="shared" si="189"/>
        <v>185</v>
      </c>
      <c r="H1401">
        <v>100</v>
      </c>
      <c r="I1401" s="4">
        <f>Full_Data[[#This Row],[Selling Price]]/Full_Data[[#This Row],[Weight (g)]]</f>
        <v>1.85</v>
      </c>
      <c r="J1401" t="b">
        <v>0</v>
      </c>
      <c r="K1401">
        <v>100</v>
      </c>
      <c r="L1401">
        <f t="shared" si="190"/>
        <v>0</v>
      </c>
      <c r="M1401" t="str">
        <f t="shared" si="191"/>
        <v>Medium</v>
      </c>
      <c r="N1401" t="str">
        <f t="shared" si="192"/>
        <v>0-5%</v>
      </c>
      <c r="O1401" t="str">
        <f t="shared" si="193"/>
        <v>OK</v>
      </c>
      <c r="P1401">
        <f>IFERROR(Full_Data!G1401/Full_Data!H1401,"Check data")</f>
        <v>1.85</v>
      </c>
      <c r="Q1401" t="str">
        <f t="shared" si="194"/>
        <v>Match</v>
      </c>
      <c r="R1401" t="str">
        <f t="shared" si="195"/>
        <v>Match</v>
      </c>
      <c r="S1401" t="str">
        <f t="shared" si="196"/>
        <v>Match</v>
      </c>
    </row>
    <row r="1402" spans="1:19" x14ac:dyDescent="0.25">
      <c r="A1402" t="s">
        <v>1327</v>
      </c>
      <c r="B1402">
        <v>15000</v>
      </c>
      <c r="C1402">
        <f t="shared" si="197"/>
        <v>150</v>
      </c>
      <c r="D1402">
        <v>0</v>
      </c>
      <c r="E1402">
        <v>6</v>
      </c>
      <c r="F1402">
        <v>15000</v>
      </c>
      <c r="G1402">
        <f t="shared" si="189"/>
        <v>150</v>
      </c>
      <c r="H1402">
        <v>100</v>
      </c>
      <c r="I1402" s="4">
        <f>Full_Data[[#This Row],[Selling Price]]/Full_Data[[#This Row],[Weight (g)]]</f>
        <v>1.5</v>
      </c>
      <c r="J1402" t="b">
        <v>0</v>
      </c>
      <c r="K1402">
        <v>100</v>
      </c>
      <c r="L1402">
        <f t="shared" si="190"/>
        <v>0</v>
      </c>
      <c r="M1402" t="str">
        <f t="shared" si="191"/>
        <v>Medium</v>
      </c>
      <c r="N1402" t="str">
        <f t="shared" si="192"/>
        <v>0-5%</v>
      </c>
      <c r="O1402" t="str">
        <f t="shared" si="193"/>
        <v>OK</v>
      </c>
      <c r="P1402">
        <f>IFERROR(Full_Data!G1402/Full_Data!H1402,"Check data")</f>
        <v>1.5</v>
      </c>
      <c r="Q1402" t="str">
        <f t="shared" si="194"/>
        <v>Match</v>
      </c>
      <c r="R1402" t="str">
        <f t="shared" si="195"/>
        <v>Match</v>
      </c>
      <c r="S1402" t="str">
        <f t="shared" si="196"/>
        <v>Match</v>
      </c>
    </row>
    <row r="1403" spans="1:19" x14ac:dyDescent="0.25">
      <c r="A1403" t="s">
        <v>1271</v>
      </c>
      <c r="B1403">
        <v>10500</v>
      </c>
      <c r="C1403">
        <f t="shared" si="197"/>
        <v>105</v>
      </c>
      <c r="D1403">
        <v>0</v>
      </c>
      <c r="E1403">
        <v>6</v>
      </c>
      <c r="F1403">
        <v>10500</v>
      </c>
      <c r="G1403">
        <f t="shared" si="189"/>
        <v>105</v>
      </c>
      <c r="H1403">
        <v>150</v>
      </c>
      <c r="I1403" s="4">
        <f>Full_Data[[#This Row],[Selling Price]]/Full_Data[[#This Row],[Weight (g)]]</f>
        <v>0.7</v>
      </c>
      <c r="J1403" t="b">
        <v>0</v>
      </c>
      <c r="K1403">
        <v>150</v>
      </c>
      <c r="L1403">
        <f t="shared" si="190"/>
        <v>0</v>
      </c>
      <c r="M1403" t="str">
        <f t="shared" si="191"/>
        <v>Medium</v>
      </c>
      <c r="N1403" t="str">
        <f t="shared" si="192"/>
        <v>0-5%</v>
      </c>
      <c r="O1403" t="str">
        <f t="shared" si="193"/>
        <v>OK</v>
      </c>
      <c r="P1403">
        <f>IFERROR(Full_Data!G1403/Full_Data!H1403,"Check data")</f>
        <v>0.7</v>
      </c>
      <c r="Q1403" t="str">
        <f t="shared" si="194"/>
        <v>Match</v>
      </c>
      <c r="R1403" t="str">
        <f t="shared" si="195"/>
        <v>Match</v>
      </c>
      <c r="S1403" t="str">
        <f t="shared" si="196"/>
        <v>Match</v>
      </c>
    </row>
    <row r="1404" spans="1:19" x14ac:dyDescent="0.25">
      <c r="A1404" t="s">
        <v>1328</v>
      </c>
      <c r="B1404">
        <v>32000</v>
      </c>
      <c r="C1404">
        <f t="shared" si="197"/>
        <v>320</v>
      </c>
      <c r="D1404">
        <v>17</v>
      </c>
      <c r="E1404">
        <v>6</v>
      </c>
      <c r="F1404">
        <v>26500</v>
      </c>
      <c r="G1404">
        <f t="shared" si="189"/>
        <v>265</v>
      </c>
      <c r="H1404">
        <v>400</v>
      </c>
      <c r="I1404" s="4">
        <f>Full_Data[[#This Row],[Selling Price]]/Full_Data[[#This Row],[Weight (g)]]</f>
        <v>0.66249999999999998</v>
      </c>
      <c r="J1404" t="b">
        <v>0</v>
      </c>
      <c r="K1404">
        <v>400</v>
      </c>
      <c r="L1404">
        <f t="shared" si="190"/>
        <v>55</v>
      </c>
      <c r="M1404" t="str">
        <f t="shared" si="191"/>
        <v>High</v>
      </c>
      <c r="N1404" t="str">
        <f t="shared" si="192"/>
        <v>16-20%</v>
      </c>
      <c r="O1404" t="str">
        <f t="shared" si="193"/>
        <v>OK</v>
      </c>
      <c r="P1404">
        <f>IFERROR(Full_Data!G1404/Full_Data!H1404,"Check data")</f>
        <v>0.66249999999999998</v>
      </c>
      <c r="Q1404" t="str">
        <f t="shared" si="194"/>
        <v>Match</v>
      </c>
      <c r="R1404" t="str">
        <f t="shared" si="195"/>
        <v>Mismatch</v>
      </c>
      <c r="S1404" t="str">
        <f t="shared" si="196"/>
        <v>Match</v>
      </c>
    </row>
    <row r="1405" spans="1:19" x14ac:dyDescent="0.25">
      <c r="A1405" t="s">
        <v>1329</v>
      </c>
      <c r="B1405">
        <v>55000</v>
      </c>
      <c r="C1405">
        <f t="shared" si="197"/>
        <v>550</v>
      </c>
      <c r="D1405">
        <v>0</v>
      </c>
      <c r="E1405">
        <v>3</v>
      </c>
      <c r="F1405">
        <v>55000</v>
      </c>
      <c r="G1405">
        <f t="shared" si="189"/>
        <v>550</v>
      </c>
      <c r="H1405">
        <v>88</v>
      </c>
      <c r="I1405" s="4">
        <f>Full_Data[[#This Row],[Selling Price]]/Full_Data[[#This Row],[Weight (g)]]</f>
        <v>6.25</v>
      </c>
      <c r="J1405" t="b">
        <v>0</v>
      </c>
      <c r="K1405">
        <v>87</v>
      </c>
      <c r="L1405">
        <f t="shared" si="190"/>
        <v>0</v>
      </c>
      <c r="M1405" t="str">
        <f t="shared" si="191"/>
        <v>High</v>
      </c>
      <c r="N1405" t="str">
        <f t="shared" si="192"/>
        <v>0-5%</v>
      </c>
      <c r="O1405" t="str">
        <f t="shared" si="193"/>
        <v>OK</v>
      </c>
      <c r="P1405">
        <f>IFERROR(Full_Data!G1405/Full_Data!H1405,"Check data")</f>
        <v>6.25</v>
      </c>
      <c r="Q1405" t="str">
        <f t="shared" si="194"/>
        <v>Match</v>
      </c>
      <c r="R1405" t="str">
        <f t="shared" si="195"/>
        <v>Match</v>
      </c>
      <c r="S1405" t="str">
        <f t="shared" si="196"/>
        <v>Match</v>
      </c>
    </row>
    <row r="1406" spans="1:19" x14ac:dyDescent="0.25">
      <c r="A1406" t="s">
        <v>1330</v>
      </c>
      <c r="B1406">
        <v>19000</v>
      </c>
      <c r="C1406">
        <f t="shared" si="197"/>
        <v>190</v>
      </c>
      <c r="D1406">
        <v>11</v>
      </c>
      <c r="E1406">
        <v>6</v>
      </c>
      <c r="F1406">
        <v>16900</v>
      </c>
      <c r="G1406">
        <f t="shared" si="189"/>
        <v>169</v>
      </c>
      <c r="H1406">
        <v>150</v>
      </c>
      <c r="I1406" s="4">
        <f>Full_Data[[#This Row],[Selling Price]]/Full_Data[[#This Row],[Weight (g)]]</f>
        <v>1.1266666666666667</v>
      </c>
      <c r="J1406" t="b">
        <v>0</v>
      </c>
      <c r="K1406">
        <v>150</v>
      </c>
      <c r="L1406">
        <f t="shared" si="190"/>
        <v>21</v>
      </c>
      <c r="M1406" t="str">
        <f t="shared" si="191"/>
        <v>Medium</v>
      </c>
      <c r="N1406" t="str">
        <f t="shared" si="192"/>
        <v>11-15%</v>
      </c>
      <c r="O1406" t="str">
        <f t="shared" si="193"/>
        <v>OK</v>
      </c>
      <c r="P1406">
        <f>IFERROR(Full_Data!G1406/Full_Data!H1406,"Check data")</f>
        <v>1.1266666666666667</v>
      </c>
      <c r="Q1406" t="str">
        <f t="shared" si="194"/>
        <v>Match</v>
      </c>
      <c r="R1406" t="str">
        <f t="shared" si="195"/>
        <v>Mismatch</v>
      </c>
      <c r="S1406" t="str">
        <f t="shared" si="196"/>
        <v>Match</v>
      </c>
    </row>
    <row r="1407" spans="1:19" x14ac:dyDescent="0.25">
      <c r="A1407" t="s">
        <v>1331</v>
      </c>
      <c r="B1407">
        <v>14000</v>
      </c>
      <c r="C1407">
        <f t="shared" si="197"/>
        <v>140</v>
      </c>
      <c r="D1407">
        <v>10</v>
      </c>
      <c r="E1407">
        <v>4</v>
      </c>
      <c r="F1407">
        <v>12600</v>
      </c>
      <c r="G1407">
        <f t="shared" si="189"/>
        <v>126</v>
      </c>
      <c r="H1407">
        <v>100</v>
      </c>
      <c r="I1407" s="4">
        <f>Full_Data[[#This Row],[Selling Price]]/Full_Data[[#This Row],[Weight (g)]]</f>
        <v>1.26</v>
      </c>
      <c r="J1407" t="b">
        <v>0</v>
      </c>
      <c r="K1407">
        <v>100</v>
      </c>
      <c r="L1407">
        <f t="shared" si="190"/>
        <v>14</v>
      </c>
      <c r="M1407" t="str">
        <f t="shared" si="191"/>
        <v>Medium</v>
      </c>
      <c r="N1407" t="str">
        <f t="shared" si="192"/>
        <v>6-10%</v>
      </c>
      <c r="O1407" t="str">
        <f t="shared" si="193"/>
        <v>OK</v>
      </c>
      <c r="P1407">
        <f>IFERROR(Full_Data!G1407/Full_Data!H1407,"Check data")</f>
        <v>1.26</v>
      </c>
      <c r="Q1407" t="str">
        <f t="shared" si="194"/>
        <v>Match</v>
      </c>
      <c r="R1407" t="str">
        <f t="shared" si="195"/>
        <v>Match</v>
      </c>
      <c r="S1407" t="str">
        <f t="shared" si="196"/>
        <v>Match</v>
      </c>
    </row>
    <row r="1408" spans="1:19" x14ac:dyDescent="0.25">
      <c r="A1408" t="s">
        <v>1332</v>
      </c>
      <c r="B1408">
        <v>7500</v>
      </c>
      <c r="C1408">
        <f t="shared" si="197"/>
        <v>75</v>
      </c>
      <c r="D1408">
        <v>5</v>
      </c>
      <c r="E1408">
        <v>6</v>
      </c>
      <c r="F1408">
        <v>7100</v>
      </c>
      <c r="G1408">
        <f t="shared" si="189"/>
        <v>71</v>
      </c>
      <c r="H1408">
        <v>78</v>
      </c>
      <c r="I1408" s="4">
        <f>Full_Data[[#This Row],[Selling Price]]/Full_Data[[#This Row],[Weight (g)]]</f>
        <v>0.91025641025641024</v>
      </c>
      <c r="J1408" t="b">
        <v>0</v>
      </c>
      <c r="K1408">
        <v>78</v>
      </c>
      <c r="L1408">
        <f t="shared" si="190"/>
        <v>4</v>
      </c>
      <c r="M1408" t="str">
        <f t="shared" si="191"/>
        <v>Medium</v>
      </c>
      <c r="N1408" t="str">
        <f t="shared" si="192"/>
        <v>0-5%</v>
      </c>
      <c r="O1408" t="str">
        <f t="shared" si="193"/>
        <v>OK</v>
      </c>
      <c r="P1408">
        <f>IFERROR(Full_Data!G1408/Full_Data!H1408,"Check data")</f>
        <v>0.91025641025641024</v>
      </c>
      <c r="Q1408" t="str">
        <f t="shared" si="194"/>
        <v>Match</v>
      </c>
      <c r="R1408" t="str">
        <f t="shared" si="195"/>
        <v>Mismatch</v>
      </c>
      <c r="S1408" t="str">
        <f t="shared" si="196"/>
        <v>Match</v>
      </c>
    </row>
    <row r="1409" spans="1:19" x14ac:dyDescent="0.25">
      <c r="A1409" t="s">
        <v>1333</v>
      </c>
      <c r="B1409">
        <v>19900</v>
      </c>
      <c r="C1409">
        <f t="shared" si="197"/>
        <v>199</v>
      </c>
      <c r="D1409">
        <v>0</v>
      </c>
      <c r="E1409">
        <v>4</v>
      </c>
      <c r="F1409">
        <v>19900</v>
      </c>
      <c r="G1409">
        <f t="shared" si="189"/>
        <v>199</v>
      </c>
      <c r="H1409">
        <v>196</v>
      </c>
      <c r="I1409" s="4">
        <f>Full_Data[[#This Row],[Selling Price]]/Full_Data[[#This Row],[Weight (g)]]</f>
        <v>1.0153061224489797</v>
      </c>
      <c r="J1409" t="b">
        <v>0</v>
      </c>
      <c r="K1409">
        <v>196</v>
      </c>
      <c r="L1409">
        <f t="shared" si="190"/>
        <v>0</v>
      </c>
      <c r="M1409" t="str">
        <f t="shared" si="191"/>
        <v>Medium</v>
      </c>
      <c r="N1409" t="str">
        <f t="shared" si="192"/>
        <v>0-5%</v>
      </c>
      <c r="O1409" t="str">
        <f t="shared" si="193"/>
        <v>OK</v>
      </c>
      <c r="P1409">
        <f>IFERROR(Full_Data!G1409/Full_Data!H1409,"Check data")</f>
        <v>1.0153061224489797</v>
      </c>
      <c r="Q1409" t="str">
        <f t="shared" si="194"/>
        <v>Match</v>
      </c>
      <c r="R1409" t="str">
        <f t="shared" si="195"/>
        <v>Match</v>
      </c>
      <c r="S1409" t="str">
        <f t="shared" si="196"/>
        <v>Match</v>
      </c>
    </row>
    <row r="1410" spans="1:19" x14ac:dyDescent="0.25">
      <c r="A1410" t="s">
        <v>1294</v>
      </c>
      <c r="B1410">
        <v>19000</v>
      </c>
      <c r="C1410">
        <f t="shared" si="197"/>
        <v>190</v>
      </c>
      <c r="D1410">
        <v>0</v>
      </c>
      <c r="E1410">
        <v>6</v>
      </c>
      <c r="F1410">
        <v>19000</v>
      </c>
      <c r="G1410">
        <f t="shared" ref="G1410:G1473" si="198">F1410/100</f>
        <v>190</v>
      </c>
      <c r="H1410">
        <v>175</v>
      </c>
      <c r="I1410" s="4">
        <f>Full_Data[[#This Row],[Selling Price]]/Full_Data[[#This Row],[Weight (g)]]</f>
        <v>1.0857142857142856</v>
      </c>
      <c r="J1410" t="b">
        <v>0</v>
      </c>
      <c r="K1410">
        <v>180</v>
      </c>
      <c r="L1410">
        <f t="shared" ref="L1410:L1473" si="199">C1410-G1410</f>
        <v>0</v>
      </c>
      <c r="M1410" t="str">
        <f t="shared" ref="M1410:M1473" si="200">IF(G1410&lt;50,"Low",IF(G1410&lt;200,"Medium","High"))</f>
        <v>Medium</v>
      </c>
      <c r="N1410" t="str">
        <f t="shared" ref="N1410:N1473" si="201">IF(D1410&lt;=5,"0-5%",
IF(D1410&lt;=10,"6-10%",
IF(D1410&lt;=15,"11-15%",
IF(D1410&lt;=20,"16-20%","21%+"))))</f>
        <v>0-5%</v>
      </c>
      <c r="O1410" t="str">
        <f t="shared" ref="O1410:O1473" si="202">IF(AND(C1410=0,G1410=0),"Review: Zero MRP and selling price",IF(C1410&lt;=0,"Review: Invalid MRP",IF(G1410&lt;0,"Review: Negative selling price",IF(G1410=0,"Review: Zero selling price",IF(H1410&lt;=0,"Review: Invalid weight","OK")))))</f>
        <v>OK</v>
      </c>
      <c r="P1410">
        <f>IFERROR(Full_Data!G1410/Full_Data!H1410,"Check data")</f>
        <v>1.0857142857142856</v>
      </c>
      <c r="Q1410" t="str">
        <f t="shared" ref="Q1410:Q1473" si="203">IF(OR(H1410="",H1410&lt;=0),"Invalid weight",IF(G1410="","Missing selling price",IF(ROUND(G1410/H1410,2)=ROUND(I1410,2),"Match","Mismatch")))</f>
        <v>Match</v>
      </c>
      <c r="R1410" t="str">
        <f t="shared" ref="R1410:R1473" si="204">IF(OR(C1410&lt;=0,G1410=""),"Check data",IF(ROUND((C1410-G1410)/C1410*100,2)=ROUND(D1410,2),"Match","Mismatch"))</f>
        <v>Match</v>
      </c>
      <c r="S1410" t="str">
        <f t="shared" ref="S1410:S1473" si="205">IF(OR(C1410&lt;=0,G1410=""),"Check data",IF(ROUND((C1410-G1410)/C1410*100,0)=D1410,"Match","Mismatch"))</f>
        <v>Match</v>
      </c>
    </row>
    <row r="1411" spans="1:19" x14ac:dyDescent="0.25">
      <c r="A1411" t="s">
        <v>1334</v>
      </c>
      <c r="B1411">
        <v>18000</v>
      </c>
      <c r="C1411">
        <f t="shared" ref="C1411:C1474" si="206">B1411/100</f>
        <v>180</v>
      </c>
      <c r="D1411">
        <v>0</v>
      </c>
      <c r="E1411">
        <v>6</v>
      </c>
      <c r="F1411">
        <v>18000</v>
      </c>
      <c r="G1411">
        <f t="shared" si="198"/>
        <v>180</v>
      </c>
      <c r="H1411">
        <v>200</v>
      </c>
      <c r="I1411" s="4">
        <f>Full_Data[[#This Row],[Selling Price]]/Full_Data[[#This Row],[Weight (g)]]</f>
        <v>0.9</v>
      </c>
      <c r="J1411" t="b">
        <v>0</v>
      </c>
      <c r="K1411">
        <v>200</v>
      </c>
      <c r="L1411">
        <f t="shared" si="199"/>
        <v>0</v>
      </c>
      <c r="M1411" t="str">
        <f t="shared" si="200"/>
        <v>Medium</v>
      </c>
      <c r="N1411" t="str">
        <f t="shared" si="201"/>
        <v>0-5%</v>
      </c>
      <c r="O1411" t="str">
        <f t="shared" si="202"/>
        <v>OK</v>
      </c>
      <c r="P1411">
        <f>IFERROR(Full_Data!G1411/Full_Data!H1411,"Check data")</f>
        <v>0.9</v>
      </c>
      <c r="Q1411" t="str">
        <f t="shared" si="203"/>
        <v>Match</v>
      </c>
      <c r="R1411" t="str">
        <f t="shared" si="204"/>
        <v>Match</v>
      </c>
      <c r="S1411" t="str">
        <f t="shared" si="205"/>
        <v>Match</v>
      </c>
    </row>
    <row r="1412" spans="1:19" x14ac:dyDescent="0.25">
      <c r="A1412" t="s">
        <v>1335</v>
      </c>
      <c r="B1412">
        <v>15500</v>
      </c>
      <c r="C1412">
        <f t="shared" si="206"/>
        <v>155</v>
      </c>
      <c r="D1412">
        <v>9</v>
      </c>
      <c r="E1412">
        <v>4</v>
      </c>
      <c r="F1412">
        <v>14000</v>
      </c>
      <c r="G1412">
        <f t="shared" si="198"/>
        <v>140</v>
      </c>
      <c r="H1412">
        <v>180</v>
      </c>
      <c r="I1412" s="4">
        <f>Full_Data[[#This Row],[Selling Price]]/Full_Data[[#This Row],[Weight (g)]]</f>
        <v>0.77777777777777779</v>
      </c>
      <c r="J1412" t="b">
        <v>0</v>
      </c>
      <c r="K1412">
        <v>180</v>
      </c>
      <c r="L1412">
        <f t="shared" si="199"/>
        <v>15</v>
      </c>
      <c r="M1412" t="str">
        <f t="shared" si="200"/>
        <v>Medium</v>
      </c>
      <c r="N1412" t="str">
        <f t="shared" si="201"/>
        <v>6-10%</v>
      </c>
      <c r="O1412" t="str">
        <f t="shared" si="202"/>
        <v>OK</v>
      </c>
      <c r="P1412">
        <f>IFERROR(Full_Data!G1412/Full_Data!H1412,"Check data")</f>
        <v>0.77777777777777779</v>
      </c>
      <c r="Q1412" t="str">
        <f t="shared" si="203"/>
        <v>Match</v>
      </c>
      <c r="R1412" t="str">
        <f t="shared" si="204"/>
        <v>Mismatch</v>
      </c>
      <c r="S1412" t="str">
        <f t="shared" si="205"/>
        <v>Mismatch</v>
      </c>
    </row>
    <row r="1413" spans="1:19" x14ac:dyDescent="0.25">
      <c r="A1413" t="s">
        <v>1336</v>
      </c>
      <c r="B1413">
        <v>12000</v>
      </c>
      <c r="C1413">
        <f t="shared" si="206"/>
        <v>120</v>
      </c>
      <c r="D1413">
        <v>6</v>
      </c>
      <c r="E1413">
        <v>6</v>
      </c>
      <c r="F1413">
        <v>11200</v>
      </c>
      <c r="G1413">
        <f t="shared" si="198"/>
        <v>112</v>
      </c>
      <c r="H1413">
        <v>180</v>
      </c>
      <c r="I1413" s="4">
        <f>Full_Data[[#This Row],[Selling Price]]/Full_Data[[#This Row],[Weight (g)]]</f>
        <v>0.62222222222222223</v>
      </c>
      <c r="J1413" t="b">
        <v>0</v>
      </c>
      <c r="K1413">
        <v>180</v>
      </c>
      <c r="L1413">
        <f t="shared" si="199"/>
        <v>8</v>
      </c>
      <c r="M1413" t="str">
        <f t="shared" si="200"/>
        <v>Medium</v>
      </c>
      <c r="N1413" t="str">
        <f t="shared" si="201"/>
        <v>6-10%</v>
      </c>
      <c r="O1413" t="str">
        <f t="shared" si="202"/>
        <v>OK</v>
      </c>
      <c r="P1413">
        <f>IFERROR(Full_Data!G1413/Full_Data!H1413,"Check data")</f>
        <v>0.62222222222222223</v>
      </c>
      <c r="Q1413" t="str">
        <f t="shared" si="203"/>
        <v>Match</v>
      </c>
      <c r="R1413" t="str">
        <f t="shared" si="204"/>
        <v>Mismatch</v>
      </c>
      <c r="S1413" t="str">
        <f t="shared" si="205"/>
        <v>Mismatch</v>
      </c>
    </row>
    <row r="1414" spans="1:19" x14ac:dyDescent="0.25">
      <c r="A1414" t="s">
        <v>1337</v>
      </c>
      <c r="B1414">
        <v>6500</v>
      </c>
      <c r="C1414">
        <f t="shared" si="206"/>
        <v>65</v>
      </c>
      <c r="D1414">
        <v>10</v>
      </c>
      <c r="E1414">
        <v>6</v>
      </c>
      <c r="F1414">
        <v>5800</v>
      </c>
      <c r="G1414">
        <f t="shared" si="198"/>
        <v>58</v>
      </c>
      <c r="H1414">
        <v>40</v>
      </c>
      <c r="I1414" s="4">
        <f>Full_Data[[#This Row],[Selling Price]]/Full_Data[[#This Row],[Weight (g)]]</f>
        <v>1.45</v>
      </c>
      <c r="J1414" t="b">
        <v>0</v>
      </c>
      <c r="K1414">
        <v>40</v>
      </c>
      <c r="L1414">
        <f t="shared" si="199"/>
        <v>7</v>
      </c>
      <c r="M1414" t="str">
        <f t="shared" si="200"/>
        <v>Medium</v>
      </c>
      <c r="N1414" t="str">
        <f t="shared" si="201"/>
        <v>6-10%</v>
      </c>
      <c r="O1414" t="str">
        <f t="shared" si="202"/>
        <v>OK</v>
      </c>
      <c r="P1414">
        <f>IFERROR(Full_Data!G1414/Full_Data!H1414,"Check data")</f>
        <v>1.45</v>
      </c>
      <c r="Q1414" t="str">
        <f t="shared" si="203"/>
        <v>Match</v>
      </c>
      <c r="R1414" t="str">
        <f t="shared" si="204"/>
        <v>Mismatch</v>
      </c>
      <c r="S1414" t="str">
        <f t="shared" si="205"/>
        <v>Mismatch</v>
      </c>
    </row>
    <row r="1415" spans="1:19" x14ac:dyDescent="0.25">
      <c r="A1415" t="s">
        <v>1338</v>
      </c>
      <c r="B1415">
        <v>55500</v>
      </c>
      <c r="C1415">
        <f t="shared" si="206"/>
        <v>555</v>
      </c>
      <c r="D1415">
        <v>6</v>
      </c>
      <c r="E1415">
        <v>6</v>
      </c>
      <c r="F1415">
        <v>52100</v>
      </c>
      <c r="G1415">
        <f t="shared" si="198"/>
        <v>521</v>
      </c>
      <c r="H1415">
        <v>650</v>
      </c>
      <c r="I1415" s="4">
        <f>Full_Data[[#This Row],[Selling Price]]/Full_Data[[#This Row],[Weight (g)]]</f>
        <v>0.80153846153846153</v>
      </c>
      <c r="J1415" t="b">
        <v>0</v>
      </c>
      <c r="K1415">
        <v>650</v>
      </c>
      <c r="L1415">
        <f t="shared" si="199"/>
        <v>34</v>
      </c>
      <c r="M1415" t="str">
        <f t="shared" si="200"/>
        <v>High</v>
      </c>
      <c r="N1415" t="str">
        <f t="shared" si="201"/>
        <v>6-10%</v>
      </c>
      <c r="O1415" t="str">
        <f t="shared" si="202"/>
        <v>OK</v>
      </c>
      <c r="P1415">
        <f>IFERROR(Full_Data!G1415/Full_Data!H1415,"Check data")</f>
        <v>0.80153846153846153</v>
      </c>
      <c r="Q1415" t="str">
        <f t="shared" si="203"/>
        <v>Match</v>
      </c>
      <c r="R1415" t="str">
        <f t="shared" si="204"/>
        <v>Mismatch</v>
      </c>
      <c r="S1415" t="str">
        <f t="shared" si="205"/>
        <v>Match</v>
      </c>
    </row>
    <row r="1416" spans="1:19" x14ac:dyDescent="0.25">
      <c r="A1416" t="s">
        <v>1144</v>
      </c>
      <c r="B1416">
        <v>10000</v>
      </c>
      <c r="C1416">
        <f t="shared" si="206"/>
        <v>100</v>
      </c>
      <c r="D1416">
        <v>0</v>
      </c>
      <c r="E1416">
        <v>1</v>
      </c>
      <c r="F1416">
        <v>10000</v>
      </c>
      <c r="G1416">
        <f t="shared" si="198"/>
        <v>100</v>
      </c>
      <c r="H1416">
        <v>200</v>
      </c>
      <c r="I1416" s="4">
        <f>Full_Data[[#This Row],[Selling Price]]/Full_Data[[#This Row],[Weight (g)]]</f>
        <v>0.5</v>
      </c>
      <c r="J1416" t="b">
        <v>0</v>
      </c>
      <c r="K1416">
        <v>200</v>
      </c>
      <c r="L1416">
        <f t="shared" si="199"/>
        <v>0</v>
      </c>
      <c r="M1416" t="str">
        <f t="shared" si="200"/>
        <v>Medium</v>
      </c>
      <c r="N1416" t="str">
        <f t="shared" si="201"/>
        <v>0-5%</v>
      </c>
      <c r="O1416" t="str">
        <f t="shared" si="202"/>
        <v>OK</v>
      </c>
      <c r="P1416">
        <f>IFERROR(Full_Data!G1416/Full_Data!H1416,"Check data")</f>
        <v>0.5</v>
      </c>
      <c r="Q1416" t="str">
        <f t="shared" si="203"/>
        <v>Match</v>
      </c>
      <c r="R1416" t="str">
        <f t="shared" si="204"/>
        <v>Match</v>
      </c>
      <c r="S1416" t="str">
        <f t="shared" si="205"/>
        <v>Match</v>
      </c>
    </row>
    <row r="1417" spans="1:19" x14ac:dyDescent="0.25">
      <c r="A1417" t="s">
        <v>1339</v>
      </c>
      <c r="B1417">
        <v>8500</v>
      </c>
      <c r="C1417">
        <f t="shared" si="206"/>
        <v>85</v>
      </c>
      <c r="D1417">
        <v>0</v>
      </c>
      <c r="E1417">
        <v>5</v>
      </c>
      <c r="F1417">
        <v>8500</v>
      </c>
      <c r="G1417">
        <f t="shared" si="198"/>
        <v>85</v>
      </c>
      <c r="H1417">
        <v>200</v>
      </c>
      <c r="I1417" s="4">
        <f>Full_Data[[#This Row],[Selling Price]]/Full_Data[[#This Row],[Weight (g)]]</f>
        <v>0.42499999999999999</v>
      </c>
      <c r="J1417" t="b">
        <v>0</v>
      </c>
      <c r="K1417">
        <v>200</v>
      </c>
      <c r="L1417">
        <f t="shared" si="199"/>
        <v>0</v>
      </c>
      <c r="M1417" t="str">
        <f t="shared" si="200"/>
        <v>Medium</v>
      </c>
      <c r="N1417" t="str">
        <f t="shared" si="201"/>
        <v>0-5%</v>
      </c>
      <c r="O1417" t="str">
        <f t="shared" si="202"/>
        <v>OK</v>
      </c>
      <c r="P1417">
        <f>IFERROR(Full_Data!G1417/Full_Data!H1417,"Check data")</f>
        <v>0.42499999999999999</v>
      </c>
      <c r="Q1417" t="str">
        <f t="shared" si="203"/>
        <v>Match</v>
      </c>
      <c r="R1417" t="str">
        <f t="shared" si="204"/>
        <v>Match</v>
      </c>
      <c r="S1417" t="str">
        <f t="shared" si="205"/>
        <v>Match</v>
      </c>
    </row>
    <row r="1418" spans="1:19" x14ac:dyDescent="0.25">
      <c r="A1418" t="s">
        <v>1340</v>
      </c>
      <c r="B1418">
        <v>18500</v>
      </c>
      <c r="C1418">
        <f t="shared" si="206"/>
        <v>185</v>
      </c>
      <c r="D1418">
        <v>8</v>
      </c>
      <c r="E1418">
        <v>6</v>
      </c>
      <c r="F1418">
        <v>16900</v>
      </c>
      <c r="G1418">
        <f t="shared" si="198"/>
        <v>169</v>
      </c>
      <c r="H1418">
        <v>5</v>
      </c>
      <c r="I1418" s="4">
        <f>Full_Data[[#This Row],[Selling Price]]/Full_Data[[#This Row],[Weight (g)]]</f>
        <v>33.799999999999997</v>
      </c>
      <c r="J1418" t="b">
        <v>0</v>
      </c>
      <c r="K1418">
        <v>4</v>
      </c>
      <c r="L1418">
        <f t="shared" si="199"/>
        <v>16</v>
      </c>
      <c r="M1418" t="str">
        <f t="shared" si="200"/>
        <v>Medium</v>
      </c>
      <c r="N1418" t="str">
        <f t="shared" si="201"/>
        <v>6-10%</v>
      </c>
      <c r="O1418" t="str">
        <f t="shared" si="202"/>
        <v>OK</v>
      </c>
      <c r="P1418">
        <f>IFERROR(Full_Data!G1418/Full_Data!H1418,"Check data")</f>
        <v>33.799999999999997</v>
      </c>
      <c r="Q1418" t="str">
        <f t="shared" si="203"/>
        <v>Match</v>
      </c>
      <c r="R1418" t="str">
        <f t="shared" si="204"/>
        <v>Mismatch</v>
      </c>
      <c r="S1418" t="str">
        <f t="shared" si="205"/>
        <v>Mismatch</v>
      </c>
    </row>
    <row r="1419" spans="1:19" x14ac:dyDescent="0.25">
      <c r="A1419" t="s">
        <v>1341</v>
      </c>
      <c r="B1419">
        <v>18000</v>
      </c>
      <c r="C1419">
        <f t="shared" si="206"/>
        <v>180</v>
      </c>
      <c r="D1419">
        <v>0</v>
      </c>
      <c r="E1419">
        <v>6</v>
      </c>
      <c r="F1419">
        <v>18000</v>
      </c>
      <c r="G1419">
        <f t="shared" si="198"/>
        <v>180</v>
      </c>
      <c r="H1419">
        <v>600</v>
      </c>
      <c r="I1419" s="4">
        <f>Full_Data[[#This Row],[Selling Price]]/Full_Data[[#This Row],[Weight (g)]]</f>
        <v>0.3</v>
      </c>
      <c r="J1419" t="b">
        <v>0</v>
      </c>
      <c r="K1419">
        <v>600</v>
      </c>
      <c r="L1419">
        <f t="shared" si="199"/>
        <v>0</v>
      </c>
      <c r="M1419" t="str">
        <f t="shared" si="200"/>
        <v>Medium</v>
      </c>
      <c r="N1419" t="str">
        <f t="shared" si="201"/>
        <v>0-5%</v>
      </c>
      <c r="O1419" t="str">
        <f t="shared" si="202"/>
        <v>OK</v>
      </c>
      <c r="P1419">
        <f>IFERROR(Full_Data!G1419/Full_Data!H1419,"Check data")</f>
        <v>0.3</v>
      </c>
      <c r="Q1419" t="str">
        <f t="shared" si="203"/>
        <v>Match</v>
      </c>
      <c r="R1419" t="str">
        <f t="shared" si="204"/>
        <v>Match</v>
      </c>
      <c r="S1419" t="str">
        <f t="shared" si="205"/>
        <v>Match</v>
      </c>
    </row>
    <row r="1420" spans="1:19" x14ac:dyDescent="0.25">
      <c r="A1420" t="s">
        <v>1342</v>
      </c>
      <c r="B1420">
        <v>62000</v>
      </c>
      <c r="C1420">
        <f t="shared" si="206"/>
        <v>620</v>
      </c>
      <c r="D1420">
        <v>0</v>
      </c>
      <c r="E1420">
        <v>1</v>
      </c>
      <c r="F1420">
        <v>62000</v>
      </c>
      <c r="G1420">
        <f t="shared" si="198"/>
        <v>620</v>
      </c>
      <c r="H1420">
        <v>172</v>
      </c>
      <c r="I1420" s="4">
        <f>Full_Data[[#This Row],[Selling Price]]/Full_Data[[#This Row],[Weight (g)]]</f>
        <v>3.6046511627906979</v>
      </c>
      <c r="J1420" t="b">
        <v>0</v>
      </c>
      <c r="K1420">
        <v>172</v>
      </c>
      <c r="L1420">
        <f t="shared" si="199"/>
        <v>0</v>
      </c>
      <c r="M1420" t="str">
        <f t="shared" si="200"/>
        <v>High</v>
      </c>
      <c r="N1420" t="str">
        <f t="shared" si="201"/>
        <v>0-5%</v>
      </c>
      <c r="O1420" t="str">
        <f t="shared" si="202"/>
        <v>OK</v>
      </c>
      <c r="P1420">
        <f>IFERROR(Full_Data!G1420/Full_Data!H1420,"Check data")</f>
        <v>3.6046511627906979</v>
      </c>
      <c r="Q1420" t="str">
        <f t="shared" si="203"/>
        <v>Match</v>
      </c>
      <c r="R1420" t="str">
        <f t="shared" si="204"/>
        <v>Match</v>
      </c>
      <c r="S1420" t="str">
        <f t="shared" si="205"/>
        <v>Match</v>
      </c>
    </row>
    <row r="1421" spans="1:19" x14ac:dyDescent="0.25">
      <c r="A1421" t="s">
        <v>1343</v>
      </c>
      <c r="B1421">
        <v>22500</v>
      </c>
      <c r="C1421">
        <f t="shared" si="206"/>
        <v>225</v>
      </c>
      <c r="D1421">
        <v>0</v>
      </c>
      <c r="E1421">
        <v>6</v>
      </c>
      <c r="F1421">
        <v>22500</v>
      </c>
      <c r="G1421">
        <f t="shared" si="198"/>
        <v>225</v>
      </c>
      <c r="H1421">
        <v>418</v>
      </c>
      <c r="I1421" s="4">
        <f>Full_Data[[#This Row],[Selling Price]]/Full_Data[[#This Row],[Weight (g)]]</f>
        <v>0.53827751196172247</v>
      </c>
      <c r="J1421" t="b">
        <v>0</v>
      </c>
      <c r="K1421">
        <v>418</v>
      </c>
      <c r="L1421">
        <f t="shared" si="199"/>
        <v>0</v>
      </c>
      <c r="M1421" t="str">
        <f t="shared" si="200"/>
        <v>High</v>
      </c>
      <c r="N1421" t="str">
        <f t="shared" si="201"/>
        <v>0-5%</v>
      </c>
      <c r="O1421" t="str">
        <f t="shared" si="202"/>
        <v>OK</v>
      </c>
      <c r="P1421">
        <f>IFERROR(Full_Data!G1421/Full_Data!H1421,"Check data")</f>
        <v>0.53827751196172247</v>
      </c>
      <c r="Q1421" t="str">
        <f t="shared" si="203"/>
        <v>Match</v>
      </c>
      <c r="R1421" t="str">
        <f t="shared" si="204"/>
        <v>Match</v>
      </c>
      <c r="S1421" t="str">
        <f t="shared" si="205"/>
        <v>Match</v>
      </c>
    </row>
    <row r="1422" spans="1:19" x14ac:dyDescent="0.25">
      <c r="A1422" t="s">
        <v>1344</v>
      </c>
      <c r="B1422">
        <v>19900</v>
      </c>
      <c r="C1422">
        <f t="shared" si="206"/>
        <v>199</v>
      </c>
      <c r="D1422">
        <v>10</v>
      </c>
      <c r="E1422">
        <v>6</v>
      </c>
      <c r="F1422">
        <v>17900</v>
      </c>
      <c r="G1422">
        <f t="shared" si="198"/>
        <v>179</v>
      </c>
      <c r="H1422">
        <v>250</v>
      </c>
      <c r="I1422" s="4">
        <f>Full_Data[[#This Row],[Selling Price]]/Full_Data[[#This Row],[Weight (g)]]</f>
        <v>0.71599999999999997</v>
      </c>
      <c r="J1422" t="b">
        <v>0</v>
      </c>
      <c r="K1422">
        <v>250</v>
      </c>
      <c r="L1422">
        <f t="shared" si="199"/>
        <v>20</v>
      </c>
      <c r="M1422" t="str">
        <f t="shared" si="200"/>
        <v>Medium</v>
      </c>
      <c r="N1422" t="str">
        <f t="shared" si="201"/>
        <v>6-10%</v>
      </c>
      <c r="O1422" t="str">
        <f t="shared" si="202"/>
        <v>OK</v>
      </c>
      <c r="P1422">
        <f>IFERROR(Full_Data!G1422/Full_Data!H1422,"Check data")</f>
        <v>0.71599999999999997</v>
      </c>
      <c r="Q1422" t="str">
        <f t="shared" si="203"/>
        <v>Match</v>
      </c>
      <c r="R1422" t="str">
        <f t="shared" si="204"/>
        <v>Mismatch</v>
      </c>
      <c r="S1422" t="str">
        <f t="shared" si="205"/>
        <v>Match</v>
      </c>
    </row>
    <row r="1423" spans="1:19" x14ac:dyDescent="0.25">
      <c r="A1423" t="s">
        <v>1345</v>
      </c>
      <c r="B1423">
        <v>14000</v>
      </c>
      <c r="C1423">
        <f t="shared" si="206"/>
        <v>140</v>
      </c>
      <c r="D1423">
        <v>10</v>
      </c>
      <c r="E1423">
        <v>4</v>
      </c>
      <c r="F1423">
        <v>12600</v>
      </c>
      <c r="G1423">
        <f t="shared" si="198"/>
        <v>126</v>
      </c>
      <c r="H1423">
        <v>250</v>
      </c>
      <c r="I1423" s="4">
        <f>Full_Data[[#This Row],[Selling Price]]/Full_Data[[#This Row],[Weight (g)]]</f>
        <v>0.504</v>
      </c>
      <c r="J1423" t="b">
        <v>0</v>
      </c>
      <c r="K1423">
        <v>250</v>
      </c>
      <c r="L1423">
        <f t="shared" si="199"/>
        <v>14</v>
      </c>
      <c r="M1423" t="str">
        <f t="shared" si="200"/>
        <v>Medium</v>
      </c>
      <c r="N1423" t="str">
        <f t="shared" si="201"/>
        <v>6-10%</v>
      </c>
      <c r="O1423" t="str">
        <f t="shared" si="202"/>
        <v>OK</v>
      </c>
      <c r="P1423">
        <f>IFERROR(Full_Data!G1423/Full_Data!H1423,"Check data")</f>
        <v>0.504</v>
      </c>
      <c r="Q1423" t="str">
        <f t="shared" si="203"/>
        <v>Match</v>
      </c>
      <c r="R1423" t="str">
        <f t="shared" si="204"/>
        <v>Match</v>
      </c>
      <c r="S1423" t="str">
        <f t="shared" si="205"/>
        <v>Match</v>
      </c>
    </row>
    <row r="1424" spans="1:19" x14ac:dyDescent="0.25">
      <c r="A1424" t="s">
        <v>1346</v>
      </c>
      <c r="B1424">
        <v>29900</v>
      </c>
      <c r="C1424">
        <f t="shared" si="206"/>
        <v>299</v>
      </c>
      <c r="D1424">
        <v>17</v>
      </c>
      <c r="E1424">
        <v>5</v>
      </c>
      <c r="F1424">
        <v>24700</v>
      </c>
      <c r="G1424">
        <f t="shared" si="198"/>
        <v>247</v>
      </c>
      <c r="H1424">
        <v>200</v>
      </c>
      <c r="I1424" s="4">
        <f>Full_Data[[#This Row],[Selling Price]]/Full_Data[[#This Row],[Weight (g)]]</f>
        <v>1.2350000000000001</v>
      </c>
      <c r="J1424" t="b">
        <v>0</v>
      </c>
      <c r="K1424">
        <v>200</v>
      </c>
      <c r="L1424">
        <f t="shared" si="199"/>
        <v>52</v>
      </c>
      <c r="M1424" t="str">
        <f t="shared" si="200"/>
        <v>High</v>
      </c>
      <c r="N1424" t="str">
        <f t="shared" si="201"/>
        <v>16-20%</v>
      </c>
      <c r="O1424" t="str">
        <f t="shared" si="202"/>
        <v>OK</v>
      </c>
      <c r="P1424">
        <f>IFERROR(Full_Data!G1424/Full_Data!H1424,"Check data")</f>
        <v>1.2350000000000001</v>
      </c>
      <c r="Q1424" t="str">
        <f t="shared" si="203"/>
        <v>Match</v>
      </c>
      <c r="R1424" t="str">
        <f t="shared" si="204"/>
        <v>Mismatch</v>
      </c>
      <c r="S1424" t="str">
        <f t="shared" si="205"/>
        <v>Match</v>
      </c>
    </row>
    <row r="1425" spans="1:19" x14ac:dyDescent="0.25">
      <c r="A1425" t="s">
        <v>1347</v>
      </c>
      <c r="B1425">
        <v>24000</v>
      </c>
      <c r="C1425">
        <f t="shared" si="206"/>
        <v>240</v>
      </c>
      <c r="D1425">
        <v>7</v>
      </c>
      <c r="E1425">
        <v>2</v>
      </c>
      <c r="F1425">
        <v>22100</v>
      </c>
      <c r="G1425">
        <f t="shared" si="198"/>
        <v>221</v>
      </c>
      <c r="H1425">
        <v>340</v>
      </c>
      <c r="I1425" s="4">
        <f>Full_Data[[#This Row],[Selling Price]]/Full_Data[[#This Row],[Weight (g)]]</f>
        <v>0.65</v>
      </c>
      <c r="J1425" t="b">
        <v>0</v>
      </c>
      <c r="K1425">
        <v>340</v>
      </c>
      <c r="L1425">
        <f t="shared" si="199"/>
        <v>19</v>
      </c>
      <c r="M1425" t="str">
        <f t="shared" si="200"/>
        <v>High</v>
      </c>
      <c r="N1425" t="str">
        <f t="shared" si="201"/>
        <v>6-10%</v>
      </c>
      <c r="O1425" t="str">
        <f t="shared" si="202"/>
        <v>OK</v>
      </c>
      <c r="P1425">
        <f>IFERROR(Full_Data!G1425/Full_Data!H1425,"Check data")</f>
        <v>0.65</v>
      </c>
      <c r="Q1425" t="str">
        <f t="shared" si="203"/>
        <v>Match</v>
      </c>
      <c r="R1425" t="str">
        <f t="shared" si="204"/>
        <v>Mismatch</v>
      </c>
      <c r="S1425" t="str">
        <f t="shared" si="205"/>
        <v>Mismatch</v>
      </c>
    </row>
    <row r="1426" spans="1:19" x14ac:dyDescent="0.25">
      <c r="A1426" t="s">
        <v>1348</v>
      </c>
      <c r="B1426">
        <v>25000</v>
      </c>
      <c r="C1426">
        <f t="shared" si="206"/>
        <v>250</v>
      </c>
      <c r="D1426">
        <v>0</v>
      </c>
      <c r="E1426">
        <v>5</v>
      </c>
      <c r="F1426">
        <v>25000</v>
      </c>
      <c r="G1426">
        <f t="shared" si="198"/>
        <v>250</v>
      </c>
      <c r="H1426">
        <v>120</v>
      </c>
      <c r="I1426" s="4">
        <f>Full_Data[[#This Row],[Selling Price]]/Full_Data[[#This Row],[Weight (g)]]</f>
        <v>2.0833333333333335</v>
      </c>
      <c r="J1426" t="b">
        <v>0</v>
      </c>
      <c r="K1426">
        <v>120</v>
      </c>
      <c r="L1426">
        <f t="shared" si="199"/>
        <v>0</v>
      </c>
      <c r="M1426" t="str">
        <f t="shared" si="200"/>
        <v>High</v>
      </c>
      <c r="N1426" t="str">
        <f t="shared" si="201"/>
        <v>0-5%</v>
      </c>
      <c r="O1426" t="str">
        <f t="shared" si="202"/>
        <v>OK</v>
      </c>
      <c r="P1426">
        <f>IFERROR(Full_Data!G1426/Full_Data!H1426,"Check data")</f>
        <v>2.0833333333333335</v>
      </c>
      <c r="Q1426" t="str">
        <f t="shared" si="203"/>
        <v>Match</v>
      </c>
      <c r="R1426" t="str">
        <f t="shared" si="204"/>
        <v>Match</v>
      </c>
      <c r="S1426" t="str">
        <f t="shared" si="205"/>
        <v>Match</v>
      </c>
    </row>
    <row r="1427" spans="1:19" x14ac:dyDescent="0.25">
      <c r="A1427" t="s">
        <v>1349</v>
      </c>
      <c r="B1427">
        <v>22000</v>
      </c>
      <c r="C1427">
        <f t="shared" si="206"/>
        <v>220</v>
      </c>
      <c r="D1427">
        <v>0</v>
      </c>
      <c r="E1427">
        <v>5</v>
      </c>
      <c r="F1427">
        <v>22000</v>
      </c>
      <c r="G1427">
        <f t="shared" si="198"/>
        <v>220</v>
      </c>
      <c r="H1427">
        <v>190</v>
      </c>
      <c r="I1427" s="4">
        <f>Full_Data[[#This Row],[Selling Price]]/Full_Data[[#This Row],[Weight (g)]]</f>
        <v>1.1578947368421053</v>
      </c>
      <c r="J1427" t="b">
        <v>0</v>
      </c>
      <c r="K1427">
        <v>190</v>
      </c>
      <c r="L1427">
        <f t="shared" si="199"/>
        <v>0</v>
      </c>
      <c r="M1427" t="str">
        <f t="shared" si="200"/>
        <v>High</v>
      </c>
      <c r="N1427" t="str">
        <f t="shared" si="201"/>
        <v>0-5%</v>
      </c>
      <c r="O1427" t="str">
        <f t="shared" si="202"/>
        <v>OK</v>
      </c>
      <c r="P1427">
        <f>IFERROR(Full_Data!G1427/Full_Data!H1427,"Check data")</f>
        <v>1.1578947368421053</v>
      </c>
      <c r="Q1427" t="str">
        <f t="shared" si="203"/>
        <v>Match</v>
      </c>
      <c r="R1427" t="str">
        <f t="shared" si="204"/>
        <v>Match</v>
      </c>
      <c r="S1427" t="str">
        <f t="shared" si="205"/>
        <v>Match</v>
      </c>
    </row>
    <row r="1428" spans="1:19" x14ac:dyDescent="0.25">
      <c r="A1428" t="s">
        <v>1247</v>
      </c>
      <c r="B1428">
        <v>15500</v>
      </c>
      <c r="C1428">
        <f t="shared" si="206"/>
        <v>155</v>
      </c>
      <c r="D1428">
        <v>0</v>
      </c>
      <c r="E1428">
        <v>6</v>
      </c>
      <c r="F1428">
        <v>15500</v>
      </c>
      <c r="G1428">
        <f t="shared" si="198"/>
        <v>155</v>
      </c>
      <c r="H1428">
        <v>870</v>
      </c>
      <c r="I1428" s="4">
        <f>Full_Data[[#This Row],[Selling Price]]/Full_Data[[#This Row],[Weight (g)]]</f>
        <v>0.17816091954022989</v>
      </c>
      <c r="J1428" t="b">
        <v>0</v>
      </c>
      <c r="K1428">
        <v>15</v>
      </c>
      <c r="L1428">
        <f t="shared" si="199"/>
        <v>0</v>
      </c>
      <c r="M1428" t="str">
        <f t="shared" si="200"/>
        <v>Medium</v>
      </c>
      <c r="N1428" t="str">
        <f t="shared" si="201"/>
        <v>0-5%</v>
      </c>
      <c r="O1428" t="str">
        <f t="shared" si="202"/>
        <v>OK</v>
      </c>
      <c r="P1428">
        <f>IFERROR(Full_Data!G1428/Full_Data!H1428,"Check data")</f>
        <v>0.17816091954022989</v>
      </c>
      <c r="Q1428" t="str">
        <f t="shared" si="203"/>
        <v>Match</v>
      </c>
      <c r="R1428" t="str">
        <f t="shared" si="204"/>
        <v>Match</v>
      </c>
      <c r="S1428" t="str">
        <f t="shared" si="205"/>
        <v>Match</v>
      </c>
    </row>
    <row r="1429" spans="1:19" x14ac:dyDescent="0.25">
      <c r="A1429" t="s">
        <v>1350</v>
      </c>
      <c r="B1429">
        <v>9300</v>
      </c>
      <c r="C1429">
        <f t="shared" si="206"/>
        <v>93</v>
      </c>
      <c r="D1429">
        <v>5</v>
      </c>
      <c r="E1429">
        <v>6</v>
      </c>
      <c r="F1429">
        <v>8800</v>
      </c>
      <c r="G1429">
        <f t="shared" si="198"/>
        <v>88</v>
      </c>
      <c r="H1429">
        <v>80</v>
      </c>
      <c r="I1429" s="4">
        <f>Full_Data[[#This Row],[Selling Price]]/Full_Data[[#This Row],[Weight (g)]]</f>
        <v>1.1000000000000001</v>
      </c>
      <c r="J1429" t="b">
        <v>0</v>
      </c>
      <c r="K1429">
        <v>80</v>
      </c>
      <c r="L1429">
        <f t="shared" si="199"/>
        <v>5</v>
      </c>
      <c r="M1429" t="str">
        <f t="shared" si="200"/>
        <v>Medium</v>
      </c>
      <c r="N1429" t="str">
        <f t="shared" si="201"/>
        <v>0-5%</v>
      </c>
      <c r="O1429" t="str">
        <f t="shared" si="202"/>
        <v>OK</v>
      </c>
      <c r="P1429">
        <f>IFERROR(Full_Data!G1429/Full_Data!H1429,"Check data")</f>
        <v>1.1000000000000001</v>
      </c>
      <c r="Q1429" t="str">
        <f t="shared" si="203"/>
        <v>Match</v>
      </c>
      <c r="R1429" t="str">
        <f t="shared" si="204"/>
        <v>Mismatch</v>
      </c>
      <c r="S1429" t="str">
        <f t="shared" si="205"/>
        <v>Match</v>
      </c>
    </row>
    <row r="1430" spans="1:19" x14ac:dyDescent="0.25">
      <c r="A1430" t="s">
        <v>1351</v>
      </c>
      <c r="B1430">
        <v>31000</v>
      </c>
      <c r="C1430">
        <f t="shared" si="206"/>
        <v>310</v>
      </c>
      <c r="D1430">
        <v>12</v>
      </c>
      <c r="E1430">
        <v>1</v>
      </c>
      <c r="F1430">
        <v>27200</v>
      </c>
      <c r="G1430">
        <f t="shared" si="198"/>
        <v>272</v>
      </c>
      <c r="H1430">
        <v>200</v>
      </c>
      <c r="I1430" s="4">
        <f>Full_Data[[#This Row],[Selling Price]]/Full_Data[[#This Row],[Weight (g)]]</f>
        <v>1.36</v>
      </c>
      <c r="J1430" t="b">
        <v>0</v>
      </c>
      <c r="K1430">
        <v>200</v>
      </c>
      <c r="L1430">
        <f t="shared" si="199"/>
        <v>38</v>
      </c>
      <c r="M1430" t="str">
        <f t="shared" si="200"/>
        <v>High</v>
      </c>
      <c r="N1430" t="str">
        <f t="shared" si="201"/>
        <v>11-15%</v>
      </c>
      <c r="O1430" t="str">
        <f t="shared" si="202"/>
        <v>OK</v>
      </c>
      <c r="P1430">
        <f>IFERROR(Full_Data!G1430/Full_Data!H1430,"Check data")</f>
        <v>1.36</v>
      </c>
      <c r="Q1430" t="str">
        <f t="shared" si="203"/>
        <v>Match</v>
      </c>
      <c r="R1430" t="str">
        <f t="shared" si="204"/>
        <v>Mismatch</v>
      </c>
      <c r="S1430" t="str">
        <f t="shared" si="205"/>
        <v>Match</v>
      </c>
    </row>
    <row r="1431" spans="1:19" x14ac:dyDescent="0.25">
      <c r="A1431" t="s">
        <v>1352</v>
      </c>
      <c r="B1431">
        <v>8500</v>
      </c>
      <c r="C1431">
        <f t="shared" si="206"/>
        <v>85</v>
      </c>
      <c r="D1431">
        <v>0</v>
      </c>
      <c r="E1431">
        <v>5</v>
      </c>
      <c r="F1431">
        <v>8500</v>
      </c>
      <c r="G1431">
        <f t="shared" si="198"/>
        <v>85</v>
      </c>
      <c r="H1431">
        <v>200</v>
      </c>
      <c r="I1431" s="4">
        <f>Full_Data[[#This Row],[Selling Price]]/Full_Data[[#This Row],[Weight (g)]]</f>
        <v>0.42499999999999999</v>
      </c>
      <c r="J1431" t="b">
        <v>0</v>
      </c>
      <c r="K1431">
        <v>200</v>
      </c>
      <c r="L1431">
        <f t="shared" si="199"/>
        <v>0</v>
      </c>
      <c r="M1431" t="str">
        <f t="shared" si="200"/>
        <v>Medium</v>
      </c>
      <c r="N1431" t="str">
        <f t="shared" si="201"/>
        <v>0-5%</v>
      </c>
      <c r="O1431" t="str">
        <f t="shared" si="202"/>
        <v>OK</v>
      </c>
      <c r="P1431">
        <f>IFERROR(Full_Data!G1431/Full_Data!H1431,"Check data")</f>
        <v>0.42499999999999999</v>
      </c>
      <c r="Q1431" t="str">
        <f t="shared" si="203"/>
        <v>Match</v>
      </c>
      <c r="R1431" t="str">
        <f t="shared" si="204"/>
        <v>Match</v>
      </c>
      <c r="S1431" t="str">
        <f t="shared" si="205"/>
        <v>Match</v>
      </c>
    </row>
    <row r="1432" spans="1:19" x14ac:dyDescent="0.25">
      <c r="A1432" t="s">
        <v>1353</v>
      </c>
      <c r="B1432">
        <v>13000</v>
      </c>
      <c r="C1432">
        <f t="shared" si="206"/>
        <v>130</v>
      </c>
      <c r="D1432">
        <v>11</v>
      </c>
      <c r="E1432">
        <v>2</v>
      </c>
      <c r="F1432">
        <v>11500</v>
      </c>
      <c r="G1432">
        <f t="shared" si="198"/>
        <v>115</v>
      </c>
      <c r="H1432">
        <v>50</v>
      </c>
      <c r="I1432" s="4">
        <f>Full_Data[[#This Row],[Selling Price]]/Full_Data[[#This Row],[Weight (g)]]</f>
        <v>2.2999999999999998</v>
      </c>
      <c r="J1432" t="b">
        <v>0</v>
      </c>
      <c r="K1432">
        <v>50</v>
      </c>
      <c r="L1432">
        <f t="shared" si="199"/>
        <v>15</v>
      </c>
      <c r="M1432" t="str">
        <f t="shared" si="200"/>
        <v>Medium</v>
      </c>
      <c r="N1432" t="str">
        <f t="shared" si="201"/>
        <v>11-15%</v>
      </c>
      <c r="O1432" t="str">
        <f t="shared" si="202"/>
        <v>OK</v>
      </c>
      <c r="P1432">
        <f>IFERROR(Full_Data!G1432/Full_Data!H1432,"Check data")</f>
        <v>2.2999999999999998</v>
      </c>
      <c r="Q1432" t="str">
        <f t="shared" si="203"/>
        <v>Match</v>
      </c>
      <c r="R1432" t="str">
        <f t="shared" si="204"/>
        <v>Mismatch</v>
      </c>
      <c r="S1432" t="str">
        <f t="shared" si="205"/>
        <v>Mismatch</v>
      </c>
    </row>
    <row r="1433" spans="1:19" x14ac:dyDescent="0.25">
      <c r="A1433" t="s">
        <v>1354</v>
      </c>
      <c r="B1433">
        <v>15500</v>
      </c>
      <c r="C1433">
        <f t="shared" si="206"/>
        <v>155</v>
      </c>
      <c r="D1433">
        <v>6</v>
      </c>
      <c r="E1433">
        <v>6</v>
      </c>
      <c r="F1433">
        <v>14500</v>
      </c>
      <c r="G1433">
        <f t="shared" si="198"/>
        <v>145</v>
      </c>
      <c r="H1433">
        <v>100</v>
      </c>
      <c r="I1433" s="4">
        <f>Full_Data[[#This Row],[Selling Price]]/Full_Data[[#This Row],[Weight (g)]]</f>
        <v>1.45</v>
      </c>
      <c r="J1433" t="b">
        <v>0</v>
      </c>
      <c r="K1433">
        <v>100</v>
      </c>
      <c r="L1433">
        <f t="shared" si="199"/>
        <v>10</v>
      </c>
      <c r="M1433" t="str">
        <f t="shared" si="200"/>
        <v>Medium</v>
      </c>
      <c r="N1433" t="str">
        <f t="shared" si="201"/>
        <v>6-10%</v>
      </c>
      <c r="O1433" t="str">
        <f t="shared" si="202"/>
        <v>OK</v>
      </c>
      <c r="P1433">
        <f>IFERROR(Full_Data!G1433/Full_Data!H1433,"Check data")</f>
        <v>1.45</v>
      </c>
      <c r="Q1433" t="str">
        <f t="shared" si="203"/>
        <v>Match</v>
      </c>
      <c r="R1433" t="str">
        <f t="shared" si="204"/>
        <v>Mismatch</v>
      </c>
      <c r="S1433" t="str">
        <f t="shared" si="205"/>
        <v>Match</v>
      </c>
    </row>
    <row r="1434" spans="1:19" x14ac:dyDescent="0.25">
      <c r="A1434" t="s">
        <v>1355</v>
      </c>
      <c r="B1434">
        <v>32000</v>
      </c>
      <c r="C1434">
        <f t="shared" si="206"/>
        <v>320</v>
      </c>
      <c r="D1434">
        <v>0</v>
      </c>
      <c r="E1434">
        <v>4</v>
      </c>
      <c r="F1434">
        <v>32000</v>
      </c>
      <c r="G1434">
        <f t="shared" si="198"/>
        <v>320</v>
      </c>
      <c r="H1434">
        <v>24</v>
      </c>
      <c r="I1434" s="4">
        <f>Full_Data[[#This Row],[Selling Price]]/Full_Data[[#This Row],[Weight (g)]]</f>
        <v>13.333333333333334</v>
      </c>
      <c r="J1434" t="b">
        <v>0</v>
      </c>
      <c r="K1434">
        <v>24</v>
      </c>
      <c r="L1434">
        <f t="shared" si="199"/>
        <v>0</v>
      </c>
      <c r="M1434" t="str">
        <f t="shared" si="200"/>
        <v>High</v>
      </c>
      <c r="N1434" t="str">
        <f t="shared" si="201"/>
        <v>0-5%</v>
      </c>
      <c r="O1434" t="str">
        <f t="shared" si="202"/>
        <v>OK</v>
      </c>
      <c r="P1434">
        <f>IFERROR(Full_Data!G1434/Full_Data!H1434,"Check data")</f>
        <v>13.333333333333334</v>
      </c>
      <c r="Q1434" t="str">
        <f t="shared" si="203"/>
        <v>Match</v>
      </c>
      <c r="R1434" t="str">
        <f t="shared" si="204"/>
        <v>Match</v>
      </c>
      <c r="S1434" t="str">
        <f t="shared" si="205"/>
        <v>Match</v>
      </c>
    </row>
    <row r="1435" spans="1:19" x14ac:dyDescent="0.25">
      <c r="A1435" t="s">
        <v>1356</v>
      </c>
      <c r="B1435">
        <v>22500</v>
      </c>
      <c r="C1435">
        <f t="shared" si="206"/>
        <v>225</v>
      </c>
      <c r="D1435">
        <v>9</v>
      </c>
      <c r="E1435">
        <v>6</v>
      </c>
      <c r="F1435">
        <v>20300</v>
      </c>
      <c r="G1435">
        <f t="shared" si="198"/>
        <v>203</v>
      </c>
      <c r="H1435">
        <v>200</v>
      </c>
      <c r="I1435" s="4">
        <f>Full_Data[[#This Row],[Selling Price]]/Full_Data[[#This Row],[Weight (g)]]</f>
        <v>1.0149999999999999</v>
      </c>
      <c r="J1435" t="b">
        <v>0</v>
      </c>
      <c r="K1435">
        <v>200</v>
      </c>
      <c r="L1435">
        <f t="shared" si="199"/>
        <v>22</v>
      </c>
      <c r="M1435" t="str">
        <f t="shared" si="200"/>
        <v>High</v>
      </c>
      <c r="N1435" t="str">
        <f t="shared" si="201"/>
        <v>6-10%</v>
      </c>
      <c r="O1435" t="str">
        <f t="shared" si="202"/>
        <v>OK</v>
      </c>
      <c r="P1435">
        <f>IFERROR(Full_Data!G1435/Full_Data!H1435,"Check data")</f>
        <v>1.0149999999999999</v>
      </c>
      <c r="Q1435" t="str">
        <f t="shared" si="203"/>
        <v>Match</v>
      </c>
      <c r="R1435" t="str">
        <f t="shared" si="204"/>
        <v>Mismatch</v>
      </c>
      <c r="S1435" t="str">
        <f t="shared" si="205"/>
        <v>Mismatch</v>
      </c>
    </row>
    <row r="1436" spans="1:19" x14ac:dyDescent="0.25">
      <c r="A1436" t="s">
        <v>1357</v>
      </c>
      <c r="B1436">
        <v>14900</v>
      </c>
      <c r="C1436">
        <f t="shared" si="206"/>
        <v>149</v>
      </c>
      <c r="D1436">
        <v>0</v>
      </c>
      <c r="E1436">
        <v>6</v>
      </c>
      <c r="F1436">
        <v>14900</v>
      </c>
      <c r="G1436">
        <f t="shared" si="198"/>
        <v>149</v>
      </c>
      <c r="H1436">
        <v>192</v>
      </c>
      <c r="I1436" s="4">
        <f>Full_Data[[#This Row],[Selling Price]]/Full_Data[[#This Row],[Weight (g)]]</f>
        <v>0.77604166666666663</v>
      </c>
      <c r="J1436" t="b">
        <v>0</v>
      </c>
      <c r="K1436">
        <v>192</v>
      </c>
      <c r="L1436">
        <f t="shared" si="199"/>
        <v>0</v>
      </c>
      <c r="M1436" t="str">
        <f t="shared" si="200"/>
        <v>Medium</v>
      </c>
      <c r="N1436" t="str">
        <f t="shared" si="201"/>
        <v>0-5%</v>
      </c>
      <c r="O1436" t="str">
        <f t="shared" si="202"/>
        <v>OK</v>
      </c>
      <c r="P1436">
        <f>IFERROR(Full_Data!G1436/Full_Data!H1436,"Check data")</f>
        <v>0.77604166666666663</v>
      </c>
      <c r="Q1436" t="str">
        <f t="shared" si="203"/>
        <v>Match</v>
      </c>
      <c r="R1436" t="str">
        <f t="shared" si="204"/>
        <v>Match</v>
      </c>
      <c r="S1436" t="str">
        <f t="shared" si="205"/>
        <v>Match</v>
      </c>
    </row>
    <row r="1437" spans="1:19" x14ac:dyDescent="0.25">
      <c r="A1437" t="s">
        <v>1358</v>
      </c>
      <c r="B1437">
        <v>11500</v>
      </c>
      <c r="C1437">
        <f t="shared" si="206"/>
        <v>115</v>
      </c>
      <c r="D1437">
        <v>0</v>
      </c>
      <c r="E1437">
        <v>4</v>
      </c>
      <c r="F1437">
        <v>11500</v>
      </c>
      <c r="G1437">
        <f t="shared" si="198"/>
        <v>115</v>
      </c>
      <c r="H1437">
        <v>100</v>
      </c>
      <c r="I1437" s="4">
        <f>Full_Data[[#This Row],[Selling Price]]/Full_Data[[#This Row],[Weight (g)]]</f>
        <v>1.1499999999999999</v>
      </c>
      <c r="J1437" t="b">
        <v>0</v>
      </c>
      <c r="K1437">
        <v>100</v>
      </c>
      <c r="L1437">
        <f t="shared" si="199"/>
        <v>0</v>
      </c>
      <c r="M1437" t="str">
        <f t="shared" si="200"/>
        <v>Medium</v>
      </c>
      <c r="N1437" t="str">
        <f t="shared" si="201"/>
        <v>0-5%</v>
      </c>
      <c r="O1437" t="str">
        <f t="shared" si="202"/>
        <v>OK</v>
      </c>
      <c r="P1437">
        <f>IFERROR(Full_Data!G1437/Full_Data!H1437,"Check data")</f>
        <v>1.1499999999999999</v>
      </c>
      <c r="Q1437" t="str">
        <f t="shared" si="203"/>
        <v>Match</v>
      </c>
      <c r="R1437" t="str">
        <f t="shared" si="204"/>
        <v>Match</v>
      </c>
      <c r="S1437" t="str">
        <f t="shared" si="205"/>
        <v>Match</v>
      </c>
    </row>
    <row r="1438" spans="1:19" x14ac:dyDescent="0.25">
      <c r="A1438" t="s">
        <v>1359</v>
      </c>
      <c r="B1438">
        <v>19500</v>
      </c>
      <c r="C1438">
        <f t="shared" si="206"/>
        <v>195</v>
      </c>
      <c r="D1438">
        <v>9</v>
      </c>
      <c r="E1438">
        <v>6</v>
      </c>
      <c r="F1438">
        <v>17600</v>
      </c>
      <c r="G1438">
        <f t="shared" si="198"/>
        <v>176</v>
      </c>
      <c r="H1438">
        <v>150</v>
      </c>
      <c r="I1438" s="4">
        <f>Full_Data[[#This Row],[Selling Price]]/Full_Data[[#This Row],[Weight (g)]]</f>
        <v>1.1733333333333333</v>
      </c>
      <c r="J1438" t="b">
        <v>0</v>
      </c>
      <c r="K1438">
        <v>150</v>
      </c>
      <c r="L1438">
        <f t="shared" si="199"/>
        <v>19</v>
      </c>
      <c r="M1438" t="str">
        <f t="shared" si="200"/>
        <v>Medium</v>
      </c>
      <c r="N1438" t="str">
        <f t="shared" si="201"/>
        <v>6-10%</v>
      </c>
      <c r="O1438" t="str">
        <f t="shared" si="202"/>
        <v>OK</v>
      </c>
      <c r="P1438">
        <f>IFERROR(Full_Data!G1438/Full_Data!H1438,"Check data")</f>
        <v>1.1733333333333333</v>
      </c>
      <c r="Q1438" t="str">
        <f t="shared" si="203"/>
        <v>Match</v>
      </c>
      <c r="R1438" t="str">
        <f t="shared" si="204"/>
        <v>Mismatch</v>
      </c>
      <c r="S1438" t="str">
        <f t="shared" si="205"/>
        <v>Mismatch</v>
      </c>
    </row>
    <row r="1439" spans="1:19" x14ac:dyDescent="0.25">
      <c r="A1439" t="s">
        <v>1314</v>
      </c>
      <c r="B1439">
        <v>26400</v>
      </c>
      <c r="C1439">
        <f t="shared" si="206"/>
        <v>264</v>
      </c>
      <c r="D1439">
        <v>0</v>
      </c>
      <c r="E1439">
        <v>6</v>
      </c>
      <c r="F1439">
        <v>26400</v>
      </c>
      <c r="G1439">
        <f t="shared" si="198"/>
        <v>264</v>
      </c>
      <c r="H1439">
        <v>340</v>
      </c>
      <c r="I1439" s="4">
        <f>Full_Data[[#This Row],[Selling Price]]/Full_Data[[#This Row],[Weight (g)]]</f>
        <v>0.77647058823529413</v>
      </c>
      <c r="J1439" t="b">
        <v>0</v>
      </c>
      <c r="K1439">
        <v>340</v>
      </c>
      <c r="L1439">
        <f t="shared" si="199"/>
        <v>0</v>
      </c>
      <c r="M1439" t="str">
        <f t="shared" si="200"/>
        <v>High</v>
      </c>
      <c r="N1439" t="str">
        <f t="shared" si="201"/>
        <v>0-5%</v>
      </c>
      <c r="O1439" t="str">
        <f t="shared" si="202"/>
        <v>OK</v>
      </c>
      <c r="P1439">
        <f>IFERROR(Full_Data!G1439/Full_Data!H1439,"Check data")</f>
        <v>0.77647058823529413</v>
      </c>
      <c r="Q1439" t="str">
        <f t="shared" si="203"/>
        <v>Match</v>
      </c>
      <c r="R1439" t="str">
        <f t="shared" si="204"/>
        <v>Match</v>
      </c>
      <c r="S1439" t="str">
        <f t="shared" si="205"/>
        <v>Match</v>
      </c>
    </row>
    <row r="1440" spans="1:19" x14ac:dyDescent="0.25">
      <c r="A1440" t="s">
        <v>1360</v>
      </c>
      <c r="B1440">
        <v>10500</v>
      </c>
      <c r="C1440">
        <f t="shared" si="206"/>
        <v>105</v>
      </c>
      <c r="D1440">
        <v>0</v>
      </c>
      <c r="E1440">
        <v>4</v>
      </c>
      <c r="F1440">
        <v>10500</v>
      </c>
      <c r="G1440">
        <f t="shared" si="198"/>
        <v>105</v>
      </c>
      <c r="H1440">
        <v>1160</v>
      </c>
      <c r="I1440" s="4">
        <f>Full_Data[[#This Row],[Selling Price]]/Full_Data[[#This Row],[Weight (g)]]</f>
        <v>9.0517241379310345E-2</v>
      </c>
      <c r="J1440" t="b">
        <v>0</v>
      </c>
      <c r="K1440">
        <v>20</v>
      </c>
      <c r="L1440">
        <f t="shared" si="199"/>
        <v>0</v>
      </c>
      <c r="M1440" t="str">
        <f t="shared" si="200"/>
        <v>Medium</v>
      </c>
      <c r="N1440" t="str">
        <f t="shared" si="201"/>
        <v>0-5%</v>
      </c>
      <c r="O1440" t="str">
        <f t="shared" si="202"/>
        <v>OK</v>
      </c>
      <c r="P1440">
        <f>IFERROR(Full_Data!G1440/Full_Data!H1440,"Check data")</f>
        <v>9.0517241379310345E-2</v>
      </c>
      <c r="Q1440" t="str">
        <f t="shared" si="203"/>
        <v>Match</v>
      </c>
      <c r="R1440" t="str">
        <f t="shared" si="204"/>
        <v>Match</v>
      </c>
      <c r="S1440" t="str">
        <f t="shared" si="205"/>
        <v>Match</v>
      </c>
    </row>
    <row r="1441" spans="1:19" x14ac:dyDescent="0.25">
      <c r="A1441" t="s">
        <v>1361</v>
      </c>
      <c r="B1441">
        <v>18000</v>
      </c>
      <c r="C1441">
        <f t="shared" si="206"/>
        <v>180</v>
      </c>
      <c r="D1441">
        <v>9</v>
      </c>
      <c r="E1441">
        <v>2</v>
      </c>
      <c r="F1441">
        <v>16300</v>
      </c>
      <c r="G1441">
        <f t="shared" si="198"/>
        <v>163</v>
      </c>
      <c r="H1441">
        <v>100</v>
      </c>
      <c r="I1441" s="4">
        <f>Full_Data[[#This Row],[Selling Price]]/Full_Data[[#This Row],[Weight (g)]]</f>
        <v>1.63</v>
      </c>
      <c r="J1441" t="b">
        <v>0</v>
      </c>
      <c r="K1441">
        <v>100</v>
      </c>
      <c r="L1441">
        <f t="shared" si="199"/>
        <v>17</v>
      </c>
      <c r="M1441" t="str">
        <f t="shared" si="200"/>
        <v>Medium</v>
      </c>
      <c r="N1441" t="str">
        <f t="shared" si="201"/>
        <v>6-10%</v>
      </c>
      <c r="O1441" t="str">
        <f t="shared" si="202"/>
        <v>OK</v>
      </c>
      <c r="P1441">
        <f>IFERROR(Full_Data!G1441/Full_Data!H1441,"Check data")</f>
        <v>1.63</v>
      </c>
      <c r="Q1441" t="str">
        <f t="shared" si="203"/>
        <v>Match</v>
      </c>
      <c r="R1441" t="str">
        <f t="shared" si="204"/>
        <v>Mismatch</v>
      </c>
      <c r="S1441" t="str">
        <f t="shared" si="205"/>
        <v>Match</v>
      </c>
    </row>
    <row r="1442" spans="1:19" x14ac:dyDescent="0.25">
      <c r="A1442" t="s">
        <v>1362</v>
      </c>
      <c r="B1442">
        <v>19000</v>
      </c>
      <c r="C1442">
        <f t="shared" si="206"/>
        <v>190</v>
      </c>
      <c r="D1442">
        <v>0</v>
      </c>
      <c r="E1442">
        <v>5</v>
      </c>
      <c r="F1442">
        <v>19000</v>
      </c>
      <c r="G1442">
        <f t="shared" si="198"/>
        <v>190</v>
      </c>
      <c r="H1442">
        <v>200</v>
      </c>
      <c r="I1442" s="4">
        <f>Full_Data[[#This Row],[Selling Price]]/Full_Data[[#This Row],[Weight (g)]]</f>
        <v>0.95</v>
      </c>
      <c r="J1442" t="b">
        <v>0</v>
      </c>
      <c r="K1442">
        <v>200</v>
      </c>
      <c r="L1442">
        <f t="shared" si="199"/>
        <v>0</v>
      </c>
      <c r="M1442" t="str">
        <f t="shared" si="200"/>
        <v>Medium</v>
      </c>
      <c r="N1442" t="str">
        <f t="shared" si="201"/>
        <v>0-5%</v>
      </c>
      <c r="O1442" t="str">
        <f t="shared" si="202"/>
        <v>OK</v>
      </c>
      <c r="P1442">
        <f>IFERROR(Full_Data!G1442/Full_Data!H1442,"Check data")</f>
        <v>0.95</v>
      </c>
      <c r="Q1442" t="str">
        <f t="shared" si="203"/>
        <v>Match</v>
      </c>
      <c r="R1442" t="str">
        <f t="shared" si="204"/>
        <v>Match</v>
      </c>
      <c r="S1442" t="str">
        <f t="shared" si="205"/>
        <v>Match</v>
      </c>
    </row>
    <row r="1443" spans="1:19" x14ac:dyDescent="0.25">
      <c r="A1443" t="s">
        <v>1363</v>
      </c>
      <c r="B1443">
        <v>9000</v>
      </c>
      <c r="C1443">
        <f t="shared" si="206"/>
        <v>90</v>
      </c>
      <c r="D1443">
        <v>10</v>
      </c>
      <c r="E1443">
        <v>6</v>
      </c>
      <c r="F1443">
        <v>8100</v>
      </c>
      <c r="G1443">
        <f t="shared" si="198"/>
        <v>81</v>
      </c>
      <c r="H1443">
        <v>100</v>
      </c>
      <c r="I1443" s="4">
        <f>Full_Data[[#This Row],[Selling Price]]/Full_Data[[#This Row],[Weight (g)]]</f>
        <v>0.81</v>
      </c>
      <c r="J1443" t="b">
        <v>0</v>
      </c>
      <c r="K1443">
        <v>100</v>
      </c>
      <c r="L1443">
        <f t="shared" si="199"/>
        <v>9</v>
      </c>
      <c r="M1443" t="str">
        <f t="shared" si="200"/>
        <v>Medium</v>
      </c>
      <c r="N1443" t="str">
        <f t="shared" si="201"/>
        <v>6-10%</v>
      </c>
      <c r="O1443" t="str">
        <f t="shared" si="202"/>
        <v>OK</v>
      </c>
      <c r="P1443">
        <f>IFERROR(Full_Data!G1443/Full_Data!H1443,"Check data")</f>
        <v>0.81</v>
      </c>
      <c r="Q1443" t="str">
        <f t="shared" si="203"/>
        <v>Match</v>
      </c>
      <c r="R1443" t="str">
        <f t="shared" si="204"/>
        <v>Match</v>
      </c>
      <c r="S1443" t="str">
        <f t="shared" si="205"/>
        <v>Match</v>
      </c>
    </row>
    <row r="1444" spans="1:19" x14ac:dyDescent="0.25">
      <c r="A1444" t="s">
        <v>1364</v>
      </c>
      <c r="B1444">
        <v>19900</v>
      </c>
      <c r="C1444">
        <f t="shared" si="206"/>
        <v>199</v>
      </c>
      <c r="D1444">
        <v>0</v>
      </c>
      <c r="E1444">
        <v>6</v>
      </c>
      <c r="F1444">
        <v>19900</v>
      </c>
      <c r="G1444">
        <f t="shared" si="198"/>
        <v>199</v>
      </c>
      <c r="H1444">
        <v>200</v>
      </c>
      <c r="I1444" s="4">
        <f>Full_Data[[#This Row],[Selling Price]]/Full_Data[[#This Row],[Weight (g)]]</f>
        <v>0.995</v>
      </c>
      <c r="J1444" t="b">
        <v>0</v>
      </c>
      <c r="K1444">
        <v>200</v>
      </c>
      <c r="L1444">
        <f t="shared" si="199"/>
        <v>0</v>
      </c>
      <c r="M1444" t="str">
        <f t="shared" si="200"/>
        <v>Medium</v>
      </c>
      <c r="N1444" t="str">
        <f t="shared" si="201"/>
        <v>0-5%</v>
      </c>
      <c r="O1444" t="str">
        <f t="shared" si="202"/>
        <v>OK</v>
      </c>
      <c r="P1444">
        <f>IFERROR(Full_Data!G1444/Full_Data!H1444,"Check data")</f>
        <v>0.995</v>
      </c>
      <c r="Q1444" t="str">
        <f t="shared" si="203"/>
        <v>Match</v>
      </c>
      <c r="R1444" t="str">
        <f t="shared" si="204"/>
        <v>Match</v>
      </c>
      <c r="S1444" t="str">
        <f t="shared" si="205"/>
        <v>Match</v>
      </c>
    </row>
    <row r="1445" spans="1:19" x14ac:dyDescent="0.25">
      <c r="A1445" t="s">
        <v>1365</v>
      </c>
      <c r="B1445">
        <v>17500</v>
      </c>
      <c r="C1445">
        <f t="shared" si="206"/>
        <v>175</v>
      </c>
      <c r="D1445">
        <v>0</v>
      </c>
      <c r="E1445">
        <v>3</v>
      </c>
      <c r="F1445">
        <v>17500</v>
      </c>
      <c r="G1445">
        <f t="shared" si="198"/>
        <v>175</v>
      </c>
      <c r="H1445">
        <v>812</v>
      </c>
      <c r="I1445" s="4">
        <f>Full_Data[[#This Row],[Selling Price]]/Full_Data[[#This Row],[Weight (g)]]</f>
        <v>0.21551724137931033</v>
      </c>
      <c r="J1445" t="b">
        <v>0</v>
      </c>
      <c r="K1445">
        <v>14</v>
      </c>
      <c r="L1445">
        <f t="shared" si="199"/>
        <v>0</v>
      </c>
      <c r="M1445" t="str">
        <f t="shared" si="200"/>
        <v>Medium</v>
      </c>
      <c r="N1445" t="str">
        <f t="shared" si="201"/>
        <v>0-5%</v>
      </c>
      <c r="O1445" t="str">
        <f t="shared" si="202"/>
        <v>OK</v>
      </c>
      <c r="P1445">
        <f>IFERROR(Full_Data!G1445/Full_Data!H1445,"Check data")</f>
        <v>0.21551724137931033</v>
      </c>
      <c r="Q1445" t="str">
        <f t="shared" si="203"/>
        <v>Match</v>
      </c>
      <c r="R1445" t="str">
        <f t="shared" si="204"/>
        <v>Match</v>
      </c>
      <c r="S1445" t="str">
        <f t="shared" si="205"/>
        <v>Match</v>
      </c>
    </row>
    <row r="1446" spans="1:19" x14ac:dyDescent="0.25">
      <c r="A1446" t="s">
        <v>1366</v>
      </c>
      <c r="B1446">
        <v>109900</v>
      </c>
      <c r="C1446">
        <f t="shared" si="206"/>
        <v>1099</v>
      </c>
      <c r="D1446">
        <v>18</v>
      </c>
      <c r="E1446">
        <v>6</v>
      </c>
      <c r="F1446">
        <v>89900</v>
      </c>
      <c r="G1446">
        <f t="shared" si="198"/>
        <v>899</v>
      </c>
      <c r="H1446">
        <v>54</v>
      </c>
      <c r="I1446" s="4">
        <f>Full_Data[[#This Row],[Selling Price]]/Full_Data[[#This Row],[Weight (g)]]</f>
        <v>16.648148148148149</v>
      </c>
      <c r="J1446" t="b">
        <v>0</v>
      </c>
      <c r="K1446">
        <v>54</v>
      </c>
      <c r="L1446">
        <f t="shared" si="199"/>
        <v>200</v>
      </c>
      <c r="M1446" t="str">
        <f t="shared" si="200"/>
        <v>High</v>
      </c>
      <c r="N1446" t="str">
        <f t="shared" si="201"/>
        <v>16-20%</v>
      </c>
      <c r="O1446" t="str">
        <f t="shared" si="202"/>
        <v>OK</v>
      </c>
      <c r="P1446">
        <f>IFERROR(Full_Data!G1446/Full_Data!H1446,"Check data")</f>
        <v>16.648148148148149</v>
      </c>
      <c r="Q1446" t="str">
        <f t="shared" si="203"/>
        <v>Match</v>
      </c>
      <c r="R1446" t="str">
        <f t="shared" si="204"/>
        <v>Mismatch</v>
      </c>
      <c r="S1446" t="str">
        <f t="shared" si="205"/>
        <v>Match</v>
      </c>
    </row>
    <row r="1447" spans="1:19" x14ac:dyDescent="0.25">
      <c r="A1447" t="s">
        <v>1246</v>
      </c>
      <c r="B1447">
        <v>19900</v>
      </c>
      <c r="C1447">
        <f t="shared" si="206"/>
        <v>199</v>
      </c>
      <c r="D1447">
        <v>10</v>
      </c>
      <c r="E1447">
        <v>6</v>
      </c>
      <c r="F1447">
        <v>17900</v>
      </c>
      <c r="G1447">
        <f t="shared" si="198"/>
        <v>179</v>
      </c>
      <c r="H1447">
        <v>250</v>
      </c>
      <c r="I1447" s="4">
        <f>Full_Data[[#This Row],[Selling Price]]/Full_Data[[#This Row],[Weight (g)]]</f>
        <v>0.71599999999999997</v>
      </c>
      <c r="J1447" t="b">
        <v>0</v>
      </c>
      <c r="K1447">
        <v>250</v>
      </c>
      <c r="L1447">
        <f t="shared" si="199"/>
        <v>20</v>
      </c>
      <c r="M1447" t="str">
        <f t="shared" si="200"/>
        <v>Medium</v>
      </c>
      <c r="N1447" t="str">
        <f t="shared" si="201"/>
        <v>6-10%</v>
      </c>
      <c r="O1447" t="str">
        <f t="shared" si="202"/>
        <v>OK</v>
      </c>
      <c r="P1447">
        <f>IFERROR(Full_Data!G1447/Full_Data!H1447,"Check data")</f>
        <v>0.71599999999999997</v>
      </c>
      <c r="Q1447" t="str">
        <f t="shared" si="203"/>
        <v>Match</v>
      </c>
      <c r="R1447" t="str">
        <f t="shared" si="204"/>
        <v>Mismatch</v>
      </c>
      <c r="S1447" t="str">
        <f t="shared" si="205"/>
        <v>Match</v>
      </c>
    </row>
    <row r="1448" spans="1:19" x14ac:dyDescent="0.25">
      <c r="A1448" t="s">
        <v>1367</v>
      </c>
      <c r="B1448">
        <v>12500</v>
      </c>
      <c r="C1448">
        <f t="shared" si="206"/>
        <v>125</v>
      </c>
      <c r="D1448">
        <v>10</v>
      </c>
      <c r="E1448">
        <v>6</v>
      </c>
      <c r="F1448">
        <v>11200</v>
      </c>
      <c r="G1448">
        <f t="shared" si="198"/>
        <v>112</v>
      </c>
      <c r="H1448">
        <v>100</v>
      </c>
      <c r="I1448" s="4">
        <f>Full_Data[[#This Row],[Selling Price]]/Full_Data[[#This Row],[Weight (g)]]</f>
        <v>1.1200000000000001</v>
      </c>
      <c r="J1448" t="b">
        <v>0</v>
      </c>
      <c r="K1448">
        <v>100</v>
      </c>
      <c r="L1448">
        <f t="shared" si="199"/>
        <v>13</v>
      </c>
      <c r="M1448" t="str">
        <f t="shared" si="200"/>
        <v>Medium</v>
      </c>
      <c r="N1448" t="str">
        <f t="shared" si="201"/>
        <v>6-10%</v>
      </c>
      <c r="O1448" t="str">
        <f t="shared" si="202"/>
        <v>OK</v>
      </c>
      <c r="P1448">
        <f>IFERROR(Full_Data!G1448/Full_Data!H1448,"Check data")</f>
        <v>1.1200000000000001</v>
      </c>
      <c r="Q1448" t="str">
        <f t="shared" si="203"/>
        <v>Match</v>
      </c>
      <c r="R1448" t="str">
        <f t="shared" si="204"/>
        <v>Mismatch</v>
      </c>
      <c r="S1448" t="str">
        <f t="shared" si="205"/>
        <v>Match</v>
      </c>
    </row>
    <row r="1449" spans="1:19" x14ac:dyDescent="0.25">
      <c r="A1449" t="s">
        <v>1331</v>
      </c>
      <c r="B1449">
        <v>18000</v>
      </c>
      <c r="C1449">
        <f t="shared" si="206"/>
        <v>180</v>
      </c>
      <c r="D1449">
        <v>10</v>
      </c>
      <c r="E1449">
        <v>6</v>
      </c>
      <c r="F1449">
        <v>16200</v>
      </c>
      <c r="G1449">
        <f t="shared" si="198"/>
        <v>162</v>
      </c>
      <c r="H1449">
        <v>150</v>
      </c>
      <c r="I1449" s="4">
        <f>Full_Data[[#This Row],[Selling Price]]/Full_Data[[#This Row],[Weight (g)]]</f>
        <v>1.08</v>
      </c>
      <c r="J1449" t="b">
        <v>0</v>
      </c>
      <c r="K1449">
        <v>150</v>
      </c>
      <c r="L1449">
        <f t="shared" si="199"/>
        <v>18</v>
      </c>
      <c r="M1449" t="str">
        <f t="shared" si="200"/>
        <v>Medium</v>
      </c>
      <c r="N1449" t="str">
        <f t="shared" si="201"/>
        <v>6-10%</v>
      </c>
      <c r="O1449" t="str">
        <f t="shared" si="202"/>
        <v>OK</v>
      </c>
      <c r="P1449">
        <f>IFERROR(Full_Data!G1449/Full_Data!H1449,"Check data")</f>
        <v>1.08</v>
      </c>
      <c r="Q1449" t="str">
        <f t="shared" si="203"/>
        <v>Match</v>
      </c>
      <c r="R1449" t="str">
        <f t="shared" si="204"/>
        <v>Match</v>
      </c>
      <c r="S1449" t="str">
        <f t="shared" si="205"/>
        <v>Match</v>
      </c>
    </row>
    <row r="1450" spans="1:19" x14ac:dyDescent="0.25">
      <c r="A1450" t="s">
        <v>1368</v>
      </c>
      <c r="B1450">
        <v>22500</v>
      </c>
      <c r="C1450">
        <f t="shared" si="206"/>
        <v>225</v>
      </c>
      <c r="D1450">
        <v>20</v>
      </c>
      <c r="E1450">
        <v>6</v>
      </c>
      <c r="F1450">
        <v>18000</v>
      </c>
      <c r="G1450">
        <f t="shared" si="198"/>
        <v>180</v>
      </c>
      <c r="H1450">
        <v>250</v>
      </c>
      <c r="I1450" s="4">
        <f>Full_Data[[#This Row],[Selling Price]]/Full_Data[[#This Row],[Weight (g)]]</f>
        <v>0.72</v>
      </c>
      <c r="J1450" t="b">
        <v>0</v>
      </c>
      <c r="K1450">
        <v>250</v>
      </c>
      <c r="L1450">
        <f t="shared" si="199"/>
        <v>45</v>
      </c>
      <c r="M1450" t="str">
        <f t="shared" si="200"/>
        <v>Medium</v>
      </c>
      <c r="N1450" t="str">
        <f t="shared" si="201"/>
        <v>16-20%</v>
      </c>
      <c r="O1450" t="str">
        <f t="shared" si="202"/>
        <v>OK</v>
      </c>
      <c r="P1450">
        <f>IFERROR(Full_Data!G1450/Full_Data!H1450,"Check data")</f>
        <v>0.72</v>
      </c>
      <c r="Q1450" t="str">
        <f t="shared" si="203"/>
        <v>Match</v>
      </c>
      <c r="R1450" t="str">
        <f t="shared" si="204"/>
        <v>Match</v>
      </c>
      <c r="S1450" t="str">
        <f t="shared" si="205"/>
        <v>Match</v>
      </c>
    </row>
    <row r="1451" spans="1:19" x14ac:dyDescent="0.25">
      <c r="A1451" t="s">
        <v>1369</v>
      </c>
      <c r="B1451">
        <v>18000</v>
      </c>
      <c r="C1451">
        <f t="shared" si="206"/>
        <v>180</v>
      </c>
      <c r="D1451">
        <v>0</v>
      </c>
      <c r="E1451">
        <v>1</v>
      </c>
      <c r="F1451">
        <v>18000</v>
      </c>
      <c r="G1451">
        <f t="shared" si="198"/>
        <v>180</v>
      </c>
      <c r="H1451">
        <v>174</v>
      </c>
      <c r="I1451" s="4">
        <f>Full_Data[[#This Row],[Selling Price]]/Full_Data[[#This Row],[Weight (g)]]</f>
        <v>1.0344827586206897</v>
      </c>
      <c r="J1451" t="b">
        <v>0</v>
      </c>
      <c r="K1451">
        <v>3</v>
      </c>
      <c r="L1451">
        <f t="shared" si="199"/>
        <v>0</v>
      </c>
      <c r="M1451" t="str">
        <f t="shared" si="200"/>
        <v>Medium</v>
      </c>
      <c r="N1451" t="str">
        <f t="shared" si="201"/>
        <v>0-5%</v>
      </c>
      <c r="O1451" t="str">
        <f t="shared" si="202"/>
        <v>OK</v>
      </c>
      <c r="P1451">
        <f>IFERROR(Full_Data!G1451/Full_Data!H1451,"Check data")</f>
        <v>1.0344827586206897</v>
      </c>
      <c r="Q1451" t="str">
        <f t="shared" si="203"/>
        <v>Match</v>
      </c>
      <c r="R1451" t="str">
        <f t="shared" si="204"/>
        <v>Match</v>
      </c>
      <c r="S1451" t="str">
        <f t="shared" si="205"/>
        <v>Match</v>
      </c>
    </row>
    <row r="1452" spans="1:19" x14ac:dyDescent="0.25">
      <c r="A1452" t="s">
        <v>1345</v>
      </c>
      <c r="B1452">
        <v>28500</v>
      </c>
      <c r="C1452">
        <f t="shared" si="206"/>
        <v>285</v>
      </c>
      <c r="D1452">
        <v>7</v>
      </c>
      <c r="E1452">
        <v>6</v>
      </c>
      <c r="F1452">
        <v>26300</v>
      </c>
      <c r="G1452">
        <f t="shared" si="198"/>
        <v>263</v>
      </c>
      <c r="H1452">
        <v>500</v>
      </c>
      <c r="I1452" s="4">
        <f>Full_Data[[#This Row],[Selling Price]]/Full_Data[[#This Row],[Weight (g)]]</f>
        <v>0.52600000000000002</v>
      </c>
      <c r="J1452" t="b">
        <v>0</v>
      </c>
      <c r="K1452">
        <v>500</v>
      </c>
      <c r="L1452">
        <f t="shared" si="199"/>
        <v>22</v>
      </c>
      <c r="M1452" t="str">
        <f t="shared" si="200"/>
        <v>High</v>
      </c>
      <c r="N1452" t="str">
        <f t="shared" si="201"/>
        <v>6-10%</v>
      </c>
      <c r="O1452" t="str">
        <f t="shared" si="202"/>
        <v>OK</v>
      </c>
      <c r="P1452">
        <f>IFERROR(Full_Data!G1452/Full_Data!H1452,"Check data")</f>
        <v>0.52600000000000002</v>
      </c>
      <c r="Q1452" t="str">
        <f t="shared" si="203"/>
        <v>Match</v>
      </c>
      <c r="R1452" t="str">
        <f t="shared" si="204"/>
        <v>Mismatch</v>
      </c>
      <c r="S1452" t="str">
        <f t="shared" si="205"/>
        <v>Mismatch</v>
      </c>
    </row>
    <row r="1453" spans="1:19" x14ac:dyDescent="0.25">
      <c r="A1453" t="s">
        <v>1370</v>
      </c>
      <c r="B1453">
        <v>23500</v>
      </c>
      <c r="C1453">
        <f t="shared" si="206"/>
        <v>235</v>
      </c>
      <c r="D1453">
        <v>7</v>
      </c>
      <c r="E1453">
        <v>6</v>
      </c>
      <c r="F1453">
        <v>21800</v>
      </c>
      <c r="G1453">
        <f t="shared" si="198"/>
        <v>218</v>
      </c>
      <c r="H1453">
        <v>1160</v>
      </c>
      <c r="I1453" s="4">
        <f>Full_Data[[#This Row],[Selling Price]]/Full_Data[[#This Row],[Weight (g)]]</f>
        <v>0.18793103448275861</v>
      </c>
      <c r="J1453" t="b">
        <v>0</v>
      </c>
      <c r="K1453">
        <v>20</v>
      </c>
      <c r="L1453">
        <f t="shared" si="199"/>
        <v>17</v>
      </c>
      <c r="M1453" t="str">
        <f t="shared" si="200"/>
        <v>High</v>
      </c>
      <c r="N1453" t="str">
        <f t="shared" si="201"/>
        <v>6-10%</v>
      </c>
      <c r="O1453" t="str">
        <f t="shared" si="202"/>
        <v>OK</v>
      </c>
      <c r="P1453">
        <f>IFERROR(Full_Data!G1453/Full_Data!H1453,"Check data")</f>
        <v>0.18793103448275861</v>
      </c>
      <c r="Q1453" t="str">
        <f t="shared" si="203"/>
        <v>Match</v>
      </c>
      <c r="R1453" t="str">
        <f t="shared" si="204"/>
        <v>Mismatch</v>
      </c>
      <c r="S1453" t="str">
        <f t="shared" si="205"/>
        <v>Match</v>
      </c>
    </row>
    <row r="1454" spans="1:19" x14ac:dyDescent="0.25">
      <c r="A1454" t="s">
        <v>1371</v>
      </c>
      <c r="B1454">
        <v>5500</v>
      </c>
      <c r="C1454">
        <f t="shared" si="206"/>
        <v>55</v>
      </c>
      <c r="D1454">
        <v>9</v>
      </c>
      <c r="E1454">
        <v>6</v>
      </c>
      <c r="F1454">
        <v>5000</v>
      </c>
      <c r="G1454">
        <f t="shared" si="198"/>
        <v>50</v>
      </c>
      <c r="H1454">
        <v>80</v>
      </c>
      <c r="I1454" s="4">
        <f>Full_Data[[#This Row],[Selling Price]]/Full_Data[[#This Row],[Weight (g)]]</f>
        <v>0.625</v>
      </c>
      <c r="J1454" t="b">
        <v>0</v>
      </c>
      <c r="K1454">
        <v>80</v>
      </c>
      <c r="L1454">
        <f t="shared" si="199"/>
        <v>5</v>
      </c>
      <c r="M1454" t="str">
        <f t="shared" si="200"/>
        <v>Medium</v>
      </c>
      <c r="N1454" t="str">
        <f t="shared" si="201"/>
        <v>6-10%</v>
      </c>
      <c r="O1454" t="str">
        <f t="shared" si="202"/>
        <v>OK</v>
      </c>
      <c r="P1454">
        <f>IFERROR(Full_Data!G1454/Full_Data!H1454,"Check data")</f>
        <v>0.625</v>
      </c>
      <c r="Q1454" t="str">
        <f t="shared" si="203"/>
        <v>Match</v>
      </c>
      <c r="R1454" t="str">
        <f t="shared" si="204"/>
        <v>Mismatch</v>
      </c>
      <c r="S1454" t="str">
        <f t="shared" si="205"/>
        <v>Match</v>
      </c>
    </row>
    <row r="1455" spans="1:19" x14ac:dyDescent="0.25">
      <c r="A1455" t="s">
        <v>1372</v>
      </c>
      <c r="B1455">
        <v>18000</v>
      </c>
      <c r="C1455">
        <f t="shared" si="206"/>
        <v>180</v>
      </c>
      <c r="D1455">
        <v>0</v>
      </c>
      <c r="E1455">
        <v>2</v>
      </c>
      <c r="F1455">
        <v>18000</v>
      </c>
      <c r="G1455">
        <f t="shared" si="198"/>
        <v>180</v>
      </c>
      <c r="H1455">
        <v>625</v>
      </c>
      <c r="I1455" s="4">
        <f>Full_Data[[#This Row],[Selling Price]]/Full_Data[[#This Row],[Weight (g)]]</f>
        <v>0.28799999999999998</v>
      </c>
      <c r="J1455" t="b">
        <v>0</v>
      </c>
      <c r="K1455">
        <v>625</v>
      </c>
      <c r="L1455">
        <f t="shared" si="199"/>
        <v>0</v>
      </c>
      <c r="M1455" t="str">
        <f t="shared" si="200"/>
        <v>Medium</v>
      </c>
      <c r="N1455" t="str">
        <f t="shared" si="201"/>
        <v>0-5%</v>
      </c>
      <c r="O1455" t="str">
        <f t="shared" si="202"/>
        <v>OK</v>
      </c>
      <c r="P1455">
        <f>IFERROR(Full_Data!G1455/Full_Data!H1455,"Check data")</f>
        <v>0.28799999999999998</v>
      </c>
      <c r="Q1455" t="str">
        <f t="shared" si="203"/>
        <v>Match</v>
      </c>
      <c r="R1455" t="str">
        <f t="shared" si="204"/>
        <v>Match</v>
      </c>
      <c r="S1455" t="str">
        <f t="shared" si="205"/>
        <v>Match</v>
      </c>
    </row>
    <row r="1456" spans="1:19" x14ac:dyDescent="0.25">
      <c r="A1456" t="s">
        <v>1373</v>
      </c>
      <c r="B1456">
        <v>42500</v>
      </c>
      <c r="C1456">
        <f t="shared" si="206"/>
        <v>425</v>
      </c>
      <c r="D1456">
        <v>20</v>
      </c>
      <c r="E1456">
        <v>5</v>
      </c>
      <c r="F1456">
        <v>34000</v>
      </c>
      <c r="G1456">
        <f t="shared" si="198"/>
        <v>340</v>
      </c>
      <c r="H1456">
        <v>400</v>
      </c>
      <c r="I1456" s="4">
        <f>Full_Data[[#This Row],[Selling Price]]/Full_Data[[#This Row],[Weight (g)]]</f>
        <v>0.85</v>
      </c>
      <c r="J1456" t="b">
        <v>0</v>
      </c>
      <c r="K1456">
        <v>9</v>
      </c>
      <c r="L1456">
        <f t="shared" si="199"/>
        <v>85</v>
      </c>
      <c r="M1456" t="str">
        <f t="shared" si="200"/>
        <v>High</v>
      </c>
      <c r="N1456" t="str">
        <f t="shared" si="201"/>
        <v>16-20%</v>
      </c>
      <c r="O1456" t="str">
        <f t="shared" si="202"/>
        <v>OK</v>
      </c>
      <c r="P1456">
        <f>IFERROR(Full_Data!G1456/Full_Data!H1456,"Check data")</f>
        <v>0.85</v>
      </c>
      <c r="Q1456" t="str">
        <f t="shared" si="203"/>
        <v>Match</v>
      </c>
      <c r="R1456" t="str">
        <f t="shared" si="204"/>
        <v>Match</v>
      </c>
      <c r="S1456" t="str">
        <f t="shared" si="205"/>
        <v>Match</v>
      </c>
    </row>
    <row r="1457" spans="1:19" x14ac:dyDescent="0.25">
      <c r="A1457" t="s">
        <v>1374</v>
      </c>
      <c r="B1457">
        <v>13000</v>
      </c>
      <c r="C1457">
        <f t="shared" si="206"/>
        <v>130</v>
      </c>
      <c r="D1457">
        <v>0</v>
      </c>
      <c r="E1457">
        <v>4</v>
      </c>
      <c r="F1457">
        <v>13000</v>
      </c>
      <c r="G1457">
        <f t="shared" si="198"/>
        <v>130</v>
      </c>
      <c r="H1457">
        <v>50</v>
      </c>
      <c r="I1457" s="4">
        <f>Full_Data[[#This Row],[Selling Price]]/Full_Data[[#This Row],[Weight (g)]]</f>
        <v>2.6</v>
      </c>
      <c r="J1457" t="b">
        <v>0</v>
      </c>
      <c r="K1457">
        <v>50</v>
      </c>
      <c r="L1457">
        <f t="shared" si="199"/>
        <v>0</v>
      </c>
      <c r="M1457" t="str">
        <f t="shared" si="200"/>
        <v>Medium</v>
      </c>
      <c r="N1457" t="str">
        <f t="shared" si="201"/>
        <v>0-5%</v>
      </c>
      <c r="O1457" t="str">
        <f t="shared" si="202"/>
        <v>OK</v>
      </c>
      <c r="P1457">
        <f>IFERROR(Full_Data!G1457/Full_Data!H1457,"Check data")</f>
        <v>2.6</v>
      </c>
      <c r="Q1457" t="str">
        <f t="shared" si="203"/>
        <v>Match</v>
      </c>
      <c r="R1457" t="str">
        <f t="shared" si="204"/>
        <v>Match</v>
      </c>
      <c r="S1457" t="str">
        <f t="shared" si="205"/>
        <v>Match</v>
      </c>
    </row>
    <row r="1458" spans="1:19" x14ac:dyDescent="0.25">
      <c r="A1458" t="s">
        <v>1375</v>
      </c>
      <c r="B1458">
        <v>55000</v>
      </c>
      <c r="C1458">
        <f t="shared" si="206"/>
        <v>550</v>
      </c>
      <c r="D1458">
        <v>0</v>
      </c>
      <c r="E1458">
        <v>3</v>
      </c>
      <c r="F1458">
        <v>55000</v>
      </c>
      <c r="G1458">
        <f t="shared" si="198"/>
        <v>550</v>
      </c>
      <c r="H1458">
        <v>159</v>
      </c>
      <c r="I1458" s="4">
        <f>Full_Data[[#This Row],[Selling Price]]/Full_Data[[#This Row],[Weight (g)]]</f>
        <v>3.459119496855346</v>
      </c>
      <c r="J1458" t="b">
        <v>0</v>
      </c>
      <c r="K1458">
        <v>172</v>
      </c>
      <c r="L1458">
        <f t="shared" si="199"/>
        <v>0</v>
      </c>
      <c r="M1458" t="str">
        <f t="shared" si="200"/>
        <v>High</v>
      </c>
      <c r="N1458" t="str">
        <f t="shared" si="201"/>
        <v>0-5%</v>
      </c>
      <c r="O1458" t="str">
        <f t="shared" si="202"/>
        <v>OK</v>
      </c>
      <c r="P1458">
        <f>IFERROR(Full_Data!G1458/Full_Data!H1458,"Check data")</f>
        <v>3.459119496855346</v>
      </c>
      <c r="Q1458" t="str">
        <f t="shared" si="203"/>
        <v>Match</v>
      </c>
      <c r="R1458" t="str">
        <f t="shared" si="204"/>
        <v>Match</v>
      </c>
      <c r="S1458" t="str">
        <f t="shared" si="205"/>
        <v>Match</v>
      </c>
    </row>
    <row r="1459" spans="1:19" x14ac:dyDescent="0.25">
      <c r="A1459" t="s">
        <v>1248</v>
      </c>
      <c r="B1459">
        <v>23500</v>
      </c>
      <c r="C1459">
        <f t="shared" si="206"/>
        <v>235</v>
      </c>
      <c r="D1459">
        <v>0</v>
      </c>
      <c r="E1459">
        <v>6</v>
      </c>
      <c r="F1459">
        <v>23500</v>
      </c>
      <c r="G1459">
        <f t="shared" si="198"/>
        <v>235</v>
      </c>
      <c r="H1459">
        <v>400</v>
      </c>
      <c r="I1459" s="4">
        <f>Full_Data[[#This Row],[Selling Price]]/Full_Data[[#This Row],[Weight (g)]]</f>
        <v>0.58750000000000002</v>
      </c>
      <c r="J1459" t="b">
        <v>0</v>
      </c>
      <c r="K1459">
        <v>400</v>
      </c>
      <c r="L1459">
        <f t="shared" si="199"/>
        <v>0</v>
      </c>
      <c r="M1459" t="str">
        <f t="shared" si="200"/>
        <v>High</v>
      </c>
      <c r="N1459" t="str">
        <f t="shared" si="201"/>
        <v>0-5%</v>
      </c>
      <c r="O1459" t="str">
        <f t="shared" si="202"/>
        <v>OK</v>
      </c>
      <c r="P1459">
        <f>IFERROR(Full_Data!G1459/Full_Data!H1459,"Check data")</f>
        <v>0.58750000000000002</v>
      </c>
      <c r="Q1459" t="str">
        <f t="shared" si="203"/>
        <v>Match</v>
      </c>
      <c r="R1459" t="str">
        <f t="shared" si="204"/>
        <v>Match</v>
      </c>
      <c r="S1459" t="str">
        <f t="shared" si="205"/>
        <v>Match</v>
      </c>
    </row>
    <row r="1460" spans="1:19" x14ac:dyDescent="0.25">
      <c r="A1460" t="s">
        <v>1376</v>
      </c>
      <c r="B1460">
        <v>24900</v>
      </c>
      <c r="C1460">
        <f t="shared" si="206"/>
        <v>249</v>
      </c>
      <c r="D1460">
        <v>0</v>
      </c>
      <c r="E1460">
        <v>4</v>
      </c>
      <c r="F1460">
        <v>24900</v>
      </c>
      <c r="G1460">
        <f t="shared" si="198"/>
        <v>249</v>
      </c>
      <c r="H1460">
        <v>100</v>
      </c>
      <c r="I1460" s="4">
        <f>Full_Data[[#This Row],[Selling Price]]/Full_Data[[#This Row],[Weight (g)]]</f>
        <v>2.4900000000000002</v>
      </c>
      <c r="J1460" t="b">
        <v>0</v>
      </c>
      <c r="K1460">
        <v>100</v>
      </c>
      <c r="L1460">
        <f t="shared" si="199"/>
        <v>0</v>
      </c>
      <c r="M1460" t="str">
        <f t="shared" si="200"/>
        <v>High</v>
      </c>
      <c r="N1460" t="str">
        <f t="shared" si="201"/>
        <v>0-5%</v>
      </c>
      <c r="O1460" t="str">
        <f t="shared" si="202"/>
        <v>OK</v>
      </c>
      <c r="P1460">
        <f>IFERROR(Full_Data!G1460/Full_Data!H1460,"Check data")</f>
        <v>2.4900000000000002</v>
      </c>
      <c r="Q1460" t="str">
        <f t="shared" si="203"/>
        <v>Match</v>
      </c>
      <c r="R1460" t="str">
        <f t="shared" si="204"/>
        <v>Match</v>
      </c>
      <c r="S1460" t="str">
        <f t="shared" si="205"/>
        <v>Match</v>
      </c>
    </row>
    <row r="1461" spans="1:19" x14ac:dyDescent="0.25">
      <c r="A1461" t="s">
        <v>1377</v>
      </c>
      <c r="B1461">
        <v>2000</v>
      </c>
      <c r="C1461">
        <f t="shared" si="206"/>
        <v>20</v>
      </c>
      <c r="D1461">
        <v>0</v>
      </c>
      <c r="E1461">
        <v>3</v>
      </c>
      <c r="F1461">
        <v>2000</v>
      </c>
      <c r="G1461">
        <f t="shared" si="198"/>
        <v>20</v>
      </c>
      <c r="H1461">
        <v>58</v>
      </c>
      <c r="I1461" s="4">
        <f>Full_Data[[#This Row],[Selling Price]]/Full_Data[[#This Row],[Weight (g)]]</f>
        <v>0.34482758620689657</v>
      </c>
      <c r="J1461" t="b">
        <v>0</v>
      </c>
      <c r="K1461">
        <v>1</v>
      </c>
      <c r="L1461">
        <f t="shared" si="199"/>
        <v>0</v>
      </c>
      <c r="M1461" t="str">
        <f t="shared" si="200"/>
        <v>Low</v>
      </c>
      <c r="N1461" t="str">
        <f t="shared" si="201"/>
        <v>0-5%</v>
      </c>
      <c r="O1461" t="str">
        <f t="shared" si="202"/>
        <v>OK</v>
      </c>
      <c r="P1461">
        <f>IFERROR(Full_Data!G1461/Full_Data!H1461,"Check data")</f>
        <v>0.34482758620689657</v>
      </c>
      <c r="Q1461" t="str">
        <f t="shared" si="203"/>
        <v>Match</v>
      </c>
      <c r="R1461" t="str">
        <f t="shared" si="204"/>
        <v>Match</v>
      </c>
      <c r="S1461" t="str">
        <f t="shared" si="205"/>
        <v>Match</v>
      </c>
    </row>
    <row r="1462" spans="1:19" x14ac:dyDescent="0.25">
      <c r="A1462" t="s">
        <v>1378</v>
      </c>
      <c r="B1462">
        <v>13500</v>
      </c>
      <c r="C1462">
        <f t="shared" si="206"/>
        <v>135</v>
      </c>
      <c r="D1462">
        <v>5</v>
      </c>
      <c r="E1462">
        <v>6</v>
      </c>
      <c r="F1462">
        <v>12800</v>
      </c>
      <c r="G1462">
        <f t="shared" si="198"/>
        <v>128</v>
      </c>
      <c r="H1462">
        <v>50</v>
      </c>
      <c r="I1462" s="4">
        <f>Full_Data[[#This Row],[Selling Price]]/Full_Data[[#This Row],[Weight (g)]]</f>
        <v>2.56</v>
      </c>
      <c r="J1462" t="b">
        <v>0</v>
      </c>
      <c r="K1462">
        <v>50</v>
      </c>
      <c r="L1462">
        <f t="shared" si="199"/>
        <v>7</v>
      </c>
      <c r="M1462" t="str">
        <f t="shared" si="200"/>
        <v>Medium</v>
      </c>
      <c r="N1462" t="str">
        <f t="shared" si="201"/>
        <v>0-5%</v>
      </c>
      <c r="O1462" t="str">
        <f t="shared" si="202"/>
        <v>OK</v>
      </c>
      <c r="P1462">
        <f>IFERROR(Full_Data!G1462/Full_Data!H1462,"Check data")</f>
        <v>2.56</v>
      </c>
      <c r="Q1462" t="str">
        <f t="shared" si="203"/>
        <v>Match</v>
      </c>
      <c r="R1462" t="str">
        <f t="shared" si="204"/>
        <v>Mismatch</v>
      </c>
      <c r="S1462" t="str">
        <f t="shared" si="205"/>
        <v>Match</v>
      </c>
    </row>
    <row r="1463" spans="1:19" x14ac:dyDescent="0.25">
      <c r="A1463" t="s">
        <v>1308</v>
      </c>
      <c r="B1463">
        <v>24000</v>
      </c>
      <c r="C1463">
        <f t="shared" si="206"/>
        <v>240</v>
      </c>
      <c r="D1463">
        <v>0</v>
      </c>
      <c r="E1463">
        <v>4</v>
      </c>
      <c r="F1463">
        <v>24000</v>
      </c>
      <c r="G1463">
        <f t="shared" si="198"/>
        <v>240</v>
      </c>
      <c r="H1463">
        <v>340</v>
      </c>
      <c r="I1463" s="4">
        <f>Full_Data[[#This Row],[Selling Price]]/Full_Data[[#This Row],[Weight (g)]]</f>
        <v>0.70588235294117652</v>
      </c>
      <c r="J1463" t="b">
        <v>0</v>
      </c>
      <c r="K1463">
        <v>340</v>
      </c>
      <c r="L1463">
        <f t="shared" si="199"/>
        <v>0</v>
      </c>
      <c r="M1463" t="str">
        <f t="shared" si="200"/>
        <v>High</v>
      </c>
      <c r="N1463" t="str">
        <f t="shared" si="201"/>
        <v>0-5%</v>
      </c>
      <c r="O1463" t="str">
        <f t="shared" si="202"/>
        <v>OK</v>
      </c>
      <c r="P1463">
        <f>IFERROR(Full_Data!G1463/Full_Data!H1463,"Check data")</f>
        <v>0.70588235294117652</v>
      </c>
      <c r="Q1463" t="str">
        <f t="shared" si="203"/>
        <v>Match</v>
      </c>
      <c r="R1463" t="str">
        <f t="shared" si="204"/>
        <v>Match</v>
      </c>
      <c r="S1463" t="str">
        <f t="shared" si="205"/>
        <v>Match</v>
      </c>
    </row>
    <row r="1464" spans="1:19" x14ac:dyDescent="0.25">
      <c r="A1464" t="s">
        <v>1379</v>
      </c>
      <c r="B1464">
        <v>19900</v>
      </c>
      <c r="C1464">
        <f t="shared" si="206"/>
        <v>199</v>
      </c>
      <c r="D1464">
        <v>0</v>
      </c>
      <c r="E1464">
        <v>6</v>
      </c>
      <c r="F1464">
        <v>19900</v>
      </c>
      <c r="G1464">
        <f t="shared" si="198"/>
        <v>199</v>
      </c>
      <c r="H1464">
        <v>192</v>
      </c>
      <c r="I1464" s="4">
        <f>Full_Data[[#This Row],[Selling Price]]/Full_Data[[#This Row],[Weight (g)]]</f>
        <v>1.0364583333333333</v>
      </c>
      <c r="J1464" t="b">
        <v>0</v>
      </c>
      <c r="K1464">
        <v>192</v>
      </c>
      <c r="L1464">
        <f t="shared" si="199"/>
        <v>0</v>
      </c>
      <c r="M1464" t="str">
        <f t="shared" si="200"/>
        <v>Medium</v>
      </c>
      <c r="N1464" t="str">
        <f t="shared" si="201"/>
        <v>0-5%</v>
      </c>
      <c r="O1464" t="str">
        <f t="shared" si="202"/>
        <v>OK</v>
      </c>
      <c r="P1464">
        <f>IFERROR(Full_Data!G1464/Full_Data!H1464,"Check data")</f>
        <v>1.0364583333333333</v>
      </c>
      <c r="Q1464" t="str">
        <f t="shared" si="203"/>
        <v>Match</v>
      </c>
      <c r="R1464" t="str">
        <f t="shared" si="204"/>
        <v>Match</v>
      </c>
      <c r="S1464" t="str">
        <f t="shared" si="205"/>
        <v>Match</v>
      </c>
    </row>
    <row r="1465" spans="1:19" x14ac:dyDescent="0.25">
      <c r="A1465" t="s">
        <v>1380</v>
      </c>
      <c r="B1465">
        <v>27500</v>
      </c>
      <c r="C1465">
        <f t="shared" si="206"/>
        <v>275</v>
      </c>
      <c r="D1465">
        <v>10</v>
      </c>
      <c r="E1465">
        <v>6</v>
      </c>
      <c r="F1465">
        <v>24700</v>
      </c>
      <c r="G1465">
        <f t="shared" si="198"/>
        <v>247</v>
      </c>
      <c r="H1465">
        <v>200</v>
      </c>
      <c r="I1465" s="4">
        <f>Full_Data[[#This Row],[Selling Price]]/Full_Data[[#This Row],[Weight (g)]]</f>
        <v>1.2350000000000001</v>
      </c>
      <c r="J1465" t="b">
        <v>0</v>
      </c>
      <c r="K1465">
        <v>200</v>
      </c>
      <c r="L1465">
        <f t="shared" si="199"/>
        <v>28</v>
      </c>
      <c r="M1465" t="str">
        <f t="shared" si="200"/>
        <v>High</v>
      </c>
      <c r="N1465" t="str">
        <f t="shared" si="201"/>
        <v>6-10%</v>
      </c>
      <c r="O1465" t="str">
        <f t="shared" si="202"/>
        <v>OK</v>
      </c>
      <c r="P1465">
        <f>IFERROR(Full_Data!G1465/Full_Data!H1465,"Check data")</f>
        <v>1.2350000000000001</v>
      </c>
      <c r="Q1465" t="str">
        <f t="shared" si="203"/>
        <v>Match</v>
      </c>
      <c r="R1465" t="str">
        <f t="shared" si="204"/>
        <v>Mismatch</v>
      </c>
      <c r="S1465" t="str">
        <f t="shared" si="205"/>
        <v>Match</v>
      </c>
    </row>
    <row r="1466" spans="1:19" x14ac:dyDescent="0.25">
      <c r="A1466" t="s">
        <v>1381</v>
      </c>
      <c r="B1466">
        <v>154900</v>
      </c>
      <c r="C1466">
        <f t="shared" si="206"/>
        <v>1549</v>
      </c>
      <c r="D1466">
        <v>45</v>
      </c>
      <c r="E1466">
        <v>3</v>
      </c>
      <c r="F1466">
        <v>84900</v>
      </c>
      <c r="G1466">
        <f t="shared" si="198"/>
        <v>849</v>
      </c>
      <c r="H1466">
        <v>82</v>
      </c>
      <c r="I1466" s="4">
        <f>Full_Data[[#This Row],[Selling Price]]/Full_Data[[#This Row],[Weight (g)]]</f>
        <v>10.353658536585366</v>
      </c>
      <c r="J1466" t="b">
        <v>0</v>
      </c>
      <c r="K1466">
        <v>82</v>
      </c>
      <c r="L1466">
        <f t="shared" si="199"/>
        <v>700</v>
      </c>
      <c r="M1466" t="str">
        <f t="shared" si="200"/>
        <v>High</v>
      </c>
      <c r="N1466" t="str">
        <f t="shared" si="201"/>
        <v>21%+</v>
      </c>
      <c r="O1466" t="str">
        <f t="shared" si="202"/>
        <v>OK</v>
      </c>
      <c r="P1466">
        <f>IFERROR(Full_Data!G1466/Full_Data!H1466,"Check data")</f>
        <v>10.353658536585366</v>
      </c>
      <c r="Q1466" t="str">
        <f t="shared" si="203"/>
        <v>Match</v>
      </c>
      <c r="R1466" t="str">
        <f t="shared" si="204"/>
        <v>Mismatch</v>
      </c>
      <c r="S1466" t="str">
        <f t="shared" si="205"/>
        <v>Match</v>
      </c>
    </row>
    <row r="1467" spans="1:19" x14ac:dyDescent="0.25">
      <c r="A1467" t="s">
        <v>1382</v>
      </c>
      <c r="B1467">
        <v>19500</v>
      </c>
      <c r="C1467">
        <f t="shared" si="206"/>
        <v>195</v>
      </c>
      <c r="D1467">
        <v>10</v>
      </c>
      <c r="E1467">
        <v>6</v>
      </c>
      <c r="F1467">
        <v>17400</v>
      </c>
      <c r="G1467">
        <f t="shared" si="198"/>
        <v>174</v>
      </c>
      <c r="H1467">
        <v>150</v>
      </c>
      <c r="I1467" s="4">
        <f>Full_Data[[#This Row],[Selling Price]]/Full_Data[[#This Row],[Weight (g)]]</f>
        <v>1.1599999999999999</v>
      </c>
      <c r="J1467" t="b">
        <v>0</v>
      </c>
      <c r="K1467">
        <v>150</v>
      </c>
      <c r="L1467">
        <f t="shared" si="199"/>
        <v>21</v>
      </c>
      <c r="M1467" t="str">
        <f t="shared" si="200"/>
        <v>Medium</v>
      </c>
      <c r="N1467" t="str">
        <f t="shared" si="201"/>
        <v>6-10%</v>
      </c>
      <c r="O1467" t="str">
        <f t="shared" si="202"/>
        <v>OK</v>
      </c>
      <c r="P1467">
        <f>IFERROR(Full_Data!G1467/Full_Data!H1467,"Check data")</f>
        <v>1.1599999999999999</v>
      </c>
      <c r="Q1467" t="str">
        <f t="shared" si="203"/>
        <v>Match</v>
      </c>
      <c r="R1467" t="str">
        <f t="shared" si="204"/>
        <v>Mismatch</v>
      </c>
      <c r="S1467" t="str">
        <f t="shared" si="205"/>
        <v>Mismatch</v>
      </c>
    </row>
    <row r="1468" spans="1:19" x14ac:dyDescent="0.25">
      <c r="A1468" t="s">
        <v>1383</v>
      </c>
      <c r="B1468">
        <v>37500</v>
      </c>
      <c r="C1468">
        <f t="shared" si="206"/>
        <v>375</v>
      </c>
      <c r="D1468">
        <v>10</v>
      </c>
      <c r="E1468">
        <v>6</v>
      </c>
      <c r="F1468">
        <v>33400</v>
      </c>
      <c r="G1468">
        <f t="shared" si="198"/>
        <v>334</v>
      </c>
      <c r="H1468">
        <v>340</v>
      </c>
      <c r="I1468" s="4">
        <f>Full_Data[[#This Row],[Selling Price]]/Full_Data[[#This Row],[Weight (g)]]</f>
        <v>0.98235294117647054</v>
      </c>
      <c r="J1468" t="b">
        <v>0</v>
      </c>
      <c r="K1468">
        <v>340</v>
      </c>
      <c r="L1468">
        <f t="shared" si="199"/>
        <v>41</v>
      </c>
      <c r="M1468" t="str">
        <f t="shared" si="200"/>
        <v>High</v>
      </c>
      <c r="N1468" t="str">
        <f t="shared" si="201"/>
        <v>6-10%</v>
      </c>
      <c r="O1468" t="str">
        <f t="shared" si="202"/>
        <v>OK</v>
      </c>
      <c r="P1468">
        <f>IFERROR(Full_Data!G1468/Full_Data!H1468,"Check data")</f>
        <v>0.98235294117647054</v>
      </c>
      <c r="Q1468" t="str">
        <f t="shared" si="203"/>
        <v>Match</v>
      </c>
      <c r="R1468" t="str">
        <f t="shared" si="204"/>
        <v>Mismatch</v>
      </c>
      <c r="S1468" t="str">
        <f t="shared" si="205"/>
        <v>Mismatch</v>
      </c>
    </row>
    <row r="1469" spans="1:19" x14ac:dyDescent="0.25">
      <c r="A1469" t="s">
        <v>1384</v>
      </c>
      <c r="B1469">
        <v>8500</v>
      </c>
      <c r="C1469">
        <f t="shared" si="206"/>
        <v>85</v>
      </c>
      <c r="D1469">
        <v>7</v>
      </c>
      <c r="E1469">
        <v>4</v>
      </c>
      <c r="F1469">
        <v>7900</v>
      </c>
      <c r="G1469">
        <f t="shared" si="198"/>
        <v>79</v>
      </c>
      <c r="H1469">
        <v>64</v>
      </c>
      <c r="I1469" s="4">
        <f>Full_Data[[#This Row],[Selling Price]]/Full_Data[[#This Row],[Weight (g)]]</f>
        <v>1.234375</v>
      </c>
      <c r="J1469" t="b">
        <v>0</v>
      </c>
      <c r="K1469">
        <v>64</v>
      </c>
      <c r="L1469">
        <f t="shared" si="199"/>
        <v>6</v>
      </c>
      <c r="M1469" t="str">
        <f t="shared" si="200"/>
        <v>Medium</v>
      </c>
      <c r="N1469" t="str">
        <f t="shared" si="201"/>
        <v>6-10%</v>
      </c>
      <c r="O1469" t="str">
        <f t="shared" si="202"/>
        <v>OK</v>
      </c>
      <c r="P1469">
        <f>IFERROR(Full_Data!G1469/Full_Data!H1469,"Check data")</f>
        <v>1.234375</v>
      </c>
      <c r="Q1469" t="str">
        <f t="shared" si="203"/>
        <v>Match</v>
      </c>
      <c r="R1469" t="str">
        <f t="shared" si="204"/>
        <v>Mismatch</v>
      </c>
      <c r="S1469" t="str">
        <f t="shared" si="205"/>
        <v>Match</v>
      </c>
    </row>
    <row r="1470" spans="1:19" x14ac:dyDescent="0.25">
      <c r="A1470" t="s">
        <v>1385</v>
      </c>
      <c r="B1470">
        <v>19500</v>
      </c>
      <c r="C1470">
        <f t="shared" si="206"/>
        <v>195</v>
      </c>
      <c r="D1470">
        <v>9</v>
      </c>
      <c r="E1470">
        <v>6</v>
      </c>
      <c r="F1470">
        <v>17600</v>
      </c>
      <c r="G1470">
        <f t="shared" si="198"/>
        <v>176</v>
      </c>
      <c r="H1470">
        <v>150</v>
      </c>
      <c r="I1470" s="4">
        <f>Full_Data[[#This Row],[Selling Price]]/Full_Data[[#This Row],[Weight (g)]]</f>
        <v>1.1733333333333333</v>
      </c>
      <c r="J1470" t="b">
        <v>0</v>
      </c>
      <c r="K1470">
        <v>150</v>
      </c>
      <c r="L1470">
        <f t="shared" si="199"/>
        <v>19</v>
      </c>
      <c r="M1470" t="str">
        <f t="shared" si="200"/>
        <v>Medium</v>
      </c>
      <c r="N1470" t="str">
        <f t="shared" si="201"/>
        <v>6-10%</v>
      </c>
      <c r="O1470" t="str">
        <f t="shared" si="202"/>
        <v>OK</v>
      </c>
      <c r="P1470">
        <f>IFERROR(Full_Data!G1470/Full_Data!H1470,"Check data")</f>
        <v>1.1733333333333333</v>
      </c>
      <c r="Q1470" t="str">
        <f t="shared" si="203"/>
        <v>Match</v>
      </c>
      <c r="R1470" t="str">
        <f t="shared" si="204"/>
        <v>Mismatch</v>
      </c>
      <c r="S1470" t="str">
        <f t="shared" si="205"/>
        <v>Mismatch</v>
      </c>
    </row>
    <row r="1471" spans="1:19" x14ac:dyDescent="0.25">
      <c r="A1471" t="s">
        <v>1386</v>
      </c>
      <c r="B1471">
        <v>11500</v>
      </c>
      <c r="C1471">
        <f t="shared" si="206"/>
        <v>115</v>
      </c>
      <c r="D1471">
        <v>0</v>
      </c>
      <c r="E1471">
        <v>5</v>
      </c>
      <c r="F1471">
        <v>11500</v>
      </c>
      <c r="G1471">
        <f t="shared" si="198"/>
        <v>115</v>
      </c>
      <c r="H1471">
        <v>1160</v>
      </c>
      <c r="I1471" s="4">
        <f>Full_Data[[#This Row],[Selling Price]]/Full_Data[[#This Row],[Weight (g)]]</f>
        <v>9.9137931034482762E-2</v>
      </c>
      <c r="J1471" t="b">
        <v>0</v>
      </c>
      <c r="K1471">
        <v>20</v>
      </c>
      <c r="L1471">
        <f t="shared" si="199"/>
        <v>0</v>
      </c>
      <c r="M1471" t="str">
        <f t="shared" si="200"/>
        <v>Medium</v>
      </c>
      <c r="N1471" t="str">
        <f t="shared" si="201"/>
        <v>0-5%</v>
      </c>
      <c r="O1471" t="str">
        <f t="shared" si="202"/>
        <v>OK</v>
      </c>
      <c r="P1471">
        <f>IFERROR(Full_Data!G1471/Full_Data!H1471,"Check data")</f>
        <v>9.9137931034482762E-2</v>
      </c>
      <c r="Q1471" t="str">
        <f t="shared" si="203"/>
        <v>Match</v>
      </c>
      <c r="R1471" t="str">
        <f t="shared" si="204"/>
        <v>Match</v>
      </c>
      <c r="S1471" t="str">
        <f t="shared" si="205"/>
        <v>Match</v>
      </c>
    </row>
    <row r="1472" spans="1:19" x14ac:dyDescent="0.25">
      <c r="A1472" t="s">
        <v>1387</v>
      </c>
      <c r="B1472">
        <v>69900</v>
      </c>
      <c r="C1472">
        <f t="shared" si="206"/>
        <v>699</v>
      </c>
      <c r="D1472">
        <v>21</v>
      </c>
      <c r="E1472">
        <v>1</v>
      </c>
      <c r="F1472">
        <v>54900</v>
      </c>
      <c r="G1472">
        <f t="shared" si="198"/>
        <v>549</v>
      </c>
      <c r="H1472">
        <v>50</v>
      </c>
      <c r="I1472" s="4">
        <f>Full_Data[[#This Row],[Selling Price]]/Full_Data[[#This Row],[Weight (g)]]</f>
        <v>10.98</v>
      </c>
      <c r="J1472" t="b">
        <v>0</v>
      </c>
      <c r="K1472">
        <v>50</v>
      </c>
      <c r="L1472">
        <f t="shared" si="199"/>
        <v>150</v>
      </c>
      <c r="M1472" t="str">
        <f t="shared" si="200"/>
        <v>High</v>
      </c>
      <c r="N1472" t="str">
        <f t="shared" si="201"/>
        <v>21%+</v>
      </c>
      <c r="O1472" t="str">
        <f t="shared" si="202"/>
        <v>OK</v>
      </c>
      <c r="P1472">
        <f>IFERROR(Full_Data!G1472/Full_Data!H1472,"Check data")</f>
        <v>10.98</v>
      </c>
      <c r="Q1472" t="str">
        <f t="shared" si="203"/>
        <v>Match</v>
      </c>
      <c r="R1472" t="str">
        <f t="shared" si="204"/>
        <v>Mismatch</v>
      </c>
      <c r="S1472" t="str">
        <f t="shared" si="205"/>
        <v>Match</v>
      </c>
    </row>
    <row r="1473" spans="1:19" x14ac:dyDescent="0.25">
      <c r="A1473" t="s">
        <v>1388</v>
      </c>
      <c r="B1473">
        <v>109900</v>
      </c>
      <c r="C1473">
        <f t="shared" si="206"/>
        <v>1099</v>
      </c>
      <c r="D1473">
        <v>22</v>
      </c>
      <c r="E1473">
        <v>3</v>
      </c>
      <c r="F1473">
        <v>84900</v>
      </c>
      <c r="G1473">
        <f t="shared" si="198"/>
        <v>849</v>
      </c>
      <c r="H1473">
        <v>72</v>
      </c>
      <c r="I1473" s="4">
        <f>Full_Data[[#This Row],[Selling Price]]/Full_Data[[#This Row],[Weight (g)]]</f>
        <v>11.791666666666666</v>
      </c>
      <c r="J1473" t="b">
        <v>0</v>
      </c>
      <c r="K1473">
        <v>72</v>
      </c>
      <c r="L1473">
        <f t="shared" si="199"/>
        <v>250</v>
      </c>
      <c r="M1473" t="str">
        <f t="shared" si="200"/>
        <v>High</v>
      </c>
      <c r="N1473" t="str">
        <f t="shared" si="201"/>
        <v>21%+</v>
      </c>
      <c r="O1473" t="str">
        <f t="shared" si="202"/>
        <v>OK</v>
      </c>
      <c r="P1473">
        <f>IFERROR(Full_Data!G1473/Full_Data!H1473,"Check data")</f>
        <v>11.791666666666666</v>
      </c>
      <c r="Q1473" t="str">
        <f t="shared" si="203"/>
        <v>Match</v>
      </c>
      <c r="R1473" t="str">
        <f t="shared" si="204"/>
        <v>Mismatch</v>
      </c>
      <c r="S1473" t="str">
        <f t="shared" si="205"/>
        <v>Mismatch</v>
      </c>
    </row>
    <row r="1474" spans="1:19" x14ac:dyDescent="0.25">
      <c r="A1474" t="s">
        <v>1389</v>
      </c>
      <c r="B1474">
        <v>17500</v>
      </c>
      <c r="C1474">
        <f t="shared" si="206"/>
        <v>175</v>
      </c>
      <c r="D1474">
        <v>9</v>
      </c>
      <c r="E1474">
        <v>6</v>
      </c>
      <c r="F1474">
        <v>15800</v>
      </c>
      <c r="G1474">
        <f t="shared" ref="G1474:G1537" si="207">F1474/100</f>
        <v>158</v>
      </c>
      <c r="H1474">
        <v>100</v>
      </c>
      <c r="I1474" s="4">
        <f>Full_Data[[#This Row],[Selling Price]]/Full_Data[[#This Row],[Weight (g)]]</f>
        <v>1.58</v>
      </c>
      <c r="J1474" t="b">
        <v>0</v>
      </c>
      <c r="K1474">
        <v>100</v>
      </c>
      <c r="L1474">
        <f t="shared" ref="L1474:L1537" si="208">C1474-G1474</f>
        <v>17</v>
      </c>
      <c r="M1474" t="str">
        <f t="shared" ref="M1474:M1537" si="209">IF(G1474&lt;50,"Low",IF(G1474&lt;200,"Medium","High"))</f>
        <v>Medium</v>
      </c>
      <c r="N1474" t="str">
        <f t="shared" ref="N1474:N1537" si="210">IF(D1474&lt;=5,"0-5%",
IF(D1474&lt;=10,"6-10%",
IF(D1474&lt;=15,"11-15%",
IF(D1474&lt;=20,"16-20%","21%+"))))</f>
        <v>6-10%</v>
      </c>
      <c r="O1474" t="str">
        <f t="shared" ref="O1474:O1537" si="211">IF(AND(C1474=0,G1474=0),"Review: Zero MRP and selling price",IF(C1474&lt;=0,"Review: Invalid MRP",IF(G1474&lt;0,"Review: Negative selling price",IF(G1474=0,"Review: Zero selling price",IF(H1474&lt;=0,"Review: Invalid weight","OK")))))</f>
        <v>OK</v>
      </c>
      <c r="P1474">
        <f>IFERROR(Full_Data!G1474/Full_Data!H1474,"Check data")</f>
        <v>1.58</v>
      </c>
      <c r="Q1474" t="str">
        <f t="shared" ref="Q1474:Q1537" si="212">IF(OR(H1474="",H1474&lt;=0),"Invalid weight",IF(G1474="","Missing selling price",IF(ROUND(G1474/H1474,2)=ROUND(I1474,2),"Match","Mismatch")))</f>
        <v>Match</v>
      </c>
      <c r="R1474" t="str">
        <f t="shared" ref="R1474:R1537" si="213">IF(OR(C1474&lt;=0,G1474=""),"Check data",IF(ROUND((C1474-G1474)/C1474*100,2)=ROUND(D1474,2),"Match","Mismatch"))</f>
        <v>Mismatch</v>
      </c>
      <c r="S1474" t="str">
        <f t="shared" ref="S1474:S1537" si="214">IF(OR(C1474&lt;=0,G1474=""),"Check data",IF(ROUND((C1474-G1474)/C1474*100,0)=D1474,"Match","Mismatch"))</f>
        <v>Mismatch</v>
      </c>
    </row>
    <row r="1475" spans="1:19" x14ac:dyDescent="0.25">
      <c r="A1475" t="s">
        <v>1390</v>
      </c>
      <c r="B1475">
        <v>5000</v>
      </c>
      <c r="C1475">
        <f t="shared" ref="C1475:C1538" si="215">B1475/100</f>
        <v>50</v>
      </c>
      <c r="D1475">
        <v>0</v>
      </c>
      <c r="E1475">
        <v>4</v>
      </c>
      <c r="F1475">
        <v>5000</v>
      </c>
      <c r="G1475">
        <f t="shared" si="207"/>
        <v>50</v>
      </c>
      <c r="H1475">
        <v>130</v>
      </c>
      <c r="I1475" s="4">
        <f>Full_Data[[#This Row],[Selling Price]]/Full_Data[[#This Row],[Weight (g)]]</f>
        <v>0.38461538461538464</v>
      </c>
      <c r="J1475" t="b">
        <v>0</v>
      </c>
      <c r="K1475">
        <v>130</v>
      </c>
      <c r="L1475">
        <f t="shared" si="208"/>
        <v>0</v>
      </c>
      <c r="M1475" t="str">
        <f t="shared" si="209"/>
        <v>Medium</v>
      </c>
      <c r="N1475" t="str">
        <f t="shared" si="210"/>
        <v>0-5%</v>
      </c>
      <c r="O1475" t="str">
        <f t="shared" si="211"/>
        <v>OK</v>
      </c>
      <c r="P1475">
        <f>IFERROR(Full_Data!G1475/Full_Data!H1475,"Check data")</f>
        <v>0.38461538461538464</v>
      </c>
      <c r="Q1475" t="str">
        <f t="shared" si="212"/>
        <v>Match</v>
      </c>
      <c r="R1475" t="str">
        <f t="shared" si="213"/>
        <v>Match</v>
      </c>
      <c r="S1475" t="str">
        <f t="shared" si="214"/>
        <v>Match</v>
      </c>
    </row>
    <row r="1476" spans="1:19" x14ac:dyDescent="0.25">
      <c r="A1476" t="s">
        <v>1391</v>
      </c>
      <c r="B1476">
        <v>14500</v>
      </c>
      <c r="C1476">
        <f t="shared" si="215"/>
        <v>145</v>
      </c>
      <c r="D1476">
        <v>9</v>
      </c>
      <c r="E1476">
        <v>5</v>
      </c>
      <c r="F1476">
        <v>13100</v>
      </c>
      <c r="G1476">
        <f t="shared" si="207"/>
        <v>131</v>
      </c>
      <c r="H1476">
        <v>100</v>
      </c>
      <c r="I1476" s="4">
        <f>Full_Data[[#This Row],[Selling Price]]/Full_Data[[#This Row],[Weight (g)]]</f>
        <v>1.31</v>
      </c>
      <c r="J1476" t="b">
        <v>0</v>
      </c>
      <c r="K1476">
        <v>100</v>
      </c>
      <c r="L1476">
        <f t="shared" si="208"/>
        <v>14</v>
      </c>
      <c r="M1476" t="str">
        <f t="shared" si="209"/>
        <v>Medium</v>
      </c>
      <c r="N1476" t="str">
        <f t="shared" si="210"/>
        <v>6-10%</v>
      </c>
      <c r="O1476" t="str">
        <f t="shared" si="211"/>
        <v>OK</v>
      </c>
      <c r="P1476">
        <f>IFERROR(Full_Data!G1476/Full_Data!H1476,"Check data")</f>
        <v>1.31</v>
      </c>
      <c r="Q1476" t="str">
        <f t="shared" si="212"/>
        <v>Match</v>
      </c>
      <c r="R1476" t="str">
        <f t="shared" si="213"/>
        <v>Mismatch</v>
      </c>
      <c r="S1476" t="str">
        <f t="shared" si="214"/>
        <v>Mismatch</v>
      </c>
    </row>
    <row r="1477" spans="1:19" x14ac:dyDescent="0.25">
      <c r="A1477" t="s">
        <v>1284</v>
      </c>
      <c r="B1477">
        <v>55500</v>
      </c>
      <c r="C1477">
        <f t="shared" si="215"/>
        <v>555</v>
      </c>
      <c r="D1477">
        <v>6</v>
      </c>
      <c r="E1477">
        <v>6</v>
      </c>
      <c r="F1477">
        <v>52100</v>
      </c>
      <c r="G1477">
        <f t="shared" si="207"/>
        <v>521</v>
      </c>
      <c r="H1477">
        <v>650</v>
      </c>
      <c r="I1477" s="4">
        <f>Full_Data[[#This Row],[Selling Price]]/Full_Data[[#This Row],[Weight (g)]]</f>
        <v>0.80153846153846153</v>
      </c>
      <c r="J1477" t="b">
        <v>0</v>
      </c>
      <c r="K1477">
        <v>650</v>
      </c>
      <c r="L1477">
        <f t="shared" si="208"/>
        <v>34</v>
      </c>
      <c r="M1477" t="str">
        <f t="shared" si="209"/>
        <v>High</v>
      </c>
      <c r="N1477" t="str">
        <f t="shared" si="210"/>
        <v>6-10%</v>
      </c>
      <c r="O1477" t="str">
        <f t="shared" si="211"/>
        <v>OK</v>
      </c>
      <c r="P1477">
        <f>IFERROR(Full_Data!G1477/Full_Data!H1477,"Check data")</f>
        <v>0.80153846153846153</v>
      </c>
      <c r="Q1477" t="str">
        <f t="shared" si="212"/>
        <v>Match</v>
      </c>
      <c r="R1477" t="str">
        <f t="shared" si="213"/>
        <v>Mismatch</v>
      </c>
      <c r="S1477" t="str">
        <f t="shared" si="214"/>
        <v>Match</v>
      </c>
    </row>
    <row r="1478" spans="1:19" x14ac:dyDescent="0.25">
      <c r="A1478" t="s">
        <v>1392</v>
      </c>
      <c r="B1478">
        <v>59900</v>
      </c>
      <c r="C1478">
        <f t="shared" si="215"/>
        <v>599</v>
      </c>
      <c r="D1478">
        <v>15</v>
      </c>
      <c r="E1478">
        <v>1</v>
      </c>
      <c r="F1478">
        <v>50900</v>
      </c>
      <c r="G1478">
        <f t="shared" si="207"/>
        <v>509</v>
      </c>
      <c r="H1478">
        <v>30</v>
      </c>
      <c r="I1478" s="4">
        <f>Full_Data[[#This Row],[Selling Price]]/Full_Data[[#This Row],[Weight (g)]]</f>
        <v>16.966666666666665</v>
      </c>
      <c r="J1478" t="b">
        <v>0</v>
      </c>
      <c r="K1478">
        <v>30</v>
      </c>
      <c r="L1478">
        <f t="shared" si="208"/>
        <v>90</v>
      </c>
      <c r="M1478" t="str">
        <f t="shared" si="209"/>
        <v>High</v>
      </c>
      <c r="N1478" t="str">
        <f t="shared" si="210"/>
        <v>11-15%</v>
      </c>
      <c r="O1478" t="str">
        <f t="shared" si="211"/>
        <v>OK</v>
      </c>
      <c r="P1478">
        <f>IFERROR(Full_Data!G1478/Full_Data!H1478,"Check data")</f>
        <v>16.966666666666665</v>
      </c>
      <c r="Q1478" t="str">
        <f t="shared" si="212"/>
        <v>Match</v>
      </c>
      <c r="R1478" t="str">
        <f t="shared" si="213"/>
        <v>Mismatch</v>
      </c>
      <c r="S1478" t="str">
        <f t="shared" si="214"/>
        <v>Match</v>
      </c>
    </row>
    <row r="1479" spans="1:19" x14ac:dyDescent="0.25">
      <c r="A1479" t="s">
        <v>1393</v>
      </c>
      <c r="B1479">
        <v>17800</v>
      </c>
      <c r="C1479">
        <f t="shared" si="215"/>
        <v>178</v>
      </c>
      <c r="D1479">
        <v>0</v>
      </c>
      <c r="E1479">
        <v>6</v>
      </c>
      <c r="F1479">
        <v>17800</v>
      </c>
      <c r="G1479">
        <f t="shared" si="207"/>
        <v>178</v>
      </c>
      <c r="H1479">
        <v>340</v>
      </c>
      <c r="I1479" s="4">
        <f>Full_Data[[#This Row],[Selling Price]]/Full_Data[[#This Row],[Weight (g)]]</f>
        <v>0.52352941176470591</v>
      </c>
      <c r="J1479" t="b">
        <v>0</v>
      </c>
      <c r="K1479">
        <v>340</v>
      </c>
      <c r="L1479">
        <f t="shared" si="208"/>
        <v>0</v>
      </c>
      <c r="M1479" t="str">
        <f t="shared" si="209"/>
        <v>Medium</v>
      </c>
      <c r="N1479" t="str">
        <f t="shared" si="210"/>
        <v>0-5%</v>
      </c>
      <c r="O1479" t="str">
        <f t="shared" si="211"/>
        <v>OK</v>
      </c>
      <c r="P1479">
        <f>IFERROR(Full_Data!G1479/Full_Data!H1479,"Check data")</f>
        <v>0.52352941176470591</v>
      </c>
      <c r="Q1479" t="str">
        <f t="shared" si="212"/>
        <v>Match</v>
      </c>
      <c r="R1479" t="str">
        <f t="shared" si="213"/>
        <v>Match</v>
      </c>
      <c r="S1479" t="str">
        <f t="shared" si="214"/>
        <v>Match</v>
      </c>
    </row>
    <row r="1480" spans="1:19" x14ac:dyDescent="0.25">
      <c r="A1480" t="s">
        <v>1394</v>
      </c>
      <c r="B1480">
        <v>22500</v>
      </c>
      <c r="C1480">
        <f t="shared" si="215"/>
        <v>225</v>
      </c>
      <c r="D1480">
        <v>6</v>
      </c>
      <c r="E1480">
        <v>3</v>
      </c>
      <c r="F1480">
        <v>21000</v>
      </c>
      <c r="G1480">
        <f t="shared" si="207"/>
        <v>210</v>
      </c>
      <c r="H1480">
        <v>340</v>
      </c>
      <c r="I1480" s="4">
        <f>Full_Data[[#This Row],[Selling Price]]/Full_Data[[#This Row],[Weight (g)]]</f>
        <v>0.61764705882352944</v>
      </c>
      <c r="J1480" t="b">
        <v>0</v>
      </c>
      <c r="K1480">
        <v>340</v>
      </c>
      <c r="L1480">
        <f t="shared" si="208"/>
        <v>15</v>
      </c>
      <c r="M1480" t="str">
        <f t="shared" si="209"/>
        <v>High</v>
      </c>
      <c r="N1480" t="str">
        <f t="shared" si="210"/>
        <v>6-10%</v>
      </c>
      <c r="O1480" t="str">
        <f t="shared" si="211"/>
        <v>OK</v>
      </c>
      <c r="P1480">
        <f>IFERROR(Full_Data!G1480/Full_Data!H1480,"Check data")</f>
        <v>0.61764705882352944</v>
      </c>
      <c r="Q1480" t="str">
        <f t="shared" si="212"/>
        <v>Match</v>
      </c>
      <c r="R1480" t="str">
        <f t="shared" si="213"/>
        <v>Mismatch</v>
      </c>
      <c r="S1480" t="str">
        <f t="shared" si="214"/>
        <v>Mismatch</v>
      </c>
    </row>
    <row r="1481" spans="1:19" x14ac:dyDescent="0.25">
      <c r="A1481" t="s">
        <v>1395</v>
      </c>
      <c r="B1481">
        <v>19900</v>
      </c>
      <c r="C1481">
        <f t="shared" si="215"/>
        <v>199</v>
      </c>
      <c r="D1481">
        <v>5</v>
      </c>
      <c r="E1481">
        <v>4</v>
      </c>
      <c r="F1481">
        <v>18900</v>
      </c>
      <c r="G1481">
        <f t="shared" si="207"/>
        <v>189</v>
      </c>
      <c r="H1481">
        <v>125</v>
      </c>
      <c r="I1481" s="4">
        <f>Full_Data[[#This Row],[Selling Price]]/Full_Data[[#This Row],[Weight (g)]]</f>
        <v>1.512</v>
      </c>
      <c r="J1481" t="b">
        <v>0</v>
      </c>
      <c r="K1481">
        <v>125</v>
      </c>
      <c r="L1481">
        <f t="shared" si="208"/>
        <v>10</v>
      </c>
      <c r="M1481" t="str">
        <f t="shared" si="209"/>
        <v>Medium</v>
      </c>
      <c r="N1481" t="str">
        <f t="shared" si="210"/>
        <v>0-5%</v>
      </c>
      <c r="O1481" t="str">
        <f t="shared" si="211"/>
        <v>OK</v>
      </c>
      <c r="P1481">
        <f>IFERROR(Full_Data!G1481/Full_Data!H1481,"Check data")</f>
        <v>1.512</v>
      </c>
      <c r="Q1481" t="str">
        <f t="shared" si="212"/>
        <v>Match</v>
      </c>
      <c r="R1481" t="str">
        <f t="shared" si="213"/>
        <v>Mismatch</v>
      </c>
      <c r="S1481" t="str">
        <f t="shared" si="214"/>
        <v>Match</v>
      </c>
    </row>
    <row r="1482" spans="1:19" x14ac:dyDescent="0.25">
      <c r="A1482" t="s">
        <v>1396</v>
      </c>
      <c r="B1482">
        <v>19900</v>
      </c>
      <c r="C1482">
        <f t="shared" si="215"/>
        <v>199</v>
      </c>
      <c r="D1482">
        <v>0</v>
      </c>
      <c r="E1482">
        <v>1</v>
      </c>
      <c r="F1482">
        <v>19900</v>
      </c>
      <c r="G1482">
        <f t="shared" si="207"/>
        <v>199</v>
      </c>
      <c r="H1482">
        <v>150</v>
      </c>
      <c r="I1482" s="4">
        <f>Full_Data[[#This Row],[Selling Price]]/Full_Data[[#This Row],[Weight (g)]]</f>
        <v>1.3266666666666667</v>
      </c>
      <c r="J1482" t="b">
        <v>0</v>
      </c>
      <c r="K1482">
        <v>150</v>
      </c>
      <c r="L1482">
        <f t="shared" si="208"/>
        <v>0</v>
      </c>
      <c r="M1482" t="str">
        <f t="shared" si="209"/>
        <v>Medium</v>
      </c>
      <c r="N1482" t="str">
        <f t="shared" si="210"/>
        <v>0-5%</v>
      </c>
      <c r="O1482" t="str">
        <f t="shared" si="211"/>
        <v>OK</v>
      </c>
      <c r="P1482">
        <f>IFERROR(Full_Data!G1482/Full_Data!H1482,"Check data")</f>
        <v>1.3266666666666667</v>
      </c>
      <c r="Q1482" t="str">
        <f t="shared" si="212"/>
        <v>Match</v>
      </c>
      <c r="R1482" t="str">
        <f t="shared" si="213"/>
        <v>Match</v>
      </c>
      <c r="S1482" t="str">
        <f t="shared" si="214"/>
        <v>Match</v>
      </c>
    </row>
    <row r="1483" spans="1:19" x14ac:dyDescent="0.25">
      <c r="A1483" t="s">
        <v>1397</v>
      </c>
      <c r="B1483">
        <v>69900</v>
      </c>
      <c r="C1483">
        <f t="shared" si="215"/>
        <v>699</v>
      </c>
      <c r="D1483">
        <v>17</v>
      </c>
      <c r="E1483">
        <v>6</v>
      </c>
      <c r="F1483">
        <v>57500</v>
      </c>
      <c r="G1483">
        <f t="shared" si="207"/>
        <v>575</v>
      </c>
      <c r="H1483">
        <v>50</v>
      </c>
      <c r="I1483" s="4">
        <f>Full_Data[[#This Row],[Selling Price]]/Full_Data[[#This Row],[Weight (g)]]</f>
        <v>11.5</v>
      </c>
      <c r="J1483" t="b">
        <v>0</v>
      </c>
      <c r="K1483">
        <v>50</v>
      </c>
      <c r="L1483">
        <f t="shared" si="208"/>
        <v>124</v>
      </c>
      <c r="M1483" t="str">
        <f t="shared" si="209"/>
        <v>High</v>
      </c>
      <c r="N1483" t="str">
        <f t="shared" si="210"/>
        <v>16-20%</v>
      </c>
      <c r="O1483" t="str">
        <f t="shared" si="211"/>
        <v>OK</v>
      </c>
      <c r="P1483">
        <f>IFERROR(Full_Data!G1483/Full_Data!H1483,"Check data")</f>
        <v>11.5</v>
      </c>
      <c r="Q1483" t="str">
        <f t="shared" si="212"/>
        <v>Match</v>
      </c>
      <c r="R1483" t="str">
        <f t="shared" si="213"/>
        <v>Mismatch</v>
      </c>
      <c r="S1483" t="str">
        <f t="shared" si="214"/>
        <v>Mismatch</v>
      </c>
    </row>
    <row r="1484" spans="1:19" x14ac:dyDescent="0.25">
      <c r="A1484" t="s">
        <v>1398</v>
      </c>
      <c r="B1484">
        <v>19900</v>
      </c>
      <c r="C1484">
        <f t="shared" si="215"/>
        <v>199</v>
      </c>
      <c r="D1484">
        <v>0</v>
      </c>
      <c r="E1484">
        <v>1</v>
      </c>
      <c r="F1484">
        <v>19900</v>
      </c>
      <c r="G1484">
        <f t="shared" si="207"/>
        <v>199</v>
      </c>
      <c r="H1484">
        <v>150</v>
      </c>
      <c r="I1484" s="4">
        <f>Full_Data[[#This Row],[Selling Price]]/Full_Data[[#This Row],[Weight (g)]]</f>
        <v>1.3266666666666667</v>
      </c>
      <c r="J1484" t="b">
        <v>0</v>
      </c>
      <c r="K1484">
        <v>150</v>
      </c>
      <c r="L1484">
        <f t="shared" si="208"/>
        <v>0</v>
      </c>
      <c r="M1484" t="str">
        <f t="shared" si="209"/>
        <v>Medium</v>
      </c>
      <c r="N1484" t="str">
        <f t="shared" si="210"/>
        <v>0-5%</v>
      </c>
      <c r="O1484" t="str">
        <f t="shared" si="211"/>
        <v>OK</v>
      </c>
      <c r="P1484">
        <f>IFERROR(Full_Data!G1484/Full_Data!H1484,"Check data")</f>
        <v>1.3266666666666667</v>
      </c>
      <c r="Q1484" t="str">
        <f t="shared" si="212"/>
        <v>Match</v>
      </c>
      <c r="R1484" t="str">
        <f t="shared" si="213"/>
        <v>Match</v>
      </c>
      <c r="S1484" t="str">
        <f t="shared" si="214"/>
        <v>Match</v>
      </c>
    </row>
    <row r="1485" spans="1:19" x14ac:dyDescent="0.25">
      <c r="A1485" t="s">
        <v>1399</v>
      </c>
      <c r="B1485">
        <v>19900</v>
      </c>
      <c r="C1485">
        <f t="shared" si="215"/>
        <v>199</v>
      </c>
      <c r="D1485">
        <v>0</v>
      </c>
      <c r="E1485">
        <v>6</v>
      </c>
      <c r="F1485">
        <v>19900</v>
      </c>
      <c r="G1485">
        <f t="shared" si="207"/>
        <v>199</v>
      </c>
      <c r="H1485">
        <v>500</v>
      </c>
      <c r="I1485" s="4">
        <f>Full_Data[[#This Row],[Selling Price]]/Full_Data[[#This Row],[Weight (g)]]</f>
        <v>0.39800000000000002</v>
      </c>
      <c r="J1485" t="b">
        <v>0</v>
      </c>
      <c r="K1485">
        <v>500</v>
      </c>
      <c r="L1485">
        <f t="shared" si="208"/>
        <v>0</v>
      </c>
      <c r="M1485" t="str">
        <f t="shared" si="209"/>
        <v>Medium</v>
      </c>
      <c r="N1485" t="str">
        <f t="shared" si="210"/>
        <v>0-5%</v>
      </c>
      <c r="O1485" t="str">
        <f t="shared" si="211"/>
        <v>OK</v>
      </c>
      <c r="P1485">
        <f>IFERROR(Full_Data!G1485/Full_Data!H1485,"Check data")</f>
        <v>0.39800000000000002</v>
      </c>
      <c r="Q1485" t="str">
        <f t="shared" si="212"/>
        <v>Match</v>
      </c>
      <c r="R1485" t="str">
        <f t="shared" si="213"/>
        <v>Match</v>
      </c>
      <c r="S1485" t="str">
        <f t="shared" si="214"/>
        <v>Match</v>
      </c>
    </row>
    <row r="1486" spans="1:19" x14ac:dyDescent="0.25">
      <c r="A1486" t="s">
        <v>1400</v>
      </c>
      <c r="B1486">
        <v>37500</v>
      </c>
      <c r="C1486">
        <f t="shared" si="215"/>
        <v>375</v>
      </c>
      <c r="D1486">
        <v>9</v>
      </c>
      <c r="E1486">
        <v>6</v>
      </c>
      <c r="F1486">
        <v>33800</v>
      </c>
      <c r="G1486">
        <f t="shared" si="207"/>
        <v>338</v>
      </c>
      <c r="H1486">
        <v>340</v>
      </c>
      <c r="I1486" s="4">
        <f>Full_Data[[#This Row],[Selling Price]]/Full_Data[[#This Row],[Weight (g)]]</f>
        <v>0.99411764705882355</v>
      </c>
      <c r="J1486" t="b">
        <v>0</v>
      </c>
      <c r="K1486">
        <v>340</v>
      </c>
      <c r="L1486">
        <f t="shared" si="208"/>
        <v>37</v>
      </c>
      <c r="M1486" t="str">
        <f t="shared" si="209"/>
        <v>High</v>
      </c>
      <c r="N1486" t="str">
        <f t="shared" si="210"/>
        <v>6-10%</v>
      </c>
      <c r="O1486" t="str">
        <f t="shared" si="211"/>
        <v>OK</v>
      </c>
      <c r="P1486">
        <f>IFERROR(Full_Data!G1486/Full_Data!H1486,"Check data")</f>
        <v>0.99411764705882355</v>
      </c>
      <c r="Q1486" t="str">
        <f t="shared" si="212"/>
        <v>Match</v>
      </c>
      <c r="R1486" t="str">
        <f t="shared" si="213"/>
        <v>Mismatch</v>
      </c>
      <c r="S1486" t="str">
        <f t="shared" si="214"/>
        <v>Mismatch</v>
      </c>
    </row>
    <row r="1487" spans="1:19" x14ac:dyDescent="0.25">
      <c r="A1487" t="s">
        <v>1401</v>
      </c>
      <c r="B1487">
        <v>64900</v>
      </c>
      <c r="C1487">
        <f t="shared" si="215"/>
        <v>649</v>
      </c>
      <c r="D1487">
        <v>10</v>
      </c>
      <c r="E1487">
        <v>6</v>
      </c>
      <c r="F1487">
        <v>57800</v>
      </c>
      <c r="G1487">
        <f t="shared" si="207"/>
        <v>578</v>
      </c>
      <c r="H1487">
        <v>232</v>
      </c>
      <c r="I1487" s="4">
        <f>Full_Data[[#This Row],[Selling Price]]/Full_Data[[#This Row],[Weight (g)]]</f>
        <v>2.4913793103448274</v>
      </c>
      <c r="J1487" t="b">
        <v>0</v>
      </c>
      <c r="K1487">
        <v>4</v>
      </c>
      <c r="L1487">
        <f t="shared" si="208"/>
        <v>71</v>
      </c>
      <c r="M1487" t="str">
        <f t="shared" si="209"/>
        <v>High</v>
      </c>
      <c r="N1487" t="str">
        <f t="shared" si="210"/>
        <v>6-10%</v>
      </c>
      <c r="O1487" t="str">
        <f t="shared" si="211"/>
        <v>OK</v>
      </c>
      <c r="P1487">
        <f>IFERROR(Full_Data!G1487/Full_Data!H1487,"Check data")</f>
        <v>2.4913793103448274</v>
      </c>
      <c r="Q1487" t="str">
        <f t="shared" si="212"/>
        <v>Match</v>
      </c>
      <c r="R1487" t="str">
        <f t="shared" si="213"/>
        <v>Mismatch</v>
      </c>
      <c r="S1487" t="str">
        <f t="shared" si="214"/>
        <v>Mismatch</v>
      </c>
    </row>
    <row r="1488" spans="1:19" x14ac:dyDescent="0.25">
      <c r="A1488" t="s">
        <v>1349</v>
      </c>
      <c r="B1488">
        <v>21000</v>
      </c>
      <c r="C1488">
        <f t="shared" si="215"/>
        <v>210</v>
      </c>
      <c r="D1488">
        <v>13</v>
      </c>
      <c r="E1488">
        <v>1</v>
      </c>
      <c r="F1488">
        <v>18200</v>
      </c>
      <c r="G1488">
        <f t="shared" si="207"/>
        <v>182</v>
      </c>
      <c r="H1488">
        <v>190</v>
      </c>
      <c r="I1488" s="4">
        <f>Full_Data[[#This Row],[Selling Price]]/Full_Data[[#This Row],[Weight (g)]]</f>
        <v>0.95789473684210524</v>
      </c>
      <c r="J1488" t="b">
        <v>0</v>
      </c>
      <c r="K1488">
        <v>190</v>
      </c>
      <c r="L1488">
        <f t="shared" si="208"/>
        <v>28</v>
      </c>
      <c r="M1488" t="str">
        <f t="shared" si="209"/>
        <v>Medium</v>
      </c>
      <c r="N1488" t="str">
        <f t="shared" si="210"/>
        <v>11-15%</v>
      </c>
      <c r="O1488" t="str">
        <f t="shared" si="211"/>
        <v>OK</v>
      </c>
      <c r="P1488">
        <f>IFERROR(Full_Data!G1488/Full_Data!H1488,"Check data")</f>
        <v>0.95789473684210524</v>
      </c>
      <c r="Q1488" t="str">
        <f t="shared" si="212"/>
        <v>Match</v>
      </c>
      <c r="R1488" t="str">
        <f t="shared" si="213"/>
        <v>Mismatch</v>
      </c>
      <c r="S1488" t="str">
        <f t="shared" si="214"/>
        <v>Match</v>
      </c>
    </row>
    <row r="1489" spans="1:19" x14ac:dyDescent="0.25">
      <c r="A1489" t="s">
        <v>1402</v>
      </c>
      <c r="B1489">
        <v>37500</v>
      </c>
      <c r="C1489">
        <f t="shared" si="215"/>
        <v>375</v>
      </c>
      <c r="D1489">
        <v>0</v>
      </c>
      <c r="E1489">
        <v>2</v>
      </c>
      <c r="F1489">
        <v>37500</v>
      </c>
      <c r="G1489">
        <f t="shared" si="207"/>
        <v>375</v>
      </c>
      <c r="H1489">
        <v>116</v>
      </c>
      <c r="I1489" s="4">
        <f>Full_Data[[#This Row],[Selling Price]]/Full_Data[[#This Row],[Weight (g)]]</f>
        <v>3.2327586206896552</v>
      </c>
      <c r="J1489" t="b">
        <v>0</v>
      </c>
      <c r="K1489">
        <v>2</v>
      </c>
      <c r="L1489">
        <f t="shared" si="208"/>
        <v>0</v>
      </c>
      <c r="M1489" t="str">
        <f t="shared" si="209"/>
        <v>High</v>
      </c>
      <c r="N1489" t="str">
        <f t="shared" si="210"/>
        <v>0-5%</v>
      </c>
      <c r="O1489" t="str">
        <f t="shared" si="211"/>
        <v>OK</v>
      </c>
      <c r="P1489">
        <f>IFERROR(Full_Data!G1489/Full_Data!H1489,"Check data")</f>
        <v>3.2327586206896552</v>
      </c>
      <c r="Q1489" t="str">
        <f t="shared" si="212"/>
        <v>Match</v>
      </c>
      <c r="R1489" t="str">
        <f t="shared" si="213"/>
        <v>Match</v>
      </c>
      <c r="S1489" t="str">
        <f t="shared" si="214"/>
        <v>Match</v>
      </c>
    </row>
    <row r="1490" spans="1:19" x14ac:dyDescent="0.25">
      <c r="A1490" t="s">
        <v>1282</v>
      </c>
      <c r="B1490">
        <v>30000</v>
      </c>
      <c r="C1490">
        <f t="shared" si="215"/>
        <v>300</v>
      </c>
      <c r="D1490">
        <v>12</v>
      </c>
      <c r="E1490">
        <v>1</v>
      </c>
      <c r="F1490">
        <v>26400</v>
      </c>
      <c r="G1490">
        <f t="shared" si="207"/>
        <v>264</v>
      </c>
      <c r="H1490">
        <v>400</v>
      </c>
      <c r="I1490" s="4">
        <f>Full_Data[[#This Row],[Selling Price]]/Full_Data[[#This Row],[Weight (g)]]</f>
        <v>0.66</v>
      </c>
      <c r="J1490" t="b">
        <v>0</v>
      </c>
      <c r="K1490">
        <v>400</v>
      </c>
      <c r="L1490">
        <f t="shared" si="208"/>
        <v>36</v>
      </c>
      <c r="M1490" t="str">
        <f t="shared" si="209"/>
        <v>High</v>
      </c>
      <c r="N1490" t="str">
        <f t="shared" si="210"/>
        <v>11-15%</v>
      </c>
      <c r="O1490" t="str">
        <f t="shared" si="211"/>
        <v>OK</v>
      </c>
      <c r="P1490">
        <f>IFERROR(Full_Data!G1490/Full_Data!H1490,"Check data")</f>
        <v>0.66</v>
      </c>
      <c r="Q1490" t="str">
        <f t="shared" si="212"/>
        <v>Match</v>
      </c>
      <c r="R1490" t="str">
        <f t="shared" si="213"/>
        <v>Match</v>
      </c>
      <c r="S1490" t="str">
        <f t="shared" si="214"/>
        <v>Match</v>
      </c>
    </row>
    <row r="1491" spans="1:19" x14ac:dyDescent="0.25">
      <c r="A1491" t="s">
        <v>1403</v>
      </c>
      <c r="B1491">
        <v>7500</v>
      </c>
      <c r="C1491">
        <f t="shared" si="215"/>
        <v>75</v>
      </c>
      <c r="D1491">
        <v>0</v>
      </c>
      <c r="E1491">
        <v>6</v>
      </c>
      <c r="F1491">
        <v>7500</v>
      </c>
      <c r="G1491">
        <f t="shared" si="207"/>
        <v>75</v>
      </c>
      <c r="H1491">
        <v>70</v>
      </c>
      <c r="I1491" s="4">
        <f>Full_Data[[#This Row],[Selling Price]]/Full_Data[[#This Row],[Weight (g)]]</f>
        <v>1.0714285714285714</v>
      </c>
      <c r="J1491" t="b">
        <v>0</v>
      </c>
      <c r="K1491">
        <v>70</v>
      </c>
      <c r="L1491">
        <f t="shared" si="208"/>
        <v>0</v>
      </c>
      <c r="M1491" t="str">
        <f t="shared" si="209"/>
        <v>Medium</v>
      </c>
      <c r="N1491" t="str">
        <f t="shared" si="210"/>
        <v>0-5%</v>
      </c>
      <c r="O1491" t="str">
        <f t="shared" si="211"/>
        <v>OK</v>
      </c>
      <c r="P1491">
        <f>IFERROR(Full_Data!G1491/Full_Data!H1491,"Check data")</f>
        <v>1.0714285714285714</v>
      </c>
      <c r="Q1491" t="str">
        <f t="shared" si="212"/>
        <v>Match</v>
      </c>
      <c r="R1491" t="str">
        <f t="shared" si="213"/>
        <v>Match</v>
      </c>
      <c r="S1491" t="str">
        <f t="shared" si="214"/>
        <v>Match</v>
      </c>
    </row>
    <row r="1492" spans="1:19" x14ac:dyDescent="0.25">
      <c r="A1492" t="s">
        <v>1404</v>
      </c>
      <c r="B1492">
        <v>14000</v>
      </c>
      <c r="C1492">
        <f t="shared" si="215"/>
        <v>140</v>
      </c>
      <c r="D1492">
        <v>10</v>
      </c>
      <c r="E1492">
        <v>6</v>
      </c>
      <c r="F1492">
        <v>12600</v>
      </c>
      <c r="G1492">
        <f t="shared" si="207"/>
        <v>126</v>
      </c>
      <c r="H1492">
        <v>70</v>
      </c>
      <c r="I1492" s="4">
        <f>Full_Data[[#This Row],[Selling Price]]/Full_Data[[#This Row],[Weight (g)]]</f>
        <v>1.8</v>
      </c>
      <c r="J1492" t="b">
        <v>0</v>
      </c>
      <c r="K1492">
        <v>70</v>
      </c>
      <c r="L1492">
        <f t="shared" si="208"/>
        <v>14</v>
      </c>
      <c r="M1492" t="str">
        <f t="shared" si="209"/>
        <v>Medium</v>
      </c>
      <c r="N1492" t="str">
        <f t="shared" si="210"/>
        <v>6-10%</v>
      </c>
      <c r="O1492" t="str">
        <f t="shared" si="211"/>
        <v>OK</v>
      </c>
      <c r="P1492">
        <f>IFERROR(Full_Data!G1492/Full_Data!H1492,"Check data")</f>
        <v>1.8</v>
      </c>
      <c r="Q1492" t="str">
        <f t="shared" si="212"/>
        <v>Match</v>
      </c>
      <c r="R1492" t="str">
        <f t="shared" si="213"/>
        <v>Match</v>
      </c>
      <c r="S1492" t="str">
        <f t="shared" si="214"/>
        <v>Match</v>
      </c>
    </row>
    <row r="1493" spans="1:19" x14ac:dyDescent="0.25">
      <c r="A1493" t="s">
        <v>1405</v>
      </c>
      <c r="B1493">
        <v>9300</v>
      </c>
      <c r="C1493">
        <f t="shared" si="215"/>
        <v>93</v>
      </c>
      <c r="D1493">
        <v>0</v>
      </c>
      <c r="E1493">
        <v>6</v>
      </c>
      <c r="F1493">
        <v>9300</v>
      </c>
      <c r="G1493">
        <f t="shared" si="207"/>
        <v>93</v>
      </c>
      <c r="H1493">
        <v>80</v>
      </c>
      <c r="I1493" s="4">
        <f>Full_Data[[#This Row],[Selling Price]]/Full_Data[[#This Row],[Weight (g)]]</f>
        <v>1.1625000000000001</v>
      </c>
      <c r="J1493" t="b">
        <v>0</v>
      </c>
      <c r="K1493">
        <v>80</v>
      </c>
      <c r="L1493">
        <f t="shared" si="208"/>
        <v>0</v>
      </c>
      <c r="M1493" t="str">
        <f t="shared" si="209"/>
        <v>Medium</v>
      </c>
      <c r="N1493" t="str">
        <f t="shared" si="210"/>
        <v>0-5%</v>
      </c>
      <c r="O1493" t="str">
        <f t="shared" si="211"/>
        <v>OK</v>
      </c>
      <c r="P1493">
        <f>IFERROR(Full_Data!G1493/Full_Data!H1493,"Check data")</f>
        <v>1.1625000000000001</v>
      </c>
      <c r="Q1493" t="str">
        <f t="shared" si="212"/>
        <v>Match</v>
      </c>
      <c r="R1493" t="str">
        <f t="shared" si="213"/>
        <v>Match</v>
      </c>
      <c r="S1493" t="str">
        <f t="shared" si="214"/>
        <v>Match</v>
      </c>
    </row>
    <row r="1494" spans="1:19" x14ac:dyDescent="0.25">
      <c r="A1494" t="s">
        <v>1406</v>
      </c>
      <c r="B1494">
        <v>12000</v>
      </c>
      <c r="C1494">
        <f t="shared" si="215"/>
        <v>120</v>
      </c>
      <c r="D1494">
        <v>0</v>
      </c>
      <c r="E1494">
        <v>6</v>
      </c>
      <c r="F1494">
        <v>12000</v>
      </c>
      <c r="G1494">
        <f t="shared" si="207"/>
        <v>120</v>
      </c>
      <c r="H1494">
        <v>180</v>
      </c>
      <c r="I1494" s="4">
        <f>Full_Data[[#This Row],[Selling Price]]/Full_Data[[#This Row],[Weight (g)]]</f>
        <v>0.66666666666666663</v>
      </c>
      <c r="J1494" t="b">
        <v>0</v>
      </c>
      <c r="K1494">
        <v>180</v>
      </c>
      <c r="L1494">
        <f t="shared" si="208"/>
        <v>0</v>
      </c>
      <c r="M1494" t="str">
        <f t="shared" si="209"/>
        <v>Medium</v>
      </c>
      <c r="N1494" t="str">
        <f t="shared" si="210"/>
        <v>0-5%</v>
      </c>
      <c r="O1494" t="str">
        <f t="shared" si="211"/>
        <v>OK</v>
      </c>
      <c r="P1494">
        <f>IFERROR(Full_Data!G1494/Full_Data!H1494,"Check data")</f>
        <v>0.66666666666666663</v>
      </c>
      <c r="Q1494" t="str">
        <f t="shared" si="212"/>
        <v>Match</v>
      </c>
      <c r="R1494" t="str">
        <f t="shared" si="213"/>
        <v>Match</v>
      </c>
      <c r="S1494" t="str">
        <f t="shared" si="214"/>
        <v>Match</v>
      </c>
    </row>
    <row r="1495" spans="1:19" x14ac:dyDescent="0.25">
      <c r="A1495" t="s">
        <v>1407</v>
      </c>
      <c r="B1495">
        <v>10000</v>
      </c>
      <c r="C1495">
        <f t="shared" si="215"/>
        <v>100</v>
      </c>
      <c r="D1495">
        <v>10</v>
      </c>
      <c r="E1495">
        <v>6</v>
      </c>
      <c r="F1495">
        <v>9000</v>
      </c>
      <c r="G1495">
        <f t="shared" si="207"/>
        <v>90</v>
      </c>
      <c r="H1495">
        <v>25</v>
      </c>
      <c r="I1495" s="4">
        <f>Full_Data[[#This Row],[Selling Price]]/Full_Data[[#This Row],[Weight (g)]]</f>
        <v>3.6</v>
      </c>
      <c r="J1495" t="b">
        <v>0</v>
      </c>
      <c r="K1495">
        <v>25</v>
      </c>
      <c r="L1495">
        <f t="shared" si="208"/>
        <v>10</v>
      </c>
      <c r="M1495" t="str">
        <f t="shared" si="209"/>
        <v>Medium</v>
      </c>
      <c r="N1495" t="str">
        <f t="shared" si="210"/>
        <v>6-10%</v>
      </c>
      <c r="O1495" t="str">
        <f t="shared" si="211"/>
        <v>OK</v>
      </c>
      <c r="P1495">
        <f>IFERROR(Full_Data!G1495/Full_Data!H1495,"Check data")</f>
        <v>3.6</v>
      </c>
      <c r="Q1495" t="str">
        <f t="shared" si="212"/>
        <v>Match</v>
      </c>
      <c r="R1495" t="str">
        <f t="shared" si="213"/>
        <v>Match</v>
      </c>
      <c r="S1495" t="str">
        <f t="shared" si="214"/>
        <v>Match</v>
      </c>
    </row>
    <row r="1496" spans="1:19" x14ac:dyDescent="0.25">
      <c r="A1496" t="s">
        <v>1181</v>
      </c>
      <c r="B1496">
        <v>6900</v>
      </c>
      <c r="C1496">
        <f t="shared" si="215"/>
        <v>69</v>
      </c>
      <c r="D1496">
        <v>0</v>
      </c>
      <c r="E1496">
        <v>5</v>
      </c>
      <c r="F1496">
        <v>6900</v>
      </c>
      <c r="G1496">
        <f t="shared" si="207"/>
        <v>69</v>
      </c>
      <c r="H1496">
        <v>200</v>
      </c>
      <c r="I1496" s="4">
        <f>Full_Data[[#This Row],[Selling Price]]/Full_Data[[#This Row],[Weight (g)]]</f>
        <v>0.34499999999999997</v>
      </c>
      <c r="J1496" t="b">
        <v>0</v>
      </c>
      <c r="K1496">
        <v>200</v>
      </c>
      <c r="L1496">
        <f t="shared" si="208"/>
        <v>0</v>
      </c>
      <c r="M1496" t="str">
        <f t="shared" si="209"/>
        <v>Medium</v>
      </c>
      <c r="N1496" t="str">
        <f t="shared" si="210"/>
        <v>0-5%</v>
      </c>
      <c r="O1496" t="str">
        <f t="shared" si="211"/>
        <v>OK</v>
      </c>
      <c r="P1496">
        <f>IFERROR(Full_Data!G1496/Full_Data!H1496,"Check data")</f>
        <v>0.34499999999999997</v>
      </c>
      <c r="Q1496" t="str">
        <f t="shared" si="212"/>
        <v>Match</v>
      </c>
      <c r="R1496" t="str">
        <f t="shared" si="213"/>
        <v>Match</v>
      </c>
      <c r="S1496" t="str">
        <f t="shared" si="214"/>
        <v>Match</v>
      </c>
    </row>
    <row r="1497" spans="1:19" x14ac:dyDescent="0.25">
      <c r="A1497" t="s">
        <v>1408</v>
      </c>
      <c r="B1497">
        <v>36000</v>
      </c>
      <c r="C1497">
        <f t="shared" si="215"/>
        <v>360</v>
      </c>
      <c r="D1497">
        <v>10</v>
      </c>
      <c r="E1497">
        <v>6</v>
      </c>
      <c r="F1497">
        <v>32400</v>
      </c>
      <c r="G1497">
        <f t="shared" si="207"/>
        <v>324</v>
      </c>
      <c r="H1497">
        <v>24</v>
      </c>
      <c r="I1497" s="4">
        <f>Full_Data[[#This Row],[Selling Price]]/Full_Data[[#This Row],[Weight (g)]]</f>
        <v>13.5</v>
      </c>
      <c r="J1497" t="b">
        <v>0</v>
      </c>
      <c r="K1497">
        <v>24</v>
      </c>
      <c r="L1497">
        <f t="shared" si="208"/>
        <v>36</v>
      </c>
      <c r="M1497" t="str">
        <f t="shared" si="209"/>
        <v>High</v>
      </c>
      <c r="N1497" t="str">
        <f t="shared" si="210"/>
        <v>6-10%</v>
      </c>
      <c r="O1497" t="str">
        <f t="shared" si="211"/>
        <v>OK</v>
      </c>
      <c r="P1497">
        <f>IFERROR(Full_Data!G1497/Full_Data!H1497,"Check data")</f>
        <v>13.5</v>
      </c>
      <c r="Q1497" t="str">
        <f t="shared" si="212"/>
        <v>Match</v>
      </c>
      <c r="R1497" t="str">
        <f t="shared" si="213"/>
        <v>Match</v>
      </c>
      <c r="S1497" t="str">
        <f t="shared" si="214"/>
        <v>Match</v>
      </c>
    </row>
    <row r="1498" spans="1:19" x14ac:dyDescent="0.25">
      <c r="A1498" t="s">
        <v>1179</v>
      </c>
      <c r="B1498">
        <v>26000</v>
      </c>
      <c r="C1498">
        <f t="shared" si="215"/>
        <v>260</v>
      </c>
      <c r="D1498">
        <v>18</v>
      </c>
      <c r="E1498">
        <v>1</v>
      </c>
      <c r="F1498">
        <v>21300</v>
      </c>
      <c r="G1498">
        <f t="shared" si="207"/>
        <v>213</v>
      </c>
      <c r="H1498">
        <v>400</v>
      </c>
      <c r="I1498" s="4">
        <f>Full_Data[[#This Row],[Selling Price]]/Full_Data[[#This Row],[Weight (g)]]</f>
        <v>0.53249999999999997</v>
      </c>
      <c r="J1498" t="b">
        <v>0</v>
      </c>
      <c r="K1498">
        <v>400</v>
      </c>
      <c r="L1498">
        <f t="shared" si="208"/>
        <v>47</v>
      </c>
      <c r="M1498" t="str">
        <f t="shared" si="209"/>
        <v>High</v>
      </c>
      <c r="N1498" t="str">
        <f t="shared" si="210"/>
        <v>16-20%</v>
      </c>
      <c r="O1498" t="str">
        <f t="shared" si="211"/>
        <v>OK</v>
      </c>
      <c r="P1498">
        <f>IFERROR(Full_Data!G1498/Full_Data!H1498,"Check data")</f>
        <v>0.53249999999999997</v>
      </c>
      <c r="Q1498" t="str">
        <f t="shared" si="212"/>
        <v>Match</v>
      </c>
      <c r="R1498" t="str">
        <f t="shared" si="213"/>
        <v>Mismatch</v>
      </c>
      <c r="S1498" t="str">
        <f t="shared" si="214"/>
        <v>Match</v>
      </c>
    </row>
    <row r="1499" spans="1:19" x14ac:dyDescent="0.25">
      <c r="A1499" t="s">
        <v>1275</v>
      </c>
      <c r="B1499">
        <v>49000</v>
      </c>
      <c r="C1499">
        <f t="shared" si="215"/>
        <v>490</v>
      </c>
      <c r="D1499">
        <v>25</v>
      </c>
      <c r="E1499">
        <v>4</v>
      </c>
      <c r="F1499">
        <v>36700</v>
      </c>
      <c r="G1499">
        <f t="shared" si="207"/>
        <v>367</v>
      </c>
      <c r="H1499">
        <v>700</v>
      </c>
      <c r="I1499" s="4">
        <f>Full_Data[[#This Row],[Selling Price]]/Full_Data[[#This Row],[Weight (g)]]</f>
        <v>0.52428571428571424</v>
      </c>
      <c r="J1499" t="b">
        <v>0</v>
      </c>
      <c r="K1499">
        <v>700</v>
      </c>
      <c r="L1499">
        <f t="shared" si="208"/>
        <v>123</v>
      </c>
      <c r="M1499" t="str">
        <f t="shared" si="209"/>
        <v>High</v>
      </c>
      <c r="N1499" t="str">
        <f t="shared" si="210"/>
        <v>21%+</v>
      </c>
      <c r="O1499" t="str">
        <f t="shared" si="211"/>
        <v>OK</v>
      </c>
      <c r="P1499">
        <f>IFERROR(Full_Data!G1499/Full_Data!H1499,"Check data")</f>
        <v>0.52428571428571424</v>
      </c>
      <c r="Q1499" t="str">
        <f t="shared" si="212"/>
        <v>Match</v>
      </c>
      <c r="R1499" t="str">
        <f t="shared" si="213"/>
        <v>Mismatch</v>
      </c>
      <c r="S1499" t="str">
        <f t="shared" si="214"/>
        <v>Match</v>
      </c>
    </row>
    <row r="1500" spans="1:19" x14ac:dyDescent="0.25">
      <c r="A1500" t="s">
        <v>1358</v>
      </c>
      <c r="B1500">
        <v>20000</v>
      </c>
      <c r="C1500">
        <f t="shared" si="215"/>
        <v>200</v>
      </c>
      <c r="D1500">
        <v>0</v>
      </c>
      <c r="E1500">
        <v>6</v>
      </c>
      <c r="F1500">
        <v>20000</v>
      </c>
      <c r="G1500">
        <f t="shared" si="207"/>
        <v>200</v>
      </c>
      <c r="H1500">
        <v>200</v>
      </c>
      <c r="I1500" s="4">
        <f>Full_Data[[#This Row],[Selling Price]]/Full_Data[[#This Row],[Weight (g)]]</f>
        <v>1</v>
      </c>
      <c r="J1500" t="b">
        <v>0</v>
      </c>
      <c r="K1500">
        <v>200</v>
      </c>
      <c r="L1500">
        <f t="shared" si="208"/>
        <v>0</v>
      </c>
      <c r="M1500" t="str">
        <f t="shared" si="209"/>
        <v>High</v>
      </c>
      <c r="N1500" t="str">
        <f t="shared" si="210"/>
        <v>0-5%</v>
      </c>
      <c r="O1500" t="str">
        <f t="shared" si="211"/>
        <v>OK</v>
      </c>
      <c r="P1500">
        <f>IFERROR(Full_Data!G1500/Full_Data!H1500,"Check data")</f>
        <v>1</v>
      </c>
      <c r="Q1500" t="str">
        <f t="shared" si="212"/>
        <v>Match</v>
      </c>
      <c r="R1500" t="str">
        <f t="shared" si="213"/>
        <v>Match</v>
      </c>
      <c r="S1500" t="str">
        <f t="shared" si="214"/>
        <v>Match</v>
      </c>
    </row>
    <row r="1501" spans="1:19" x14ac:dyDescent="0.25">
      <c r="A1501" t="s">
        <v>1409</v>
      </c>
      <c r="B1501">
        <v>32500</v>
      </c>
      <c r="C1501">
        <f t="shared" si="215"/>
        <v>325</v>
      </c>
      <c r="D1501">
        <v>0</v>
      </c>
      <c r="E1501">
        <v>4</v>
      </c>
      <c r="F1501">
        <v>32500</v>
      </c>
      <c r="G1501">
        <f t="shared" si="207"/>
        <v>325</v>
      </c>
      <c r="H1501">
        <v>400</v>
      </c>
      <c r="I1501" s="4">
        <f>Full_Data[[#This Row],[Selling Price]]/Full_Data[[#This Row],[Weight (g)]]</f>
        <v>0.8125</v>
      </c>
      <c r="J1501" t="b">
        <v>0</v>
      </c>
      <c r="K1501">
        <v>400</v>
      </c>
      <c r="L1501">
        <f t="shared" si="208"/>
        <v>0</v>
      </c>
      <c r="M1501" t="str">
        <f t="shared" si="209"/>
        <v>High</v>
      </c>
      <c r="N1501" t="str">
        <f t="shared" si="210"/>
        <v>0-5%</v>
      </c>
      <c r="O1501" t="str">
        <f t="shared" si="211"/>
        <v>OK</v>
      </c>
      <c r="P1501">
        <f>IFERROR(Full_Data!G1501/Full_Data!H1501,"Check data")</f>
        <v>0.8125</v>
      </c>
      <c r="Q1501" t="str">
        <f t="shared" si="212"/>
        <v>Match</v>
      </c>
      <c r="R1501" t="str">
        <f t="shared" si="213"/>
        <v>Match</v>
      </c>
      <c r="S1501" t="str">
        <f t="shared" si="214"/>
        <v>Match</v>
      </c>
    </row>
    <row r="1502" spans="1:19" x14ac:dyDescent="0.25">
      <c r="A1502" t="s">
        <v>1410</v>
      </c>
      <c r="B1502">
        <v>19900</v>
      </c>
      <c r="C1502">
        <f t="shared" si="215"/>
        <v>199</v>
      </c>
      <c r="D1502">
        <v>0</v>
      </c>
      <c r="E1502">
        <v>1</v>
      </c>
      <c r="F1502">
        <v>19900</v>
      </c>
      <c r="G1502">
        <f t="shared" si="207"/>
        <v>199</v>
      </c>
      <c r="H1502">
        <v>193</v>
      </c>
      <c r="I1502" s="4">
        <f>Full_Data[[#This Row],[Selling Price]]/Full_Data[[#This Row],[Weight (g)]]</f>
        <v>1.0310880829015545</v>
      </c>
      <c r="J1502" t="b">
        <v>0</v>
      </c>
      <c r="K1502">
        <v>193</v>
      </c>
      <c r="L1502">
        <f t="shared" si="208"/>
        <v>0</v>
      </c>
      <c r="M1502" t="str">
        <f t="shared" si="209"/>
        <v>Medium</v>
      </c>
      <c r="N1502" t="str">
        <f t="shared" si="210"/>
        <v>0-5%</v>
      </c>
      <c r="O1502" t="str">
        <f t="shared" si="211"/>
        <v>OK</v>
      </c>
      <c r="P1502">
        <f>IFERROR(Full_Data!G1502/Full_Data!H1502,"Check data")</f>
        <v>1.0310880829015545</v>
      </c>
      <c r="Q1502" t="str">
        <f t="shared" si="212"/>
        <v>Match</v>
      </c>
      <c r="R1502" t="str">
        <f t="shared" si="213"/>
        <v>Match</v>
      </c>
      <c r="S1502" t="str">
        <f t="shared" si="214"/>
        <v>Match</v>
      </c>
    </row>
    <row r="1503" spans="1:19" x14ac:dyDescent="0.25">
      <c r="A1503" t="s">
        <v>1411</v>
      </c>
      <c r="B1503">
        <v>18500</v>
      </c>
      <c r="C1503">
        <f t="shared" si="215"/>
        <v>185</v>
      </c>
      <c r="D1503">
        <v>15</v>
      </c>
      <c r="E1503">
        <v>6</v>
      </c>
      <c r="F1503">
        <v>15700</v>
      </c>
      <c r="G1503">
        <f t="shared" si="207"/>
        <v>157</v>
      </c>
      <c r="H1503">
        <v>100</v>
      </c>
      <c r="I1503" s="4">
        <f>Full_Data[[#This Row],[Selling Price]]/Full_Data[[#This Row],[Weight (g)]]</f>
        <v>1.57</v>
      </c>
      <c r="J1503" t="b">
        <v>0</v>
      </c>
      <c r="K1503">
        <v>100</v>
      </c>
      <c r="L1503">
        <f t="shared" si="208"/>
        <v>28</v>
      </c>
      <c r="M1503" t="str">
        <f t="shared" si="209"/>
        <v>Medium</v>
      </c>
      <c r="N1503" t="str">
        <f t="shared" si="210"/>
        <v>11-15%</v>
      </c>
      <c r="O1503" t="str">
        <f t="shared" si="211"/>
        <v>OK</v>
      </c>
      <c r="P1503">
        <f>IFERROR(Full_Data!G1503/Full_Data!H1503,"Check data")</f>
        <v>1.57</v>
      </c>
      <c r="Q1503" t="str">
        <f t="shared" si="212"/>
        <v>Match</v>
      </c>
      <c r="R1503" t="str">
        <f t="shared" si="213"/>
        <v>Mismatch</v>
      </c>
      <c r="S1503" t="str">
        <f t="shared" si="214"/>
        <v>Match</v>
      </c>
    </row>
    <row r="1504" spans="1:19" x14ac:dyDescent="0.25">
      <c r="A1504" t="s">
        <v>1199</v>
      </c>
      <c r="B1504">
        <v>55500</v>
      </c>
      <c r="C1504">
        <f t="shared" si="215"/>
        <v>555</v>
      </c>
      <c r="D1504">
        <v>0</v>
      </c>
      <c r="E1504">
        <v>1</v>
      </c>
      <c r="F1504">
        <v>55500</v>
      </c>
      <c r="G1504">
        <f t="shared" si="207"/>
        <v>555</v>
      </c>
      <c r="H1504">
        <v>60</v>
      </c>
      <c r="I1504" s="4">
        <f>Full_Data[[#This Row],[Selling Price]]/Full_Data[[#This Row],[Weight (g)]]</f>
        <v>9.25</v>
      </c>
      <c r="J1504" t="b">
        <v>0</v>
      </c>
      <c r="K1504">
        <v>60</v>
      </c>
      <c r="L1504">
        <f t="shared" si="208"/>
        <v>0</v>
      </c>
      <c r="M1504" t="str">
        <f t="shared" si="209"/>
        <v>High</v>
      </c>
      <c r="N1504" t="str">
        <f t="shared" si="210"/>
        <v>0-5%</v>
      </c>
      <c r="O1504" t="str">
        <f t="shared" si="211"/>
        <v>OK</v>
      </c>
      <c r="P1504">
        <f>IFERROR(Full_Data!G1504/Full_Data!H1504,"Check data")</f>
        <v>9.25</v>
      </c>
      <c r="Q1504" t="str">
        <f t="shared" si="212"/>
        <v>Match</v>
      </c>
      <c r="R1504" t="str">
        <f t="shared" si="213"/>
        <v>Match</v>
      </c>
      <c r="S1504" t="str">
        <f t="shared" si="214"/>
        <v>Match</v>
      </c>
    </row>
    <row r="1505" spans="1:19" x14ac:dyDescent="0.25">
      <c r="A1505" t="s">
        <v>1412</v>
      </c>
      <c r="B1505">
        <v>24900</v>
      </c>
      <c r="C1505">
        <f t="shared" si="215"/>
        <v>249</v>
      </c>
      <c r="D1505">
        <v>20</v>
      </c>
      <c r="E1505">
        <v>6</v>
      </c>
      <c r="F1505">
        <v>19900</v>
      </c>
      <c r="G1505">
        <f t="shared" si="207"/>
        <v>199</v>
      </c>
      <c r="H1505">
        <v>250</v>
      </c>
      <c r="I1505" s="4">
        <f>Full_Data[[#This Row],[Selling Price]]/Full_Data[[#This Row],[Weight (g)]]</f>
        <v>0.79600000000000004</v>
      </c>
      <c r="J1505" t="b">
        <v>0</v>
      </c>
      <c r="K1505">
        <v>250</v>
      </c>
      <c r="L1505">
        <f t="shared" si="208"/>
        <v>50</v>
      </c>
      <c r="M1505" t="str">
        <f t="shared" si="209"/>
        <v>Medium</v>
      </c>
      <c r="N1505" t="str">
        <f t="shared" si="210"/>
        <v>16-20%</v>
      </c>
      <c r="O1505" t="str">
        <f t="shared" si="211"/>
        <v>OK</v>
      </c>
      <c r="P1505">
        <f>IFERROR(Full_Data!G1505/Full_Data!H1505,"Check data")</f>
        <v>0.79600000000000004</v>
      </c>
      <c r="Q1505" t="str">
        <f t="shared" si="212"/>
        <v>Match</v>
      </c>
      <c r="R1505" t="str">
        <f t="shared" si="213"/>
        <v>Mismatch</v>
      </c>
      <c r="S1505" t="str">
        <f t="shared" si="214"/>
        <v>Match</v>
      </c>
    </row>
    <row r="1506" spans="1:19" x14ac:dyDescent="0.25">
      <c r="A1506" t="s">
        <v>1410</v>
      </c>
      <c r="B1506">
        <v>20900</v>
      </c>
      <c r="C1506">
        <f t="shared" si="215"/>
        <v>209</v>
      </c>
      <c r="D1506">
        <v>0</v>
      </c>
      <c r="E1506">
        <v>3</v>
      </c>
      <c r="F1506">
        <v>20900</v>
      </c>
      <c r="G1506">
        <f t="shared" si="207"/>
        <v>209</v>
      </c>
      <c r="H1506">
        <v>193</v>
      </c>
      <c r="I1506" s="4">
        <f>Full_Data[[#This Row],[Selling Price]]/Full_Data[[#This Row],[Weight (g)]]</f>
        <v>1.0829015544041452</v>
      </c>
      <c r="J1506" t="b">
        <v>0</v>
      </c>
      <c r="K1506">
        <v>193</v>
      </c>
      <c r="L1506">
        <f t="shared" si="208"/>
        <v>0</v>
      </c>
      <c r="M1506" t="str">
        <f t="shared" si="209"/>
        <v>High</v>
      </c>
      <c r="N1506" t="str">
        <f t="shared" si="210"/>
        <v>0-5%</v>
      </c>
      <c r="O1506" t="str">
        <f t="shared" si="211"/>
        <v>OK</v>
      </c>
      <c r="P1506">
        <f>IFERROR(Full_Data!G1506/Full_Data!H1506,"Check data")</f>
        <v>1.0829015544041452</v>
      </c>
      <c r="Q1506" t="str">
        <f t="shared" si="212"/>
        <v>Match</v>
      </c>
      <c r="R1506" t="str">
        <f t="shared" si="213"/>
        <v>Match</v>
      </c>
      <c r="S1506" t="str">
        <f t="shared" si="214"/>
        <v>Match</v>
      </c>
    </row>
    <row r="1507" spans="1:19" x14ac:dyDescent="0.25">
      <c r="A1507" t="s">
        <v>1206</v>
      </c>
      <c r="B1507">
        <v>28500</v>
      </c>
      <c r="C1507">
        <f t="shared" si="215"/>
        <v>285</v>
      </c>
      <c r="D1507">
        <v>6</v>
      </c>
      <c r="E1507">
        <v>6</v>
      </c>
      <c r="F1507">
        <v>26600</v>
      </c>
      <c r="G1507">
        <f t="shared" si="207"/>
        <v>266</v>
      </c>
      <c r="H1507">
        <v>340</v>
      </c>
      <c r="I1507" s="4">
        <f>Full_Data[[#This Row],[Selling Price]]/Full_Data[[#This Row],[Weight (g)]]</f>
        <v>0.78235294117647058</v>
      </c>
      <c r="J1507" t="b">
        <v>0</v>
      </c>
      <c r="K1507">
        <v>340</v>
      </c>
      <c r="L1507">
        <f t="shared" si="208"/>
        <v>19</v>
      </c>
      <c r="M1507" t="str">
        <f t="shared" si="209"/>
        <v>High</v>
      </c>
      <c r="N1507" t="str">
        <f t="shared" si="210"/>
        <v>6-10%</v>
      </c>
      <c r="O1507" t="str">
        <f t="shared" si="211"/>
        <v>OK</v>
      </c>
      <c r="P1507">
        <f>IFERROR(Full_Data!G1507/Full_Data!H1507,"Check data")</f>
        <v>0.78235294117647058</v>
      </c>
      <c r="Q1507" t="str">
        <f t="shared" si="212"/>
        <v>Match</v>
      </c>
      <c r="R1507" t="str">
        <f t="shared" si="213"/>
        <v>Mismatch</v>
      </c>
      <c r="S1507" t="str">
        <f t="shared" si="214"/>
        <v>Mismatch</v>
      </c>
    </row>
    <row r="1508" spans="1:19" x14ac:dyDescent="0.25">
      <c r="A1508" t="s">
        <v>1413</v>
      </c>
      <c r="B1508">
        <v>24900</v>
      </c>
      <c r="C1508">
        <f t="shared" si="215"/>
        <v>249</v>
      </c>
      <c r="D1508">
        <v>0</v>
      </c>
      <c r="E1508">
        <v>4</v>
      </c>
      <c r="F1508">
        <v>24900</v>
      </c>
      <c r="G1508">
        <f t="shared" si="207"/>
        <v>249</v>
      </c>
      <c r="H1508">
        <v>150</v>
      </c>
      <c r="I1508" s="4">
        <f>Full_Data[[#This Row],[Selling Price]]/Full_Data[[#This Row],[Weight (g)]]</f>
        <v>1.66</v>
      </c>
      <c r="J1508" t="b">
        <v>0</v>
      </c>
      <c r="K1508">
        <v>150</v>
      </c>
      <c r="L1508">
        <f t="shared" si="208"/>
        <v>0</v>
      </c>
      <c r="M1508" t="str">
        <f t="shared" si="209"/>
        <v>High</v>
      </c>
      <c r="N1508" t="str">
        <f t="shared" si="210"/>
        <v>0-5%</v>
      </c>
      <c r="O1508" t="str">
        <f t="shared" si="211"/>
        <v>OK</v>
      </c>
      <c r="P1508">
        <f>IFERROR(Full_Data!G1508/Full_Data!H1508,"Check data")</f>
        <v>1.66</v>
      </c>
      <c r="Q1508" t="str">
        <f t="shared" si="212"/>
        <v>Match</v>
      </c>
      <c r="R1508" t="str">
        <f t="shared" si="213"/>
        <v>Match</v>
      </c>
      <c r="S1508" t="str">
        <f t="shared" si="214"/>
        <v>Match</v>
      </c>
    </row>
    <row r="1509" spans="1:19" x14ac:dyDescent="0.25">
      <c r="A1509" t="s">
        <v>1371</v>
      </c>
      <c r="B1509">
        <v>15000</v>
      </c>
      <c r="C1509">
        <f t="shared" si="215"/>
        <v>150</v>
      </c>
      <c r="D1509">
        <v>10</v>
      </c>
      <c r="E1509">
        <v>6</v>
      </c>
      <c r="F1509">
        <v>13500</v>
      </c>
      <c r="G1509">
        <f t="shared" si="207"/>
        <v>135</v>
      </c>
      <c r="H1509">
        <v>250</v>
      </c>
      <c r="I1509" s="4">
        <f>Full_Data[[#This Row],[Selling Price]]/Full_Data[[#This Row],[Weight (g)]]</f>
        <v>0.54</v>
      </c>
      <c r="J1509" t="b">
        <v>0</v>
      </c>
      <c r="K1509">
        <v>250</v>
      </c>
      <c r="L1509">
        <f t="shared" si="208"/>
        <v>15</v>
      </c>
      <c r="M1509" t="str">
        <f t="shared" si="209"/>
        <v>Medium</v>
      </c>
      <c r="N1509" t="str">
        <f t="shared" si="210"/>
        <v>6-10%</v>
      </c>
      <c r="O1509" t="str">
        <f t="shared" si="211"/>
        <v>OK</v>
      </c>
      <c r="P1509">
        <f>IFERROR(Full_Data!G1509/Full_Data!H1509,"Check data")</f>
        <v>0.54</v>
      </c>
      <c r="Q1509" t="str">
        <f t="shared" si="212"/>
        <v>Match</v>
      </c>
      <c r="R1509" t="str">
        <f t="shared" si="213"/>
        <v>Match</v>
      </c>
      <c r="S1509" t="str">
        <f t="shared" si="214"/>
        <v>Match</v>
      </c>
    </row>
    <row r="1510" spans="1:19" x14ac:dyDescent="0.25">
      <c r="A1510" t="s">
        <v>1328</v>
      </c>
      <c r="B1510">
        <v>17000</v>
      </c>
      <c r="C1510">
        <f t="shared" si="215"/>
        <v>170</v>
      </c>
      <c r="D1510">
        <v>14</v>
      </c>
      <c r="E1510">
        <v>6</v>
      </c>
      <c r="F1510">
        <v>14600</v>
      </c>
      <c r="G1510">
        <f t="shared" si="207"/>
        <v>146</v>
      </c>
      <c r="H1510">
        <v>200</v>
      </c>
      <c r="I1510" s="4">
        <f>Full_Data[[#This Row],[Selling Price]]/Full_Data[[#This Row],[Weight (g)]]</f>
        <v>0.73</v>
      </c>
      <c r="J1510" t="b">
        <v>0</v>
      </c>
      <c r="K1510">
        <v>200</v>
      </c>
      <c r="L1510">
        <f t="shared" si="208"/>
        <v>24</v>
      </c>
      <c r="M1510" t="str">
        <f t="shared" si="209"/>
        <v>Medium</v>
      </c>
      <c r="N1510" t="str">
        <f t="shared" si="210"/>
        <v>11-15%</v>
      </c>
      <c r="O1510" t="str">
        <f t="shared" si="211"/>
        <v>OK</v>
      </c>
      <c r="P1510">
        <f>IFERROR(Full_Data!G1510/Full_Data!H1510,"Check data")</f>
        <v>0.73</v>
      </c>
      <c r="Q1510" t="str">
        <f t="shared" si="212"/>
        <v>Match</v>
      </c>
      <c r="R1510" t="str">
        <f t="shared" si="213"/>
        <v>Mismatch</v>
      </c>
      <c r="S1510" t="str">
        <f t="shared" si="214"/>
        <v>Match</v>
      </c>
    </row>
    <row r="1511" spans="1:19" x14ac:dyDescent="0.25">
      <c r="A1511" t="s">
        <v>1414</v>
      </c>
      <c r="B1511">
        <v>26800</v>
      </c>
      <c r="C1511">
        <f t="shared" si="215"/>
        <v>268</v>
      </c>
      <c r="D1511">
        <v>5</v>
      </c>
      <c r="E1511">
        <v>1</v>
      </c>
      <c r="F1511">
        <v>25200</v>
      </c>
      <c r="G1511">
        <f t="shared" si="207"/>
        <v>252</v>
      </c>
      <c r="H1511">
        <v>340</v>
      </c>
      <c r="I1511" s="4">
        <f>Full_Data[[#This Row],[Selling Price]]/Full_Data[[#This Row],[Weight (g)]]</f>
        <v>0.74117647058823533</v>
      </c>
      <c r="J1511" t="b">
        <v>0</v>
      </c>
      <c r="K1511">
        <v>340</v>
      </c>
      <c r="L1511">
        <f t="shared" si="208"/>
        <v>16</v>
      </c>
      <c r="M1511" t="str">
        <f t="shared" si="209"/>
        <v>High</v>
      </c>
      <c r="N1511" t="str">
        <f t="shared" si="210"/>
        <v>0-5%</v>
      </c>
      <c r="O1511" t="str">
        <f t="shared" si="211"/>
        <v>OK</v>
      </c>
      <c r="P1511">
        <f>IFERROR(Full_Data!G1511/Full_Data!H1511,"Check data")</f>
        <v>0.74117647058823533</v>
      </c>
      <c r="Q1511" t="str">
        <f t="shared" si="212"/>
        <v>Match</v>
      </c>
      <c r="R1511" t="str">
        <f t="shared" si="213"/>
        <v>Mismatch</v>
      </c>
      <c r="S1511" t="str">
        <f t="shared" si="214"/>
        <v>Mismatch</v>
      </c>
    </row>
    <row r="1512" spans="1:19" x14ac:dyDescent="0.25">
      <c r="A1512" t="s">
        <v>1168</v>
      </c>
      <c r="B1512">
        <v>28000</v>
      </c>
      <c r="C1512">
        <f t="shared" si="215"/>
        <v>280</v>
      </c>
      <c r="D1512">
        <v>15</v>
      </c>
      <c r="E1512">
        <v>6</v>
      </c>
      <c r="F1512">
        <v>23600</v>
      </c>
      <c r="G1512">
        <f t="shared" si="207"/>
        <v>236</v>
      </c>
      <c r="H1512">
        <v>340</v>
      </c>
      <c r="I1512" s="4">
        <f>Full_Data[[#This Row],[Selling Price]]/Full_Data[[#This Row],[Weight (g)]]</f>
        <v>0.69411764705882351</v>
      </c>
      <c r="J1512" t="b">
        <v>0</v>
      </c>
      <c r="K1512">
        <v>340</v>
      </c>
      <c r="L1512">
        <f t="shared" si="208"/>
        <v>44</v>
      </c>
      <c r="M1512" t="str">
        <f t="shared" si="209"/>
        <v>High</v>
      </c>
      <c r="N1512" t="str">
        <f t="shared" si="210"/>
        <v>11-15%</v>
      </c>
      <c r="O1512" t="str">
        <f t="shared" si="211"/>
        <v>OK</v>
      </c>
      <c r="P1512">
        <f>IFERROR(Full_Data!G1512/Full_Data!H1512,"Check data")</f>
        <v>0.69411764705882351</v>
      </c>
      <c r="Q1512" t="str">
        <f t="shared" si="212"/>
        <v>Match</v>
      </c>
      <c r="R1512" t="str">
        <f t="shared" si="213"/>
        <v>Mismatch</v>
      </c>
      <c r="S1512" t="str">
        <f t="shared" si="214"/>
        <v>Mismatch</v>
      </c>
    </row>
    <row r="1513" spans="1:19" x14ac:dyDescent="0.25">
      <c r="A1513" t="s">
        <v>1415</v>
      </c>
      <c r="B1513">
        <v>29500</v>
      </c>
      <c r="C1513">
        <f t="shared" si="215"/>
        <v>295</v>
      </c>
      <c r="D1513">
        <v>9</v>
      </c>
      <c r="E1513">
        <v>6</v>
      </c>
      <c r="F1513">
        <v>26600</v>
      </c>
      <c r="G1513">
        <f t="shared" si="207"/>
        <v>266</v>
      </c>
      <c r="H1513">
        <v>340</v>
      </c>
      <c r="I1513" s="4">
        <f>Full_Data[[#This Row],[Selling Price]]/Full_Data[[#This Row],[Weight (g)]]</f>
        <v>0.78235294117647058</v>
      </c>
      <c r="J1513" t="b">
        <v>0</v>
      </c>
      <c r="K1513">
        <v>340</v>
      </c>
      <c r="L1513">
        <f t="shared" si="208"/>
        <v>29</v>
      </c>
      <c r="M1513" t="str">
        <f t="shared" si="209"/>
        <v>High</v>
      </c>
      <c r="N1513" t="str">
        <f t="shared" si="210"/>
        <v>6-10%</v>
      </c>
      <c r="O1513" t="str">
        <f t="shared" si="211"/>
        <v>OK</v>
      </c>
      <c r="P1513">
        <f>IFERROR(Full_Data!G1513/Full_Data!H1513,"Check data")</f>
        <v>0.78235294117647058</v>
      </c>
      <c r="Q1513" t="str">
        <f t="shared" si="212"/>
        <v>Match</v>
      </c>
      <c r="R1513" t="str">
        <f t="shared" si="213"/>
        <v>Mismatch</v>
      </c>
      <c r="S1513" t="str">
        <f t="shared" si="214"/>
        <v>Mismatch</v>
      </c>
    </row>
    <row r="1514" spans="1:19" x14ac:dyDescent="0.25">
      <c r="A1514" t="s">
        <v>1416</v>
      </c>
      <c r="B1514">
        <v>34500</v>
      </c>
      <c r="C1514">
        <f t="shared" si="215"/>
        <v>345</v>
      </c>
      <c r="D1514">
        <v>0</v>
      </c>
      <c r="E1514">
        <v>6</v>
      </c>
      <c r="F1514">
        <v>34500</v>
      </c>
      <c r="G1514">
        <f t="shared" si="207"/>
        <v>345</v>
      </c>
      <c r="H1514">
        <v>58</v>
      </c>
      <c r="I1514" s="4">
        <f>Full_Data[[#This Row],[Selling Price]]/Full_Data[[#This Row],[Weight (g)]]</f>
        <v>5.9482758620689653</v>
      </c>
      <c r="J1514" t="b">
        <v>0</v>
      </c>
      <c r="K1514">
        <v>1</v>
      </c>
      <c r="L1514">
        <f t="shared" si="208"/>
        <v>0</v>
      </c>
      <c r="M1514" t="str">
        <f t="shared" si="209"/>
        <v>High</v>
      </c>
      <c r="N1514" t="str">
        <f t="shared" si="210"/>
        <v>0-5%</v>
      </c>
      <c r="O1514" t="str">
        <f t="shared" si="211"/>
        <v>OK</v>
      </c>
      <c r="P1514">
        <f>IFERROR(Full_Data!G1514/Full_Data!H1514,"Check data")</f>
        <v>5.9482758620689653</v>
      </c>
      <c r="Q1514" t="str">
        <f t="shared" si="212"/>
        <v>Match</v>
      </c>
      <c r="R1514" t="str">
        <f t="shared" si="213"/>
        <v>Match</v>
      </c>
      <c r="S1514" t="str">
        <f t="shared" si="214"/>
        <v>Match</v>
      </c>
    </row>
    <row r="1515" spans="1:19" x14ac:dyDescent="0.25">
      <c r="A1515" t="s">
        <v>1417</v>
      </c>
      <c r="B1515">
        <v>36500</v>
      </c>
      <c r="C1515">
        <f t="shared" si="215"/>
        <v>365</v>
      </c>
      <c r="D1515">
        <v>0</v>
      </c>
      <c r="E1515">
        <v>1</v>
      </c>
      <c r="F1515">
        <v>36500</v>
      </c>
      <c r="G1515">
        <f t="shared" si="207"/>
        <v>365</v>
      </c>
      <c r="H1515">
        <v>340</v>
      </c>
      <c r="I1515" s="4">
        <f>Full_Data[[#This Row],[Selling Price]]/Full_Data[[#This Row],[Weight (g)]]</f>
        <v>1.0735294117647058</v>
      </c>
      <c r="J1515" t="b">
        <v>0</v>
      </c>
      <c r="K1515">
        <v>340</v>
      </c>
      <c r="L1515">
        <f t="shared" si="208"/>
        <v>0</v>
      </c>
      <c r="M1515" t="str">
        <f t="shared" si="209"/>
        <v>High</v>
      </c>
      <c r="N1515" t="str">
        <f t="shared" si="210"/>
        <v>0-5%</v>
      </c>
      <c r="O1515" t="str">
        <f t="shared" si="211"/>
        <v>OK</v>
      </c>
      <c r="P1515">
        <f>IFERROR(Full_Data!G1515/Full_Data!H1515,"Check data")</f>
        <v>1.0735294117647058</v>
      </c>
      <c r="Q1515" t="str">
        <f t="shared" si="212"/>
        <v>Match</v>
      </c>
      <c r="R1515" t="str">
        <f t="shared" si="213"/>
        <v>Match</v>
      </c>
      <c r="S1515" t="str">
        <f t="shared" si="214"/>
        <v>Match</v>
      </c>
    </row>
    <row r="1516" spans="1:19" x14ac:dyDescent="0.25">
      <c r="A1516" t="s">
        <v>1418</v>
      </c>
      <c r="B1516">
        <v>20000</v>
      </c>
      <c r="C1516">
        <f t="shared" si="215"/>
        <v>200</v>
      </c>
      <c r="D1516">
        <v>20</v>
      </c>
      <c r="E1516">
        <v>2</v>
      </c>
      <c r="F1516">
        <v>16000</v>
      </c>
      <c r="G1516">
        <f t="shared" si="207"/>
        <v>160</v>
      </c>
      <c r="H1516">
        <v>200</v>
      </c>
      <c r="I1516" s="4">
        <f>Full_Data[[#This Row],[Selling Price]]/Full_Data[[#This Row],[Weight (g)]]</f>
        <v>0.8</v>
      </c>
      <c r="J1516" t="b">
        <v>0</v>
      </c>
      <c r="K1516">
        <v>250</v>
      </c>
      <c r="L1516">
        <f t="shared" si="208"/>
        <v>40</v>
      </c>
      <c r="M1516" t="str">
        <f t="shared" si="209"/>
        <v>Medium</v>
      </c>
      <c r="N1516" t="str">
        <f t="shared" si="210"/>
        <v>16-20%</v>
      </c>
      <c r="O1516" t="str">
        <f t="shared" si="211"/>
        <v>OK</v>
      </c>
      <c r="P1516">
        <f>IFERROR(Full_Data!G1516/Full_Data!H1516,"Check data")</f>
        <v>0.8</v>
      </c>
      <c r="Q1516" t="str">
        <f t="shared" si="212"/>
        <v>Match</v>
      </c>
      <c r="R1516" t="str">
        <f t="shared" si="213"/>
        <v>Match</v>
      </c>
      <c r="S1516" t="str">
        <f t="shared" si="214"/>
        <v>Match</v>
      </c>
    </row>
    <row r="1517" spans="1:19" x14ac:dyDescent="0.25">
      <c r="A1517" t="s">
        <v>1245</v>
      </c>
      <c r="B1517">
        <v>23500</v>
      </c>
      <c r="C1517">
        <f t="shared" si="215"/>
        <v>235</v>
      </c>
      <c r="D1517">
        <v>20</v>
      </c>
      <c r="E1517">
        <v>6</v>
      </c>
      <c r="F1517">
        <v>18800</v>
      </c>
      <c r="G1517">
        <f t="shared" si="207"/>
        <v>188</v>
      </c>
      <c r="H1517">
        <v>400</v>
      </c>
      <c r="I1517" s="4">
        <f>Full_Data[[#This Row],[Selling Price]]/Full_Data[[#This Row],[Weight (g)]]</f>
        <v>0.47</v>
      </c>
      <c r="J1517" t="b">
        <v>0</v>
      </c>
      <c r="K1517">
        <v>400</v>
      </c>
      <c r="L1517">
        <f t="shared" si="208"/>
        <v>47</v>
      </c>
      <c r="M1517" t="str">
        <f t="shared" si="209"/>
        <v>Medium</v>
      </c>
      <c r="N1517" t="str">
        <f t="shared" si="210"/>
        <v>16-20%</v>
      </c>
      <c r="O1517" t="str">
        <f t="shared" si="211"/>
        <v>OK</v>
      </c>
      <c r="P1517">
        <f>IFERROR(Full_Data!G1517/Full_Data!H1517,"Check data")</f>
        <v>0.47</v>
      </c>
      <c r="Q1517" t="str">
        <f t="shared" si="212"/>
        <v>Match</v>
      </c>
      <c r="R1517" t="str">
        <f t="shared" si="213"/>
        <v>Match</v>
      </c>
      <c r="S1517" t="str">
        <f t="shared" si="214"/>
        <v>Match</v>
      </c>
    </row>
    <row r="1518" spans="1:19" x14ac:dyDescent="0.25">
      <c r="A1518" t="s">
        <v>1419</v>
      </c>
      <c r="B1518">
        <v>25000</v>
      </c>
      <c r="C1518">
        <f t="shared" si="215"/>
        <v>250</v>
      </c>
      <c r="D1518">
        <v>0</v>
      </c>
      <c r="E1518">
        <v>6</v>
      </c>
      <c r="F1518">
        <v>25000</v>
      </c>
      <c r="G1518">
        <f t="shared" si="207"/>
        <v>250</v>
      </c>
      <c r="H1518">
        <v>150</v>
      </c>
      <c r="I1518" s="4">
        <f>Full_Data[[#This Row],[Selling Price]]/Full_Data[[#This Row],[Weight (g)]]</f>
        <v>1.6666666666666667</v>
      </c>
      <c r="J1518" t="b">
        <v>0</v>
      </c>
      <c r="K1518">
        <v>150</v>
      </c>
      <c r="L1518">
        <f t="shared" si="208"/>
        <v>0</v>
      </c>
      <c r="M1518" t="str">
        <f t="shared" si="209"/>
        <v>High</v>
      </c>
      <c r="N1518" t="str">
        <f t="shared" si="210"/>
        <v>0-5%</v>
      </c>
      <c r="O1518" t="str">
        <f t="shared" si="211"/>
        <v>OK</v>
      </c>
      <c r="P1518">
        <f>IFERROR(Full_Data!G1518/Full_Data!H1518,"Check data")</f>
        <v>1.6666666666666667</v>
      </c>
      <c r="Q1518" t="str">
        <f t="shared" si="212"/>
        <v>Match</v>
      </c>
      <c r="R1518" t="str">
        <f t="shared" si="213"/>
        <v>Match</v>
      </c>
      <c r="S1518" t="str">
        <f t="shared" si="214"/>
        <v>Match</v>
      </c>
    </row>
    <row r="1519" spans="1:19" x14ac:dyDescent="0.25">
      <c r="A1519" t="s">
        <v>1420</v>
      </c>
      <c r="B1519">
        <v>7100</v>
      </c>
      <c r="C1519">
        <f t="shared" si="215"/>
        <v>71</v>
      </c>
      <c r="D1519">
        <v>0</v>
      </c>
      <c r="E1519">
        <v>6</v>
      </c>
      <c r="F1519">
        <v>7100</v>
      </c>
      <c r="G1519">
        <f t="shared" si="207"/>
        <v>71</v>
      </c>
      <c r="H1519">
        <v>200</v>
      </c>
      <c r="I1519" s="4">
        <f>Full_Data[[#This Row],[Selling Price]]/Full_Data[[#This Row],[Weight (g)]]</f>
        <v>0.35499999999999998</v>
      </c>
      <c r="J1519" t="b">
        <v>0</v>
      </c>
      <c r="K1519">
        <v>200</v>
      </c>
      <c r="L1519">
        <f t="shared" si="208"/>
        <v>0</v>
      </c>
      <c r="M1519" t="str">
        <f t="shared" si="209"/>
        <v>Medium</v>
      </c>
      <c r="N1519" t="str">
        <f t="shared" si="210"/>
        <v>0-5%</v>
      </c>
      <c r="O1519" t="str">
        <f t="shared" si="211"/>
        <v>OK</v>
      </c>
      <c r="P1519">
        <f>IFERROR(Full_Data!G1519/Full_Data!H1519,"Check data")</f>
        <v>0.35499999999999998</v>
      </c>
      <c r="Q1519" t="str">
        <f t="shared" si="212"/>
        <v>Match</v>
      </c>
      <c r="R1519" t="str">
        <f t="shared" si="213"/>
        <v>Match</v>
      </c>
      <c r="S1519" t="str">
        <f t="shared" si="214"/>
        <v>Match</v>
      </c>
    </row>
    <row r="1520" spans="1:19" x14ac:dyDescent="0.25">
      <c r="A1520" t="s">
        <v>1421</v>
      </c>
      <c r="B1520">
        <v>19000</v>
      </c>
      <c r="C1520">
        <f t="shared" si="215"/>
        <v>190</v>
      </c>
      <c r="D1520">
        <v>6</v>
      </c>
      <c r="E1520">
        <v>6</v>
      </c>
      <c r="F1520">
        <v>17800</v>
      </c>
      <c r="G1520">
        <f t="shared" si="207"/>
        <v>178</v>
      </c>
      <c r="H1520">
        <v>200</v>
      </c>
      <c r="I1520" s="4">
        <f>Full_Data[[#This Row],[Selling Price]]/Full_Data[[#This Row],[Weight (g)]]</f>
        <v>0.89</v>
      </c>
      <c r="J1520" t="b">
        <v>0</v>
      </c>
      <c r="K1520">
        <v>200</v>
      </c>
      <c r="L1520">
        <f t="shared" si="208"/>
        <v>12</v>
      </c>
      <c r="M1520" t="str">
        <f t="shared" si="209"/>
        <v>Medium</v>
      </c>
      <c r="N1520" t="str">
        <f t="shared" si="210"/>
        <v>6-10%</v>
      </c>
      <c r="O1520" t="str">
        <f t="shared" si="211"/>
        <v>OK</v>
      </c>
      <c r="P1520">
        <f>IFERROR(Full_Data!G1520/Full_Data!H1520,"Check data")</f>
        <v>0.89</v>
      </c>
      <c r="Q1520" t="str">
        <f t="shared" si="212"/>
        <v>Match</v>
      </c>
      <c r="R1520" t="str">
        <f t="shared" si="213"/>
        <v>Mismatch</v>
      </c>
      <c r="S1520" t="str">
        <f t="shared" si="214"/>
        <v>Match</v>
      </c>
    </row>
    <row r="1521" spans="1:19" x14ac:dyDescent="0.25">
      <c r="A1521" t="s">
        <v>1422</v>
      </c>
      <c r="B1521">
        <v>39900</v>
      </c>
      <c r="C1521">
        <f t="shared" si="215"/>
        <v>399</v>
      </c>
      <c r="D1521">
        <v>0</v>
      </c>
      <c r="E1521">
        <v>1</v>
      </c>
      <c r="F1521">
        <v>39900</v>
      </c>
      <c r="G1521">
        <f t="shared" si="207"/>
        <v>399</v>
      </c>
      <c r="H1521">
        <v>200</v>
      </c>
      <c r="I1521" s="4">
        <f>Full_Data[[#This Row],[Selling Price]]/Full_Data[[#This Row],[Weight (g)]]</f>
        <v>1.9950000000000001</v>
      </c>
      <c r="J1521" t="b">
        <v>0</v>
      </c>
      <c r="K1521">
        <v>200</v>
      </c>
      <c r="L1521">
        <f t="shared" si="208"/>
        <v>0</v>
      </c>
      <c r="M1521" t="str">
        <f t="shared" si="209"/>
        <v>High</v>
      </c>
      <c r="N1521" t="str">
        <f t="shared" si="210"/>
        <v>0-5%</v>
      </c>
      <c r="O1521" t="str">
        <f t="shared" si="211"/>
        <v>OK</v>
      </c>
      <c r="P1521">
        <f>IFERROR(Full_Data!G1521/Full_Data!H1521,"Check data")</f>
        <v>1.9950000000000001</v>
      </c>
      <c r="Q1521" t="str">
        <f t="shared" si="212"/>
        <v>Match</v>
      </c>
      <c r="R1521" t="str">
        <f t="shared" si="213"/>
        <v>Match</v>
      </c>
      <c r="S1521" t="str">
        <f t="shared" si="214"/>
        <v>Match</v>
      </c>
    </row>
    <row r="1522" spans="1:19" x14ac:dyDescent="0.25">
      <c r="A1522" t="s">
        <v>1423</v>
      </c>
      <c r="B1522">
        <v>8000</v>
      </c>
      <c r="C1522">
        <f t="shared" si="215"/>
        <v>80</v>
      </c>
      <c r="D1522">
        <v>10</v>
      </c>
      <c r="E1522">
        <v>2</v>
      </c>
      <c r="F1522">
        <v>7200</v>
      </c>
      <c r="G1522">
        <f t="shared" si="207"/>
        <v>72</v>
      </c>
      <c r="H1522">
        <v>20</v>
      </c>
      <c r="I1522" s="4">
        <f>Full_Data[[#This Row],[Selling Price]]/Full_Data[[#This Row],[Weight (g)]]</f>
        <v>3.6</v>
      </c>
      <c r="J1522" t="b">
        <v>0</v>
      </c>
      <c r="K1522">
        <v>20</v>
      </c>
      <c r="L1522">
        <f t="shared" si="208"/>
        <v>8</v>
      </c>
      <c r="M1522" t="str">
        <f t="shared" si="209"/>
        <v>Medium</v>
      </c>
      <c r="N1522" t="str">
        <f t="shared" si="210"/>
        <v>6-10%</v>
      </c>
      <c r="O1522" t="str">
        <f t="shared" si="211"/>
        <v>OK</v>
      </c>
      <c r="P1522">
        <f>IFERROR(Full_Data!G1522/Full_Data!H1522,"Check data")</f>
        <v>3.6</v>
      </c>
      <c r="Q1522" t="str">
        <f t="shared" si="212"/>
        <v>Match</v>
      </c>
      <c r="R1522" t="str">
        <f t="shared" si="213"/>
        <v>Match</v>
      </c>
      <c r="S1522" t="str">
        <f t="shared" si="214"/>
        <v>Match</v>
      </c>
    </row>
    <row r="1523" spans="1:19" x14ac:dyDescent="0.25">
      <c r="A1523" t="s">
        <v>1424</v>
      </c>
      <c r="B1523">
        <v>23000</v>
      </c>
      <c r="C1523">
        <f t="shared" si="215"/>
        <v>230</v>
      </c>
      <c r="D1523">
        <v>0</v>
      </c>
      <c r="E1523">
        <v>4</v>
      </c>
      <c r="F1523">
        <v>23000</v>
      </c>
      <c r="G1523">
        <f t="shared" si="207"/>
        <v>230</v>
      </c>
      <c r="H1523">
        <v>150</v>
      </c>
      <c r="I1523" s="4">
        <f>Full_Data[[#This Row],[Selling Price]]/Full_Data[[#This Row],[Weight (g)]]</f>
        <v>1.5333333333333334</v>
      </c>
      <c r="J1523" t="b">
        <v>0</v>
      </c>
      <c r="K1523">
        <v>120</v>
      </c>
      <c r="L1523">
        <f t="shared" si="208"/>
        <v>0</v>
      </c>
      <c r="M1523" t="str">
        <f t="shared" si="209"/>
        <v>High</v>
      </c>
      <c r="N1523" t="str">
        <f t="shared" si="210"/>
        <v>0-5%</v>
      </c>
      <c r="O1523" t="str">
        <f t="shared" si="211"/>
        <v>OK</v>
      </c>
      <c r="P1523">
        <f>IFERROR(Full_Data!G1523/Full_Data!H1523,"Check data")</f>
        <v>1.5333333333333334</v>
      </c>
      <c r="Q1523" t="str">
        <f t="shared" si="212"/>
        <v>Match</v>
      </c>
      <c r="R1523" t="str">
        <f t="shared" si="213"/>
        <v>Match</v>
      </c>
      <c r="S1523" t="str">
        <f t="shared" si="214"/>
        <v>Match</v>
      </c>
    </row>
    <row r="1524" spans="1:19" x14ac:dyDescent="0.25">
      <c r="A1524" t="s">
        <v>1425</v>
      </c>
      <c r="B1524">
        <v>24500</v>
      </c>
      <c r="C1524">
        <f t="shared" si="215"/>
        <v>245</v>
      </c>
      <c r="D1524">
        <v>9</v>
      </c>
      <c r="E1524">
        <v>6</v>
      </c>
      <c r="F1524">
        <v>22100</v>
      </c>
      <c r="G1524">
        <f t="shared" si="207"/>
        <v>221</v>
      </c>
      <c r="H1524">
        <v>100</v>
      </c>
      <c r="I1524" s="4">
        <f>Full_Data[[#This Row],[Selling Price]]/Full_Data[[#This Row],[Weight (g)]]</f>
        <v>2.21</v>
      </c>
      <c r="J1524" t="b">
        <v>0</v>
      </c>
      <c r="K1524">
        <v>100</v>
      </c>
      <c r="L1524">
        <f t="shared" si="208"/>
        <v>24</v>
      </c>
      <c r="M1524" t="str">
        <f t="shared" si="209"/>
        <v>High</v>
      </c>
      <c r="N1524" t="str">
        <f t="shared" si="210"/>
        <v>6-10%</v>
      </c>
      <c r="O1524" t="str">
        <f t="shared" si="211"/>
        <v>OK</v>
      </c>
      <c r="P1524">
        <f>IFERROR(Full_Data!G1524/Full_Data!H1524,"Check data")</f>
        <v>2.21</v>
      </c>
      <c r="Q1524" t="str">
        <f t="shared" si="212"/>
        <v>Match</v>
      </c>
      <c r="R1524" t="str">
        <f t="shared" si="213"/>
        <v>Mismatch</v>
      </c>
      <c r="S1524" t="str">
        <f t="shared" si="214"/>
        <v>Mismatch</v>
      </c>
    </row>
    <row r="1525" spans="1:19" x14ac:dyDescent="0.25">
      <c r="A1525" t="s">
        <v>1426</v>
      </c>
      <c r="B1525">
        <v>9000</v>
      </c>
      <c r="C1525">
        <f t="shared" si="215"/>
        <v>90</v>
      </c>
      <c r="D1525">
        <v>6</v>
      </c>
      <c r="E1525">
        <v>4</v>
      </c>
      <c r="F1525">
        <v>8400</v>
      </c>
      <c r="G1525">
        <f t="shared" si="207"/>
        <v>84</v>
      </c>
      <c r="H1525">
        <v>80</v>
      </c>
      <c r="I1525" s="4">
        <f>Full_Data[[#This Row],[Selling Price]]/Full_Data[[#This Row],[Weight (g)]]</f>
        <v>1.05</v>
      </c>
      <c r="J1525" t="b">
        <v>0</v>
      </c>
      <c r="K1525">
        <v>80</v>
      </c>
      <c r="L1525">
        <f t="shared" si="208"/>
        <v>6</v>
      </c>
      <c r="M1525" t="str">
        <f t="shared" si="209"/>
        <v>Medium</v>
      </c>
      <c r="N1525" t="str">
        <f t="shared" si="210"/>
        <v>6-10%</v>
      </c>
      <c r="O1525" t="str">
        <f t="shared" si="211"/>
        <v>OK</v>
      </c>
      <c r="P1525">
        <f>IFERROR(Full_Data!G1525/Full_Data!H1525,"Check data")</f>
        <v>1.05</v>
      </c>
      <c r="Q1525" t="str">
        <f t="shared" si="212"/>
        <v>Match</v>
      </c>
      <c r="R1525" t="str">
        <f t="shared" si="213"/>
        <v>Mismatch</v>
      </c>
      <c r="S1525" t="str">
        <f t="shared" si="214"/>
        <v>Mismatch</v>
      </c>
    </row>
    <row r="1526" spans="1:19" x14ac:dyDescent="0.25">
      <c r="A1526" t="s">
        <v>1427</v>
      </c>
      <c r="B1526">
        <v>10900</v>
      </c>
      <c r="C1526">
        <f t="shared" si="215"/>
        <v>109</v>
      </c>
      <c r="D1526">
        <v>3</v>
      </c>
      <c r="E1526">
        <v>0</v>
      </c>
      <c r="F1526">
        <v>10500</v>
      </c>
      <c r="G1526">
        <f t="shared" si="207"/>
        <v>105</v>
      </c>
      <c r="H1526">
        <v>750</v>
      </c>
      <c r="I1526" s="4">
        <f>Full_Data[[#This Row],[Selling Price]]/Full_Data[[#This Row],[Weight (g)]]</f>
        <v>0.14000000000000001</v>
      </c>
      <c r="J1526" t="b">
        <v>1</v>
      </c>
      <c r="K1526">
        <v>750</v>
      </c>
      <c r="L1526">
        <f t="shared" si="208"/>
        <v>4</v>
      </c>
      <c r="M1526" t="str">
        <f t="shared" si="209"/>
        <v>Medium</v>
      </c>
      <c r="N1526" t="str">
        <f t="shared" si="210"/>
        <v>0-5%</v>
      </c>
      <c r="O1526" t="str">
        <f t="shared" si="211"/>
        <v>OK</v>
      </c>
      <c r="P1526">
        <f>IFERROR(Full_Data!G1526/Full_Data!H1526,"Check data")</f>
        <v>0.14000000000000001</v>
      </c>
      <c r="Q1526" t="str">
        <f t="shared" si="212"/>
        <v>Match</v>
      </c>
      <c r="R1526" t="str">
        <f t="shared" si="213"/>
        <v>Mismatch</v>
      </c>
      <c r="S1526" t="str">
        <f t="shared" si="214"/>
        <v>Mismatch</v>
      </c>
    </row>
    <row r="1527" spans="1:19" x14ac:dyDescent="0.25">
      <c r="A1527" t="s">
        <v>1428</v>
      </c>
      <c r="B1527">
        <v>12300</v>
      </c>
      <c r="C1527">
        <f t="shared" si="215"/>
        <v>123</v>
      </c>
      <c r="D1527">
        <v>0</v>
      </c>
      <c r="E1527">
        <v>0</v>
      </c>
      <c r="F1527">
        <v>12300</v>
      </c>
      <c r="G1527">
        <f t="shared" si="207"/>
        <v>123</v>
      </c>
      <c r="H1527">
        <v>300</v>
      </c>
      <c r="I1527" s="4">
        <f>Full_Data[[#This Row],[Selling Price]]/Full_Data[[#This Row],[Weight (g)]]</f>
        <v>0.41</v>
      </c>
      <c r="J1527" t="b">
        <v>1</v>
      </c>
      <c r="K1527">
        <v>300</v>
      </c>
      <c r="L1527">
        <f t="shared" si="208"/>
        <v>0</v>
      </c>
      <c r="M1527" t="str">
        <f t="shared" si="209"/>
        <v>Medium</v>
      </c>
      <c r="N1527" t="str">
        <f t="shared" si="210"/>
        <v>0-5%</v>
      </c>
      <c r="O1527" t="str">
        <f t="shared" si="211"/>
        <v>OK</v>
      </c>
      <c r="P1527">
        <f>IFERROR(Full_Data!G1527/Full_Data!H1527,"Check data")</f>
        <v>0.41</v>
      </c>
      <c r="Q1527" t="str">
        <f t="shared" si="212"/>
        <v>Match</v>
      </c>
      <c r="R1527" t="str">
        <f t="shared" si="213"/>
        <v>Match</v>
      </c>
      <c r="S1527" t="str">
        <f t="shared" si="214"/>
        <v>Match</v>
      </c>
    </row>
    <row r="1528" spans="1:19" x14ac:dyDescent="0.25">
      <c r="A1528" t="s">
        <v>1429</v>
      </c>
      <c r="B1528">
        <v>3000</v>
      </c>
      <c r="C1528">
        <f t="shared" si="215"/>
        <v>30</v>
      </c>
      <c r="D1528">
        <v>3</v>
      </c>
      <c r="E1528">
        <v>0</v>
      </c>
      <c r="F1528">
        <v>2900</v>
      </c>
      <c r="G1528">
        <f t="shared" si="207"/>
        <v>29</v>
      </c>
      <c r="H1528">
        <v>406</v>
      </c>
      <c r="I1528" s="4">
        <f>Full_Data[[#This Row],[Selling Price]]/Full_Data[[#This Row],[Weight (g)]]</f>
        <v>7.1428571428571425E-2</v>
      </c>
      <c r="J1528" t="b">
        <v>1</v>
      </c>
      <c r="K1528">
        <v>7</v>
      </c>
      <c r="L1528">
        <f t="shared" si="208"/>
        <v>1</v>
      </c>
      <c r="M1528" t="str">
        <f t="shared" si="209"/>
        <v>Low</v>
      </c>
      <c r="N1528" t="str">
        <f t="shared" si="210"/>
        <v>0-5%</v>
      </c>
      <c r="O1528" t="str">
        <f t="shared" si="211"/>
        <v>OK</v>
      </c>
      <c r="P1528">
        <f>IFERROR(Full_Data!G1528/Full_Data!H1528,"Check data")</f>
        <v>7.1428571428571425E-2</v>
      </c>
      <c r="Q1528" t="str">
        <f t="shared" si="212"/>
        <v>Match</v>
      </c>
      <c r="R1528" t="str">
        <f t="shared" si="213"/>
        <v>Mismatch</v>
      </c>
      <c r="S1528" t="str">
        <f t="shared" si="214"/>
        <v>Match</v>
      </c>
    </row>
    <row r="1529" spans="1:19" x14ac:dyDescent="0.25">
      <c r="A1529" t="s">
        <v>1430</v>
      </c>
      <c r="B1529">
        <v>4800</v>
      </c>
      <c r="C1529">
        <f t="shared" si="215"/>
        <v>48</v>
      </c>
      <c r="D1529">
        <v>2</v>
      </c>
      <c r="E1529">
        <v>0</v>
      </c>
      <c r="F1529">
        <v>4700</v>
      </c>
      <c r="G1529">
        <f t="shared" si="207"/>
        <v>47</v>
      </c>
      <c r="H1529">
        <v>120</v>
      </c>
      <c r="I1529" s="4">
        <f>Full_Data[[#This Row],[Selling Price]]/Full_Data[[#This Row],[Weight (g)]]</f>
        <v>0.39166666666666666</v>
      </c>
      <c r="J1529" t="b">
        <v>1</v>
      </c>
      <c r="K1529">
        <v>120</v>
      </c>
      <c r="L1529">
        <f t="shared" si="208"/>
        <v>1</v>
      </c>
      <c r="M1529" t="str">
        <f t="shared" si="209"/>
        <v>Low</v>
      </c>
      <c r="N1529" t="str">
        <f t="shared" si="210"/>
        <v>0-5%</v>
      </c>
      <c r="O1529" t="str">
        <f t="shared" si="211"/>
        <v>OK</v>
      </c>
      <c r="P1529">
        <f>IFERROR(Full_Data!G1529/Full_Data!H1529,"Check data")</f>
        <v>0.39166666666666666</v>
      </c>
      <c r="Q1529" t="str">
        <f t="shared" si="212"/>
        <v>Match</v>
      </c>
      <c r="R1529" t="str">
        <f t="shared" si="213"/>
        <v>Mismatch</v>
      </c>
      <c r="S1529" t="str">
        <f t="shared" si="214"/>
        <v>Match</v>
      </c>
    </row>
    <row r="1530" spans="1:19" x14ac:dyDescent="0.25">
      <c r="A1530" t="s">
        <v>1431</v>
      </c>
      <c r="B1530">
        <v>21500</v>
      </c>
      <c r="C1530">
        <f t="shared" si="215"/>
        <v>215</v>
      </c>
      <c r="D1530">
        <v>9</v>
      </c>
      <c r="E1530">
        <v>0</v>
      </c>
      <c r="F1530">
        <v>19400</v>
      </c>
      <c r="G1530">
        <f t="shared" si="207"/>
        <v>194</v>
      </c>
      <c r="H1530">
        <v>400</v>
      </c>
      <c r="I1530" s="4">
        <f>Full_Data[[#This Row],[Selling Price]]/Full_Data[[#This Row],[Weight (g)]]</f>
        <v>0.48499999999999999</v>
      </c>
      <c r="J1530" t="b">
        <v>1</v>
      </c>
      <c r="K1530">
        <v>400</v>
      </c>
      <c r="L1530">
        <f t="shared" si="208"/>
        <v>21</v>
      </c>
      <c r="M1530" t="str">
        <f t="shared" si="209"/>
        <v>Medium</v>
      </c>
      <c r="N1530" t="str">
        <f t="shared" si="210"/>
        <v>6-10%</v>
      </c>
      <c r="O1530" t="str">
        <f t="shared" si="211"/>
        <v>OK</v>
      </c>
      <c r="P1530">
        <f>IFERROR(Full_Data!G1530/Full_Data!H1530,"Check data")</f>
        <v>0.48499999999999999</v>
      </c>
      <c r="Q1530" t="str">
        <f t="shared" si="212"/>
        <v>Match</v>
      </c>
      <c r="R1530" t="str">
        <f t="shared" si="213"/>
        <v>Mismatch</v>
      </c>
      <c r="S1530" t="str">
        <f t="shared" si="214"/>
        <v>Mismatch</v>
      </c>
    </row>
    <row r="1531" spans="1:19" x14ac:dyDescent="0.25">
      <c r="A1531" t="s">
        <v>1161</v>
      </c>
      <c r="B1531">
        <v>9000</v>
      </c>
      <c r="C1531">
        <f t="shared" si="215"/>
        <v>90</v>
      </c>
      <c r="D1531">
        <v>10</v>
      </c>
      <c r="E1531">
        <v>0</v>
      </c>
      <c r="F1531">
        <v>8100</v>
      </c>
      <c r="G1531">
        <f t="shared" si="207"/>
        <v>81</v>
      </c>
      <c r="H1531">
        <v>150</v>
      </c>
      <c r="I1531" s="4">
        <f>Full_Data[[#This Row],[Selling Price]]/Full_Data[[#This Row],[Weight (g)]]</f>
        <v>0.54</v>
      </c>
      <c r="J1531" t="b">
        <v>1</v>
      </c>
      <c r="K1531">
        <v>150</v>
      </c>
      <c r="L1531">
        <f t="shared" si="208"/>
        <v>9</v>
      </c>
      <c r="M1531" t="str">
        <f t="shared" si="209"/>
        <v>Medium</v>
      </c>
      <c r="N1531" t="str">
        <f t="shared" si="210"/>
        <v>6-10%</v>
      </c>
      <c r="O1531" t="str">
        <f t="shared" si="211"/>
        <v>OK</v>
      </c>
      <c r="P1531">
        <f>IFERROR(Full_Data!G1531/Full_Data!H1531,"Check data")</f>
        <v>0.54</v>
      </c>
      <c r="Q1531" t="str">
        <f t="shared" si="212"/>
        <v>Match</v>
      </c>
      <c r="R1531" t="str">
        <f t="shared" si="213"/>
        <v>Match</v>
      </c>
      <c r="S1531" t="str">
        <f t="shared" si="214"/>
        <v>Match</v>
      </c>
    </row>
    <row r="1532" spans="1:19" x14ac:dyDescent="0.25">
      <c r="A1532" t="s">
        <v>1239</v>
      </c>
      <c r="B1532">
        <v>10000</v>
      </c>
      <c r="C1532">
        <f t="shared" si="215"/>
        <v>100</v>
      </c>
      <c r="D1532">
        <v>16</v>
      </c>
      <c r="E1532">
        <v>0</v>
      </c>
      <c r="F1532">
        <v>8400</v>
      </c>
      <c r="G1532">
        <f t="shared" si="207"/>
        <v>84</v>
      </c>
      <c r="H1532">
        <v>500</v>
      </c>
      <c r="I1532" s="4">
        <f>Full_Data[[#This Row],[Selling Price]]/Full_Data[[#This Row],[Weight (g)]]</f>
        <v>0.16800000000000001</v>
      </c>
      <c r="J1532" t="b">
        <v>1</v>
      </c>
      <c r="K1532">
        <v>100</v>
      </c>
      <c r="L1532">
        <f t="shared" si="208"/>
        <v>16</v>
      </c>
      <c r="M1532" t="str">
        <f t="shared" si="209"/>
        <v>Medium</v>
      </c>
      <c r="N1532" t="str">
        <f t="shared" si="210"/>
        <v>16-20%</v>
      </c>
      <c r="O1532" t="str">
        <f t="shared" si="211"/>
        <v>OK</v>
      </c>
      <c r="P1532">
        <f>IFERROR(Full_Data!G1532/Full_Data!H1532,"Check data")</f>
        <v>0.16800000000000001</v>
      </c>
      <c r="Q1532" t="str">
        <f t="shared" si="212"/>
        <v>Match</v>
      </c>
      <c r="R1532" t="str">
        <f t="shared" si="213"/>
        <v>Match</v>
      </c>
      <c r="S1532" t="str">
        <f t="shared" si="214"/>
        <v>Match</v>
      </c>
    </row>
    <row r="1533" spans="1:19" x14ac:dyDescent="0.25">
      <c r="A1533" t="s">
        <v>1432</v>
      </c>
      <c r="B1533">
        <v>11500</v>
      </c>
      <c r="C1533">
        <f t="shared" si="215"/>
        <v>115</v>
      </c>
      <c r="D1533">
        <v>7</v>
      </c>
      <c r="E1533">
        <v>0</v>
      </c>
      <c r="F1533">
        <v>10600</v>
      </c>
      <c r="G1533">
        <f t="shared" si="207"/>
        <v>106</v>
      </c>
      <c r="H1533">
        <v>75</v>
      </c>
      <c r="I1533" s="4">
        <f>Full_Data[[#This Row],[Selling Price]]/Full_Data[[#This Row],[Weight (g)]]</f>
        <v>1.4133333333333333</v>
      </c>
      <c r="J1533" t="b">
        <v>1</v>
      </c>
      <c r="K1533">
        <v>75</v>
      </c>
      <c r="L1533">
        <f t="shared" si="208"/>
        <v>9</v>
      </c>
      <c r="M1533" t="str">
        <f t="shared" si="209"/>
        <v>Medium</v>
      </c>
      <c r="N1533" t="str">
        <f t="shared" si="210"/>
        <v>6-10%</v>
      </c>
      <c r="O1533" t="str">
        <f t="shared" si="211"/>
        <v>OK</v>
      </c>
      <c r="P1533">
        <f>IFERROR(Full_Data!G1533/Full_Data!H1533,"Check data")</f>
        <v>1.4133333333333333</v>
      </c>
      <c r="Q1533" t="str">
        <f t="shared" si="212"/>
        <v>Match</v>
      </c>
      <c r="R1533" t="str">
        <f t="shared" si="213"/>
        <v>Mismatch</v>
      </c>
      <c r="S1533" t="str">
        <f t="shared" si="214"/>
        <v>Mismatch</v>
      </c>
    </row>
    <row r="1534" spans="1:19" x14ac:dyDescent="0.25">
      <c r="A1534" t="s">
        <v>1433</v>
      </c>
      <c r="B1534">
        <v>9000</v>
      </c>
      <c r="C1534">
        <f t="shared" si="215"/>
        <v>90</v>
      </c>
      <c r="D1534">
        <v>0</v>
      </c>
      <c r="E1534">
        <v>0</v>
      </c>
      <c r="F1534">
        <v>9000</v>
      </c>
      <c r="G1534">
        <f t="shared" si="207"/>
        <v>90</v>
      </c>
      <c r="H1534">
        <v>406</v>
      </c>
      <c r="I1534" s="4">
        <f>Full_Data[[#This Row],[Selling Price]]/Full_Data[[#This Row],[Weight (g)]]</f>
        <v>0.22167487684729065</v>
      </c>
      <c r="J1534" t="b">
        <v>1</v>
      </c>
      <c r="K1534">
        <v>7</v>
      </c>
      <c r="L1534">
        <f t="shared" si="208"/>
        <v>0</v>
      </c>
      <c r="M1534" t="str">
        <f t="shared" si="209"/>
        <v>Medium</v>
      </c>
      <c r="N1534" t="str">
        <f t="shared" si="210"/>
        <v>0-5%</v>
      </c>
      <c r="O1534" t="str">
        <f t="shared" si="211"/>
        <v>OK</v>
      </c>
      <c r="P1534">
        <f>IFERROR(Full_Data!G1534/Full_Data!H1534,"Check data")</f>
        <v>0.22167487684729065</v>
      </c>
      <c r="Q1534" t="str">
        <f t="shared" si="212"/>
        <v>Match</v>
      </c>
      <c r="R1534" t="str">
        <f t="shared" si="213"/>
        <v>Match</v>
      </c>
      <c r="S1534" t="str">
        <f t="shared" si="214"/>
        <v>Match</v>
      </c>
    </row>
    <row r="1535" spans="1:19" x14ac:dyDescent="0.25">
      <c r="A1535" t="s">
        <v>1434</v>
      </c>
      <c r="B1535">
        <v>3200</v>
      </c>
      <c r="C1535">
        <f t="shared" si="215"/>
        <v>32</v>
      </c>
      <c r="D1535">
        <v>9</v>
      </c>
      <c r="E1535">
        <v>0</v>
      </c>
      <c r="F1535">
        <v>2900</v>
      </c>
      <c r="G1535">
        <f t="shared" si="207"/>
        <v>29</v>
      </c>
      <c r="H1535">
        <v>406</v>
      </c>
      <c r="I1535" s="4">
        <f>Full_Data[[#This Row],[Selling Price]]/Full_Data[[#This Row],[Weight (g)]]</f>
        <v>7.1428571428571425E-2</v>
      </c>
      <c r="J1535" t="b">
        <v>1</v>
      </c>
      <c r="K1535">
        <v>7</v>
      </c>
      <c r="L1535">
        <f t="shared" si="208"/>
        <v>3</v>
      </c>
      <c r="M1535" t="str">
        <f t="shared" si="209"/>
        <v>Low</v>
      </c>
      <c r="N1535" t="str">
        <f t="shared" si="210"/>
        <v>6-10%</v>
      </c>
      <c r="O1535" t="str">
        <f t="shared" si="211"/>
        <v>OK</v>
      </c>
      <c r="P1535">
        <f>IFERROR(Full_Data!G1535/Full_Data!H1535,"Check data")</f>
        <v>7.1428571428571425E-2</v>
      </c>
      <c r="Q1535" t="str">
        <f t="shared" si="212"/>
        <v>Match</v>
      </c>
      <c r="R1535" t="str">
        <f t="shared" si="213"/>
        <v>Mismatch</v>
      </c>
      <c r="S1535" t="str">
        <f t="shared" si="214"/>
        <v>Match</v>
      </c>
    </row>
    <row r="1536" spans="1:19" x14ac:dyDescent="0.25">
      <c r="A1536" t="s">
        <v>1435</v>
      </c>
      <c r="B1536">
        <v>8400</v>
      </c>
      <c r="C1536">
        <f t="shared" si="215"/>
        <v>84</v>
      </c>
      <c r="D1536">
        <v>0</v>
      </c>
      <c r="E1536">
        <v>0</v>
      </c>
      <c r="F1536">
        <v>8400</v>
      </c>
      <c r="G1536">
        <f t="shared" si="207"/>
        <v>84</v>
      </c>
      <c r="H1536">
        <v>400</v>
      </c>
      <c r="I1536" s="4">
        <f>Full_Data[[#This Row],[Selling Price]]/Full_Data[[#This Row],[Weight (g)]]</f>
        <v>0.21</v>
      </c>
      <c r="J1536" t="b">
        <v>1</v>
      </c>
      <c r="K1536">
        <v>100</v>
      </c>
      <c r="L1536">
        <f t="shared" si="208"/>
        <v>0</v>
      </c>
      <c r="M1536" t="str">
        <f t="shared" si="209"/>
        <v>Medium</v>
      </c>
      <c r="N1536" t="str">
        <f t="shared" si="210"/>
        <v>0-5%</v>
      </c>
      <c r="O1536" t="str">
        <f t="shared" si="211"/>
        <v>OK</v>
      </c>
      <c r="P1536">
        <f>IFERROR(Full_Data!G1536/Full_Data!H1536,"Check data")</f>
        <v>0.21</v>
      </c>
      <c r="Q1536" t="str">
        <f t="shared" si="212"/>
        <v>Match</v>
      </c>
      <c r="R1536" t="str">
        <f t="shared" si="213"/>
        <v>Match</v>
      </c>
      <c r="S1536" t="str">
        <f t="shared" si="214"/>
        <v>Match</v>
      </c>
    </row>
    <row r="1537" spans="1:19" x14ac:dyDescent="0.25">
      <c r="A1537" t="s">
        <v>1436</v>
      </c>
      <c r="B1537">
        <v>24900</v>
      </c>
      <c r="C1537">
        <f t="shared" si="215"/>
        <v>249</v>
      </c>
      <c r="D1537">
        <v>7</v>
      </c>
      <c r="E1537">
        <v>0</v>
      </c>
      <c r="F1537">
        <v>23000</v>
      </c>
      <c r="G1537">
        <f t="shared" si="207"/>
        <v>230</v>
      </c>
      <c r="H1537">
        <v>58</v>
      </c>
      <c r="I1537" s="4">
        <f>Full_Data[[#This Row],[Selling Price]]/Full_Data[[#This Row],[Weight (g)]]</f>
        <v>3.9655172413793105</v>
      </c>
      <c r="J1537" t="b">
        <v>1</v>
      </c>
      <c r="K1537">
        <v>1</v>
      </c>
      <c r="L1537">
        <f t="shared" si="208"/>
        <v>19</v>
      </c>
      <c r="M1537" t="str">
        <f t="shared" si="209"/>
        <v>High</v>
      </c>
      <c r="N1537" t="str">
        <f t="shared" si="210"/>
        <v>6-10%</v>
      </c>
      <c r="O1537" t="str">
        <f t="shared" si="211"/>
        <v>OK</v>
      </c>
      <c r="P1537">
        <f>IFERROR(Full_Data!G1537/Full_Data!H1537,"Check data")</f>
        <v>3.9655172413793105</v>
      </c>
      <c r="Q1537" t="str">
        <f t="shared" si="212"/>
        <v>Match</v>
      </c>
      <c r="R1537" t="str">
        <f t="shared" si="213"/>
        <v>Mismatch</v>
      </c>
      <c r="S1537" t="str">
        <f t="shared" si="214"/>
        <v>Mismatch</v>
      </c>
    </row>
    <row r="1538" spans="1:19" x14ac:dyDescent="0.25">
      <c r="A1538" t="s">
        <v>1204</v>
      </c>
      <c r="B1538">
        <v>9000</v>
      </c>
      <c r="C1538">
        <f t="shared" si="215"/>
        <v>90</v>
      </c>
      <c r="D1538">
        <v>3</v>
      </c>
      <c r="E1538">
        <v>0</v>
      </c>
      <c r="F1538">
        <v>8700</v>
      </c>
      <c r="G1538">
        <f t="shared" ref="G1538:G1601" si="216">F1538/100</f>
        <v>87</v>
      </c>
      <c r="H1538">
        <v>58</v>
      </c>
      <c r="I1538" s="4">
        <f>Full_Data[[#This Row],[Selling Price]]/Full_Data[[#This Row],[Weight (g)]]</f>
        <v>1.5</v>
      </c>
      <c r="J1538" t="b">
        <v>1</v>
      </c>
      <c r="K1538">
        <v>20</v>
      </c>
      <c r="L1538">
        <f t="shared" ref="L1538:L1601" si="217">C1538-G1538</f>
        <v>3</v>
      </c>
      <c r="M1538" t="str">
        <f t="shared" ref="M1538:M1601" si="218">IF(G1538&lt;50,"Low",IF(G1538&lt;200,"Medium","High"))</f>
        <v>Medium</v>
      </c>
      <c r="N1538" t="str">
        <f t="shared" ref="N1538:N1601" si="219">IF(D1538&lt;=5,"0-5%",
IF(D1538&lt;=10,"6-10%",
IF(D1538&lt;=15,"11-15%",
IF(D1538&lt;=20,"16-20%","21%+"))))</f>
        <v>0-5%</v>
      </c>
      <c r="O1538" t="str">
        <f t="shared" ref="O1538:O1601" si="220">IF(AND(C1538=0,G1538=0),"Review: Zero MRP and selling price",IF(C1538&lt;=0,"Review: Invalid MRP",IF(G1538&lt;0,"Review: Negative selling price",IF(G1538=0,"Review: Zero selling price",IF(H1538&lt;=0,"Review: Invalid weight","OK")))))</f>
        <v>OK</v>
      </c>
      <c r="P1538">
        <f>IFERROR(Full_Data!G1538/Full_Data!H1538,"Check data")</f>
        <v>1.5</v>
      </c>
      <c r="Q1538" t="str">
        <f t="shared" ref="Q1538:Q1601" si="221">IF(OR(H1538="",H1538&lt;=0),"Invalid weight",IF(G1538="","Missing selling price",IF(ROUND(G1538/H1538,2)=ROUND(I1538,2),"Match","Mismatch")))</f>
        <v>Match</v>
      </c>
      <c r="R1538" t="str">
        <f t="shared" ref="R1538:R1601" si="222">IF(OR(C1538&lt;=0,G1538=""),"Check data",IF(ROUND((C1538-G1538)/C1538*100,2)=ROUND(D1538,2),"Match","Mismatch"))</f>
        <v>Mismatch</v>
      </c>
      <c r="S1538" t="str">
        <f t="shared" ref="S1538:S1601" si="223">IF(OR(C1538&lt;=0,G1538=""),"Check data",IF(ROUND((C1538-G1538)/C1538*100,0)=D1538,"Match","Mismatch"))</f>
        <v>Match</v>
      </c>
    </row>
    <row r="1539" spans="1:19" x14ac:dyDescent="0.25">
      <c r="A1539" t="s">
        <v>1437</v>
      </c>
      <c r="B1539">
        <v>4200</v>
      </c>
      <c r="C1539">
        <f t="shared" ref="C1539:C1602" si="224">B1539/100</f>
        <v>42</v>
      </c>
      <c r="D1539">
        <v>2</v>
      </c>
      <c r="E1539">
        <v>0</v>
      </c>
      <c r="F1539">
        <v>4100</v>
      </c>
      <c r="G1539">
        <f t="shared" si="216"/>
        <v>41</v>
      </c>
      <c r="H1539">
        <v>406</v>
      </c>
      <c r="I1539" s="4">
        <f>Full_Data[[#This Row],[Selling Price]]/Full_Data[[#This Row],[Weight (g)]]</f>
        <v>0.10098522167487685</v>
      </c>
      <c r="J1539" t="b">
        <v>1</v>
      </c>
      <c r="K1539">
        <v>7</v>
      </c>
      <c r="L1539">
        <f t="shared" si="217"/>
        <v>1</v>
      </c>
      <c r="M1539" t="str">
        <f t="shared" si="218"/>
        <v>Low</v>
      </c>
      <c r="N1539" t="str">
        <f t="shared" si="219"/>
        <v>0-5%</v>
      </c>
      <c r="O1539" t="str">
        <f t="shared" si="220"/>
        <v>OK</v>
      </c>
      <c r="P1539">
        <f>IFERROR(Full_Data!G1539/Full_Data!H1539,"Check data")</f>
        <v>0.10098522167487685</v>
      </c>
      <c r="Q1539" t="str">
        <f t="shared" si="221"/>
        <v>Match</v>
      </c>
      <c r="R1539" t="str">
        <f t="shared" si="222"/>
        <v>Mismatch</v>
      </c>
      <c r="S1539" t="str">
        <f t="shared" si="223"/>
        <v>Match</v>
      </c>
    </row>
    <row r="1540" spans="1:19" x14ac:dyDescent="0.25">
      <c r="A1540" t="s">
        <v>1438</v>
      </c>
      <c r="B1540">
        <v>8200</v>
      </c>
      <c r="C1540">
        <f t="shared" si="224"/>
        <v>82</v>
      </c>
      <c r="D1540">
        <v>9</v>
      </c>
      <c r="E1540">
        <v>0</v>
      </c>
      <c r="F1540">
        <v>7400</v>
      </c>
      <c r="G1540">
        <f t="shared" si="216"/>
        <v>74</v>
      </c>
      <c r="H1540">
        <v>27</v>
      </c>
      <c r="I1540" s="4">
        <f>Full_Data[[#This Row],[Selling Price]]/Full_Data[[#This Row],[Weight (g)]]</f>
        <v>2.7407407407407409</v>
      </c>
      <c r="J1540" t="b">
        <v>1</v>
      </c>
      <c r="K1540">
        <v>27</v>
      </c>
      <c r="L1540">
        <f t="shared" si="217"/>
        <v>8</v>
      </c>
      <c r="M1540" t="str">
        <f t="shared" si="218"/>
        <v>Medium</v>
      </c>
      <c r="N1540" t="str">
        <f t="shared" si="219"/>
        <v>6-10%</v>
      </c>
      <c r="O1540" t="str">
        <f t="shared" si="220"/>
        <v>OK</v>
      </c>
      <c r="P1540">
        <f>IFERROR(Full_Data!G1540/Full_Data!H1540,"Check data")</f>
        <v>2.7407407407407409</v>
      </c>
      <c r="Q1540" t="str">
        <f t="shared" si="221"/>
        <v>Match</v>
      </c>
      <c r="R1540" t="str">
        <f t="shared" si="222"/>
        <v>Mismatch</v>
      </c>
      <c r="S1540" t="str">
        <f t="shared" si="223"/>
        <v>Mismatch</v>
      </c>
    </row>
    <row r="1541" spans="1:19" x14ac:dyDescent="0.25">
      <c r="A1541" t="s">
        <v>1439</v>
      </c>
      <c r="B1541">
        <v>14500</v>
      </c>
      <c r="C1541">
        <f t="shared" si="224"/>
        <v>145</v>
      </c>
      <c r="D1541">
        <v>9</v>
      </c>
      <c r="E1541">
        <v>0</v>
      </c>
      <c r="F1541">
        <v>13100</v>
      </c>
      <c r="G1541">
        <f t="shared" si="216"/>
        <v>131</v>
      </c>
      <c r="H1541">
        <v>100</v>
      </c>
      <c r="I1541" s="4">
        <f>Full_Data[[#This Row],[Selling Price]]/Full_Data[[#This Row],[Weight (g)]]</f>
        <v>1.31</v>
      </c>
      <c r="J1541" t="b">
        <v>1</v>
      </c>
      <c r="K1541">
        <v>100</v>
      </c>
      <c r="L1541">
        <f t="shared" si="217"/>
        <v>14</v>
      </c>
      <c r="M1541" t="str">
        <f t="shared" si="218"/>
        <v>Medium</v>
      </c>
      <c r="N1541" t="str">
        <f t="shared" si="219"/>
        <v>6-10%</v>
      </c>
      <c r="O1541" t="str">
        <f t="shared" si="220"/>
        <v>OK</v>
      </c>
      <c r="P1541">
        <f>IFERROR(Full_Data!G1541/Full_Data!H1541,"Check data")</f>
        <v>1.31</v>
      </c>
      <c r="Q1541" t="str">
        <f t="shared" si="221"/>
        <v>Match</v>
      </c>
      <c r="R1541" t="str">
        <f t="shared" si="222"/>
        <v>Mismatch</v>
      </c>
      <c r="S1541" t="str">
        <f t="shared" si="223"/>
        <v>Mismatch</v>
      </c>
    </row>
    <row r="1542" spans="1:19" x14ac:dyDescent="0.25">
      <c r="A1542" t="s">
        <v>1440</v>
      </c>
      <c r="B1542">
        <v>6700</v>
      </c>
      <c r="C1542">
        <f t="shared" si="224"/>
        <v>67</v>
      </c>
      <c r="D1542">
        <v>10</v>
      </c>
      <c r="E1542">
        <v>0</v>
      </c>
      <c r="F1542">
        <v>6000</v>
      </c>
      <c r="G1542">
        <f t="shared" si="216"/>
        <v>60</v>
      </c>
      <c r="H1542">
        <v>100</v>
      </c>
      <c r="I1542" s="4">
        <f>Full_Data[[#This Row],[Selling Price]]/Full_Data[[#This Row],[Weight (g)]]</f>
        <v>0.6</v>
      </c>
      <c r="J1542" t="b">
        <v>1</v>
      </c>
      <c r="K1542">
        <v>100</v>
      </c>
      <c r="L1542">
        <f t="shared" si="217"/>
        <v>7</v>
      </c>
      <c r="M1542" t="str">
        <f t="shared" si="218"/>
        <v>Medium</v>
      </c>
      <c r="N1542" t="str">
        <f t="shared" si="219"/>
        <v>6-10%</v>
      </c>
      <c r="O1542" t="str">
        <f t="shared" si="220"/>
        <v>OK</v>
      </c>
      <c r="P1542">
        <f>IFERROR(Full_Data!G1542/Full_Data!H1542,"Check data")</f>
        <v>0.6</v>
      </c>
      <c r="Q1542" t="str">
        <f t="shared" si="221"/>
        <v>Match</v>
      </c>
      <c r="R1542" t="str">
        <f t="shared" si="222"/>
        <v>Mismatch</v>
      </c>
      <c r="S1542" t="str">
        <f t="shared" si="223"/>
        <v>Match</v>
      </c>
    </row>
    <row r="1543" spans="1:19" x14ac:dyDescent="0.25">
      <c r="A1543" t="s">
        <v>1441</v>
      </c>
      <c r="B1543">
        <v>13000</v>
      </c>
      <c r="C1543">
        <f t="shared" si="224"/>
        <v>130</v>
      </c>
      <c r="D1543">
        <v>7</v>
      </c>
      <c r="E1543">
        <v>0</v>
      </c>
      <c r="F1543">
        <v>12000</v>
      </c>
      <c r="G1543">
        <f t="shared" si="216"/>
        <v>120</v>
      </c>
      <c r="H1543">
        <v>200</v>
      </c>
      <c r="I1543" s="4">
        <f>Full_Data[[#This Row],[Selling Price]]/Full_Data[[#This Row],[Weight (g)]]</f>
        <v>0.6</v>
      </c>
      <c r="J1543" t="b">
        <v>1</v>
      </c>
      <c r="K1543">
        <v>200</v>
      </c>
      <c r="L1543">
        <f t="shared" si="217"/>
        <v>10</v>
      </c>
      <c r="M1543" t="str">
        <f t="shared" si="218"/>
        <v>Medium</v>
      </c>
      <c r="N1543" t="str">
        <f t="shared" si="219"/>
        <v>6-10%</v>
      </c>
      <c r="O1543" t="str">
        <f t="shared" si="220"/>
        <v>OK</v>
      </c>
      <c r="P1543">
        <f>IFERROR(Full_Data!G1543/Full_Data!H1543,"Check data")</f>
        <v>0.6</v>
      </c>
      <c r="Q1543" t="str">
        <f t="shared" si="221"/>
        <v>Match</v>
      </c>
      <c r="R1543" t="str">
        <f t="shared" si="222"/>
        <v>Mismatch</v>
      </c>
      <c r="S1543" t="str">
        <f t="shared" si="223"/>
        <v>Mismatch</v>
      </c>
    </row>
    <row r="1544" spans="1:19" x14ac:dyDescent="0.25">
      <c r="A1544" t="s">
        <v>1442</v>
      </c>
      <c r="B1544">
        <v>18500</v>
      </c>
      <c r="C1544">
        <f t="shared" si="224"/>
        <v>185</v>
      </c>
      <c r="D1544">
        <v>0</v>
      </c>
      <c r="E1544">
        <v>0</v>
      </c>
      <c r="F1544">
        <v>18500</v>
      </c>
      <c r="G1544">
        <f t="shared" si="216"/>
        <v>185</v>
      </c>
      <c r="H1544">
        <v>870</v>
      </c>
      <c r="I1544" s="4">
        <f>Full_Data[[#This Row],[Selling Price]]/Full_Data[[#This Row],[Weight (g)]]</f>
        <v>0.21264367816091953</v>
      </c>
      <c r="J1544" t="b">
        <v>1</v>
      </c>
      <c r="K1544">
        <v>15</v>
      </c>
      <c r="L1544">
        <f t="shared" si="217"/>
        <v>0</v>
      </c>
      <c r="M1544" t="str">
        <f t="shared" si="218"/>
        <v>Medium</v>
      </c>
      <c r="N1544" t="str">
        <f t="shared" si="219"/>
        <v>0-5%</v>
      </c>
      <c r="O1544" t="str">
        <f t="shared" si="220"/>
        <v>OK</v>
      </c>
      <c r="P1544">
        <f>IFERROR(Full_Data!G1544/Full_Data!H1544,"Check data")</f>
        <v>0.21264367816091953</v>
      </c>
      <c r="Q1544" t="str">
        <f t="shared" si="221"/>
        <v>Match</v>
      </c>
      <c r="R1544" t="str">
        <f t="shared" si="222"/>
        <v>Match</v>
      </c>
      <c r="S1544" t="str">
        <f t="shared" si="223"/>
        <v>Match</v>
      </c>
    </row>
    <row r="1545" spans="1:19" x14ac:dyDescent="0.25">
      <c r="A1545" t="s">
        <v>1443</v>
      </c>
      <c r="B1545">
        <v>11600</v>
      </c>
      <c r="C1545">
        <f t="shared" si="224"/>
        <v>116</v>
      </c>
      <c r="D1545">
        <v>0</v>
      </c>
      <c r="E1545">
        <v>0</v>
      </c>
      <c r="F1545">
        <v>11600</v>
      </c>
      <c r="G1545">
        <f t="shared" si="216"/>
        <v>116</v>
      </c>
      <c r="H1545">
        <v>400</v>
      </c>
      <c r="I1545" s="4">
        <f>Full_Data[[#This Row],[Selling Price]]/Full_Data[[#This Row],[Weight (g)]]</f>
        <v>0.28999999999999998</v>
      </c>
      <c r="J1545" t="b">
        <v>1</v>
      </c>
      <c r="K1545">
        <v>400</v>
      </c>
      <c r="L1545">
        <f t="shared" si="217"/>
        <v>0</v>
      </c>
      <c r="M1545" t="str">
        <f t="shared" si="218"/>
        <v>Medium</v>
      </c>
      <c r="N1545" t="str">
        <f t="shared" si="219"/>
        <v>0-5%</v>
      </c>
      <c r="O1545" t="str">
        <f t="shared" si="220"/>
        <v>OK</v>
      </c>
      <c r="P1545">
        <f>IFERROR(Full_Data!G1545/Full_Data!H1545,"Check data")</f>
        <v>0.28999999999999998</v>
      </c>
      <c r="Q1545" t="str">
        <f t="shared" si="221"/>
        <v>Match</v>
      </c>
      <c r="R1545" t="str">
        <f t="shared" si="222"/>
        <v>Match</v>
      </c>
      <c r="S1545" t="str">
        <f t="shared" si="223"/>
        <v>Match</v>
      </c>
    </row>
    <row r="1546" spans="1:19" x14ac:dyDescent="0.25">
      <c r="A1546" t="s">
        <v>1444</v>
      </c>
      <c r="B1546">
        <v>39900</v>
      </c>
      <c r="C1546">
        <f t="shared" si="224"/>
        <v>399</v>
      </c>
      <c r="D1546">
        <v>7</v>
      </c>
      <c r="E1546">
        <v>0</v>
      </c>
      <c r="F1546">
        <v>36900</v>
      </c>
      <c r="G1546">
        <f t="shared" si="216"/>
        <v>369</v>
      </c>
      <c r="H1546">
        <v>26</v>
      </c>
      <c r="I1546" s="4">
        <f>Full_Data[[#This Row],[Selling Price]]/Full_Data[[#This Row],[Weight (g)]]</f>
        <v>14.192307692307692</v>
      </c>
      <c r="J1546" t="b">
        <v>1</v>
      </c>
      <c r="K1546">
        <v>26</v>
      </c>
      <c r="L1546">
        <f t="shared" si="217"/>
        <v>30</v>
      </c>
      <c r="M1546" t="str">
        <f t="shared" si="218"/>
        <v>High</v>
      </c>
      <c r="N1546" t="str">
        <f t="shared" si="219"/>
        <v>6-10%</v>
      </c>
      <c r="O1546" t="str">
        <f t="shared" si="220"/>
        <v>OK</v>
      </c>
      <c r="P1546">
        <f>IFERROR(Full_Data!G1546/Full_Data!H1546,"Check data")</f>
        <v>14.192307692307692</v>
      </c>
      <c r="Q1546" t="str">
        <f t="shared" si="221"/>
        <v>Match</v>
      </c>
      <c r="R1546" t="str">
        <f t="shared" si="222"/>
        <v>Mismatch</v>
      </c>
      <c r="S1546" t="str">
        <f t="shared" si="223"/>
        <v>Mismatch</v>
      </c>
    </row>
    <row r="1547" spans="1:19" x14ac:dyDescent="0.25">
      <c r="A1547" t="s">
        <v>1445</v>
      </c>
      <c r="B1547">
        <v>1800</v>
      </c>
      <c r="C1547">
        <f t="shared" si="224"/>
        <v>18</v>
      </c>
      <c r="D1547">
        <v>0</v>
      </c>
      <c r="E1547">
        <v>1</v>
      </c>
      <c r="F1547">
        <v>1800</v>
      </c>
      <c r="G1547">
        <f t="shared" si="216"/>
        <v>18</v>
      </c>
      <c r="H1547">
        <v>150</v>
      </c>
      <c r="I1547" s="4">
        <f>Full_Data[[#This Row],[Selling Price]]/Full_Data[[#This Row],[Weight (g)]]</f>
        <v>0.12</v>
      </c>
      <c r="J1547" t="b">
        <v>0</v>
      </c>
      <c r="K1547">
        <v>150</v>
      </c>
      <c r="L1547">
        <f t="shared" si="217"/>
        <v>0</v>
      </c>
      <c r="M1547" t="str">
        <f t="shared" si="218"/>
        <v>Low</v>
      </c>
      <c r="N1547" t="str">
        <f t="shared" si="219"/>
        <v>0-5%</v>
      </c>
      <c r="O1547" t="str">
        <f t="shared" si="220"/>
        <v>OK</v>
      </c>
      <c r="P1547">
        <f>IFERROR(Full_Data!G1547/Full_Data!H1547,"Check data")</f>
        <v>0.12</v>
      </c>
      <c r="Q1547" t="str">
        <f t="shared" si="221"/>
        <v>Match</v>
      </c>
      <c r="R1547" t="str">
        <f t="shared" si="222"/>
        <v>Match</v>
      </c>
      <c r="S1547" t="str">
        <f t="shared" si="223"/>
        <v>Match</v>
      </c>
    </row>
    <row r="1548" spans="1:19" x14ac:dyDescent="0.25">
      <c r="A1548" t="s">
        <v>1446</v>
      </c>
      <c r="B1548">
        <v>9600</v>
      </c>
      <c r="C1548">
        <f t="shared" si="224"/>
        <v>96</v>
      </c>
      <c r="D1548">
        <v>7</v>
      </c>
      <c r="E1548">
        <v>6</v>
      </c>
      <c r="F1548">
        <v>8900</v>
      </c>
      <c r="G1548">
        <f t="shared" si="216"/>
        <v>89</v>
      </c>
      <c r="H1548">
        <v>500</v>
      </c>
      <c r="I1548" s="4">
        <f>Full_Data[[#This Row],[Selling Price]]/Full_Data[[#This Row],[Weight (g)]]</f>
        <v>0.17799999999999999</v>
      </c>
      <c r="J1548" t="b">
        <v>0</v>
      </c>
      <c r="K1548">
        <v>500</v>
      </c>
      <c r="L1548">
        <f t="shared" si="217"/>
        <v>7</v>
      </c>
      <c r="M1548" t="str">
        <f t="shared" si="218"/>
        <v>Medium</v>
      </c>
      <c r="N1548" t="str">
        <f t="shared" si="219"/>
        <v>6-10%</v>
      </c>
      <c r="O1548" t="str">
        <f t="shared" si="220"/>
        <v>OK</v>
      </c>
      <c r="P1548">
        <f>IFERROR(Full_Data!G1548/Full_Data!H1548,"Check data")</f>
        <v>0.17799999999999999</v>
      </c>
      <c r="Q1548" t="str">
        <f t="shared" si="221"/>
        <v>Match</v>
      </c>
      <c r="R1548" t="str">
        <f t="shared" si="222"/>
        <v>Mismatch</v>
      </c>
      <c r="S1548" t="str">
        <f t="shared" si="223"/>
        <v>Match</v>
      </c>
    </row>
    <row r="1549" spans="1:19" x14ac:dyDescent="0.25">
      <c r="A1549" t="s">
        <v>1447</v>
      </c>
      <c r="B1549">
        <v>6900</v>
      </c>
      <c r="C1549">
        <f t="shared" si="224"/>
        <v>69</v>
      </c>
      <c r="D1549">
        <v>0</v>
      </c>
      <c r="E1549">
        <v>6</v>
      </c>
      <c r="F1549">
        <v>6900</v>
      </c>
      <c r="G1549">
        <f t="shared" si="216"/>
        <v>69</v>
      </c>
      <c r="H1549">
        <v>30</v>
      </c>
      <c r="I1549" s="4">
        <f>Full_Data[[#This Row],[Selling Price]]/Full_Data[[#This Row],[Weight (g)]]</f>
        <v>2.2999999999999998</v>
      </c>
      <c r="J1549" t="b">
        <v>0</v>
      </c>
      <c r="K1549">
        <v>30</v>
      </c>
      <c r="L1549">
        <f t="shared" si="217"/>
        <v>0</v>
      </c>
      <c r="M1549" t="str">
        <f t="shared" si="218"/>
        <v>Medium</v>
      </c>
      <c r="N1549" t="str">
        <f t="shared" si="219"/>
        <v>0-5%</v>
      </c>
      <c r="O1549" t="str">
        <f t="shared" si="220"/>
        <v>OK</v>
      </c>
      <c r="P1549">
        <f>IFERROR(Full_Data!G1549/Full_Data!H1549,"Check data")</f>
        <v>2.2999999999999998</v>
      </c>
      <c r="Q1549" t="str">
        <f t="shared" si="221"/>
        <v>Match</v>
      </c>
      <c r="R1549" t="str">
        <f t="shared" si="222"/>
        <v>Match</v>
      </c>
      <c r="S1549" t="str">
        <f t="shared" si="223"/>
        <v>Match</v>
      </c>
    </row>
    <row r="1550" spans="1:19" x14ac:dyDescent="0.25">
      <c r="A1550" t="s">
        <v>1448</v>
      </c>
      <c r="B1550">
        <v>18900</v>
      </c>
      <c r="C1550">
        <f t="shared" si="224"/>
        <v>189</v>
      </c>
      <c r="D1550">
        <v>5</v>
      </c>
      <c r="E1550">
        <v>2</v>
      </c>
      <c r="F1550">
        <v>17900</v>
      </c>
      <c r="G1550">
        <f t="shared" si="216"/>
        <v>179</v>
      </c>
      <c r="H1550">
        <v>425</v>
      </c>
      <c r="I1550" s="4">
        <f>Full_Data[[#This Row],[Selling Price]]/Full_Data[[#This Row],[Weight (g)]]</f>
        <v>0.42117647058823532</v>
      </c>
      <c r="J1550" t="b">
        <v>0</v>
      </c>
      <c r="K1550">
        <v>425</v>
      </c>
      <c r="L1550">
        <f t="shared" si="217"/>
        <v>10</v>
      </c>
      <c r="M1550" t="str">
        <f t="shared" si="218"/>
        <v>Medium</v>
      </c>
      <c r="N1550" t="str">
        <f t="shared" si="219"/>
        <v>0-5%</v>
      </c>
      <c r="O1550" t="str">
        <f t="shared" si="220"/>
        <v>OK</v>
      </c>
      <c r="P1550">
        <f>IFERROR(Full_Data!G1550/Full_Data!H1550,"Check data")</f>
        <v>0.42117647058823532</v>
      </c>
      <c r="Q1550" t="str">
        <f t="shared" si="221"/>
        <v>Match</v>
      </c>
      <c r="R1550" t="str">
        <f t="shared" si="222"/>
        <v>Mismatch</v>
      </c>
      <c r="S1550" t="str">
        <f t="shared" si="223"/>
        <v>Match</v>
      </c>
    </row>
    <row r="1551" spans="1:19" x14ac:dyDescent="0.25">
      <c r="A1551" t="s">
        <v>1449</v>
      </c>
      <c r="B1551">
        <v>19000</v>
      </c>
      <c r="C1551">
        <f t="shared" si="224"/>
        <v>190</v>
      </c>
      <c r="D1551">
        <v>7</v>
      </c>
      <c r="E1551">
        <v>4</v>
      </c>
      <c r="F1551">
        <v>17500</v>
      </c>
      <c r="G1551">
        <f t="shared" si="216"/>
        <v>175</v>
      </c>
      <c r="H1551">
        <v>750</v>
      </c>
      <c r="I1551" s="4">
        <f>Full_Data[[#This Row],[Selling Price]]/Full_Data[[#This Row],[Weight (g)]]</f>
        <v>0.23333333333333334</v>
      </c>
      <c r="J1551" t="b">
        <v>0</v>
      </c>
      <c r="K1551">
        <v>750</v>
      </c>
      <c r="L1551">
        <f t="shared" si="217"/>
        <v>15</v>
      </c>
      <c r="M1551" t="str">
        <f t="shared" si="218"/>
        <v>Medium</v>
      </c>
      <c r="N1551" t="str">
        <f t="shared" si="219"/>
        <v>6-10%</v>
      </c>
      <c r="O1551" t="str">
        <f t="shared" si="220"/>
        <v>OK</v>
      </c>
      <c r="P1551">
        <f>IFERROR(Full_Data!G1551/Full_Data!H1551,"Check data")</f>
        <v>0.23333333333333334</v>
      </c>
      <c r="Q1551" t="str">
        <f t="shared" si="221"/>
        <v>Match</v>
      </c>
      <c r="R1551" t="str">
        <f t="shared" si="222"/>
        <v>Mismatch</v>
      </c>
      <c r="S1551" t="str">
        <f t="shared" si="223"/>
        <v>Mismatch</v>
      </c>
    </row>
    <row r="1552" spans="1:19" x14ac:dyDescent="0.25">
      <c r="A1552" t="s">
        <v>1450</v>
      </c>
      <c r="B1552">
        <v>6600</v>
      </c>
      <c r="C1552">
        <f t="shared" si="224"/>
        <v>66</v>
      </c>
      <c r="D1552">
        <v>0</v>
      </c>
      <c r="E1552">
        <v>6</v>
      </c>
      <c r="F1552">
        <v>6600</v>
      </c>
      <c r="G1552">
        <f t="shared" si="216"/>
        <v>66</v>
      </c>
      <c r="H1552">
        <v>125</v>
      </c>
      <c r="I1552" s="4">
        <f>Full_Data[[#This Row],[Selling Price]]/Full_Data[[#This Row],[Weight (g)]]</f>
        <v>0.52800000000000002</v>
      </c>
      <c r="J1552" t="b">
        <v>0</v>
      </c>
      <c r="K1552">
        <v>125</v>
      </c>
      <c r="L1552">
        <f t="shared" si="217"/>
        <v>0</v>
      </c>
      <c r="M1552" t="str">
        <f t="shared" si="218"/>
        <v>Medium</v>
      </c>
      <c r="N1552" t="str">
        <f t="shared" si="219"/>
        <v>0-5%</v>
      </c>
      <c r="O1552" t="str">
        <f t="shared" si="220"/>
        <v>OK</v>
      </c>
      <c r="P1552">
        <f>IFERROR(Full_Data!G1552/Full_Data!H1552,"Check data")</f>
        <v>0.52800000000000002</v>
      </c>
      <c r="Q1552" t="str">
        <f t="shared" si="221"/>
        <v>Match</v>
      </c>
      <c r="R1552" t="str">
        <f t="shared" si="222"/>
        <v>Match</v>
      </c>
      <c r="S1552" t="str">
        <f t="shared" si="223"/>
        <v>Match</v>
      </c>
    </row>
    <row r="1553" spans="1:19" x14ac:dyDescent="0.25">
      <c r="A1553" t="s">
        <v>1451</v>
      </c>
      <c r="B1553">
        <v>5500</v>
      </c>
      <c r="C1553">
        <f t="shared" si="224"/>
        <v>55</v>
      </c>
      <c r="D1553">
        <v>0</v>
      </c>
      <c r="E1553">
        <v>3</v>
      </c>
      <c r="F1553">
        <v>5500</v>
      </c>
      <c r="G1553">
        <f t="shared" si="216"/>
        <v>55</v>
      </c>
      <c r="H1553">
        <v>10</v>
      </c>
      <c r="I1553" s="4">
        <f>Full_Data[[#This Row],[Selling Price]]/Full_Data[[#This Row],[Weight (g)]]</f>
        <v>5.5</v>
      </c>
      <c r="J1553" t="b">
        <v>0</v>
      </c>
      <c r="K1553">
        <v>10</v>
      </c>
      <c r="L1553">
        <f t="shared" si="217"/>
        <v>0</v>
      </c>
      <c r="M1553" t="str">
        <f t="shared" si="218"/>
        <v>Medium</v>
      </c>
      <c r="N1553" t="str">
        <f t="shared" si="219"/>
        <v>0-5%</v>
      </c>
      <c r="O1553" t="str">
        <f t="shared" si="220"/>
        <v>OK</v>
      </c>
      <c r="P1553">
        <f>IFERROR(Full_Data!G1553/Full_Data!H1553,"Check data")</f>
        <v>5.5</v>
      </c>
      <c r="Q1553" t="str">
        <f t="shared" si="221"/>
        <v>Match</v>
      </c>
      <c r="R1553" t="str">
        <f t="shared" si="222"/>
        <v>Match</v>
      </c>
      <c r="S1553" t="str">
        <f t="shared" si="223"/>
        <v>Match</v>
      </c>
    </row>
    <row r="1554" spans="1:19" x14ac:dyDescent="0.25">
      <c r="A1554" t="s">
        <v>1452</v>
      </c>
      <c r="B1554">
        <v>10100</v>
      </c>
      <c r="C1554">
        <f t="shared" si="224"/>
        <v>101</v>
      </c>
      <c r="D1554">
        <v>2</v>
      </c>
      <c r="E1554">
        <v>4</v>
      </c>
      <c r="F1554">
        <v>9800</v>
      </c>
      <c r="G1554">
        <f t="shared" si="216"/>
        <v>98</v>
      </c>
      <c r="H1554">
        <v>200</v>
      </c>
      <c r="I1554" s="4">
        <f>Full_Data[[#This Row],[Selling Price]]/Full_Data[[#This Row],[Weight (g)]]</f>
        <v>0.49</v>
      </c>
      <c r="J1554" t="b">
        <v>0</v>
      </c>
      <c r="K1554">
        <v>200</v>
      </c>
      <c r="L1554">
        <f t="shared" si="217"/>
        <v>3</v>
      </c>
      <c r="M1554" t="str">
        <f t="shared" si="218"/>
        <v>Medium</v>
      </c>
      <c r="N1554" t="str">
        <f t="shared" si="219"/>
        <v>0-5%</v>
      </c>
      <c r="O1554" t="str">
        <f t="shared" si="220"/>
        <v>OK</v>
      </c>
      <c r="P1554">
        <f>IFERROR(Full_Data!G1554/Full_Data!H1554,"Check data")</f>
        <v>0.49</v>
      </c>
      <c r="Q1554" t="str">
        <f t="shared" si="221"/>
        <v>Match</v>
      </c>
      <c r="R1554" t="str">
        <f t="shared" si="222"/>
        <v>Mismatch</v>
      </c>
      <c r="S1554" t="str">
        <f t="shared" si="223"/>
        <v>Mismatch</v>
      </c>
    </row>
    <row r="1555" spans="1:19" x14ac:dyDescent="0.25">
      <c r="A1555" t="s">
        <v>1453</v>
      </c>
      <c r="B1555">
        <v>18500</v>
      </c>
      <c r="C1555">
        <f t="shared" si="224"/>
        <v>185</v>
      </c>
      <c r="D1555">
        <v>5</v>
      </c>
      <c r="E1555">
        <v>1</v>
      </c>
      <c r="F1555">
        <v>17500</v>
      </c>
      <c r="G1555">
        <f t="shared" si="216"/>
        <v>175</v>
      </c>
      <c r="H1555">
        <v>750</v>
      </c>
      <c r="I1555" s="4">
        <f>Full_Data[[#This Row],[Selling Price]]/Full_Data[[#This Row],[Weight (g)]]</f>
        <v>0.23333333333333334</v>
      </c>
      <c r="J1555" t="b">
        <v>0</v>
      </c>
      <c r="K1555">
        <v>750</v>
      </c>
      <c r="L1555">
        <f t="shared" si="217"/>
        <v>10</v>
      </c>
      <c r="M1555" t="str">
        <f t="shared" si="218"/>
        <v>Medium</v>
      </c>
      <c r="N1555" t="str">
        <f t="shared" si="219"/>
        <v>0-5%</v>
      </c>
      <c r="O1555" t="str">
        <f t="shared" si="220"/>
        <v>OK</v>
      </c>
      <c r="P1555">
        <f>IFERROR(Full_Data!G1555/Full_Data!H1555,"Check data")</f>
        <v>0.23333333333333334</v>
      </c>
      <c r="Q1555" t="str">
        <f t="shared" si="221"/>
        <v>Match</v>
      </c>
      <c r="R1555" t="str">
        <f t="shared" si="222"/>
        <v>Mismatch</v>
      </c>
      <c r="S1555" t="str">
        <f t="shared" si="223"/>
        <v>Match</v>
      </c>
    </row>
    <row r="1556" spans="1:19" x14ac:dyDescent="0.25">
      <c r="A1556" t="s">
        <v>1454</v>
      </c>
      <c r="B1556">
        <v>17800</v>
      </c>
      <c r="C1556">
        <f t="shared" si="224"/>
        <v>178</v>
      </c>
      <c r="D1556">
        <v>0</v>
      </c>
      <c r="E1556">
        <v>6</v>
      </c>
      <c r="F1556">
        <v>17800</v>
      </c>
      <c r="G1556">
        <f t="shared" si="216"/>
        <v>178</v>
      </c>
      <c r="H1556">
        <v>1000</v>
      </c>
      <c r="I1556" s="4">
        <f>Full_Data[[#This Row],[Selling Price]]/Full_Data[[#This Row],[Weight (g)]]</f>
        <v>0.17799999999999999</v>
      </c>
      <c r="J1556" t="b">
        <v>0</v>
      </c>
      <c r="K1556">
        <v>1</v>
      </c>
      <c r="L1556">
        <f t="shared" si="217"/>
        <v>0</v>
      </c>
      <c r="M1556" t="str">
        <f t="shared" si="218"/>
        <v>Medium</v>
      </c>
      <c r="N1556" t="str">
        <f t="shared" si="219"/>
        <v>0-5%</v>
      </c>
      <c r="O1556" t="str">
        <f t="shared" si="220"/>
        <v>OK</v>
      </c>
      <c r="P1556">
        <f>IFERROR(Full_Data!G1556/Full_Data!H1556,"Check data")</f>
        <v>0.17799999999999999</v>
      </c>
      <c r="Q1556" t="str">
        <f t="shared" si="221"/>
        <v>Match</v>
      </c>
      <c r="R1556" t="str">
        <f t="shared" si="222"/>
        <v>Match</v>
      </c>
      <c r="S1556" t="str">
        <f t="shared" si="223"/>
        <v>Match</v>
      </c>
    </row>
    <row r="1557" spans="1:19" x14ac:dyDescent="0.25">
      <c r="A1557" t="s">
        <v>1455</v>
      </c>
      <c r="B1557">
        <v>5000</v>
      </c>
      <c r="C1557">
        <f t="shared" si="224"/>
        <v>50</v>
      </c>
      <c r="D1557">
        <v>8</v>
      </c>
      <c r="E1557">
        <v>6</v>
      </c>
      <c r="F1557">
        <v>4600</v>
      </c>
      <c r="G1557">
        <f t="shared" si="216"/>
        <v>46</v>
      </c>
      <c r="H1557">
        <v>50</v>
      </c>
      <c r="I1557" s="4">
        <f>Full_Data[[#This Row],[Selling Price]]/Full_Data[[#This Row],[Weight (g)]]</f>
        <v>0.92</v>
      </c>
      <c r="J1557" t="b">
        <v>0</v>
      </c>
      <c r="K1557">
        <v>50</v>
      </c>
      <c r="L1557">
        <f t="shared" si="217"/>
        <v>4</v>
      </c>
      <c r="M1557" t="str">
        <f t="shared" si="218"/>
        <v>Low</v>
      </c>
      <c r="N1557" t="str">
        <f t="shared" si="219"/>
        <v>6-10%</v>
      </c>
      <c r="O1557" t="str">
        <f t="shared" si="220"/>
        <v>OK</v>
      </c>
      <c r="P1557">
        <f>IFERROR(Full_Data!G1557/Full_Data!H1557,"Check data")</f>
        <v>0.92</v>
      </c>
      <c r="Q1557" t="str">
        <f t="shared" si="221"/>
        <v>Match</v>
      </c>
      <c r="R1557" t="str">
        <f t="shared" si="222"/>
        <v>Match</v>
      </c>
      <c r="S1557" t="str">
        <f t="shared" si="223"/>
        <v>Match</v>
      </c>
    </row>
    <row r="1558" spans="1:19" x14ac:dyDescent="0.25">
      <c r="A1558" t="s">
        <v>1456</v>
      </c>
      <c r="B1558">
        <v>18900</v>
      </c>
      <c r="C1558">
        <f t="shared" si="224"/>
        <v>189</v>
      </c>
      <c r="D1558">
        <v>5</v>
      </c>
      <c r="E1558">
        <v>6</v>
      </c>
      <c r="F1558">
        <v>17900</v>
      </c>
      <c r="G1558">
        <f t="shared" si="216"/>
        <v>179</v>
      </c>
      <c r="H1558">
        <v>1000</v>
      </c>
      <c r="I1558" s="4">
        <f>Full_Data[[#This Row],[Selling Price]]/Full_Data[[#This Row],[Weight (g)]]</f>
        <v>0.17899999999999999</v>
      </c>
      <c r="J1558" t="b">
        <v>0</v>
      </c>
      <c r="K1558">
        <v>1</v>
      </c>
      <c r="L1558">
        <f t="shared" si="217"/>
        <v>10</v>
      </c>
      <c r="M1558" t="str">
        <f t="shared" si="218"/>
        <v>Medium</v>
      </c>
      <c r="N1558" t="str">
        <f t="shared" si="219"/>
        <v>0-5%</v>
      </c>
      <c r="O1558" t="str">
        <f t="shared" si="220"/>
        <v>OK</v>
      </c>
      <c r="P1558">
        <f>IFERROR(Full_Data!G1558/Full_Data!H1558,"Check data")</f>
        <v>0.17899999999999999</v>
      </c>
      <c r="Q1558" t="str">
        <f t="shared" si="221"/>
        <v>Match</v>
      </c>
      <c r="R1558" t="str">
        <f t="shared" si="222"/>
        <v>Mismatch</v>
      </c>
      <c r="S1558" t="str">
        <f t="shared" si="223"/>
        <v>Match</v>
      </c>
    </row>
    <row r="1559" spans="1:19" x14ac:dyDescent="0.25">
      <c r="A1559" t="s">
        <v>1457</v>
      </c>
      <c r="B1559">
        <v>15000</v>
      </c>
      <c r="C1559">
        <f t="shared" si="224"/>
        <v>150</v>
      </c>
      <c r="D1559">
        <v>4</v>
      </c>
      <c r="E1559">
        <v>6</v>
      </c>
      <c r="F1559">
        <v>14300</v>
      </c>
      <c r="G1559">
        <f t="shared" si="216"/>
        <v>143</v>
      </c>
      <c r="H1559">
        <v>580</v>
      </c>
      <c r="I1559" s="4">
        <f>Full_Data[[#This Row],[Selling Price]]/Full_Data[[#This Row],[Weight (g)]]</f>
        <v>0.24655172413793103</v>
      </c>
      <c r="J1559" t="b">
        <v>0</v>
      </c>
      <c r="K1559">
        <v>10</v>
      </c>
      <c r="L1559">
        <f t="shared" si="217"/>
        <v>7</v>
      </c>
      <c r="M1559" t="str">
        <f t="shared" si="218"/>
        <v>Medium</v>
      </c>
      <c r="N1559" t="str">
        <f t="shared" si="219"/>
        <v>0-5%</v>
      </c>
      <c r="O1559" t="str">
        <f t="shared" si="220"/>
        <v>OK</v>
      </c>
      <c r="P1559">
        <f>IFERROR(Full_Data!G1559/Full_Data!H1559,"Check data")</f>
        <v>0.24655172413793103</v>
      </c>
      <c r="Q1559" t="str">
        <f t="shared" si="221"/>
        <v>Match</v>
      </c>
      <c r="R1559" t="str">
        <f t="shared" si="222"/>
        <v>Mismatch</v>
      </c>
      <c r="S1559" t="str">
        <f t="shared" si="223"/>
        <v>Mismatch</v>
      </c>
    </row>
    <row r="1560" spans="1:19" x14ac:dyDescent="0.25">
      <c r="A1560" t="s">
        <v>1458</v>
      </c>
      <c r="B1560">
        <v>9800</v>
      </c>
      <c r="C1560">
        <f t="shared" si="224"/>
        <v>98</v>
      </c>
      <c r="D1560">
        <v>5</v>
      </c>
      <c r="E1560">
        <v>6</v>
      </c>
      <c r="F1560">
        <v>9300</v>
      </c>
      <c r="G1560">
        <f t="shared" si="216"/>
        <v>93</v>
      </c>
      <c r="H1560">
        <v>75</v>
      </c>
      <c r="I1560" s="4">
        <f>Full_Data[[#This Row],[Selling Price]]/Full_Data[[#This Row],[Weight (g)]]</f>
        <v>1.24</v>
      </c>
      <c r="J1560" t="b">
        <v>0</v>
      </c>
      <c r="K1560">
        <v>75</v>
      </c>
      <c r="L1560">
        <f t="shared" si="217"/>
        <v>5</v>
      </c>
      <c r="M1560" t="str">
        <f t="shared" si="218"/>
        <v>Medium</v>
      </c>
      <c r="N1560" t="str">
        <f t="shared" si="219"/>
        <v>0-5%</v>
      </c>
      <c r="O1560" t="str">
        <f t="shared" si="220"/>
        <v>OK</v>
      </c>
      <c r="P1560">
        <f>IFERROR(Full_Data!G1560/Full_Data!H1560,"Check data")</f>
        <v>1.24</v>
      </c>
      <c r="Q1560" t="str">
        <f t="shared" si="221"/>
        <v>Match</v>
      </c>
      <c r="R1560" t="str">
        <f t="shared" si="222"/>
        <v>Mismatch</v>
      </c>
      <c r="S1560" t="str">
        <f t="shared" si="223"/>
        <v>Match</v>
      </c>
    </row>
    <row r="1561" spans="1:19" x14ac:dyDescent="0.25">
      <c r="A1561" t="s">
        <v>1459</v>
      </c>
      <c r="B1561">
        <v>3500</v>
      </c>
      <c r="C1561">
        <f t="shared" si="224"/>
        <v>35</v>
      </c>
      <c r="D1561">
        <v>2</v>
      </c>
      <c r="E1561">
        <v>6</v>
      </c>
      <c r="F1561">
        <v>3400</v>
      </c>
      <c r="G1561">
        <f t="shared" si="216"/>
        <v>34</v>
      </c>
      <c r="H1561">
        <v>58</v>
      </c>
      <c r="I1561" s="4">
        <f>Full_Data[[#This Row],[Selling Price]]/Full_Data[[#This Row],[Weight (g)]]</f>
        <v>0.58620689655172409</v>
      </c>
      <c r="J1561" t="b">
        <v>0</v>
      </c>
      <c r="K1561">
        <v>1</v>
      </c>
      <c r="L1561">
        <f t="shared" si="217"/>
        <v>1</v>
      </c>
      <c r="M1561" t="str">
        <f t="shared" si="218"/>
        <v>Low</v>
      </c>
      <c r="N1561" t="str">
        <f t="shared" si="219"/>
        <v>0-5%</v>
      </c>
      <c r="O1561" t="str">
        <f t="shared" si="220"/>
        <v>OK</v>
      </c>
      <c r="P1561">
        <f>IFERROR(Full_Data!G1561/Full_Data!H1561,"Check data")</f>
        <v>0.58620689655172409</v>
      </c>
      <c r="Q1561" t="str">
        <f t="shared" si="221"/>
        <v>Match</v>
      </c>
      <c r="R1561" t="str">
        <f t="shared" si="222"/>
        <v>Mismatch</v>
      </c>
      <c r="S1561" t="str">
        <f t="shared" si="223"/>
        <v>Mismatch</v>
      </c>
    </row>
    <row r="1562" spans="1:19" x14ac:dyDescent="0.25">
      <c r="A1562" t="s">
        <v>1460</v>
      </c>
      <c r="B1562">
        <v>18200</v>
      </c>
      <c r="C1562">
        <f t="shared" si="224"/>
        <v>182</v>
      </c>
      <c r="D1562">
        <v>3</v>
      </c>
      <c r="E1562">
        <v>6</v>
      </c>
      <c r="F1562">
        <v>17600</v>
      </c>
      <c r="G1562">
        <f t="shared" si="216"/>
        <v>176</v>
      </c>
      <c r="H1562">
        <v>400</v>
      </c>
      <c r="I1562" s="4">
        <f>Full_Data[[#This Row],[Selling Price]]/Full_Data[[#This Row],[Weight (g)]]</f>
        <v>0.44</v>
      </c>
      <c r="J1562" t="b">
        <v>0</v>
      </c>
      <c r="K1562">
        <v>400</v>
      </c>
      <c r="L1562">
        <f t="shared" si="217"/>
        <v>6</v>
      </c>
      <c r="M1562" t="str">
        <f t="shared" si="218"/>
        <v>Medium</v>
      </c>
      <c r="N1562" t="str">
        <f t="shared" si="219"/>
        <v>0-5%</v>
      </c>
      <c r="O1562" t="str">
        <f t="shared" si="220"/>
        <v>OK</v>
      </c>
      <c r="P1562">
        <f>IFERROR(Full_Data!G1562/Full_Data!H1562,"Check data")</f>
        <v>0.44</v>
      </c>
      <c r="Q1562" t="str">
        <f t="shared" si="221"/>
        <v>Match</v>
      </c>
      <c r="R1562" t="str">
        <f t="shared" si="222"/>
        <v>Mismatch</v>
      </c>
      <c r="S1562" t="str">
        <f t="shared" si="223"/>
        <v>Match</v>
      </c>
    </row>
    <row r="1563" spans="1:19" x14ac:dyDescent="0.25">
      <c r="A1563" t="s">
        <v>1461</v>
      </c>
      <c r="B1563">
        <v>8200</v>
      </c>
      <c r="C1563">
        <f t="shared" si="224"/>
        <v>82</v>
      </c>
      <c r="D1563">
        <v>6</v>
      </c>
      <c r="E1563">
        <v>4</v>
      </c>
      <c r="F1563">
        <v>7700</v>
      </c>
      <c r="G1563">
        <f t="shared" si="216"/>
        <v>77</v>
      </c>
      <c r="H1563">
        <v>26</v>
      </c>
      <c r="I1563" s="4">
        <f>Full_Data[[#This Row],[Selling Price]]/Full_Data[[#This Row],[Weight (g)]]</f>
        <v>2.9615384615384617</v>
      </c>
      <c r="J1563" s="9" t="b">
        <v>0</v>
      </c>
      <c r="K1563">
        <v>26</v>
      </c>
      <c r="L1563">
        <f t="shared" si="217"/>
        <v>5</v>
      </c>
      <c r="M1563" t="str">
        <f t="shared" si="218"/>
        <v>Medium</v>
      </c>
      <c r="N1563" t="str">
        <f t="shared" si="219"/>
        <v>6-10%</v>
      </c>
      <c r="O1563" t="str">
        <f t="shared" si="220"/>
        <v>OK</v>
      </c>
      <c r="P1563">
        <f>IFERROR(Full_Data!G1563/Full_Data!H1563,"Check data")</f>
        <v>2.9615384615384617</v>
      </c>
      <c r="Q1563" t="str">
        <f t="shared" si="221"/>
        <v>Match</v>
      </c>
      <c r="R1563" t="str">
        <f t="shared" si="222"/>
        <v>Mismatch</v>
      </c>
      <c r="S1563" t="str">
        <f t="shared" si="223"/>
        <v>Match</v>
      </c>
    </row>
    <row r="1564" spans="1:19" x14ac:dyDescent="0.25">
      <c r="A1564" t="s">
        <v>1462</v>
      </c>
      <c r="B1564">
        <v>19900</v>
      </c>
      <c r="C1564">
        <f t="shared" si="224"/>
        <v>199</v>
      </c>
      <c r="D1564">
        <v>10</v>
      </c>
      <c r="E1564">
        <v>6</v>
      </c>
      <c r="F1564">
        <v>17900</v>
      </c>
      <c r="G1564">
        <f t="shared" si="216"/>
        <v>179</v>
      </c>
      <c r="H1564">
        <v>1000</v>
      </c>
      <c r="I1564" s="4">
        <f>Full_Data[[#This Row],[Selling Price]]/Full_Data[[#This Row],[Weight (g)]]</f>
        <v>0.17899999999999999</v>
      </c>
      <c r="J1564" t="b">
        <v>0</v>
      </c>
      <c r="K1564">
        <v>1</v>
      </c>
      <c r="L1564">
        <f t="shared" si="217"/>
        <v>20</v>
      </c>
      <c r="M1564" t="str">
        <f t="shared" si="218"/>
        <v>Medium</v>
      </c>
      <c r="N1564" t="str">
        <f t="shared" si="219"/>
        <v>6-10%</v>
      </c>
      <c r="O1564" t="str">
        <f t="shared" si="220"/>
        <v>OK</v>
      </c>
      <c r="P1564">
        <f>IFERROR(Full_Data!G1564/Full_Data!H1564,"Check data")</f>
        <v>0.17899999999999999</v>
      </c>
      <c r="Q1564" t="str">
        <f t="shared" si="221"/>
        <v>Match</v>
      </c>
      <c r="R1564" t="str">
        <f t="shared" si="222"/>
        <v>Mismatch</v>
      </c>
      <c r="S1564" t="str">
        <f t="shared" si="223"/>
        <v>Match</v>
      </c>
    </row>
    <row r="1565" spans="1:19" x14ac:dyDescent="0.25">
      <c r="A1565" t="s">
        <v>1463</v>
      </c>
      <c r="B1565">
        <v>13500</v>
      </c>
      <c r="C1565">
        <f t="shared" si="224"/>
        <v>135</v>
      </c>
      <c r="D1565">
        <v>0</v>
      </c>
      <c r="E1565">
        <v>6</v>
      </c>
      <c r="F1565">
        <v>13500</v>
      </c>
      <c r="G1565">
        <f t="shared" si="216"/>
        <v>135</v>
      </c>
      <c r="H1565">
        <v>500</v>
      </c>
      <c r="I1565" s="4">
        <f>Full_Data[[#This Row],[Selling Price]]/Full_Data[[#This Row],[Weight (g)]]</f>
        <v>0.27</v>
      </c>
      <c r="J1565" t="b">
        <v>0</v>
      </c>
      <c r="K1565">
        <v>500</v>
      </c>
      <c r="L1565">
        <f t="shared" si="217"/>
        <v>0</v>
      </c>
      <c r="M1565" t="str">
        <f t="shared" si="218"/>
        <v>Medium</v>
      </c>
      <c r="N1565" t="str">
        <f t="shared" si="219"/>
        <v>0-5%</v>
      </c>
      <c r="O1565" t="str">
        <f t="shared" si="220"/>
        <v>OK</v>
      </c>
      <c r="P1565">
        <f>IFERROR(Full_Data!G1565/Full_Data!H1565,"Check data")</f>
        <v>0.27</v>
      </c>
      <c r="Q1565" t="str">
        <f t="shared" si="221"/>
        <v>Match</v>
      </c>
      <c r="R1565" t="str">
        <f t="shared" si="222"/>
        <v>Match</v>
      </c>
      <c r="S1565" t="str">
        <f t="shared" si="223"/>
        <v>Match</v>
      </c>
    </row>
    <row r="1566" spans="1:19" x14ac:dyDescent="0.25">
      <c r="A1566" t="s">
        <v>1464</v>
      </c>
      <c r="B1566">
        <v>20000</v>
      </c>
      <c r="C1566">
        <f t="shared" si="224"/>
        <v>200</v>
      </c>
      <c r="D1566">
        <v>6</v>
      </c>
      <c r="E1566">
        <v>1</v>
      </c>
      <c r="F1566">
        <v>18800</v>
      </c>
      <c r="G1566">
        <f t="shared" si="216"/>
        <v>188</v>
      </c>
      <c r="H1566">
        <v>1000</v>
      </c>
      <c r="I1566" s="4">
        <f>Full_Data[[#This Row],[Selling Price]]/Full_Data[[#This Row],[Weight (g)]]</f>
        <v>0.188</v>
      </c>
      <c r="J1566" t="b">
        <v>0</v>
      </c>
      <c r="K1566">
        <v>1</v>
      </c>
      <c r="L1566">
        <f t="shared" si="217"/>
        <v>12</v>
      </c>
      <c r="M1566" t="str">
        <f t="shared" si="218"/>
        <v>Medium</v>
      </c>
      <c r="N1566" t="str">
        <f t="shared" si="219"/>
        <v>6-10%</v>
      </c>
      <c r="O1566" t="str">
        <f t="shared" si="220"/>
        <v>OK</v>
      </c>
      <c r="P1566">
        <f>IFERROR(Full_Data!G1566/Full_Data!H1566,"Check data")</f>
        <v>0.188</v>
      </c>
      <c r="Q1566" t="str">
        <f t="shared" si="221"/>
        <v>Match</v>
      </c>
      <c r="R1566" t="str">
        <f t="shared" si="222"/>
        <v>Match</v>
      </c>
      <c r="S1566" t="str">
        <f t="shared" si="223"/>
        <v>Match</v>
      </c>
    </row>
    <row r="1567" spans="1:19" x14ac:dyDescent="0.25">
      <c r="A1567" t="s">
        <v>1465</v>
      </c>
      <c r="B1567">
        <v>15400</v>
      </c>
      <c r="C1567">
        <f t="shared" si="224"/>
        <v>154</v>
      </c>
      <c r="D1567">
        <v>7</v>
      </c>
      <c r="E1567">
        <v>4</v>
      </c>
      <c r="F1567">
        <v>14300</v>
      </c>
      <c r="G1567">
        <f t="shared" si="216"/>
        <v>143</v>
      </c>
      <c r="H1567">
        <v>100</v>
      </c>
      <c r="I1567" s="4">
        <f>Full_Data[[#This Row],[Selling Price]]/Full_Data[[#This Row],[Weight (g)]]</f>
        <v>1.43</v>
      </c>
      <c r="J1567" t="b">
        <v>0</v>
      </c>
      <c r="K1567">
        <v>100</v>
      </c>
      <c r="L1567">
        <f t="shared" si="217"/>
        <v>11</v>
      </c>
      <c r="M1567" t="str">
        <f t="shared" si="218"/>
        <v>Medium</v>
      </c>
      <c r="N1567" t="str">
        <f t="shared" si="219"/>
        <v>6-10%</v>
      </c>
      <c r="O1567" t="str">
        <f t="shared" si="220"/>
        <v>OK</v>
      </c>
      <c r="P1567">
        <f>IFERROR(Full_Data!G1567/Full_Data!H1567,"Check data")</f>
        <v>1.43</v>
      </c>
      <c r="Q1567" t="str">
        <f t="shared" si="221"/>
        <v>Match</v>
      </c>
      <c r="R1567" t="str">
        <f t="shared" si="222"/>
        <v>Mismatch</v>
      </c>
      <c r="S1567" t="str">
        <f t="shared" si="223"/>
        <v>Match</v>
      </c>
    </row>
    <row r="1568" spans="1:19" x14ac:dyDescent="0.25">
      <c r="A1568" t="s">
        <v>1466</v>
      </c>
      <c r="B1568">
        <v>15000</v>
      </c>
      <c r="C1568">
        <f t="shared" si="224"/>
        <v>150</v>
      </c>
      <c r="D1568">
        <v>4</v>
      </c>
      <c r="E1568">
        <v>2</v>
      </c>
      <c r="F1568">
        <v>14300</v>
      </c>
      <c r="G1568">
        <f t="shared" si="216"/>
        <v>143</v>
      </c>
      <c r="H1568">
        <v>580</v>
      </c>
      <c r="I1568" s="4">
        <f>Full_Data[[#This Row],[Selling Price]]/Full_Data[[#This Row],[Weight (g)]]</f>
        <v>0.24655172413793103</v>
      </c>
      <c r="J1568" t="b">
        <v>0</v>
      </c>
      <c r="K1568">
        <v>10</v>
      </c>
      <c r="L1568">
        <f t="shared" si="217"/>
        <v>7</v>
      </c>
      <c r="M1568" t="str">
        <f t="shared" si="218"/>
        <v>Medium</v>
      </c>
      <c r="N1568" t="str">
        <f t="shared" si="219"/>
        <v>0-5%</v>
      </c>
      <c r="O1568" t="str">
        <f t="shared" si="220"/>
        <v>OK</v>
      </c>
      <c r="P1568">
        <f>IFERROR(Full_Data!G1568/Full_Data!H1568,"Check data")</f>
        <v>0.24655172413793103</v>
      </c>
      <c r="Q1568" t="str">
        <f t="shared" si="221"/>
        <v>Match</v>
      </c>
      <c r="R1568" t="str">
        <f t="shared" si="222"/>
        <v>Mismatch</v>
      </c>
      <c r="S1568" t="str">
        <f t="shared" si="223"/>
        <v>Mismatch</v>
      </c>
    </row>
    <row r="1569" spans="1:19" x14ac:dyDescent="0.25">
      <c r="A1569" t="s">
        <v>1467</v>
      </c>
      <c r="B1569">
        <v>22500</v>
      </c>
      <c r="C1569">
        <f t="shared" si="224"/>
        <v>225</v>
      </c>
      <c r="D1569">
        <v>1</v>
      </c>
      <c r="E1569">
        <v>6</v>
      </c>
      <c r="F1569">
        <v>22100</v>
      </c>
      <c r="G1569">
        <f t="shared" si="216"/>
        <v>221</v>
      </c>
      <c r="H1569">
        <v>1000</v>
      </c>
      <c r="I1569" s="4">
        <f>Full_Data[[#This Row],[Selling Price]]/Full_Data[[#This Row],[Weight (g)]]</f>
        <v>0.221</v>
      </c>
      <c r="J1569" t="b">
        <v>0</v>
      </c>
      <c r="K1569">
        <v>1</v>
      </c>
      <c r="L1569">
        <f t="shared" si="217"/>
        <v>4</v>
      </c>
      <c r="M1569" t="str">
        <f t="shared" si="218"/>
        <v>High</v>
      </c>
      <c r="N1569" t="str">
        <f t="shared" si="219"/>
        <v>0-5%</v>
      </c>
      <c r="O1569" t="str">
        <f t="shared" si="220"/>
        <v>OK</v>
      </c>
      <c r="P1569">
        <f>IFERROR(Full_Data!G1569/Full_Data!H1569,"Check data")</f>
        <v>0.221</v>
      </c>
      <c r="Q1569" t="str">
        <f t="shared" si="221"/>
        <v>Match</v>
      </c>
      <c r="R1569" t="str">
        <f t="shared" si="222"/>
        <v>Mismatch</v>
      </c>
      <c r="S1569" t="str">
        <f t="shared" si="223"/>
        <v>Mismatch</v>
      </c>
    </row>
    <row r="1570" spans="1:19" x14ac:dyDescent="0.25">
      <c r="A1570" t="s">
        <v>1468</v>
      </c>
      <c r="B1570">
        <v>14000</v>
      </c>
      <c r="C1570">
        <f t="shared" si="224"/>
        <v>140</v>
      </c>
      <c r="D1570">
        <v>10</v>
      </c>
      <c r="E1570">
        <v>6</v>
      </c>
      <c r="F1570">
        <v>12600</v>
      </c>
      <c r="G1570">
        <f t="shared" si="216"/>
        <v>126</v>
      </c>
      <c r="H1570">
        <v>116</v>
      </c>
      <c r="I1570" s="4">
        <f>Full_Data[[#This Row],[Selling Price]]/Full_Data[[#This Row],[Weight (g)]]</f>
        <v>1.0862068965517242</v>
      </c>
      <c r="J1570" t="b">
        <v>0</v>
      </c>
      <c r="K1570">
        <v>2</v>
      </c>
      <c r="L1570">
        <f t="shared" si="217"/>
        <v>14</v>
      </c>
      <c r="M1570" t="str">
        <f t="shared" si="218"/>
        <v>Medium</v>
      </c>
      <c r="N1570" t="str">
        <f t="shared" si="219"/>
        <v>6-10%</v>
      </c>
      <c r="O1570" t="str">
        <f t="shared" si="220"/>
        <v>OK</v>
      </c>
      <c r="P1570">
        <f>IFERROR(Full_Data!G1570/Full_Data!H1570,"Check data")</f>
        <v>1.0862068965517242</v>
      </c>
      <c r="Q1570" t="str">
        <f t="shared" si="221"/>
        <v>Match</v>
      </c>
      <c r="R1570" t="str">
        <f t="shared" si="222"/>
        <v>Match</v>
      </c>
      <c r="S1570" t="str">
        <f t="shared" si="223"/>
        <v>Match</v>
      </c>
    </row>
    <row r="1571" spans="1:19" x14ac:dyDescent="0.25">
      <c r="A1571" t="s">
        <v>1469</v>
      </c>
      <c r="B1571">
        <v>8200</v>
      </c>
      <c r="C1571">
        <f t="shared" si="224"/>
        <v>82</v>
      </c>
      <c r="D1571">
        <v>9</v>
      </c>
      <c r="E1571">
        <v>6</v>
      </c>
      <c r="F1571">
        <v>7400</v>
      </c>
      <c r="G1571">
        <f t="shared" si="216"/>
        <v>74</v>
      </c>
      <c r="H1571">
        <v>1000</v>
      </c>
      <c r="I1571" s="4">
        <f>Full_Data[[#This Row],[Selling Price]]/Full_Data[[#This Row],[Weight (g)]]</f>
        <v>7.3999999999999996E-2</v>
      </c>
      <c r="J1571" t="b">
        <v>0</v>
      </c>
      <c r="K1571">
        <v>1</v>
      </c>
      <c r="L1571">
        <f t="shared" si="217"/>
        <v>8</v>
      </c>
      <c r="M1571" t="str">
        <f t="shared" si="218"/>
        <v>Medium</v>
      </c>
      <c r="N1571" t="str">
        <f t="shared" si="219"/>
        <v>6-10%</v>
      </c>
      <c r="O1571" t="str">
        <f t="shared" si="220"/>
        <v>OK</v>
      </c>
      <c r="P1571">
        <f>IFERROR(Full_Data!G1571/Full_Data!H1571,"Check data")</f>
        <v>7.3999999999999996E-2</v>
      </c>
      <c r="Q1571" t="str">
        <f t="shared" si="221"/>
        <v>Match</v>
      </c>
      <c r="R1571" t="str">
        <f t="shared" si="222"/>
        <v>Mismatch</v>
      </c>
      <c r="S1571" t="str">
        <f t="shared" si="223"/>
        <v>Mismatch</v>
      </c>
    </row>
    <row r="1572" spans="1:19" x14ac:dyDescent="0.25">
      <c r="A1572" t="s">
        <v>1470</v>
      </c>
      <c r="B1572">
        <v>17000</v>
      </c>
      <c r="C1572">
        <f t="shared" si="224"/>
        <v>170</v>
      </c>
      <c r="D1572">
        <v>0</v>
      </c>
      <c r="E1572">
        <v>6</v>
      </c>
      <c r="F1572">
        <v>16900</v>
      </c>
      <c r="G1572">
        <f t="shared" si="216"/>
        <v>169</v>
      </c>
      <c r="H1572">
        <v>1000</v>
      </c>
      <c r="I1572" s="4">
        <f>Full_Data[[#This Row],[Selling Price]]/Full_Data[[#This Row],[Weight (g)]]</f>
        <v>0.16900000000000001</v>
      </c>
      <c r="J1572" t="b">
        <v>0</v>
      </c>
      <c r="K1572">
        <v>1</v>
      </c>
      <c r="L1572">
        <f t="shared" si="217"/>
        <v>1</v>
      </c>
      <c r="M1572" t="str">
        <f t="shared" si="218"/>
        <v>Medium</v>
      </c>
      <c r="N1572" t="str">
        <f t="shared" si="219"/>
        <v>0-5%</v>
      </c>
      <c r="O1572" t="str">
        <f t="shared" si="220"/>
        <v>OK</v>
      </c>
      <c r="P1572">
        <f>IFERROR(Full_Data!G1572/Full_Data!H1572,"Check data")</f>
        <v>0.16900000000000001</v>
      </c>
      <c r="Q1572" t="str">
        <f t="shared" si="221"/>
        <v>Match</v>
      </c>
      <c r="R1572" t="str">
        <f t="shared" si="222"/>
        <v>Mismatch</v>
      </c>
      <c r="S1572" t="str">
        <f t="shared" si="223"/>
        <v>Mismatch</v>
      </c>
    </row>
    <row r="1573" spans="1:19" x14ac:dyDescent="0.25">
      <c r="A1573" t="s">
        <v>1471</v>
      </c>
      <c r="B1573">
        <v>14900</v>
      </c>
      <c r="C1573">
        <f t="shared" si="224"/>
        <v>149</v>
      </c>
      <c r="D1573">
        <v>9</v>
      </c>
      <c r="E1573">
        <v>2</v>
      </c>
      <c r="F1573">
        <v>13500</v>
      </c>
      <c r="G1573">
        <f t="shared" si="216"/>
        <v>135</v>
      </c>
      <c r="H1573">
        <v>58</v>
      </c>
      <c r="I1573" s="4">
        <f>Full_Data[[#This Row],[Selling Price]]/Full_Data[[#This Row],[Weight (g)]]</f>
        <v>2.3275862068965516</v>
      </c>
      <c r="J1573" t="b">
        <v>0</v>
      </c>
      <c r="K1573">
        <v>1</v>
      </c>
      <c r="L1573">
        <f t="shared" si="217"/>
        <v>14</v>
      </c>
      <c r="M1573" t="str">
        <f t="shared" si="218"/>
        <v>Medium</v>
      </c>
      <c r="N1573" t="str">
        <f t="shared" si="219"/>
        <v>6-10%</v>
      </c>
      <c r="O1573" t="str">
        <f t="shared" si="220"/>
        <v>OK</v>
      </c>
      <c r="P1573">
        <f>IFERROR(Full_Data!G1573/Full_Data!H1573,"Check data")</f>
        <v>2.3275862068965516</v>
      </c>
      <c r="Q1573" t="str">
        <f t="shared" si="221"/>
        <v>Match</v>
      </c>
      <c r="R1573" t="str">
        <f t="shared" si="222"/>
        <v>Mismatch</v>
      </c>
      <c r="S1573" t="str">
        <f t="shared" si="223"/>
        <v>Match</v>
      </c>
    </row>
    <row r="1574" spans="1:19" x14ac:dyDescent="0.25">
      <c r="A1574" t="s">
        <v>1472</v>
      </c>
      <c r="B1574">
        <v>4000</v>
      </c>
      <c r="C1574">
        <f t="shared" si="224"/>
        <v>40</v>
      </c>
      <c r="D1574">
        <v>2</v>
      </c>
      <c r="E1574">
        <v>1</v>
      </c>
      <c r="F1574">
        <v>3900</v>
      </c>
      <c r="G1574">
        <f t="shared" si="216"/>
        <v>39</v>
      </c>
      <c r="H1574">
        <v>58</v>
      </c>
      <c r="I1574" s="4">
        <f>Full_Data[[#This Row],[Selling Price]]/Full_Data[[#This Row],[Weight (g)]]</f>
        <v>0.67241379310344829</v>
      </c>
      <c r="J1574" t="b">
        <v>0</v>
      </c>
      <c r="K1574">
        <v>1</v>
      </c>
      <c r="L1574">
        <f t="shared" si="217"/>
        <v>1</v>
      </c>
      <c r="M1574" t="str">
        <f t="shared" si="218"/>
        <v>Low</v>
      </c>
      <c r="N1574" t="str">
        <f t="shared" si="219"/>
        <v>0-5%</v>
      </c>
      <c r="O1574" t="str">
        <f t="shared" si="220"/>
        <v>OK</v>
      </c>
      <c r="P1574">
        <f>IFERROR(Full_Data!G1574/Full_Data!H1574,"Check data")</f>
        <v>0.67241379310344829</v>
      </c>
      <c r="Q1574" t="str">
        <f t="shared" si="221"/>
        <v>Match</v>
      </c>
      <c r="R1574" t="str">
        <f t="shared" si="222"/>
        <v>Mismatch</v>
      </c>
      <c r="S1574" t="str">
        <f t="shared" si="223"/>
        <v>Mismatch</v>
      </c>
    </row>
    <row r="1575" spans="1:19" x14ac:dyDescent="0.25">
      <c r="A1575" t="s">
        <v>1473</v>
      </c>
      <c r="B1575">
        <v>3500</v>
      </c>
      <c r="C1575">
        <f t="shared" si="224"/>
        <v>35</v>
      </c>
      <c r="D1575">
        <v>2</v>
      </c>
      <c r="E1575">
        <v>2</v>
      </c>
      <c r="F1575">
        <v>3400</v>
      </c>
      <c r="G1575">
        <f t="shared" si="216"/>
        <v>34</v>
      </c>
      <c r="H1575">
        <v>174</v>
      </c>
      <c r="I1575" s="4">
        <f>Full_Data[[#This Row],[Selling Price]]/Full_Data[[#This Row],[Weight (g)]]</f>
        <v>0.19540229885057472</v>
      </c>
      <c r="J1575" t="b">
        <v>0</v>
      </c>
      <c r="K1575">
        <v>3</v>
      </c>
      <c r="L1575">
        <f t="shared" si="217"/>
        <v>1</v>
      </c>
      <c r="M1575" t="str">
        <f t="shared" si="218"/>
        <v>Low</v>
      </c>
      <c r="N1575" t="str">
        <f t="shared" si="219"/>
        <v>0-5%</v>
      </c>
      <c r="O1575" t="str">
        <f t="shared" si="220"/>
        <v>OK</v>
      </c>
      <c r="P1575">
        <f>IFERROR(Full_Data!G1575/Full_Data!H1575,"Check data")</f>
        <v>0.19540229885057472</v>
      </c>
      <c r="Q1575" t="str">
        <f t="shared" si="221"/>
        <v>Match</v>
      </c>
      <c r="R1575" t="str">
        <f t="shared" si="222"/>
        <v>Mismatch</v>
      </c>
      <c r="S1575" t="str">
        <f t="shared" si="223"/>
        <v>Mismatch</v>
      </c>
    </row>
    <row r="1576" spans="1:19" x14ac:dyDescent="0.25">
      <c r="A1576" t="s">
        <v>1474</v>
      </c>
      <c r="B1576">
        <v>6200</v>
      </c>
      <c r="C1576">
        <f t="shared" si="224"/>
        <v>62</v>
      </c>
      <c r="D1576">
        <v>6</v>
      </c>
      <c r="E1576">
        <v>5</v>
      </c>
      <c r="F1576">
        <v>5800</v>
      </c>
      <c r="G1576">
        <f t="shared" si="216"/>
        <v>58</v>
      </c>
      <c r="H1576">
        <v>250</v>
      </c>
      <c r="I1576" s="4">
        <f>Full_Data[[#This Row],[Selling Price]]/Full_Data[[#This Row],[Weight (g)]]</f>
        <v>0.23200000000000001</v>
      </c>
      <c r="J1576" t="b">
        <v>0</v>
      </c>
      <c r="K1576">
        <v>250</v>
      </c>
      <c r="L1576">
        <f t="shared" si="217"/>
        <v>4</v>
      </c>
      <c r="M1576" t="str">
        <f t="shared" si="218"/>
        <v>Medium</v>
      </c>
      <c r="N1576" t="str">
        <f t="shared" si="219"/>
        <v>6-10%</v>
      </c>
      <c r="O1576" t="str">
        <f t="shared" si="220"/>
        <v>OK</v>
      </c>
      <c r="P1576">
        <f>IFERROR(Full_Data!G1576/Full_Data!H1576,"Check data")</f>
        <v>0.23200000000000001</v>
      </c>
      <c r="Q1576" t="str">
        <f t="shared" si="221"/>
        <v>Match</v>
      </c>
      <c r="R1576" t="str">
        <f t="shared" si="222"/>
        <v>Mismatch</v>
      </c>
      <c r="S1576" t="str">
        <f t="shared" si="223"/>
        <v>Match</v>
      </c>
    </row>
    <row r="1577" spans="1:19" x14ac:dyDescent="0.25">
      <c r="A1577" t="s">
        <v>1475</v>
      </c>
      <c r="B1577">
        <v>1600</v>
      </c>
      <c r="C1577">
        <f t="shared" si="224"/>
        <v>16</v>
      </c>
      <c r="D1577">
        <v>0</v>
      </c>
      <c r="E1577">
        <v>6</v>
      </c>
      <c r="F1577">
        <v>1600</v>
      </c>
      <c r="G1577">
        <f t="shared" si="216"/>
        <v>16</v>
      </c>
      <c r="H1577">
        <v>290</v>
      </c>
      <c r="I1577" s="4">
        <f>Full_Data[[#This Row],[Selling Price]]/Full_Data[[#This Row],[Weight (g)]]</f>
        <v>5.5172413793103448E-2</v>
      </c>
      <c r="J1577" t="b">
        <v>0</v>
      </c>
      <c r="K1577">
        <v>5</v>
      </c>
      <c r="L1577">
        <f t="shared" si="217"/>
        <v>0</v>
      </c>
      <c r="M1577" t="str">
        <f t="shared" si="218"/>
        <v>Low</v>
      </c>
      <c r="N1577" t="str">
        <f t="shared" si="219"/>
        <v>0-5%</v>
      </c>
      <c r="O1577" t="str">
        <f t="shared" si="220"/>
        <v>OK</v>
      </c>
      <c r="P1577">
        <f>IFERROR(Full_Data!G1577/Full_Data!H1577,"Check data")</f>
        <v>5.5172413793103448E-2</v>
      </c>
      <c r="Q1577" t="str">
        <f t="shared" si="221"/>
        <v>Match</v>
      </c>
      <c r="R1577" t="str">
        <f t="shared" si="222"/>
        <v>Match</v>
      </c>
      <c r="S1577" t="str">
        <f t="shared" si="223"/>
        <v>Match</v>
      </c>
    </row>
    <row r="1578" spans="1:19" x14ac:dyDescent="0.25">
      <c r="A1578" t="s">
        <v>1476</v>
      </c>
      <c r="B1578">
        <v>3300</v>
      </c>
      <c r="C1578">
        <f t="shared" si="224"/>
        <v>33</v>
      </c>
      <c r="D1578">
        <v>0</v>
      </c>
      <c r="E1578">
        <v>4</v>
      </c>
      <c r="F1578">
        <v>3300</v>
      </c>
      <c r="G1578">
        <f t="shared" si="216"/>
        <v>33</v>
      </c>
      <c r="H1578">
        <v>60</v>
      </c>
      <c r="I1578" s="4">
        <f>Full_Data[[#This Row],[Selling Price]]/Full_Data[[#This Row],[Weight (g)]]</f>
        <v>0.55000000000000004</v>
      </c>
      <c r="J1578" t="b">
        <v>0</v>
      </c>
      <c r="K1578">
        <v>60</v>
      </c>
      <c r="L1578">
        <f t="shared" si="217"/>
        <v>0</v>
      </c>
      <c r="M1578" t="str">
        <f t="shared" si="218"/>
        <v>Low</v>
      </c>
      <c r="N1578" t="str">
        <f t="shared" si="219"/>
        <v>0-5%</v>
      </c>
      <c r="O1578" t="str">
        <f t="shared" si="220"/>
        <v>OK</v>
      </c>
      <c r="P1578">
        <f>IFERROR(Full_Data!G1578/Full_Data!H1578,"Check data")</f>
        <v>0.55000000000000004</v>
      </c>
      <c r="Q1578" t="str">
        <f t="shared" si="221"/>
        <v>Match</v>
      </c>
      <c r="R1578" t="str">
        <f t="shared" si="222"/>
        <v>Match</v>
      </c>
      <c r="S1578" t="str">
        <f t="shared" si="223"/>
        <v>Match</v>
      </c>
    </row>
    <row r="1579" spans="1:19" x14ac:dyDescent="0.25">
      <c r="A1579" t="s">
        <v>1477</v>
      </c>
      <c r="B1579">
        <v>8200</v>
      </c>
      <c r="C1579">
        <f t="shared" si="224"/>
        <v>82</v>
      </c>
      <c r="D1579">
        <v>6</v>
      </c>
      <c r="E1579">
        <v>6</v>
      </c>
      <c r="F1579">
        <v>7700</v>
      </c>
      <c r="G1579">
        <f t="shared" si="216"/>
        <v>77</v>
      </c>
      <c r="H1579">
        <v>26</v>
      </c>
      <c r="I1579" s="4">
        <f>Full_Data[[#This Row],[Selling Price]]/Full_Data[[#This Row],[Weight (g)]]</f>
        <v>2.9615384615384617</v>
      </c>
      <c r="J1579" t="b">
        <v>0</v>
      </c>
      <c r="K1579">
        <v>26</v>
      </c>
      <c r="L1579">
        <f t="shared" si="217"/>
        <v>5</v>
      </c>
      <c r="M1579" t="str">
        <f t="shared" si="218"/>
        <v>Medium</v>
      </c>
      <c r="N1579" t="str">
        <f t="shared" si="219"/>
        <v>6-10%</v>
      </c>
      <c r="O1579" t="str">
        <f t="shared" si="220"/>
        <v>OK</v>
      </c>
      <c r="P1579">
        <f>IFERROR(Full_Data!G1579/Full_Data!H1579,"Check data")</f>
        <v>2.9615384615384617</v>
      </c>
      <c r="Q1579" t="str">
        <f t="shared" si="221"/>
        <v>Match</v>
      </c>
      <c r="R1579" t="str">
        <f t="shared" si="222"/>
        <v>Mismatch</v>
      </c>
      <c r="S1579" t="str">
        <f t="shared" si="223"/>
        <v>Match</v>
      </c>
    </row>
    <row r="1580" spans="1:19" x14ac:dyDescent="0.25">
      <c r="A1580" t="s">
        <v>1478</v>
      </c>
      <c r="B1580">
        <v>21000</v>
      </c>
      <c r="C1580">
        <f t="shared" si="224"/>
        <v>210</v>
      </c>
      <c r="D1580">
        <v>10</v>
      </c>
      <c r="E1580">
        <v>6</v>
      </c>
      <c r="F1580">
        <v>18900</v>
      </c>
      <c r="G1580">
        <f t="shared" si="216"/>
        <v>189</v>
      </c>
      <c r="H1580">
        <v>348</v>
      </c>
      <c r="I1580" s="4">
        <f>Full_Data[[#This Row],[Selling Price]]/Full_Data[[#This Row],[Weight (g)]]</f>
        <v>0.5431034482758621</v>
      </c>
      <c r="J1580" t="b">
        <v>0</v>
      </c>
      <c r="K1580">
        <v>6</v>
      </c>
      <c r="L1580">
        <f t="shared" si="217"/>
        <v>21</v>
      </c>
      <c r="M1580" t="str">
        <f t="shared" si="218"/>
        <v>Medium</v>
      </c>
      <c r="N1580" t="str">
        <f t="shared" si="219"/>
        <v>6-10%</v>
      </c>
      <c r="O1580" t="str">
        <f t="shared" si="220"/>
        <v>OK</v>
      </c>
      <c r="P1580">
        <f>IFERROR(Full_Data!G1580/Full_Data!H1580,"Check data")</f>
        <v>0.5431034482758621</v>
      </c>
      <c r="Q1580" t="str">
        <f t="shared" si="221"/>
        <v>Match</v>
      </c>
      <c r="R1580" t="str">
        <f t="shared" si="222"/>
        <v>Match</v>
      </c>
      <c r="S1580" t="str">
        <f t="shared" si="223"/>
        <v>Match</v>
      </c>
    </row>
    <row r="1581" spans="1:19" x14ac:dyDescent="0.25">
      <c r="A1581" t="s">
        <v>1479</v>
      </c>
      <c r="B1581">
        <v>6500</v>
      </c>
      <c r="C1581">
        <f t="shared" si="224"/>
        <v>65</v>
      </c>
      <c r="D1581">
        <v>9</v>
      </c>
      <c r="E1581">
        <v>4</v>
      </c>
      <c r="F1581">
        <v>5900</v>
      </c>
      <c r="G1581">
        <f t="shared" si="216"/>
        <v>59</v>
      </c>
      <c r="H1581">
        <v>120</v>
      </c>
      <c r="I1581" s="4">
        <f>Full_Data[[#This Row],[Selling Price]]/Full_Data[[#This Row],[Weight (g)]]</f>
        <v>0.49166666666666664</v>
      </c>
      <c r="J1581" t="b">
        <v>0</v>
      </c>
      <c r="K1581">
        <v>120</v>
      </c>
      <c r="L1581">
        <f t="shared" si="217"/>
        <v>6</v>
      </c>
      <c r="M1581" t="str">
        <f t="shared" si="218"/>
        <v>Medium</v>
      </c>
      <c r="N1581" t="str">
        <f t="shared" si="219"/>
        <v>6-10%</v>
      </c>
      <c r="O1581" t="str">
        <f t="shared" si="220"/>
        <v>OK</v>
      </c>
      <c r="P1581">
        <f>IFERROR(Full_Data!G1581/Full_Data!H1581,"Check data")</f>
        <v>0.49166666666666664</v>
      </c>
      <c r="Q1581" t="str">
        <f t="shared" si="221"/>
        <v>Match</v>
      </c>
      <c r="R1581" t="str">
        <f t="shared" si="222"/>
        <v>Mismatch</v>
      </c>
      <c r="S1581" t="str">
        <f t="shared" si="223"/>
        <v>Match</v>
      </c>
    </row>
    <row r="1582" spans="1:19" x14ac:dyDescent="0.25">
      <c r="A1582" t="s">
        <v>1480</v>
      </c>
      <c r="B1582">
        <v>22500</v>
      </c>
      <c r="C1582">
        <f t="shared" si="224"/>
        <v>225</v>
      </c>
      <c r="D1582">
        <v>0</v>
      </c>
      <c r="E1582">
        <v>6</v>
      </c>
      <c r="F1582">
        <v>22500</v>
      </c>
      <c r="G1582">
        <f t="shared" si="216"/>
        <v>225</v>
      </c>
      <c r="H1582">
        <v>1000</v>
      </c>
      <c r="I1582" s="4">
        <f>Full_Data[[#This Row],[Selling Price]]/Full_Data[[#This Row],[Weight (g)]]</f>
        <v>0.22500000000000001</v>
      </c>
      <c r="J1582" t="b">
        <v>0</v>
      </c>
      <c r="K1582">
        <v>1</v>
      </c>
      <c r="L1582">
        <f t="shared" si="217"/>
        <v>0</v>
      </c>
      <c r="M1582" t="str">
        <f t="shared" si="218"/>
        <v>High</v>
      </c>
      <c r="N1582" t="str">
        <f t="shared" si="219"/>
        <v>0-5%</v>
      </c>
      <c r="O1582" t="str">
        <f t="shared" si="220"/>
        <v>OK</v>
      </c>
      <c r="P1582">
        <f>IFERROR(Full_Data!G1582/Full_Data!H1582,"Check data")</f>
        <v>0.22500000000000001</v>
      </c>
      <c r="Q1582" t="str">
        <f t="shared" si="221"/>
        <v>Match</v>
      </c>
      <c r="R1582" t="str">
        <f t="shared" si="222"/>
        <v>Match</v>
      </c>
      <c r="S1582" t="str">
        <f t="shared" si="223"/>
        <v>Match</v>
      </c>
    </row>
    <row r="1583" spans="1:19" x14ac:dyDescent="0.25">
      <c r="A1583" t="s">
        <v>1481</v>
      </c>
      <c r="B1583">
        <v>12500</v>
      </c>
      <c r="C1583">
        <f t="shared" si="224"/>
        <v>125</v>
      </c>
      <c r="D1583">
        <v>9</v>
      </c>
      <c r="E1583">
        <v>6</v>
      </c>
      <c r="F1583">
        <v>11300</v>
      </c>
      <c r="G1583">
        <f t="shared" si="216"/>
        <v>113</v>
      </c>
      <c r="H1583">
        <v>58</v>
      </c>
      <c r="I1583" s="4">
        <f>Full_Data[[#This Row],[Selling Price]]/Full_Data[[#This Row],[Weight (g)]]</f>
        <v>1.9482758620689655</v>
      </c>
      <c r="J1583" t="b">
        <v>0</v>
      </c>
      <c r="K1583">
        <v>1</v>
      </c>
      <c r="L1583">
        <f t="shared" si="217"/>
        <v>12</v>
      </c>
      <c r="M1583" t="str">
        <f t="shared" si="218"/>
        <v>Medium</v>
      </c>
      <c r="N1583" t="str">
        <f t="shared" si="219"/>
        <v>6-10%</v>
      </c>
      <c r="O1583" t="str">
        <f t="shared" si="220"/>
        <v>OK</v>
      </c>
      <c r="P1583">
        <f>IFERROR(Full_Data!G1583/Full_Data!H1583,"Check data")</f>
        <v>1.9482758620689655</v>
      </c>
      <c r="Q1583" t="str">
        <f t="shared" si="221"/>
        <v>Match</v>
      </c>
      <c r="R1583" t="str">
        <f t="shared" si="222"/>
        <v>Mismatch</v>
      </c>
      <c r="S1583" t="str">
        <f t="shared" si="223"/>
        <v>Mismatch</v>
      </c>
    </row>
    <row r="1584" spans="1:19" x14ac:dyDescent="0.25">
      <c r="A1584" t="s">
        <v>1482</v>
      </c>
      <c r="B1584">
        <v>5000</v>
      </c>
      <c r="C1584">
        <f t="shared" si="224"/>
        <v>50</v>
      </c>
      <c r="D1584">
        <v>2</v>
      </c>
      <c r="E1584">
        <v>6</v>
      </c>
      <c r="F1584">
        <v>4900</v>
      </c>
      <c r="G1584">
        <f t="shared" si="216"/>
        <v>49</v>
      </c>
      <c r="H1584">
        <v>58</v>
      </c>
      <c r="I1584" s="4">
        <f>Full_Data[[#This Row],[Selling Price]]/Full_Data[[#This Row],[Weight (g)]]</f>
        <v>0.84482758620689657</v>
      </c>
      <c r="J1584" t="b">
        <v>0</v>
      </c>
      <c r="K1584">
        <v>1</v>
      </c>
      <c r="L1584">
        <f t="shared" si="217"/>
        <v>1</v>
      </c>
      <c r="M1584" t="str">
        <f t="shared" si="218"/>
        <v>Low</v>
      </c>
      <c r="N1584" t="str">
        <f t="shared" si="219"/>
        <v>0-5%</v>
      </c>
      <c r="O1584" t="str">
        <f t="shared" si="220"/>
        <v>OK</v>
      </c>
      <c r="P1584">
        <f>IFERROR(Full_Data!G1584/Full_Data!H1584,"Check data")</f>
        <v>0.84482758620689657</v>
      </c>
      <c r="Q1584" t="str">
        <f t="shared" si="221"/>
        <v>Match</v>
      </c>
      <c r="R1584" t="str">
        <f t="shared" si="222"/>
        <v>Match</v>
      </c>
      <c r="S1584" t="str">
        <f t="shared" si="223"/>
        <v>Match</v>
      </c>
    </row>
    <row r="1585" spans="1:19" x14ac:dyDescent="0.25">
      <c r="A1585" t="s">
        <v>1483</v>
      </c>
      <c r="B1585">
        <v>17900</v>
      </c>
      <c r="C1585">
        <f t="shared" si="224"/>
        <v>179</v>
      </c>
      <c r="D1585">
        <v>10</v>
      </c>
      <c r="E1585">
        <v>6</v>
      </c>
      <c r="F1585">
        <v>16100</v>
      </c>
      <c r="G1585">
        <f t="shared" si="216"/>
        <v>161</v>
      </c>
      <c r="H1585">
        <v>1000</v>
      </c>
      <c r="I1585" s="4">
        <f>Full_Data[[#This Row],[Selling Price]]/Full_Data[[#This Row],[Weight (g)]]</f>
        <v>0.161</v>
      </c>
      <c r="J1585" t="b">
        <v>0</v>
      </c>
      <c r="K1585">
        <v>1</v>
      </c>
      <c r="L1585">
        <f t="shared" si="217"/>
        <v>18</v>
      </c>
      <c r="M1585" t="str">
        <f t="shared" si="218"/>
        <v>Medium</v>
      </c>
      <c r="N1585" t="str">
        <f t="shared" si="219"/>
        <v>6-10%</v>
      </c>
      <c r="O1585" t="str">
        <f t="shared" si="220"/>
        <v>OK</v>
      </c>
      <c r="P1585">
        <f>IFERROR(Full_Data!G1585/Full_Data!H1585,"Check data")</f>
        <v>0.161</v>
      </c>
      <c r="Q1585" t="str">
        <f t="shared" si="221"/>
        <v>Match</v>
      </c>
      <c r="R1585" t="str">
        <f t="shared" si="222"/>
        <v>Mismatch</v>
      </c>
      <c r="S1585" t="str">
        <f t="shared" si="223"/>
        <v>Match</v>
      </c>
    </row>
    <row r="1586" spans="1:19" x14ac:dyDescent="0.25">
      <c r="A1586" t="s">
        <v>1484</v>
      </c>
      <c r="B1586">
        <v>16000</v>
      </c>
      <c r="C1586">
        <f t="shared" si="224"/>
        <v>160</v>
      </c>
      <c r="D1586">
        <v>0</v>
      </c>
      <c r="E1586">
        <v>6</v>
      </c>
      <c r="F1586">
        <v>16000</v>
      </c>
      <c r="G1586">
        <f t="shared" si="216"/>
        <v>160</v>
      </c>
      <c r="H1586">
        <v>30</v>
      </c>
      <c r="I1586" s="4">
        <f>Full_Data[[#This Row],[Selling Price]]/Full_Data[[#This Row],[Weight (g)]]</f>
        <v>5.333333333333333</v>
      </c>
      <c r="J1586" t="b">
        <v>0</v>
      </c>
      <c r="K1586">
        <v>30</v>
      </c>
      <c r="L1586">
        <f t="shared" si="217"/>
        <v>0</v>
      </c>
      <c r="M1586" t="str">
        <f t="shared" si="218"/>
        <v>Medium</v>
      </c>
      <c r="N1586" t="str">
        <f t="shared" si="219"/>
        <v>0-5%</v>
      </c>
      <c r="O1586" t="str">
        <f t="shared" si="220"/>
        <v>OK</v>
      </c>
      <c r="P1586">
        <f>IFERROR(Full_Data!G1586/Full_Data!H1586,"Check data")</f>
        <v>5.333333333333333</v>
      </c>
      <c r="Q1586" t="str">
        <f t="shared" si="221"/>
        <v>Match</v>
      </c>
      <c r="R1586" t="str">
        <f t="shared" si="222"/>
        <v>Match</v>
      </c>
      <c r="S1586" t="str">
        <f t="shared" si="223"/>
        <v>Match</v>
      </c>
    </row>
    <row r="1587" spans="1:19" x14ac:dyDescent="0.25">
      <c r="A1587" t="s">
        <v>1485</v>
      </c>
      <c r="B1587">
        <v>28000</v>
      </c>
      <c r="C1587">
        <f t="shared" si="224"/>
        <v>280</v>
      </c>
      <c r="D1587">
        <v>6</v>
      </c>
      <c r="E1587">
        <v>6</v>
      </c>
      <c r="F1587">
        <v>26300</v>
      </c>
      <c r="G1587">
        <f t="shared" si="216"/>
        <v>263</v>
      </c>
      <c r="H1587">
        <v>1500</v>
      </c>
      <c r="I1587" s="4">
        <f>Full_Data[[#This Row],[Selling Price]]/Full_Data[[#This Row],[Weight (g)]]</f>
        <v>0.17533333333333334</v>
      </c>
      <c r="J1587" t="b">
        <v>0</v>
      </c>
      <c r="K1587">
        <v>1</v>
      </c>
      <c r="L1587">
        <f t="shared" si="217"/>
        <v>17</v>
      </c>
      <c r="M1587" t="str">
        <f t="shared" si="218"/>
        <v>High</v>
      </c>
      <c r="N1587" t="str">
        <f t="shared" si="219"/>
        <v>6-10%</v>
      </c>
      <c r="O1587" t="str">
        <f t="shared" si="220"/>
        <v>OK</v>
      </c>
      <c r="P1587">
        <f>IFERROR(Full_Data!G1587/Full_Data!H1587,"Check data")</f>
        <v>0.17533333333333334</v>
      </c>
      <c r="Q1587" t="str">
        <f t="shared" si="221"/>
        <v>Match</v>
      </c>
      <c r="R1587" t="str">
        <f t="shared" si="222"/>
        <v>Mismatch</v>
      </c>
      <c r="S1587" t="str">
        <f t="shared" si="223"/>
        <v>Match</v>
      </c>
    </row>
    <row r="1588" spans="1:19" x14ac:dyDescent="0.25">
      <c r="A1588" t="s">
        <v>1486</v>
      </c>
      <c r="B1588">
        <v>4500</v>
      </c>
      <c r="C1588">
        <f t="shared" si="224"/>
        <v>45</v>
      </c>
      <c r="D1588">
        <v>2</v>
      </c>
      <c r="E1588">
        <v>6</v>
      </c>
      <c r="F1588">
        <v>4400</v>
      </c>
      <c r="G1588">
        <f t="shared" si="216"/>
        <v>44</v>
      </c>
      <c r="H1588">
        <v>116</v>
      </c>
      <c r="I1588" s="4">
        <f>Full_Data[[#This Row],[Selling Price]]/Full_Data[[#This Row],[Weight (g)]]</f>
        <v>0.37931034482758619</v>
      </c>
      <c r="J1588" t="b">
        <v>0</v>
      </c>
      <c r="K1588">
        <v>2</v>
      </c>
      <c r="L1588">
        <f t="shared" si="217"/>
        <v>1</v>
      </c>
      <c r="M1588" t="str">
        <f t="shared" si="218"/>
        <v>Low</v>
      </c>
      <c r="N1588" t="str">
        <f t="shared" si="219"/>
        <v>0-5%</v>
      </c>
      <c r="O1588" t="str">
        <f t="shared" si="220"/>
        <v>OK</v>
      </c>
      <c r="P1588">
        <f>IFERROR(Full_Data!G1588/Full_Data!H1588,"Check data")</f>
        <v>0.37931034482758619</v>
      </c>
      <c r="Q1588" t="str">
        <f t="shared" si="221"/>
        <v>Match</v>
      </c>
      <c r="R1588" t="str">
        <f t="shared" si="222"/>
        <v>Mismatch</v>
      </c>
      <c r="S1588" t="str">
        <f t="shared" si="223"/>
        <v>Match</v>
      </c>
    </row>
    <row r="1589" spans="1:19" x14ac:dyDescent="0.25">
      <c r="A1589" t="s">
        <v>1487</v>
      </c>
      <c r="B1589">
        <v>10300</v>
      </c>
      <c r="C1589">
        <f t="shared" si="224"/>
        <v>103</v>
      </c>
      <c r="D1589">
        <v>5</v>
      </c>
      <c r="E1589">
        <v>6</v>
      </c>
      <c r="F1589">
        <v>9700</v>
      </c>
      <c r="G1589">
        <f t="shared" si="216"/>
        <v>97</v>
      </c>
      <c r="H1589">
        <v>500</v>
      </c>
      <c r="I1589" s="4">
        <f>Full_Data[[#This Row],[Selling Price]]/Full_Data[[#This Row],[Weight (g)]]</f>
        <v>0.19400000000000001</v>
      </c>
      <c r="J1589" t="b">
        <v>0</v>
      </c>
      <c r="K1589">
        <v>500</v>
      </c>
      <c r="L1589">
        <f t="shared" si="217"/>
        <v>6</v>
      </c>
      <c r="M1589" t="str">
        <f t="shared" si="218"/>
        <v>Medium</v>
      </c>
      <c r="N1589" t="str">
        <f t="shared" si="219"/>
        <v>0-5%</v>
      </c>
      <c r="O1589" t="str">
        <f t="shared" si="220"/>
        <v>OK</v>
      </c>
      <c r="P1589">
        <f>IFERROR(Full_Data!G1589/Full_Data!H1589,"Check data")</f>
        <v>0.19400000000000001</v>
      </c>
      <c r="Q1589" t="str">
        <f t="shared" si="221"/>
        <v>Match</v>
      </c>
      <c r="R1589" t="str">
        <f t="shared" si="222"/>
        <v>Mismatch</v>
      </c>
      <c r="S1589" t="str">
        <f t="shared" si="223"/>
        <v>Mismatch</v>
      </c>
    </row>
    <row r="1590" spans="1:19" x14ac:dyDescent="0.25">
      <c r="A1590" t="s">
        <v>1488</v>
      </c>
      <c r="B1590">
        <v>14800</v>
      </c>
      <c r="C1590">
        <f t="shared" si="224"/>
        <v>148</v>
      </c>
      <c r="D1590">
        <v>7</v>
      </c>
      <c r="E1590">
        <v>6</v>
      </c>
      <c r="F1590">
        <v>13700</v>
      </c>
      <c r="G1590">
        <f t="shared" si="216"/>
        <v>137</v>
      </c>
      <c r="H1590">
        <v>750</v>
      </c>
      <c r="I1590" s="4">
        <f>Full_Data[[#This Row],[Selling Price]]/Full_Data[[#This Row],[Weight (g)]]</f>
        <v>0.18266666666666667</v>
      </c>
      <c r="J1590" t="b">
        <v>0</v>
      </c>
      <c r="K1590">
        <v>750</v>
      </c>
      <c r="L1590">
        <f t="shared" si="217"/>
        <v>11</v>
      </c>
      <c r="M1590" t="str">
        <f t="shared" si="218"/>
        <v>Medium</v>
      </c>
      <c r="N1590" t="str">
        <f t="shared" si="219"/>
        <v>6-10%</v>
      </c>
      <c r="O1590" t="str">
        <f t="shared" si="220"/>
        <v>OK</v>
      </c>
      <c r="P1590">
        <f>IFERROR(Full_Data!G1590/Full_Data!H1590,"Check data")</f>
        <v>0.18266666666666667</v>
      </c>
      <c r="Q1590" t="str">
        <f t="shared" si="221"/>
        <v>Match</v>
      </c>
      <c r="R1590" t="str">
        <f t="shared" si="222"/>
        <v>Mismatch</v>
      </c>
      <c r="S1590" t="str">
        <f t="shared" si="223"/>
        <v>Match</v>
      </c>
    </row>
    <row r="1591" spans="1:19" x14ac:dyDescent="0.25">
      <c r="A1591" t="s">
        <v>1489</v>
      </c>
      <c r="B1591">
        <v>26900</v>
      </c>
      <c r="C1591">
        <f t="shared" si="224"/>
        <v>269</v>
      </c>
      <c r="D1591">
        <v>0</v>
      </c>
      <c r="E1591">
        <v>6</v>
      </c>
      <c r="F1591">
        <v>26900</v>
      </c>
      <c r="G1591">
        <f t="shared" si="216"/>
        <v>269</v>
      </c>
      <c r="H1591">
        <v>385</v>
      </c>
      <c r="I1591" s="4">
        <f>Full_Data[[#This Row],[Selling Price]]/Full_Data[[#This Row],[Weight (g)]]</f>
        <v>0.69870129870129871</v>
      </c>
      <c r="J1591" t="b">
        <v>0</v>
      </c>
      <c r="K1591">
        <v>385</v>
      </c>
      <c r="L1591">
        <f t="shared" si="217"/>
        <v>0</v>
      </c>
      <c r="M1591" t="str">
        <f t="shared" si="218"/>
        <v>High</v>
      </c>
      <c r="N1591" t="str">
        <f t="shared" si="219"/>
        <v>0-5%</v>
      </c>
      <c r="O1591" t="str">
        <f t="shared" si="220"/>
        <v>OK</v>
      </c>
      <c r="P1591">
        <f>IFERROR(Full_Data!G1591/Full_Data!H1591,"Check data")</f>
        <v>0.69870129870129871</v>
      </c>
      <c r="Q1591" t="str">
        <f t="shared" si="221"/>
        <v>Match</v>
      </c>
      <c r="R1591" t="str">
        <f t="shared" si="222"/>
        <v>Match</v>
      </c>
      <c r="S1591" t="str">
        <f t="shared" si="223"/>
        <v>Match</v>
      </c>
    </row>
    <row r="1592" spans="1:19" x14ac:dyDescent="0.25">
      <c r="A1592" t="s">
        <v>1490</v>
      </c>
      <c r="B1592">
        <v>4000</v>
      </c>
      <c r="C1592">
        <f t="shared" si="224"/>
        <v>40</v>
      </c>
      <c r="D1592">
        <v>2</v>
      </c>
      <c r="E1592">
        <v>6</v>
      </c>
      <c r="F1592">
        <v>3900</v>
      </c>
      <c r="G1592">
        <f t="shared" si="216"/>
        <v>39</v>
      </c>
      <c r="H1592">
        <v>15</v>
      </c>
      <c r="I1592" s="4">
        <f>Full_Data[[#This Row],[Selling Price]]/Full_Data[[#This Row],[Weight (g)]]</f>
        <v>2.6</v>
      </c>
      <c r="J1592" t="b">
        <v>0</v>
      </c>
      <c r="K1592">
        <v>15</v>
      </c>
      <c r="L1592">
        <f t="shared" si="217"/>
        <v>1</v>
      </c>
      <c r="M1592" t="str">
        <f t="shared" si="218"/>
        <v>Low</v>
      </c>
      <c r="N1592" t="str">
        <f t="shared" si="219"/>
        <v>0-5%</v>
      </c>
      <c r="O1592" t="str">
        <f t="shared" si="220"/>
        <v>OK</v>
      </c>
      <c r="P1592">
        <f>IFERROR(Full_Data!G1592/Full_Data!H1592,"Check data")</f>
        <v>2.6</v>
      </c>
      <c r="Q1592" t="str">
        <f t="shared" si="221"/>
        <v>Match</v>
      </c>
      <c r="R1592" t="str">
        <f t="shared" si="222"/>
        <v>Mismatch</v>
      </c>
      <c r="S1592" t="str">
        <f t="shared" si="223"/>
        <v>Mismatch</v>
      </c>
    </row>
    <row r="1593" spans="1:19" x14ac:dyDescent="0.25">
      <c r="A1593" t="s">
        <v>1491</v>
      </c>
      <c r="B1593">
        <v>17500</v>
      </c>
      <c r="C1593">
        <f t="shared" si="224"/>
        <v>175</v>
      </c>
      <c r="D1593">
        <v>0</v>
      </c>
      <c r="E1593">
        <v>6</v>
      </c>
      <c r="F1593">
        <v>17500</v>
      </c>
      <c r="G1593">
        <f t="shared" si="216"/>
        <v>175</v>
      </c>
      <c r="H1593">
        <v>1000</v>
      </c>
      <c r="I1593" s="4">
        <f>Full_Data[[#This Row],[Selling Price]]/Full_Data[[#This Row],[Weight (g)]]</f>
        <v>0.17499999999999999</v>
      </c>
      <c r="J1593" t="b">
        <v>0</v>
      </c>
      <c r="K1593">
        <v>1</v>
      </c>
      <c r="L1593">
        <f t="shared" si="217"/>
        <v>0</v>
      </c>
      <c r="M1593" t="str">
        <f t="shared" si="218"/>
        <v>Medium</v>
      </c>
      <c r="N1593" t="str">
        <f t="shared" si="219"/>
        <v>0-5%</v>
      </c>
      <c r="O1593" t="str">
        <f t="shared" si="220"/>
        <v>OK</v>
      </c>
      <c r="P1593">
        <f>IFERROR(Full_Data!G1593/Full_Data!H1593,"Check data")</f>
        <v>0.17499999999999999</v>
      </c>
      <c r="Q1593" t="str">
        <f t="shared" si="221"/>
        <v>Match</v>
      </c>
      <c r="R1593" t="str">
        <f t="shared" si="222"/>
        <v>Match</v>
      </c>
      <c r="S1593" t="str">
        <f t="shared" si="223"/>
        <v>Match</v>
      </c>
    </row>
    <row r="1594" spans="1:19" x14ac:dyDescent="0.25">
      <c r="A1594" t="s">
        <v>1492</v>
      </c>
      <c r="B1594">
        <v>22500</v>
      </c>
      <c r="C1594">
        <f t="shared" si="224"/>
        <v>225</v>
      </c>
      <c r="D1594">
        <v>5</v>
      </c>
      <c r="E1594">
        <v>3</v>
      </c>
      <c r="F1594">
        <v>21300</v>
      </c>
      <c r="G1594">
        <f t="shared" si="216"/>
        <v>213</v>
      </c>
      <c r="H1594">
        <v>300</v>
      </c>
      <c r="I1594" s="4">
        <f>Full_Data[[#This Row],[Selling Price]]/Full_Data[[#This Row],[Weight (g)]]</f>
        <v>0.71</v>
      </c>
      <c r="J1594" t="b">
        <v>0</v>
      </c>
      <c r="K1594">
        <v>300</v>
      </c>
      <c r="L1594">
        <f t="shared" si="217"/>
        <v>12</v>
      </c>
      <c r="M1594" t="str">
        <f t="shared" si="218"/>
        <v>High</v>
      </c>
      <c r="N1594" t="str">
        <f t="shared" si="219"/>
        <v>0-5%</v>
      </c>
      <c r="O1594" t="str">
        <f t="shared" si="220"/>
        <v>OK</v>
      </c>
      <c r="P1594">
        <f>IFERROR(Full_Data!G1594/Full_Data!H1594,"Check data")</f>
        <v>0.71</v>
      </c>
      <c r="Q1594" t="str">
        <f t="shared" si="221"/>
        <v>Match</v>
      </c>
      <c r="R1594" t="str">
        <f t="shared" si="222"/>
        <v>Mismatch</v>
      </c>
      <c r="S1594" t="str">
        <f t="shared" si="223"/>
        <v>Match</v>
      </c>
    </row>
    <row r="1595" spans="1:19" x14ac:dyDescent="0.25">
      <c r="A1595" t="s">
        <v>1493</v>
      </c>
      <c r="B1595">
        <v>5500</v>
      </c>
      <c r="C1595">
        <f t="shared" si="224"/>
        <v>55</v>
      </c>
      <c r="D1595">
        <v>0</v>
      </c>
      <c r="E1595">
        <v>6</v>
      </c>
      <c r="F1595">
        <v>5500</v>
      </c>
      <c r="G1595">
        <f t="shared" si="216"/>
        <v>55</v>
      </c>
      <c r="H1595">
        <v>10</v>
      </c>
      <c r="I1595" s="4">
        <f>Full_Data[[#This Row],[Selling Price]]/Full_Data[[#This Row],[Weight (g)]]</f>
        <v>5.5</v>
      </c>
      <c r="J1595" t="b">
        <v>0</v>
      </c>
      <c r="K1595">
        <v>10</v>
      </c>
      <c r="L1595">
        <f t="shared" si="217"/>
        <v>0</v>
      </c>
      <c r="M1595" t="str">
        <f t="shared" si="218"/>
        <v>Medium</v>
      </c>
      <c r="N1595" t="str">
        <f t="shared" si="219"/>
        <v>0-5%</v>
      </c>
      <c r="O1595" t="str">
        <f t="shared" si="220"/>
        <v>OK</v>
      </c>
      <c r="P1595">
        <f>IFERROR(Full_Data!G1595/Full_Data!H1595,"Check data")</f>
        <v>5.5</v>
      </c>
      <c r="Q1595" t="str">
        <f t="shared" si="221"/>
        <v>Match</v>
      </c>
      <c r="R1595" t="str">
        <f t="shared" si="222"/>
        <v>Match</v>
      </c>
      <c r="S1595" t="str">
        <f t="shared" si="223"/>
        <v>Match</v>
      </c>
    </row>
    <row r="1596" spans="1:19" x14ac:dyDescent="0.25">
      <c r="A1596" t="s">
        <v>1494</v>
      </c>
      <c r="B1596">
        <v>32000</v>
      </c>
      <c r="C1596">
        <f t="shared" si="224"/>
        <v>320</v>
      </c>
      <c r="D1596">
        <v>0</v>
      </c>
      <c r="E1596">
        <v>6</v>
      </c>
      <c r="F1596">
        <v>32000</v>
      </c>
      <c r="G1596">
        <f t="shared" si="216"/>
        <v>320</v>
      </c>
      <c r="H1596">
        <v>2000</v>
      </c>
      <c r="I1596" s="4">
        <f>Full_Data[[#This Row],[Selling Price]]/Full_Data[[#This Row],[Weight (g)]]</f>
        <v>0.16</v>
      </c>
      <c r="J1596" t="b">
        <v>0</v>
      </c>
      <c r="K1596">
        <v>2</v>
      </c>
      <c r="L1596">
        <f t="shared" si="217"/>
        <v>0</v>
      </c>
      <c r="M1596" t="str">
        <f t="shared" si="218"/>
        <v>High</v>
      </c>
      <c r="N1596" t="str">
        <f t="shared" si="219"/>
        <v>0-5%</v>
      </c>
      <c r="O1596" t="str">
        <f t="shared" si="220"/>
        <v>OK</v>
      </c>
      <c r="P1596">
        <f>IFERROR(Full_Data!G1596/Full_Data!H1596,"Check data")</f>
        <v>0.16</v>
      </c>
      <c r="Q1596" t="str">
        <f t="shared" si="221"/>
        <v>Match</v>
      </c>
      <c r="R1596" t="str">
        <f t="shared" si="222"/>
        <v>Match</v>
      </c>
      <c r="S1596" t="str">
        <f t="shared" si="223"/>
        <v>Match</v>
      </c>
    </row>
    <row r="1597" spans="1:19" x14ac:dyDescent="0.25">
      <c r="A1597" t="s">
        <v>1495</v>
      </c>
      <c r="B1597">
        <v>7500</v>
      </c>
      <c r="C1597">
        <f t="shared" si="224"/>
        <v>75</v>
      </c>
      <c r="D1597">
        <v>9</v>
      </c>
      <c r="E1597">
        <v>6</v>
      </c>
      <c r="F1597">
        <v>6800</v>
      </c>
      <c r="G1597">
        <f t="shared" si="216"/>
        <v>68</v>
      </c>
      <c r="H1597">
        <v>290</v>
      </c>
      <c r="I1597" s="4">
        <f>Full_Data[[#This Row],[Selling Price]]/Full_Data[[#This Row],[Weight (g)]]</f>
        <v>0.23448275862068965</v>
      </c>
      <c r="J1597" t="b">
        <v>0</v>
      </c>
      <c r="K1597">
        <v>5</v>
      </c>
      <c r="L1597">
        <f t="shared" si="217"/>
        <v>7</v>
      </c>
      <c r="M1597" t="str">
        <f t="shared" si="218"/>
        <v>Medium</v>
      </c>
      <c r="N1597" t="str">
        <f t="shared" si="219"/>
        <v>6-10%</v>
      </c>
      <c r="O1597" t="str">
        <f t="shared" si="220"/>
        <v>OK</v>
      </c>
      <c r="P1597">
        <f>IFERROR(Full_Data!G1597/Full_Data!H1597,"Check data")</f>
        <v>0.23448275862068965</v>
      </c>
      <c r="Q1597" t="str">
        <f t="shared" si="221"/>
        <v>Match</v>
      </c>
      <c r="R1597" t="str">
        <f t="shared" si="222"/>
        <v>Mismatch</v>
      </c>
      <c r="S1597" t="str">
        <f t="shared" si="223"/>
        <v>Match</v>
      </c>
    </row>
    <row r="1598" spans="1:19" x14ac:dyDescent="0.25">
      <c r="A1598" t="s">
        <v>1496</v>
      </c>
      <c r="B1598">
        <v>6500</v>
      </c>
      <c r="C1598">
        <f t="shared" si="224"/>
        <v>65</v>
      </c>
      <c r="D1598">
        <v>13</v>
      </c>
      <c r="E1598">
        <v>5</v>
      </c>
      <c r="F1598">
        <v>5600</v>
      </c>
      <c r="G1598">
        <f t="shared" si="216"/>
        <v>56</v>
      </c>
      <c r="H1598">
        <v>100</v>
      </c>
      <c r="I1598" s="4">
        <f>Full_Data[[#This Row],[Selling Price]]/Full_Data[[#This Row],[Weight (g)]]</f>
        <v>0.56000000000000005</v>
      </c>
      <c r="J1598" t="b">
        <v>0</v>
      </c>
      <c r="K1598">
        <v>100</v>
      </c>
      <c r="L1598">
        <f t="shared" si="217"/>
        <v>9</v>
      </c>
      <c r="M1598" t="str">
        <f t="shared" si="218"/>
        <v>Medium</v>
      </c>
      <c r="N1598" t="str">
        <f t="shared" si="219"/>
        <v>11-15%</v>
      </c>
      <c r="O1598" t="str">
        <f t="shared" si="220"/>
        <v>OK</v>
      </c>
      <c r="P1598">
        <f>IFERROR(Full_Data!G1598/Full_Data!H1598,"Check data")</f>
        <v>0.56000000000000005</v>
      </c>
      <c r="Q1598" t="str">
        <f t="shared" si="221"/>
        <v>Match</v>
      </c>
      <c r="R1598" t="str">
        <f t="shared" si="222"/>
        <v>Mismatch</v>
      </c>
      <c r="S1598" t="str">
        <f t="shared" si="223"/>
        <v>Mismatch</v>
      </c>
    </row>
    <row r="1599" spans="1:19" x14ac:dyDescent="0.25">
      <c r="A1599" t="s">
        <v>1497</v>
      </c>
      <c r="B1599">
        <v>60000</v>
      </c>
      <c r="C1599">
        <f t="shared" si="224"/>
        <v>600</v>
      </c>
      <c r="D1599">
        <v>8</v>
      </c>
      <c r="E1599">
        <v>1</v>
      </c>
      <c r="F1599">
        <v>54900</v>
      </c>
      <c r="G1599">
        <f t="shared" si="216"/>
        <v>549</v>
      </c>
      <c r="H1599">
        <v>4000</v>
      </c>
      <c r="I1599" s="4">
        <f>Full_Data[[#This Row],[Selling Price]]/Full_Data[[#This Row],[Weight (g)]]</f>
        <v>0.13725000000000001</v>
      </c>
      <c r="J1599" t="b">
        <v>0</v>
      </c>
      <c r="K1599">
        <v>4</v>
      </c>
      <c r="L1599">
        <f t="shared" si="217"/>
        <v>51</v>
      </c>
      <c r="M1599" t="str">
        <f t="shared" si="218"/>
        <v>High</v>
      </c>
      <c r="N1599" t="str">
        <f t="shared" si="219"/>
        <v>6-10%</v>
      </c>
      <c r="O1599" t="str">
        <f t="shared" si="220"/>
        <v>OK</v>
      </c>
      <c r="P1599">
        <f>IFERROR(Full_Data!G1599/Full_Data!H1599,"Check data")</f>
        <v>0.13725000000000001</v>
      </c>
      <c r="Q1599" t="str">
        <f t="shared" si="221"/>
        <v>Match</v>
      </c>
      <c r="R1599" t="str">
        <f t="shared" si="222"/>
        <v>Mismatch</v>
      </c>
      <c r="S1599" t="str">
        <f t="shared" si="223"/>
        <v>Mismatch</v>
      </c>
    </row>
    <row r="1600" spans="1:19" x14ac:dyDescent="0.25">
      <c r="A1600" t="s">
        <v>1498</v>
      </c>
      <c r="B1600">
        <v>8500</v>
      </c>
      <c r="C1600">
        <f t="shared" si="224"/>
        <v>85</v>
      </c>
      <c r="D1600">
        <v>7</v>
      </c>
      <c r="E1600">
        <v>1</v>
      </c>
      <c r="F1600">
        <v>7900</v>
      </c>
      <c r="G1600">
        <f t="shared" si="216"/>
        <v>79</v>
      </c>
      <c r="H1600">
        <v>50</v>
      </c>
      <c r="I1600" s="4">
        <f>Full_Data[[#This Row],[Selling Price]]/Full_Data[[#This Row],[Weight (g)]]</f>
        <v>1.58</v>
      </c>
      <c r="J1600" t="b">
        <v>0</v>
      </c>
      <c r="K1600">
        <v>50</v>
      </c>
      <c r="L1600">
        <f t="shared" si="217"/>
        <v>6</v>
      </c>
      <c r="M1600" t="str">
        <f t="shared" si="218"/>
        <v>Medium</v>
      </c>
      <c r="N1600" t="str">
        <f t="shared" si="219"/>
        <v>6-10%</v>
      </c>
      <c r="O1600" t="str">
        <f t="shared" si="220"/>
        <v>OK</v>
      </c>
      <c r="P1600">
        <f>IFERROR(Full_Data!G1600/Full_Data!H1600,"Check data")</f>
        <v>1.58</v>
      </c>
      <c r="Q1600" t="str">
        <f t="shared" si="221"/>
        <v>Match</v>
      </c>
      <c r="R1600" t="str">
        <f t="shared" si="222"/>
        <v>Mismatch</v>
      </c>
      <c r="S1600" t="str">
        <f t="shared" si="223"/>
        <v>Match</v>
      </c>
    </row>
    <row r="1601" spans="1:19" x14ac:dyDescent="0.25">
      <c r="A1601" t="s">
        <v>1499</v>
      </c>
      <c r="B1601">
        <v>14900</v>
      </c>
      <c r="C1601">
        <f t="shared" si="224"/>
        <v>149</v>
      </c>
      <c r="D1601">
        <v>5</v>
      </c>
      <c r="E1601">
        <v>4</v>
      </c>
      <c r="F1601">
        <v>14100</v>
      </c>
      <c r="G1601">
        <f t="shared" si="216"/>
        <v>141</v>
      </c>
      <c r="H1601">
        <v>240</v>
      </c>
      <c r="I1601" s="4">
        <f>Full_Data[[#This Row],[Selling Price]]/Full_Data[[#This Row],[Weight (g)]]</f>
        <v>0.58750000000000002</v>
      </c>
      <c r="J1601" t="b">
        <v>0</v>
      </c>
      <c r="K1601">
        <v>240</v>
      </c>
      <c r="L1601">
        <f t="shared" si="217"/>
        <v>8</v>
      </c>
      <c r="M1601" t="str">
        <f t="shared" si="218"/>
        <v>Medium</v>
      </c>
      <c r="N1601" t="str">
        <f t="shared" si="219"/>
        <v>0-5%</v>
      </c>
      <c r="O1601" t="str">
        <f t="shared" si="220"/>
        <v>OK</v>
      </c>
      <c r="P1601">
        <f>IFERROR(Full_Data!G1601/Full_Data!H1601,"Check data")</f>
        <v>0.58750000000000002</v>
      </c>
      <c r="Q1601" t="str">
        <f t="shared" si="221"/>
        <v>Match</v>
      </c>
      <c r="R1601" t="str">
        <f t="shared" si="222"/>
        <v>Mismatch</v>
      </c>
      <c r="S1601" t="str">
        <f t="shared" si="223"/>
        <v>Match</v>
      </c>
    </row>
    <row r="1602" spans="1:19" x14ac:dyDescent="0.25">
      <c r="A1602" t="s">
        <v>1500</v>
      </c>
      <c r="B1602">
        <v>11000</v>
      </c>
      <c r="C1602">
        <f t="shared" si="224"/>
        <v>110</v>
      </c>
      <c r="D1602">
        <v>2</v>
      </c>
      <c r="E1602">
        <v>4</v>
      </c>
      <c r="F1602">
        <v>10700</v>
      </c>
      <c r="G1602">
        <f t="shared" ref="G1602:G1665" si="225">F1602/100</f>
        <v>107</v>
      </c>
      <c r="H1602">
        <v>58</v>
      </c>
      <c r="I1602" s="4">
        <f>Full_Data[[#This Row],[Selling Price]]/Full_Data[[#This Row],[Weight (g)]]</f>
        <v>1.8448275862068966</v>
      </c>
      <c r="J1602" t="b">
        <v>0</v>
      </c>
      <c r="K1602">
        <v>1</v>
      </c>
      <c r="L1602">
        <f t="shared" ref="L1602:L1665" si="226">C1602-G1602</f>
        <v>3</v>
      </c>
      <c r="M1602" t="str">
        <f t="shared" ref="M1602:M1665" si="227">IF(G1602&lt;50,"Low",IF(G1602&lt;200,"Medium","High"))</f>
        <v>Medium</v>
      </c>
      <c r="N1602" t="str">
        <f t="shared" ref="N1602:N1665" si="228">IF(D1602&lt;=5,"0-5%",
IF(D1602&lt;=10,"6-10%",
IF(D1602&lt;=15,"11-15%",
IF(D1602&lt;=20,"16-20%","21%+"))))</f>
        <v>0-5%</v>
      </c>
      <c r="O1602" t="str">
        <f t="shared" ref="O1602:O1665" si="229">IF(AND(C1602=0,G1602=0),"Review: Zero MRP and selling price",IF(C1602&lt;=0,"Review: Invalid MRP",IF(G1602&lt;0,"Review: Negative selling price",IF(G1602=0,"Review: Zero selling price",IF(H1602&lt;=0,"Review: Invalid weight","OK")))))</f>
        <v>OK</v>
      </c>
      <c r="P1602">
        <f>IFERROR(Full_Data!G1602/Full_Data!H1602,"Check data")</f>
        <v>1.8448275862068966</v>
      </c>
      <c r="Q1602" t="str">
        <f t="shared" ref="Q1602:Q1665" si="230">IF(OR(H1602="",H1602&lt;=0),"Invalid weight",IF(G1602="","Missing selling price",IF(ROUND(G1602/H1602,2)=ROUND(I1602,2),"Match","Mismatch")))</f>
        <v>Match</v>
      </c>
      <c r="R1602" t="str">
        <f t="shared" ref="R1602:R1665" si="231">IF(OR(C1602&lt;=0,G1602=""),"Check data",IF(ROUND((C1602-G1602)/C1602*100,2)=ROUND(D1602,2),"Match","Mismatch"))</f>
        <v>Mismatch</v>
      </c>
      <c r="S1602" t="str">
        <f t="shared" ref="S1602:S1665" si="232">IF(OR(C1602&lt;=0,G1602=""),"Check data",IF(ROUND((C1602-G1602)/C1602*100,0)=D1602,"Match","Mismatch"))</f>
        <v>Mismatch</v>
      </c>
    </row>
    <row r="1603" spans="1:19" x14ac:dyDescent="0.25">
      <c r="A1603" t="s">
        <v>1501</v>
      </c>
      <c r="B1603">
        <v>1900</v>
      </c>
      <c r="C1603">
        <f t="shared" ref="C1603:C1666" si="233">B1603/100</f>
        <v>19</v>
      </c>
      <c r="D1603">
        <v>0</v>
      </c>
      <c r="E1603">
        <v>4</v>
      </c>
      <c r="F1603">
        <v>1900</v>
      </c>
      <c r="G1603">
        <f t="shared" si="225"/>
        <v>19</v>
      </c>
      <c r="H1603">
        <v>50</v>
      </c>
      <c r="I1603" s="4">
        <f>Full_Data[[#This Row],[Selling Price]]/Full_Data[[#This Row],[Weight (g)]]</f>
        <v>0.38</v>
      </c>
      <c r="J1603" t="b">
        <v>0</v>
      </c>
      <c r="K1603">
        <v>50</v>
      </c>
      <c r="L1603">
        <f t="shared" si="226"/>
        <v>0</v>
      </c>
      <c r="M1603" t="str">
        <f t="shared" si="227"/>
        <v>Low</v>
      </c>
      <c r="N1603" t="str">
        <f t="shared" si="228"/>
        <v>0-5%</v>
      </c>
      <c r="O1603" t="str">
        <f t="shared" si="229"/>
        <v>OK</v>
      </c>
      <c r="P1603">
        <f>IFERROR(Full_Data!G1603/Full_Data!H1603,"Check data")</f>
        <v>0.38</v>
      </c>
      <c r="Q1603" t="str">
        <f t="shared" si="230"/>
        <v>Match</v>
      </c>
      <c r="R1603" t="str">
        <f t="shared" si="231"/>
        <v>Match</v>
      </c>
      <c r="S1603" t="str">
        <f t="shared" si="232"/>
        <v>Match</v>
      </c>
    </row>
    <row r="1604" spans="1:19" x14ac:dyDescent="0.25">
      <c r="A1604" t="s">
        <v>1502</v>
      </c>
      <c r="B1604">
        <v>19000</v>
      </c>
      <c r="C1604">
        <f t="shared" si="233"/>
        <v>190</v>
      </c>
      <c r="D1604">
        <v>14</v>
      </c>
      <c r="E1604">
        <v>4</v>
      </c>
      <c r="F1604">
        <v>16200</v>
      </c>
      <c r="G1604">
        <f t="shared" si="225"/>
        <v>162</v>
      </c>
      <c r="H1604">
        <v>80</v>
      </c>
      <c r="I1604" s="4">
        <f>Full_Data[[#This Row],[Selling Price]]/Full_Data[[#This Row],[Weight (g)]]</f>
        <v>2.0249999999999999</v>
      </c>
      <c r="J1604" t="b">
        <v>0</v>
      </c>
      <c r="K1604">
        <v>80</v>
      </c>
      <c r="L1604">
        <f t="shared" si="226"/>
        <v>28</v>
      </c>
      <c r="M1604" t="str">
        <f t="shared" si="227"/>
        <v>Medium</v>
      </c>
      <c r="N1604" t="str">
        <f t="shared" si="228"/>
        <v>11-15%</v>
      </c>
      <c r="O1604" t="str">
        <f t="shared" si="229"/>
        <v>OK</v>
      </c>
      <c r="P1604">
        <f>IFERROR(Full_Data!G1604/Full_Data!H1604,"Check data")</f>
        <v>2.0249999999999999</v>
      </c>
      <c r="Q1604" t="str">
        <f t="shared" si="230"/>
        <v>Match</v>
      </c>
      <c r="R1604" t="str">
        <f t="shared" si="231"/>
        <v>Mismatch</v>
      </c>
      <c r="S1604" t="str">
        <f t="shared" si="232"/>
        <v>Mismatch</v>
      </c>
    </row>
    <row r="1605" spans="1:19" x14ac:dyDescent="0.25">
      <c r="A1605" t="s">
        <v>1503</v>
      </c>
      <c r="B1605">
        <v>6500</v>
      </c>
      <c r="C1605">
        <f t="shared" si="233"/>
        <v>65</v>
      </c>
      <c r="D1605">
        <v>13</v>
      </c>
      <c r="E1605">
        <v>6</v>
      </c>
      <c r="F1605">
        <v>5600</v>
      </c>
      <c r="G1605">
        <f t="shared" si="225"/>
        <v>56</v>
      </c>
      <c r="H1605">
        <v>150</v>
      </c>
      <c r="I1605" s="4">
        <f>Full_Data[[#This Row],[Selling Price]]/Full_Data[[#This Row],[Weight (g)]]</f>
        <v>0.37333333333333335</v>
      </c>
      <c r="J1605" t="b">
        <v>0</v>
      </c>
      <c r="K1605">
        <v>150</v>
      </c>
      <c r="L1605">
        <f t="shared" si="226"/>
        <v>9</v>
      </c>
      <c r="M1605" t="str">
        <f t="shared" si="227"/>
        <v>Medium</v>
      </c>
      <c r="N1605" t="str">
        <f t="shared" si="228"/>
        <v>11-15%</v>
      </c>
      <c r="O1605" t="str">
        <f t="shared" si="229"/>
        <v>OK</v>
      </c>
      <c r="P1605">
        <f>IFERROR(Full_Data!G1605/Full_Data!H1605,"Check data")</f>
        <v>0.37333333333333335</v>
      </c>
      <c r="Q1605" t="str">
        <f t="shared" si="230"/>
        <v>Match</v>
      </c>
      <c r="R1605" t="str">
        <f t="shared" si="231"/>
        <v>Mismatch</v>
      </c>
      <c r="S1605" t="str">
        <f t="shared" si="232"/>
        <v>Mismatch</v>
      </c>
    </row>
    <row r="1606" spans="1:19" x14ac:dyDescent="0.25">
      <c r="A1606" t="s">
        <v>1504</v>
      </c>
      <c r="B1606">
        <v>9500</v>
      </c>
      <c r="C1606">
        <f t="shared" si="233"/>
        <v>95</v>
      </c>
      <c r="D1606">
        <v>9</v>
      </c>
      <c r="E1606">
        <v>6</v>
      </c>
      <c r="F1606">
        <v>8600</v>
      </c>
      <c r="G1606">
        <f t="shared" si="225"/>
        <v>86</v>
      </c>
      <c r="H1606">
        <v>500</v>
      </c>
      <c r="I1606" s="4">
        <f>Full_Data[[#This Row],[Selling Price]]/Full_Data[[#This Row],[Weight (g)]]</f>
        <v>0.17199999999999999</v>
      </c>
      <c r="J1606" t="b">
        <v>0</v>
      </c>
      <c r="K1606">
        <v>500</v>
      </c>
      <c r="L1606">
        <f t="shared" si="226"/>
        <v>9</v>
      </c>
      <c r="M1606" t="str">
        <f t="shared" si="227"/>
        <v>Medium</v>
      </c>
      <c r="N1606" t="str">
        <f t="shared" si="228"/>
        <v>6-10%</v>
      </c>
      <c r="O1606" t="str">
        <f t="shared" si="229"/>
        <v>OK</v>
      </c>
      <c r="P1606">
        <f>IFERROR(Full_Data!G1606/Full_Data!H1606,"Check data")</f>
        <v>0.17199999999999999</v>
      </c>
      <c r="Q1606" t="str">
        <f t="shared" si="230"/>
        <v>Match</v>
      </c>
      <c r="R1606" t="str">
        <f t="shared" si="231"/>
        <v>Mismatch</v>
      </c>
      <c r="S1606" t="str">
        <f t="shared" si="232"/>
        <v>Match</v>
      </c>
    </row>
    <row r="1607" spans="1:19" x14ac:dyDescent="0.25">
      <c r="A1607" t="s">
        <v>1505</v>
      </c>
      <c r="B1607">
        <v>20000</v>
      </c>
      <c r="C1607">
        <f t="shared" si="233"/>
        <v>200</v>
      </c>
      <c r="D1607">
        <v>0</v>
      </c>
      <c r="E1607">
        <v>2</v>
      </c>
      <c r="F1607">
        <v>20000</v>
      </c>
      <c r="G1607">
        <f t="shared" si="225"/>
        <v>200</v>
      </c>
      <c r="H1607">
        <v>174</v>
      </c>
      <c r="I1607" s="4">
        <f>Full_Data[[#This Row],[Selling Price]]/Full_Data[[#This Row],[Weight (g)]]</f>
        <v>1.1494252873563218</v>
      </c>
      <c r="J1607" t="b">
        <v>0</v>
      </c>
      <c r="K1607">
        <v>3</v>
      </c>
      <c r="L1607">
        <f t="shared" si="226"/>
        <v>0</v>
      </c>
      <c r="M1607" t="str">
        <f t="shared" si="227"/>
        <v>High</v>
      </c>
      <c r="N1607" t="str">
        <f t="shared" si="228"/>
        <v>0-5%</v>
      </c>
      <c r="O1607" t="str">
        <f t="shared" si="229"/>
        <v>OK</v>
      </c>
      <c r="P1607">
        <f>IFERROR(Full_Data!G1607/Full_Data!H1607,"Check data")</f>
        <v>1.1494252873563218</v>
      </c>
      <c r="Q1607" t="str">
        <f t="shared" si="230"/>
        <v>Match</v>
      </c>
      <c r="R1607" t="str">
        <f t="shared" si="231"/>
        <v>Match</v>
      </c>
      <c r="S1607" t="str">
        <f t="shared" si="232"/>
        <v>Match</v>
      </c>
    </row>
    <row r="1608" spans="1:19" x14ac:dyDescent="0.25">
      <c r="A1608" t="s">
        <v>1506</v>
      </c>
      <c r="B1608">
        <v>15000</v>
      </c>
      <c r="C1608">
        <f t="shared" si="233"/>
        <v>150</v>
      </c>
      <c r="D1608">
        <v>16</v>
      </c>
      <c r="E1608">
        <v>2</v>
      </c>
      <c r="F1608">
        <v>12600</v>
      </c>
      <c r="G1608">
        <f t="shared" si="225"/>
        <v>126</v>
      </c>
      <c r="H1608">
        <v>240</v>
      </c>
      <c r="I1608" s="4">
        <f>Full_Data[[#This Row],[Selling Price]]/Full_Data[[#This Row],[Weight (g)]]</f>
        <v>0.52500000000000002</v>
      </c>
      <c r="J1608" t="b">
        <v>0</v>
      </c>
      <c r="K1608">
        <v>240</v>
      </c>
      <c r="L1608">
        <f t="shared" si="226"/>
        <v>24</v>
      </c>
      <c r="M1608" t="str">
        <f t="shared" si="227"/>
        <v>Medium</v>
      </c>
      <c r="N1608" t="str">
        <f t="shared" si="228"/>
        <v>16-20%</v>
      </c>
      <c r="O1608" t="str">
        <f t="shared" si="229"/>
        <v>OK</v>
      </c>
      <c r="P1608">
        <f>IFERROR(Full_Data!G1608/Full_Data!H1608,"Check data")</f>
        <v>0.52500000000000002</v>
      </c>
      <c r="Q1608" t="str">
        <f t="shared" si="230"/>
        <v>Match</v>
      </c>
      <c r="R1608" t="str">
        <f t="shared" si="231"/>
        <v>Match</v>
      </c>
      <c r="S1608" t="str">
        <f t="shared" si="232"/>
        <v>Match</v>
      </c>
    </row>
    <row r="1609" spans="1:19" x14ac:dyDescent="0.25">
      <c r="A1609" t="s">
        <v>1507</v>
      </c>
      <c r="B1609">
        <v>20000</v>
      </c>
      <c r="C1609">
        <f t="shared" si="233"/>
        <v>200</v>
      </c>
      <c r="D1609">
        <v>10</v>
      </c>
      <c r="E1609">
        <v>6</v>
      </c>
      <c r="F1609">
        <v>18000</v>
      </c>
      <c r="G1609">
        <f t="shared" si="225"/>
        <v>180</v>
      </c>
      <c r="H1609">
        <v>1000</v>
      </c>
      <c r="I1609" s="4">
        <f>Full_Data[[#This Row],[Selling Price]]/Full_Data[[#This Row],[Weight (g)]]</f>
        <v>0.18</v>
      </c>
      <c r="J1609" t="b">
        <v>0</v>
      </c>
      <c r="K1609">
        <v>1</v>
      </c>
      <c r="L1609">
        <f t="shared" si="226"/>
        <v>20</v>
      </c>
      <c r="M1609" t="str">
        <f t="shared" si="227"/>
        <v>Medium</v>
      </c>
      <c r="N1609" t="str">
        <f t="shared" si="228"/>
        <v>6-10%</v>
      </c>
      <c r="O1609" t="str">
        <f t="shared" si="229"/>
        <v>OK</v>
      </c>
      <c r="P1609">
        <f>IFERROR(Full_Data!G1609/Full_Data!H1609,"Check data")</f>
        <v>0.18</v>
      </c>
      <c r="Q1609" t="str">
        <f t="shared" si="230"/>
        <v>Match</v>
      </c>
      <c r="R1609" t="str">
        <f t="shared" si="231"/>
        <v>Match</v>
      </c>
      <c r="S1609" t="str">
        <f t="shared" si="232"/>
        <v>Match</v>
      </c>
    </row>
    <row r="1610" spans="1:19" x14ac:dyDescent="0.25">
      <c r="A1610" t="s">
        <v>1508</v>
      </c>
      <c r="B1610">
        <v>10700</v>
      </c>
      <c r="C1610">
        <f t="shared" si="233"/>
        <v>107</v>
      </c>
      <c r="D1610">
        <v>10</v>
      </c>
      <c r="E1610">
        <v>3</v>
      </c>
      <c r="F1610">
        <v>9600</v>
      </c>
      <c r="G1610">
        <f t="shared" si="225"/>
        <v>96</v>
      </c>
      <c r="H1610">
        <v>500</v>
      </c>
      <c r="I1610" s="4">
        <f>Full_Data[[#This Row],[Selling Price]]/Full_Data[[#This Row],[Weight (g)]]</f>
        <v>0.192</v>
      </c>
      <c r="J1610" t="b">
        <v>0</v>
      </c>
      <c r="K1610">
        <v>500</v>
      </c>
      <c r="L1610">
        <f t="shared" si="226"/>
        <v>11</v>
      </c>
      <c r="M1610" t="str">
        <f t="shared" si="227"/>
        <v>Medium</v>
      </c>
      <c r="N1610" t="str">
        <f t="shared" si="228"/>
        <v>6-10%</v>
      </c>
      <c r="O1610" t="str">
        <f t="shared" si="229"/>
        <v>OK</v>
      </c>
      <c r="P1610">
        <f>IFERROR(Full_Data!G1610/Full_Data!H1610,"Check data")</f>
        <v>0.192</v>
      </c>
      <c r="Q1610" t="str">
        <f t="shared" si="230"/>
        <v>Match</v>
      </c>
      <c r="R1610" t="str">
        <f t="shared" si="231"/>
        <v>Mismatch</v>
      </c>
      <c r="S1610" t="str">
        <f t="shared" si="232"/>
        <v>Match</v>
      </c>
    </row>
    <row r="1611" spans="1:19" x14ac:dyDescent="0.25">
      <c r="A1611" t="s">
        <v>1509</v>
      </c>
      <c r="B1611">
        <v>15000</v>
      </c>
      <c r="C1611">
        <f t="shared" si="233"/>
        <v>150</v>
      </c>
      <c r="D1611">
        <v>0</v>
      </c>
      <c r="E1611">
        <v>4</v>
      </c>
      <c r="F1611">
        <v>14900</v>
      </c>
      <c r="G1611">
        <f t="shared" si="225"/>
        <v>149</v>
      </c>
      <c r="H1611">
        <v>240</v>
      </c>
      <c r="I1611" s="4">
        <f>Full_Data[[#This Row],[Selling Price]]/Full_Data[[#This Row],[Weight (g)]]</f>
        <v>0.62083333333333335</v>
      </c>
      <c r="J1611" t="b">
        <v>0</v>
      </c>
      <c r="K1611">
        <v>240</v>
      </c>
      <c r="L1611">
        <f t="shared" si="226"/>
        <v>1</v>
      </c>
      <c r="M1611" t="str">
        <f t="shared" si="227"/>
        <v>Medium</v>
      </c>
      <c r="N1611" t="str">
        <f t="shared" si="228"/>
        <v>0-5%</v>
      </c>
      <c r="O1611" t="str">
        <f t="shared" si="229"/>
        <v>OK</v>
      </c>
      <c r="P1611">
        <f>IFERROR(Full_Data!G1611/Full_Data!H1611,"Check data")</f>
        <v>0.62083333333333335</v>
      </c>
      <c r="Q1611" t="str">
        <f t="shared" si="230"/>
        <v>Match</v>
      </c>
      <c r="R1611" t="str">
        <f t="shared" si="231"/>
        <v>Mismatch</v>
      </c>
      <c r="S1611" t="str">
        <f t="shared" si="232"/>
        <v>Mismatch</v>
      </c>
    </row>
    <row r="1612" spans="1:19" x14ac:dyDescent="0.25">
      <c r="A1612" t="s">
        <v>1510</v>
      </c>
      <c r="B1612">
        <v>13500</v>
      </c>
      <c r="C1612">
        <f t="shared" si="233"/>
        <v>135</v>
      </c>
      <c r="D1612">
        <v>9</v>
      </c>
      <c r="E1612">
        <v>1</v>
      </c>
      <c r="F1612">
        <v>12200</v>
      </c>
      <c r="G1612">
        <f t="shared" si="225"/>
        <v>122</v>
      </c>
      <c r="H1612">
        <v>348</v>
      </c>
      <c r="I1612" s="4">
        <f>Full_Data[[#This Row],[Selling Price]]/Full_Data[[#This Row],[Weight (g)]]</f>
        <v>0.35057471264367818</v>
      </c>
      <c r="J1612" t="b">
        <v>0</v>
      </c>
      <c r="K1612">
        <v>6</v>
      </c>
      <c r="L1612">
        <f t="shared" si="226"/>
        <v>13</v>
      </c>
      <c r="M1612" t="str">
        <f t="shared" si="227"/>
        <v>Medium</v>
      </c>
      <c r="N1612" t="str">
        <f t="shared" si="228"/>
        <v>6-10%</v>
      </c>
      <c r="O1612" t="str">
        <f t="shared" si="229"/>
        <v>OK</v>
      </c>
      <c r="P1612">
        <f>IFERROR(Full_Data!G1612/Full_Data!H1612,"Check data")</f>
        <v>0.35057471264367818</v>
      </c>
      <c r="Q1612" t="str">
        <f t="shared" si="230"/>
        <v>Match</v>
      </c>
      <c r="R1612" t="str">
        <f t="shared" si="231"/>
        <v>Mismatch</v>
      </c>
      <c r="S1612" t="str">
        <f t="shared" si="232"/>
        <v>Mismatch</v>
      </c>
    </row>
    <row r="1613" spans="1:19" x14ac:dyDescent="0.25">
      <c r="A1613" t="s">
        <v>1511</v>
      </c>
      <c r="B1613">
        <v>8000</v>
      </c>
      <c r="C1613">
        <f t="shared" si="233"/>
        <v>80</v>
      </c>
      <c r="D1613">
        <v>10</v>
      </c>
      <c r="E1613">
        <v>3</v>
      </c>
      <c r="F1613">
        <v>7200</v>
      </c>
      <c r="G1613">
        <f t="shared" si="225"/>
        <v>72</v>
      </c>
      <c r="H1613">
        <v>1160</v>
      </c>
      <c r="I1613" s="4">
        <f>Full_Data[[#This Row],[Selling Price]]/Full_Data[[#This Row],[Weight (g)]]</f>
        <v>6.2068965517241378E-2</v>
      </c>
      <c r="J1613" t="b">
        <v>0</v>
      </c>
      <c r="K1613">
        <v>20</v>
      </c>
      <c r="L1613">
        <f t="shared" si="226"/>
        <v>8</v>
      </c>
      <c r="M1613" t="str">
        <f t="shared" si="227"/>
        <v>Medium</v>
      </c>
      <c r="N1613" t="str">
        <f t="shared" si="228"/>
        <v>6-10%</v>
      </c>
      <c r="O1613" t="str">
        <f t="shared" si="229"/>
        <v>OK</v>
      </c>
      <c r="P1613">
        <f>IFERROR(Full_Data!G1613/Full_Data!H1613,"Check data")</f>
        <v>6.2068965517241378E-2</v>
      </c>
      <c r="Q1613" t="str">
        <f t="shared" si="230"/>
        <v>Match</v>
      </c>
      <c r="R1613" t="str">
        <f t="shared" si="231"/>
        <v>Match</v>
      </c>
      <c r="S1613" t="str">
        <f t="shared" si="232"/>
        <v>Match</v>
      </c>
    </row>
    <row r="1614" spans="1:19" x14ac:dyDescent="0.25">
      <c r="A1614" t="s">
        <v>1512</v>
      </c>
      <c r="B1614">
        <v>5500</v>
      </c>
      <c r="C1614">
        <f t="shared" si="233"/>
        <v>55</v>
      </c>
      <c r="D1614">
        <v>0</v>
      </c>
      <c r="E1614">
        <v>1</v>
      </c>
      <c r="F1614">
        <v>5500</v>
      </c>
      <c r="G1614">
        <f t="shared" si="225"/>
        <v>55</v>
      </c>
      <c r="H1614">
        <v>500</v>
      </c>
      <c r="I1614" s="4">
        <f>Full_Data[[#This Row],[Selling Price]]/Full_Data[[#This Row],[Weight (g)]]</f>
        <v>0.11</v>
      </c>
      <c r="J1614" t="b">
        <v>0</v>
      </c>
      <c r="K1614">
        <v>500</v>
      </c>
      <c r="L1614">
        <f t="shared" si="226"/>
        <v>0</v>
      </c>
      <c r="M1614" t="str">
        <f t="shared" si="227"/>
        <v>Medium</v>
      </c>
      <c r="N1614" t="str">
        <f t="shared" si="228"/>
        <v>0-5%</v>
      </c>
      <c r="O1614" t="str">
        <f t="shared" si="229"/>
        <v>OK</v>
      </c>
      <c r="P1614">
        <f>IFERROR(Full_Data!G1614/Full_Data!H1614,"Check data")</f>
        <v>0.11</v>
      </c>
      <c r="Q1614" t="str">
        <f t="shared" si="230"/>
        <v>Match</v>
      </c>
      <c r="R1614" t="str">
        <f t="shared" si="231"/>
        <v>Match</v>
      </c>
      <c r="S1614" t="str">
        <f t="shared" si="232"/>
        <v>Match</v>
      </c>
    </row>
    <row r="1615" spans="1:19" x14ac:dyDescent="0.25">
      <c r="A1615" t="s">
        <v>1513</v>
      </c>
      <c r="B1615">
        <v>1900</v>
      </c>
      <c r="C1615">
        <f t="shared" si="233"/>
        <v>19</v>
      </c>
      <c r="D1615">
        <v>0</v>
      </c>
      <c r="E1615">
        <v>4</v>
      </c>
      <c r="F1615">
        <v>1900</v>
      </c>
      <c r="G1615">
        <f t="shared" si="225"/>
        <v>19</v>
      </c>
      <c r="H1615">
        <v>60</v>
      </c>
      <c r="I1615" s="4">
        <f>Full_Data[[#This Row],[Selling Price]]/Full_Data[[#This Row],[Weight (g)]]</f>
        <v>0.31666666666666665</v>
      </c>
      <c r="J1615" t="b">
        <v>0</v>
      </c>
      <c r="K1615">
        <v>60</v>
      </c>
      <c r="L1615">
        <f t="shared" si="226"/>
        <v>0</v>
      </c>
      <c r="M1615" t="str">
        <f t="shared" si="227"/>
        <v>Low</v>
      </c>
      <c r="N1615" t="str">
        <f t="shared" si="228"/>
        <v>0-5%</v>
      </c>
      <c r="O1615" t="str">
        <f t="shared" si="229"/>
        <v>OK</v>
      </c>
      <c r="P1615">
        <f>IFERROR(Full_Data!G1615/Full_Data!H1615,"Check data")</f>
        <v>0.31666666666666665</v>
      </c>
      <c r="Q1615" t="str">
        <f t="shared" si="230"/>
        <v>Match</v>
      </c>
      <c r="R1615" t="str">
        <f t="shared" si="231"/>
        <v>Match</v>
      </c>
      <c r="S1615" t="str">
        <f t="shared" si="232"/>
        <v>Match</v>
      </c>
    </row>
    <row r="1616" spans="1:19" x14ac:dyDescent="0.25">
      <c r="A1616" t="s">
        <v>1514</v>
      </c>
      <c r="B1616">
        <v>6800</v>
      </c>
      <c r="C1616">
        <f t="shared" si="233"/>
        <v>68</v>
      </c>
      <c r="D1616">
        <v>2</v>
      </c>
      <c r="E1616">
        <v>3</v>
      </c>
      <c r="F1616">
        <v>6600</v>
      </c>
      <c r="G1616">
        <f t="shared" si="225"/>
        <v>66</v>
      </c>
      <c r="H1616">
        <v>58</v>
      </c>
      <c r="I1616" s="4">
        <f>Full_Data[[#This Row],[Selling Price]]/Full_Data[[#This Row],[Weight (g)]]</f>
        <v>1.1379310344827587</v>
      </c>
      <c r="J1616" t="b">
        <v>0</v>
      </c>
      <c r="K1616">
        <v>1</v>
      </c>
      <c r="L1616">
        <f t="shared" si="226"/>
        <v>2</v>
      </c>
      <c r="M1616" t="str">
        <f t="shared" si="227"/>
        <v>Medium</v>
      </c>
      <c r="N1616" t="str">
        <f t="shared" si="228"/>
        <v>0-5%</v>
      </c>
      <c r="O1616" t="str">
        <f t="shared" si="229"/>
        <v>OK</v>
      </c>
      <c r="P1616">
        <f>IFERROR(Full_Data!G1616/Full_Data!H1616,"Check data")</f>
        <v>1.1379310344827587</v>
      </c>
      <c r="Q1616" t="str">
        <f t="shared" si="230"/>
        <v>Match</v>
      </c>
      <c r="R1616" t="str">
        <f t="shared" si="231"/>
        <v>Mismatch</v>
      </c>
      <c r="S1616" t="str">
        <f t="shared" si="232"/>
        <v>Mismatch</v>
      </c>
    </row>
    <row r="1617" spans="1:19" x14ac:dyDescent="0.25">
      <c r="A1617" t="s">
        <v>1515</v>
      </c>
      <c r="B1617">
        <v>20500</v>
      </c>
      <c r="C1617">
        <f t="shared" si="233"/>
        <v>205</v>
      </c>
      <c r="D1617">
        <v>8</v>
      </c>
      <c r="E1617">
        <v>3</v>
      </c>
      <c r="F1617">
        <v>18800</v>
      </c>
      <c r="G1617">
        <f t="shared" si="225"/>
        <v>188</v>
      </c>
      <c r="H1617">
        <v>975</v>
      </c>
      <c r="I1617" s="4">
        <f>Full_Data[[#This Row],[Selling Price]]/Full_Data[[#This Row],[Weight (g)]]</f>
        <v>0.19282051282051282</v>
      </c>
      <c r="J1617" t="b">
        <v>0</v>
      </c>
      <c r="K1617">
        <v>975</v>
      </c>
      <c r="L1617">
        <f t="shared" si="226"/>
        <v>17</v>
      </c>
      <c r="M1617" t="str">
        <f t="shared" si="227"/>
        <v>Medium</v>
      </c>
      <c r="N1617" t="str">
        <f t="shared" si="228"/>
        <v>6-10%</v>
      </c>
      <c r="O1617" t="str">
        <f t="shared" si="229"/>
        <v>OK</v>
      </c>
      <c r="P1617">
        <f>IFERROR(Full_Data!G1617/Full_Data!H1617,"Check data")</f>
        <v>0.19282051282051282</v>
      </c>
      <c r="Q1617" t="str">
        <f t="shared" si="230"/>
        <v>Match</v>
      </c>
      <c r="R1617" t="str">
        <f t="shared" si="231"/>
        <v>Mismatch</v>
      </c>
      <c r="S1617" t="str">
        <f t="shared" si="232"/>
        <v>Match</v>
      </c>
    </row>
    <row r="1618" spans="1:19" x14ac:dyDescent="0.25">
      <c r="A1618" t="s">
        <v>1516</v>
      </c>
      <c r="B1618">
        <v>15000</v>
      </c>
      <c r="C1618">
        <f t="shared" si="233"/>
        <v>150</v>
      </c>
      <c r="D1618">
        <v>18</v>
      </c>
      <c r="E1618">
        <v>3</v>
      </c>
      <c r="F1618">
        <v>12300</v>
      </c>
      <c r="G1618">
        <f t="shared" si="225"/>
        <v>123</v>
      </c>
      <c r="H1618">
        <v>174</v>
      </c>
      <c r="I1618" s="4">
        <f>Full_Data[[#This Row],[Selling Price]]/Full_Data[[#This Row],[Weight (g)]]</f>
        <v>0.7068965517241379</v>
      </c>
      <c r="J1618" t="b">
        <v>0</v>
      </c>
      <c r="K1618">
        <v>1</v>
      </c>
      <c r="L1618">
        <f t="shared" si="226"/>
        <v>27</v>
      </c>
      <c r="M1618" t="str">
        <f t="shared" si="227"/>
        <v>Medium</v>
      </c>
      <c r="N1618" t="str">
        <f t="shared" si="228"/>
        <v>16-20%</v>
      </c>
      <c r="O1618" t="str">
        <f t="shared" si="229"/>
        <v>OK</v>
      </c>
      <c r="P1618">
        <f>IFERROR(Full_Data!G1618/Full_Data!H1618,"Check data")</f>
        <v>0.7068965517241379</v>
      </c>
      <c r="Q1618" t="str">
        <f t="shared" si="230"/>
        <v>Match</v>
      </c>
      <c r="R1618" t="str">
        <f t="shared" si="231"/>
        <v>Match</v>
      </c>
      <c r="S1618" t="str">
        <f t="shared" si="232"/>
        <v>Match</v>
      </c>
    </row>
    <row r="1619" spans="1:19" x14ac:dyDescent="0.25">
      <c r="A1619" t="s">
        <v>1517</v>
      </c>
      <c r="B1619">
        <v>21000</v>
      </c>
      <c r="C1619">
        <f t="shared" si="233"/>
        <v>210</v>
      </c>
      <c r="D1619">
        <v>10</v>
      </c>
      <c r="E1619">
        <v>2</v>
      </c>
      <c r="F1619">
        <v>18900</v>
      </c>
      <c r="G1619">
        <f t="shared" si="225"/>
        <v>189</v>
      </c>
      <c r="H1619">
        <v>400</v>
      </c>
      <c r="I1619" s="4">
        <f>Full_Data[[#This Row],[Selling Price]]/Full_Data[[#This Row],[Weight (g)]]</f>
        <v>0.47249999999999998</v>
      </c>
      <c r="J1619" t="b">
        <v>0</v>
      </c>
      <c r="K1619">
        <v>400</v>
      </c>
      <c r="L1619">
        <f t="shared" si="226"/>
        <v>21</v>
      </c>
      <c r="M1619" t="str">
        <f t="shared" si="227"/>
        <v>Medium</v>
      </c>
      <c r="N1619" t="str">
        <f t="shared" si="228"/>
        <v>6-10%</v>
      </c>
      <c r="O1619" t="str">
        <f t="shared" si="229"/>
        <v>OK</v>
      </c>
      <c r="P1619">
        <f>IFERROR(Full_Data!G1619/Full_Data!H1619,"Check data")</f>
        <v>0.47249999999999998</v>
      </c>
      <c r="Q1619" t="str">
        <f t="shared" si="230"/>
        <v>Match</v>
      </c>
      <c r="R1619" t="str">
        <f t="shared" si="231"/>
        <v>Match</v>
      </c>
      <c r="S1619" t="str">
        <f t="shared" si="232"/>
        <v>Match</v>
      </c>
    </row>
    <row r="1620" spans="1:19" x14ac:dyDescent="0.25">
      <c r="A1620" t="s">
        <v>1518</v>
      </c>
      <c r="B1620">
        <v>7500</v>
      </c>
      <c r="C1620">
        <f t="shared" si="233"/>
        <v>75</v>
      </c>
      <c r="D1620">
        <v>0</v>
      </c>
      <c r="E1620">
        <v>3</v>
      </c>
      <c r="F1620">
        <v>7500</v>
      </c>
      <c r="G1620">
        <f t="shared" si="225"/>
        <v>75</v>
      </c>
      <c r="H1620">
        <v>8</v>
      </c>
      <c r="I1620" s="4">
        <f>Full_Data[[#This Row],[Selling Price]]/Full_Data[[#This Row],[Weight (g)]]</f>
        <v>9.375</v>
      </c>
      <c r="J1620" t="b">
        <v>0</v>
      </c>
      <c r="K1620">
        <v>8</v>
      </c>
      <c r="L1620">
        <f t="shared" si="226"/>
        <v>0</v>
      </c>
      <c r="M1620" t="str">
        <f t="shared" si="227"/>
        <v>Medium</v>
      </c>
      <c r="N1620" t="str">
        <f t="shared" si="228"/>
        <v>0-5%</v>
      </c>
      <c r="O1620" t="str">
        <f t="shared" si="229"/>
        <v>OK</v>
      </c>
      <c r="P1620">
        <f>IFERROR(Full_Data!G1620/Full_Data!H1620,"Check data")</f>
        <v>9.375</v>
      </c>
      <c r="Q1620" t="str">
        <f t="shared" si="230"/>
        <v>Match</v>
      </c>
      <c r="R1620" t="str">
        <f t="shared" si="231"/>
        <v>Match</v>
      </c>
      <c r="S1620" t="str">
        <f t="shared" si="232"/>
        <v>Match</v>
      </c>
    </row>
    <row r="1621" spans="1:19" x14ac:dyDescent="0.25">
      <c r="A1621" t="s">
        <v>1519</v>
      </c>
      <c r="B1621">
        <v>14000</v>
      </c>
      <c r="C1621">
        <f t="shared" si="233"/>
        <v>140</v>
      </c>
      <c r="D1621">
        <v>10</v>
      </c>
      <c r="E1621">
        <v>6</v>
      </c>
      <c r="F1621">
        <v>12600</v>
      </c>
      <c r="G1621">
        <f t="shared" si="225"/>
        <v>126</v>
      </c>
      <c r="H1621">
        <v>174</v>
      </c>
      <c r="I1621" s="4">
        <f>Full_Data[[#This Row],[Selling Price]]/Full_Data[[#This Row],[Weight (g)]]</f>
        <v>0.72413793103448276</v>
      </c>
      <c r="J1621" t="b">
        <v>0</v>
      </c>
      <c r="K1621">
        <v>3</v>
      </c>
      <c r="L1621">
        <f t="shared" si="226"/>
        <v>14</v>
      </c>
      <c r="M1621" t="str">
        <f t="shared" si="227"/>
        <v>Medium</v>
      </c>
      <c r="N1621" t="str">
        <f t="shared" si="228"/>
        <v>6-10%</v>
      </c>
      <c r="O1621" t="str">
        <f t="shared" si="229"/>
        <v>OK</v>
      </c>
      <c r="P1621">
        <f>IFERROR(Full_Data!G1621/Full_Data!H1621,"Check data")</f>
        <v>0.72413793103448276</v>
      </c>
      <c r="Q1621" t="str">
        <f t="shared" si="230"/>
        <v>Match</v>
      </c>
      <c r="R1621" t="str">
        <f t="shared" si="231"/>
        <v>Match</v>
      </c>
      <c r="S1621" t="str">
        <f t="shared" si="232"/>
        <v>Match</v>
      </c>
    </row>
    <row r="1622" spans="1:19" x14ac:dyDescent="0.25">
      <c r="A1622" t="s">
        <v>1520</v>
      </c>
      <c r="B1622">
        <v>21500</v>
      </c>
      <c r="C1622">
        <f t="shared" si="233"/>
        <v>215</v>
      </c>
      <c r="D1622">
        <v>1</v>
      </c>
      <c r="E1622">
        <v>6</v>
      </c>
      <c r="F1622">
        <v>21100</v>
      </c>
      <c r="G1622">
        <f t="shared" si="225"/>
        <v>211</v>
      </c>
      <c r="H1622">
        <v>2000</v>
      </c>
      <c r="I1622" s="4">
        <f>Full_Data[[#This Row],[Selling Price]]/Full_Data[[#This Row],[Weight (g)]]</f>
        <v>0.1055</v>
      </c>
      <c r="J1622" t="b">
        <v>0</v>
      </c>
      <c r="K1622">
        <v>2</v>
      </c>
      <c r="L1622">
        <f t="shared" si="226"/>
        <v>4</v>
      </c>
      <c r="M1622" t="str">
        <f t="shared" si="227"/>
        <v>High</v>
      </c>
      <c r="N1622" t="str">
        <f t="shared" si="228"/>
        <v>0-5%</v>
      </c>
      <c r="O1622" t="str">
        <f t="shared" si="229"/>
        <v>OK</v>
      </c>
      <c r="P1622">
        <f>IFERROR(Full_Data!G1622/Full_Data!H1622,"Check data")</f>
        <v>0.1055</v>
      </c>
      <c r="Q1622" t="str">
        <f t="shared" si="230"/>
        <v>Match</v>
      </c>
      <c r="R1622" t="str">
        <f t="shared" si="231"/>
        <v>Mismatch</v>
      </c>
      <c r="S1622" t="str">
        <f t="shared" si="232"/>
        <v>Mismatch</v>
      </c>
    </row>
    <row r="1623" spans="1:19" x14ac:dyDescent="0.25">
      <c r="A1623" t="s">
        <v>1521</v>
      </c>
      <c r="B1623">
        <v>7000</v>
      </c>
      <c r="C1623">
        <f t="shared" si="233"/>
        <v>70</v>
      </c>
      <c r="D1623">
        <v>2</v>
      </c>
      <c r="E1623">
        <v>5</v>
      </c>
      <c r="F1623">
        <v>6800</v>
      </c>
      <c r="G1623">
        <f t="shared" si="225"/>
        <v>68</v>
      </c>
      <c r="H1623">
        <v>58</v>
      </c>
      <c r="I1623" s="4">
        <f>Full_Data[[#This Row],[Selling Price]]/Full_Data[[#This Row],[Weight (g)]]</f>
        <v>1.1724137931034482</v>
      </c>
      <c r="J1623" t="b">
        <v>0</v>
      </c>
      <c r="K1623">
        <v>1</v>
      </c>
      <c r="L1623">
        <f t="shared" si="226"/>
        <v>2</v>
      </c>
      <c r="M1623" t="str">
        <f t="shared" si="227"/>
        <v>Medium</v>
      </c>
      <c r="N1623" t="str">
        <f t="shared" si="228"/>
        <v>0-5%</v>
      </c>
      <c r="O1623" t="str">
        <f t="shared" si="229"/>
        <v>OK</v>
      </c>
      <c r="P1623">
        <f>IFERROR(Full_Data!G1623/Full_Data!H1623,"Check data")</f>
        <v>1.1724137931034482</v>
      </c>
      <c r="Q1623" t="str">
        <f t="shared" si="230"/>
        <v>Match</v>
      </c>
      <c r="R1623" t="str">
        <f t="shared" si="231"/>
        <v>Mismatch</v>
      </c>
      <c r="S1623" t="str">
        <f t="shared" si="232"/>
        <v>Mismatch</v>
      </c>
    </row>
    <row r="1624" spans="1:19" x14ac:dyDescent="0.25">
      <c r="A1624" t="s">
        <v>1522</v>
      </c>
      <c r="B1624">
        <v>6400</v>
      </c>
      <c r="C1624">
        <f t="shared" si="233"/>
        <v>64</v>
      </c>
      <c r="D1624">
        <v>6</v>
      </c>
      <c r="E1624">
        <v>6</v>
      </c>
      <c r="F1624">
        <v>6000</v>
      </c>
      <c r="G1624">
        <f t="shared" si="225"/>
        <v>60</v>
      </c>
      <c r="H1624">
        <v>100</v>
      </c>
      <c r="I1624" s="4">
        <f>Full_Data[[#This Row],[Selling Price]]/Full_Data[[#This Row],[Weight (g)]]</f>
        <v>0.6</v>
      </c>
      <c r="J1624" t="b">
        <v>0</v>
      </c>
      <c r="K1624">
        <v>100</v>
      </c>
      <c r="L1624">
        <f t="shared" si="226"/>
        <v>4</v>
      </c>
      <c r="M1624" t="str">
        <f t="shared" si="227"/>
        <v>Medium</v>
      </c>
      <c r="N1624" t="str">
        <f t="shared" si="228"/>
        <v>6-10%</v>
      </c>
      <c r="O1624" t="str">
        <f t="shared" si="229"/>
        <v>OK</v>
      </c>
      <c r="P1624">
        <f>IFERROR(Full_Data!G1624/Full_Data!H1624,"Check data")</f>
        <v>0.6</v>
      </c>
      <c r="Q1624" t="str">
        <f t="shared" si="230"/>
        <v>Match</v>
      </c>
      <c r="R1624" t="str">
        <f t="shared" si="231"/>
        <v>Mismatch</v>
      </c>
      <c r="S1624" t="str">
        <f t="shared" si="232"/>
        <v>Match</v>
      </c>
    </row>
    <row r="1625" spans="1:19" x14ac:dyDescent="0.25">
      <c r="A1625" t="s">
        <v>1523</v>
      </c>
      <c r="B1625">
        <v>2500</v>
      </c>
      <c r="C1625">
        <f t="shared" si="233"/>
        <v>25</v>
      </c>
      <c r="D1625">
        <v>0</v>
      </c>
      <c r="E1625">
        <v>1</v>
      </c>
      <c r="F1625">
        <v>2500</v>
      </c>
      <c r="G1625">
        <f t="shared" si="225"/>
        <v>25</v>
      </c>
      <c r="H1625">
        <v>23</v>
      </c>
      <c r="I1625" s="4">
        <f>Full_Data[[#This Row],[Selling Price]]/Full_Data[[#This Row],[Weight (g)]]</f>
        <v>1.0869565217391304</v>
      </c>
      <c r="J1625" t="b">
        <v>0</v>
      </c>
      <c r="K1625">
        <v>25</v>
      </c>
      <c r="L1625">
        <f t="shared" si="226"/>
        <v>0</v>
      </c>
      <c r="M1625" t="str">
        <f t="shared" si="227"/>
        <v>Low</v>
      </c>
      <c r="N1625" t="str">
        <f t="shared" si="228"/>
        <v>0-5%</v>
      </c>
      <c r="O1625" t="str">
        <f t="shared" si="229"/>
        <v>OK</v>
      </c>
      <c r="P1625">
        <f>IFERROR(Full_Data!G1625/Full_Data!H1625,"Check data")</f>
        <v>1.0869565217391304</v>
      </c>
      <c r="Q1625" t="str">
        <f t="shared" si="230"/>
        <v>Match</v>
      </c>
      <c r="R1625" t="str">
        <f t="shared" si="231"/>
        <v>Match</v>
      </c>
      <c r="S1625" t="str">
        <f t="shared" si="232"/>
        <v>Match</v>
      </c>
    </row>
    <row r="1626" spans="1:19" x14ac:dyDescent="0.25">
      <c r="A1626" t="s">
        <v>1524</v>
      </c>
      <c r="B1626">
        <v>6500</v>
      </c>
      <c r="C1626">
        <f t="shared" si="233"/>
        <v>65</v>
      </c>
      <c r="D1626">
        <v>13</v>
      </c>
      <c r="E1626">
        <v>6</v>
      </c>
      <c r="F1626">
        <v>5600</v>
      </c>
      <c r="G1626">
        <f t="shared" si="225"/>
        <v>56</v>
      </c>
      <c r="H1626">
        <v>100</v>
      </c>
      <c r="I1626" s="4">
        <f>Full_Data[[#This Row],[Selling Price]]/Full_Data[[#This Row],[Weight (g)]]</f>
        <v>0.56000000000000005</v>
      </c>
      <c r="J1626" t="b">
        <v>0</v>
      </c>
      <c r="K1626">
        <v>100</v>
      </c>
      <c r="L1626">
        <f t="shared" si="226"/>
        <v>9</v>
      </c>
      <c r="M1626" t="str">
        <f t="shared" si="227"/>
        <v>Medium</v>
      </c>
      <c r="N1626" t="str">
        <f t="shared" si="228"/>
        <v>11-15%</v>
      </c>
      <c r="O1626" t="str">
        <f t="shared" si="229"/>
        <v>OK</v>
      </c>
      <c r="P1626">
        <f>IFERROR(Full_Data!G1626/Full_Data!H1626,"Check data")</f>
        <v>0.56000000000000005</v>
      </c>
      <c r="Q1626" t="str">
        <f t="shared" si="230"/>
        <v>Match</v>
      </c>
      <c r="R1626" t="str">
        <f t="shared" si="231"/>
        <v>Mismatch</v>
      </c>
      <c r="S1626" t="str">
        <f t="shared" si="232"/>
        <v>Mismatch</v>
      </c>
    </row>
    <row r="1627" spans="1:19" x14ac:dyDescent="0.25">
      <c r="A1627" t="s">
        <v>1525</v>
      </c>
      <c r="B1627">
        <v>6800</v>
      </c>
      <c r="C1627">
        <f t="shared" si="233"/>
        <v>68</v>
      </c>
      <c r="D1627">
        <v>5</v>
      </c>
      <c r="E1627">
        <v>6</v>
      </c>
      <c r="F1627">
        <v>6400</v>
      </c>
      <c r="G1627">
        <f t="shared" si="225"/>
        <v>64</v>
      </c>
      <c r="H1627">
        <v>40</v>
      </c>
      <c r="I1627" s="4">
        <f>Full_Data[[#This Row],[Selling Price]]/Full_Data[[#This Row],[Weight (g)]]</f>
        <v>1.6</v>
      </c>
      <c r="J1627" t="b">
        <v>0</v>
      </c>
      <c r="K1627">
        <v>40</v>
      </c>
      <c r="L1627">
        <f t="shared" si="226"/>
        <v>4</v>
      </c>
      <c r="M1627" t="str">
        <f t="shared" si="227"/>
        <v>Medium</v>
      </c>
      <c r="N1627" t="str">
        <f t="shared" si="228"/>
        <v>0-5%</v>
      </c>
      <c r="O1627" t="str">
        <f t="shared" si="229"/>
        <v>OK</v>
      </c>
      <c r="P1627">
        <f>IFERROR(Full_Data!G1627/Full_Data!H1627,"Check data")</f>
        <v>1.6</v>
      </c>
      <c r="Q1627" t="str">
        <f t="shared" si="230"/>
        <v>Match</v>
      </c>
      <c r="R1627" t="str">
        <f t="shared" si="231"/>
        <v>Mismatch</v>
      </c>
      <c r="S1627" t="str">
        <f t="shared" si="232"/>
        <v>Mismatch</v>
      </c>
    </row>
    <row r="1628" spans="1:19" x14ac:dyDescent="0.25">
      <c r="A1628" t="s">
        <v>1526</v>
      </c>
      <c r="B1628">
        <v>24000</v>
      </c>
      <c r="C1628">
        <f t="shared" si="233"/>
        <v>240</v>
      </c>
      <c r="D1628">
        <v>15</v>
      </c>
      <c r="E1628">
        <v>5</v>
      </c>
      <c r="F1628">
        <v>20400</v>
      </c>
      <c r="G1628">
        <f t="shared" si="225"/>
        <v>204</v>
      </c>
      <c r="H1628">
        <v>50</v>
      </c>
      <c r="I1628" s="4">
        <f>Full_Data[[#This Row],[Selling Price]]/Full_Data[[#This Row],[Weight (g)]]</f>
        <v>4.08</v>
      </c>
      <c r="J1628" t="b">
        <v>0</v>
      </c>
      <c r="K1628">
        <v>50</v>
      </c>
      <c r="L1628">
        <f t="shared" si="226"/>
        <v>36</v>
      </c>
      <c r="M1628" t="str">
        <f t="shared" si="227"/>
        <v>High</v>
      </c>
      <c r="N1628" t="str">
        <f t="shared" si="228"/>
        <v>11-15%</v>
      </c>
      <c r="O1628" t="str">
        <f t="shared" si="229"/>
        <v>OK</v>
      </c>
      <c r="P1628">
        <f>IFERROR(Full_Data!G1628/Full_Data!H1628,"Check data")</f>
        <v>4.08</v>
      </c>
      <c r="Q1628" t="str">
        <f t="shared" si="230"/>
        <v>Match</v>
      </c>
      <c r="R1628" t="str">
        <f t="shared" si="231"/>
        <v>Match</v>
      </c>
      <c r="S1628" t="str">
        <f t="shared" si="232"/>
        <v>Match</v>
      </c>
    </row>
    <row r="1629" spans="1:19" x14ac:dyDescent="0.25">
      <c r="A1629" t="s">
        <v>1527</v>
      </c>
      <c r="B1629">
        <v>17500</v>
      </c>
      <c r="C1629">
        <f t="shared" si="233"/>
        <v>175</v>
      </c>
      <c r="D1629">
        <v>9</v>
      </c>
      <c r="E1629">
        <v>6</v>
      </c>
      <c r="F1629">
        <v>15800</v>
      </c>
      <c r="G1629">
        <f t="shared" si="225"/>
        <v>158</v>
      </c>
      <c r="H1629">
        <v>58</v>
      </c>
      <c r="I1629" s="4">
        <f>Full_Data[[#This Row],[Selling Price]]/Full_Data[[#This Row],[Weight (g)]]</f>
        <v>2.7241379310344827</v>
      </c>
      <c r="J1629" t="b">
        <v>0</v>
      </c>
      <c r="K1629">
        <v>1</v>
      </c>
      <c r="L1629">
        <f t="shared" si="226"/>
        <v>17</v>
      </c>
      <c r="M1629" t="str">
        <f t="shared" si="227"/>
        <v>Medium</v>
      </c>
      <c r="N1629" t="str">
        <f t="shared" si="228"/>
        <v>6-10%</v>
      </c>
      <c r="O1629" t="str">
        <f t="shared" si="229"/>
        <v>OK</v>
      </c>
      <c r="P1629">
        <f>IFERROR(Full_Data!G1629/Full_Data!H1629,"Check data")</f>
        <v>2.7241379310344827</v>
      </c>
      <c r="Q1629" t="str">
        <f t="shared" si="230"/>
        <v>Match</v>
      </c>
      <c r="R1629" t="str">
        <f t="shared" si="231"/>
        <v>Mismatch</v>
      </c>
      <c r="S1629" t="str">
        <f t="shared" si="232"/>
        <v>Mismatch</v>
      </c>
    </row>
    <row r="1630" spans="1:19" x14ac:dyDescent="0.25">
      <c r="A1630" t="s">
        <v>1528</v>
      </c>
      <c r="B1630">
        <v>16000</v>
      </c>
      <c r="C1630">
        <f t="shared" si="233"/>
        <v>160</v>
      </c>
      <c r="D1630">
        <v>6</v>
      </c>
      <c r="E1630">
        <v>4</v>
      </c>
      <c r="F1630">
        <v>14900</v>
      </c>
      <c r="G1630">
        <f t="shared" si="225"/>
        <v>149</v>
      </c>
      <c r="H1630">
        <v>375</v>
      </c>
      <c r="I1630" s="4">
        <f>Full_Data[[#This Row],[Selling Price]]/Full_Data[[#This Row],[Weight (g)]]</f>
        <v>0.39733333333333332</v>
      </c>
      <c r="J1630" t="b">
        <v>0</v>
      </c>
      <c r="K1630">
        <v>375</v>
      </c>
      <c r="L1630">
        <f t="shared" si="226"/>
        <v>11</v>
      </c>
      <c r="M1630" t="str">
        <f t="shared" si="227"/>
        <v>Medium</v>
      </c>
      <c r="N1630" t="str">
        <f t="shared" si="228"/>
        <v>6-10%</v>
      </c>
      <c r="O1630" t="str">
        <f t="shared" si="229"/>
        <v>OK</v>
      </c>
      <c r="P1630">
        <f>IFERROR(Full_Data!G1630/Full_Data!H1630,"Check data")</f>
        <v>0.39733333333333332</v>
      </c>
      <c r="Q1630" t="str">
        <f t="shared" si="230"/>
        <v>Match</v>
      </c>
      <c r="R1630" t="str">
        <f t="shared" si="231"/>
        <v>Mismatch</v>
      </c>
      <c r="S1630" t="str">
        <f t="shared" si="232"/>
        <v>Mismatch</v>
      </c>
    </row>
    <row r="1631" spans="1:19" x14ac:dyDescent="0.25">
      <c r="A1631" t="s">
        <v>1529</v>
      </c>
      <c r="B1631">
        <v>10300</v>
      </c>
      <c r="C1631">
        <f t="shared" si="233"/>
        <v>103</v>
      </c>
      <c r="D1631">
        <v>5</v>
      </c>
      <c r="E1631">
        <v>6</v>
      </c>
      <c r="F1631">
        <v>9700</v>
      </c>
      <c r="G1631">
        <f t="shared" si="225"/>
        <v>97</v>
      </c>
      <c r="H1631">
        <v>500</v>
      </c>
      <c r="I1631" s="4">
        <f>Full_Data[[#This Row],[Selling Price]]/Full_Data[[#This Row],[Weight (g)]]</f>
        <v>0.19400000000000001</v>
      </c>
      <c r="J1631" t="b">
        <v>0</v>
      </c>
      <c r="K1631">
        <v>500</v>
      </c>
      <c r="L1631">
        <f t="shared" si="226"/>
        <v>6</v>
      </c>
      <c r="M1631" t="str">
        <f t="shared" si="227"/>
        <v>Medium</v>
      </c>
      <c r="N1631" t="str">
        <f t="shared" si="228"/>
        <v>0-5%</v>
      </c>
      <c r="O1631" t="str">
        <f t="shared" si="229"/>
        <v>OK</v>
      </c>
      <c r="P1631">
        <f>IFERROR(Full_Data!G1631/Full_Data!H1631,"Check data")</f>
        <v>0.19400000000000001</v>
      </c>
      <c r="Q1631" t="str">
        <f t="shared" si="230"/>
        <v>Match</v>
      </c>
      <c r="R1631" t="str">
        <f t="shared" si="231"/>
        <v>Mismatch</v>
      </c>
      <c r="S1631" t="str">
        <f t="shared" si="232"/>
        <v>Mismatch</v>
      </c>
    </row>
    <row r="1632" spans="1:19" x14ac:dyDescent="0.25">
      <c r="A1632" t="s">
        <v>1530</v>
      </c>
      <c r="B1632">
        <v>15000</v>
      </c>
      <c r="C1632">
        <f t="shared" si="233"/>
        <v>150</v>
      </c>
      <c r="D1632">
        <v>12</v>
      </c>
      <c r="E1632">
        <v>4</v>
      </c>
      <c r="F1632">
        <v>13200</v>
      </c>
      <c r="G1632">
        <f t="shared" si="225"/>
        <v>132</v>
      </c>
      <c r="H1632">
        <v>137</v>
      </c>
      <c r="I1632" s="4">
        <f>Full_Data[[#This Row],[Selling Price]]/Full_Data[[#This Row],[Weight (g)]]</f>
        <v>0.96350364963503654</v>
      </c>
      <c r="J1632" t="b">
        <v>0</v>
      </c>
      <c r="K1632">
        <v>137</v>
      </c>
      <c r="L1632">
        <f t="shared" si="226"/>
        <v>18</v>
      </c>
      <c r="M1632" t="str">
        <f t="shared" si="227"/>
        <v>Medium</v>
      </c>
      <c r="N1632" t="str">
        <f t="shared" si="228"/>
        <v>11-15%</v>
      </c>
      <c r="O1632" t="str">
        <f t="shared" si="229"/>
        <v>OK</v>
      </c>
      <c r="P1632">
        <f>IFERROR(Full_Data!G1632/Full_Data!H1632,"Check data")</f>
        <v>0.96350364963503654</v>
      </c>
      <c r="Q1632" t="str">
        <f t="shared" si="230"/>
        <v>Match</v>
      </c>
      <c r="R1632" t="str">
        <f t="shared" si="231"/>
        <v>Match</v>
      </c>
      <c r="S1632" t="str">
        <f t="shared" si="232"/>
        <v>Match</v>
      </c>
    </row>
    <row r="1633" spans="1:19" x14ac:dyDescent="0.25">
      <c r="A1633" t="s">
        <v>1531</v>
      </c>
      <c r="B1633">
        <v>5000</v>
      </c>
      <c r="C1633">
        <f t="shared" si="233"/>
        <v>50</v>
      </c>
      <c r="D1633">
        <v>2</v>
      </c>
      <c r="E1633">
        <v>6</v>
      </c>
      <c r="F1633">
        <v>4900</v>
      </c>
      <c r="G1633">
        <f t="shared" si="225"/>
        <v>49</v>
      </c>
      <c r="H1633">
        <v>58</v>
      </c>
      <c r="I1633" s="4">
        <f>Full_Data[[#This Row],[Selling Price]]/Full_Data[[#This Row],[Weight (g)]]</f>
        <v>0.84482758620689657</v>
      </c>
      <c r="J1633" t="b">
        <v>0</v>
      </c>
      <c r="K1633">
        <v>1</v>
      </c>
      <c r="L1633">
        <f t="shared" si="226"/>
        <v>1</v>
      </c>
      <c r="M1633" t="str">
        <f t="shared" si="227"/>
        <v>Low</v>
      </c>
      <c r="N1633" t="str">
        <f t="shared" si="228"/>
        <v>0-5%</v>
      </c>
      <c r="O1633" t="str">
        <f t="shared" si="229"/>
        <v>OK</v>
      </c>
      <c r="P1633">
        <f>IFERROR(Full_Data!G1633/Full_Data!H1633,"Check data")</f>
        <v>0.84482758620689657</v>
      </c>
      <c r="Q1633" t="str">
        <f t="shared" si="230"/>
        <v>Match</v>
      </c>
      <c r="R1633" t="str">
        <f t="shared" si="231"/>
        <v>Match</v>
      </c>
      <c r="S1633" t="str">
        <f t="shared" si="232"/>
        <v>Match</v>
      </c>
    </row>
    <row r="1634" spans="1:19" x14ac:dyDescent="0.25">
      <c r="A1634" t="s">
        <v>1532</v>
      </c>
      <c r="B1634">
        <v>27500</v>
      </c>
      <c r="C1634">
        <f t="shared" si="233"/>
        <v>275</v>
      </c>
      <c r="D1634">
        <v>14</v>
      </c>
      <c r="E1634">
        <v>6</v>
      </c>
      <c r="F1634">
        <v>23400</v>
      </c>
      <c r="G1634">
        <f t="shared" si="225"/>
        <v>234</v>
      </c>
      <c r="H1634">
        <v>232</v>
      </c>
      <c r="I1634" s="4">
        <f>Full_Data[[#This Row],[Selling Price]]/Full_Data[[#This Row],[Weight (g)]]</f>
        <v>1.0086206896551724</v>
      </c>
      <c r="J1634" t="b">
        <v>0</v>
      </c>
      <c r="K1634">
        <v>1</v>
      </c>
      <c r="L1634">
        <f t="shared" si="226"/>
        <v>41</v>
      </c>
      <c r="M1634" t="str">
        <f t="shared" si="227"/>
        <v>High</v>
      </c>
      <c r="N1634" t="str">
        <f t="shared" si="228"/>
        <v>11-15%</v>
      </c>
      <c r="O1634" t="str">
        <f t="shared" si="229"/>
        <v>OK</v>
      </c>
      <c r="P1634">
        <f>IFERROR(Full_Data!G1634/Full_Data!H1634,"Check data")</f>
        <v>1.0086206896551724</v>
      </c>
      <c r="Q1634" t="str">
        <f t="shared" si="230"/>
        <v>Match</v>
      </c>
      <c r="R1634" t="str">
        <f t="shared" si="231"/>
        <v>Mismatch</v>
      </c>
      <c r="S1634" t="str">
        <f t="shared" si="232"/>
        <v>Mismatch</v>
      </c>
    </row>
    <row r="1635" spans="1:19" x14ac:dyDescent="0.25">
      <c r="A1635" t="s">
        <v>1533</v>
      </c>
      <c r="B1635">
        <v>8000</v>
      </c>
      <c r="C1635">
        <f t="shared" si="233"/>
        <v>80</v>
      </c>
      <c r="D1635">
        <v>6</v>
      </c>
      <c r="E1635">
        <v>4</v>
      </c>
      <c r="F1635">
        <v>7500</v>
      </c>
      <c r="G1635">
        <f t="shared" si="225"/>
        <v>75</v>
      </c>
      <c r="H1635">
        <v>696</v>
      </c>
      <c r="I1635" s="4">
        <f>Full_Data[[#This Row],[Selling Price]]/Full_Data[[#This Row],[Weight (g)]]</f>
        <v>0.10775862068965517</v>
      </c>
      <c r="J1635" t="b">
        <v>0</v>
      </c>
      <c r="K1635">
        <v>12</v>
      </c>
      <c r="L1635">
        <f t="shared" si="226"/>
        <v>5</v>
      </c>
      <c r="M1635" t="str">
        <f t="shared" si="227"/>
        <v>Medium</v>
      </c>
      <c r="N1635" t="str">
        <f t="shared" si="228"/>
        <v>6-10%</v>
      </c>
      <c r="O1635" t="str">
        <f t="shared" si="229"/>
        <v>OK</v>
      </c>
      <c r="P1635">
        <f>IFERROR(Full_Data!G1635/Full_Data!H1635,"Check data")</f>
        <v>0.10775862068965517</v>
      </c>
      <c r="Q1635" t="str">
        <f t="shared" si="230"/>
        <v>Match</v>
      </c>
      <c r="R1635" t="str">
        <f t="shared" si="231"/>
        <v>Mismatch</v>
      </c>
      <c r="S1635" t="str">
        <f t="shared" si="232"/>
        <v>Match</v>
      </c>
    </row>
    <row r="1636" spans="1:19" x14ac:dyDescent="0.25">
      <c r="A1636" t="s">
        <v>1534</v>
      </c>
      <c r="B1636">
        <v>7500</v>
      </c>
      <c r="C1636">
        <f t="shared" si="233"/>
        <v>75</v>
      </c>
      <c r="D1636">
        <v>9</v>
      </c>
      <c r="E1636">
        <v>5</v>
      </c>
      <c r="F1636">
        <v>6800</v>
      </c>
      <c r="G1636">
        <f t="shared" si="225"/>
        <v>68</v>
      </c>
      <c r="H1636">
        <v>290</v>
      </c>
      <c r="I1636" s="4">
        <f>Full_Data[[#This Row],[Selling Price]]/Full_Data[[#This Row],[Weight (g)]]</f>
        <v>0.23448275862068965</v>
      </c>
      <c r="J1636" t="b">
        <v>0</v>
      </c>
      <c r="K1636">
        <v>5</v>
      </c>
      <c r="L1636">
        <f t="shared" si="226"/>
        <v>7</v>
      </c>
      <c r="M1636" t="str">
        <f t="shared" si="227"/>
        <v>Medium</v>
      </c>
      <c r="N1636" t="str">
        <f t="shared" si="228"/>
        <v>6-10%</v>
      </c>
      <c r="O1636" t="str">
        <f t="shared" si="229"/>
        <v>OK</v>
      </c>
      <c r="P1636">
        <f>IFERROR(Full_Data!G1636/Full_Data!H1636,"Check data")</f>
        <v>0.23448275862068965</v>
      </c>
      <c r="Q1636" t="str">
        <f t="shared" si="230"/>
        <v>Match</v>
      </c>
      <c r="R1636" t="str">
        <f t="shared" si="231"/>
        <v>Mismatch</v>
      </c>
      <c r="S1636" t="str">
        <f t="shared" si="232"/>
        <v>Match</v>
      </c>
    </row>
    <row r="1637" spans="1:19" x14ac:dyDescent="0.25">
      <c r="A1637" t="s">
        <v>1535</v>
      </c>
      <c r="B1637">
        <v>8000</v>
      </c>
      <c r="C1637">
        <f t="shared" si="233"/>
        <v>80</v>
      </c>
      <c r="D1637">
        <v>0</v>
      </c>
      <c r="E1637">
        <v>1</v>
      </c>
      <c r="F1637">
        <v>8000</v>
      </c>
      <c r="G1637">
        <f t="shared" si="225"/>
        <v>80</v>
      </c>
      <c r="H1637">
        <v>58</v>
      </c>
      <c r="I1637" s="4">
        <f>Full_Data[[#This Row],[Selling Price]]/Full_Data[[#This Row],[Weight (g)]]</f>
        <v>1.3793103448275863</v>
      </c>
      <c r="J1637" t="b">
        <v>0</v>
      </c>
      <c r="K1637">
        <v>1</v>
      </c>
      <c r="L1637">
        <f t="shared" si="226"/>
        <v>0</v>
      </c>
      <c r="M1637" t="str">
        <f t="shared" si="227"/>
        <v>Medium</v>
      </c>
      <c r="N1637" t="str">
        <f t="shared" si="228"/>
        <v>0-5%</v>
      </c>
      <c r="O1637" t="str">
        <f t="shared" si="229"/>
        <v>OK</v>
      </c>
      <c r="P1637">
        <f>IFERROR(Full_Data!G1637/Full_Data!H1637,"Check data")</f>
        <v>1.3793103448275863</v>
      </c>
      <c r="Q1637" t="str">
        <f t="shared" si="230"/>
        <v>Match</v>
      </c>
      <c r="R1637" t="str">
        <f t="shared" si="231"/>
        <v>Match</v>
      </c>
      <c r="S1637" t="str">
        <f t="shared" si="232"/>
        <v>Match</v>
      </c>
    </row>
    <row r="1638" spans="1:19" x14ac:dyDescent="0.25">
      <c r="A1638" t="s">
        <v>1536</v>
      </c>
      <c r="B1638">
        <v>9000</v>
      </c>
      <c r="C1638">
        <f t="shared" si="233"/>
        <v>90</v>
      </c>
      <c r="D1638">
        <v>8</v>
      </c>
      <c r="E1638">
        <v>6</v>
      </c>
      <c r="F1638">
        <v>8200</v>
      </c>
      <c r="G1638">
        <f t="shared" si="225"/>
        <v>82</v>
      </c>
      <c r="H1638">
        <v>120</v>
      </c>
      <c r="I1638" s="4">
        <f>Full_Data[[#This Row],[Selling Price]]/Full_Data[[#This Row],[Weight (g)]]</f>
        <v>0.68333333333333335</v>
      </c>
      <c r="J1638" t="b">
        <v>0</v>
      </c>
      <c r="K1638">
        <v>120</v>
      </c>
      <c r="L1638">
        <f t="shared" si="226"/>
        <v>8</v>
      </c>
      <c r="M1638" t="str">
        <f t="shared" si="227"/>
        <v>Medium</v>
      </c>
      <c r="N1638" t="str">
        <f t="shared" si="228"/>
        <v>6-10%</v>
      </c>
      <c r="O1638" t="str">
        <f t="shared" si="229"/>
        <v>OK</v>
      </c>
      <c r="P1638">
        <f>IFERROR(Full_Data!G1638/Full_Data!H1638,"Check data")</f>
        <v>0.68333333333333335</v>
      </c>
      <c r="Q1638" t="str">
        <f t="shared" si="230"/>
        <v>Match</v>
      </c>
      <c r="R1638" t="str">
        <f t="shared" si="231"/>
        <v>Mismatch</v>
      </c>
      <c r="S1638" t="str">
        <f t="shared" si="232"/>
        <v>Mismatch</v>
      </c>
    </row>
    <row r="1639" spans="1:19" x14ac:dyDescent="0.25">
      <c r="A1639" t="s">
        <v>1537</v>
      </c>
      <c r="B1639">
        <v>53000</v>
      </c>
      <c r="C1639">
        <f t="shared" si="233"/>
        <v>530</v>
      </c>
      <c r="D1639">
        <v>4</v>
      </c>
      <c r="E1639">
        <v>6</v>
      </c>
      <c r="F1639">
        <v>50700</v>
      </c>
      <c r="G1639">
        <f t="shared" si="225"/>
        <v>507</v>
      </c>
      <c r="H1639">
        <v>2000</v>
      </c>
      <c r="I1639" s="4">
        <f>Full_Data[[#This Row],[Selling Price]]/Full_Data[[#This Row],[Weight (g)]]</f>
        <v>0.2535</v>
      </c>
      <c r="J1639" t="b">
        <v>0</v>
      </c>
      <c r="K1639">
        <v>2</v>
      </c>
      <c r="L1639">
        <f t="shared" si="226"/>
        <v>23</v>
      </c>
      <c r="M1639" t="str">
        <f t="shared" si="227"/>
        <v>High</v>
      </c>
      <c r="N1639" t="str">
        <f t="shared" si="228"/>
        <v>0-5%</v>
      </c>
      <c r="O1639" t="str">
        <f t="shared" si="229"/>
        <v>OK</v>
      </c>
      <c r="P1639">
        <f>IFERROR(Full_Data!G1639/Full_Data!H1639,"Check data")</f>
        <v>0.2535</v>
      </c>
      <c r="Q1639" t="str">
        <f t="shared" si="230"/>
        <v>Match</v>
      </c>
      <c r="R1639" t="str">
        <f t="shared" si="231"/>
        <v>Mismatch</v>
      </c>
      <c r="S1639" t="str">
        <f t="shared" si="232"/>
        <v>Match</v>
      </c>
    </row>
    <row r="1640" spans="1:19" x14ac:dyDescent="0.25">
      <c r="A1640" t="s">
        <v>1538</v>
      </c>
      <c r="B1640">
        <v>5000</v>
      </c>
      <c r="C1640">
        <f t="shared" si="233"/>
        <v>50</v>
      </c>
      <c r="D1640">
        <v>2</v>
      </c>
      <c r="E1640">
        <v>6</v>
      </c>
      <c r="F1640">
        <v>4900</v>
      </c>
      <c r="G1640">
        <f t="shared" si="225"/>
        <v>49</v>
      </c>
      <c r="H1640">
        <v>105</v>
      </c>
      <c r="I1640" s="4">
        <f>Full_Data[[#This Row],[Selling Price]]/Full_Data[[#This Row],[Weight (g)]]</f>
        <v>0.46666666666666667</v>
      </c>
      <c r="J1640" t="b">
        <v>0</v>
      </c>
      <c r="K1640">
        <v>100</v>
      </c>
      <c r="L1640">
        <f t="shared" si="226"/>
        <v>1</v>
      </c>
      <c r="M1640" t="str">
        <f t="shared" si="227"/>
        <v>Low</v>
      </c>
      <c r="N1640" t="str">
        <f t="shared" si="228"/>
        <v>0-5%</v>
      </c>
      <c r="O1640" t="str">
        <f t="shared" si="229"/>
        <v>OK</v>
      </c>
      <c r="P1640">
        <f>IFERROR(Full_Data!G1640/Full_Data!H1640,"Check data")</f>
        <v>0.46666666666666667</v>
      </c>
      <c r="Q1640" t="str">
        <f t="shared" si="230"/>
        <v>Match</v>
      </c>
      <c r="R1640" t="str">
        <f t="shared" si="231"/>
        <v>Match</v>
      </c>
      <c r="S1640" t="str">
        <f t="shared" si="232"/>
        <v>Match</v>
      </c>
    </row>
    <row r="1641" spans="1:19" x14ac:dyDescent="0.25">
      <c r="A1641" t="s">
        <v>1539</v>
      </c>
      <c r="B1641">
        <v>7500</v>
      </c>
      <c r="C1641">
        <f t="shared" si="233"/>
        <v>75</v>
      </c>
      <c r="D1641">
        <v>9</v>
      </c>
      <c r="E1641">
        <v>3</v>
      </c>
      <c r="F1641">
        <v>6800</v>
      </c>
      <c r="G1641">
        <f t="shared" si="225"/>
        <v>68</v>
      </c>
      <c r="H1641">
        <v>25</v>
      </c>
      <c r="I1641" s="4">
        <f>Full_Data[[#This Row],[Selling Price]]/Full_Data[[#This Row],[Weight (g)]]</f>
        <v>2.72</v>
      </c>
      <c r="J1641" t="b">
        <v>0</v>
      </c>
      <c r="K1641">
        <v>25</v>
      </c>
      <c r="L1641">
        <f t="shared" si="226"/>
        <v>7</v>
      </c>
      <c r="M1641" t="str">
        <f t="shared" si="227"/>
        <v>Medium</v>
      </c>
      <c r="N1641" t="str">
        <f t="shared" si="228"/>
        <v>6-10%</v>
      </c>
      <c r="O1641" t="str">
        <f t="shared" si="229"/>
        <v>OK</v>
      </c>
      <c r="P1641">
        <f>IFERROR(Full_Data!G1641/Full_Data!H1641,"Check data")</f>
        <v>2.72</v>
      </c>
      <c r="Q1641" t="str">
        <f t="shared" si="230"/>
        <v>Match</v>
      </c>
      <c r="R1641" t="str">
        <f t="shared" si="231"/>
        <v>Mismatch</v>
      </c>
      <c r="S1641" t="str">
        <f t="shared" si="232"/>
        <v>Match</v>
      </c>
    </row>
    <row r="1642" spans="1:19" x14ac:dyDescent="0.25">
      <c r="A1642" t="s">
        <v>1540</v>
      </c>
      <c r="B1642">
        <v>18800</v>
      </c>
      <c r="C1642">
        <f t="shared" si="233"/>
        <v>188</v>
      </c>
      <c r="D1642">
        <v>10</v>
      </c>
      <c r="E1642">
        <v>6</v>
      </c>
      <c r="F1642">
        <v>16900</v>
      </c>
      <c r="G1642">
        <f t="shared" si="225"/>
        <v>169</v>
      </c>
      <c r="H1642">
        <v>35</v>
      </c>
      <c r="I1642" s="4">
        <f>Full_Data[[#This Row],[Selling Price]]/Full_Data[[#This Row],[Weight (g)]]</f>
        <v>4.8285714285714283</v>
      </c>
      <c r="J1642" t="b">
        <v>0</v>
      </c>
      <c r="K1642">
        <v>35</v>
      </c>
      <c r="L1642">
        <f t="shared" si="226"/>
        <v>19</v>
      </c>
      <c r="M1642" t="str">
        <f t="shared" si="227"/>
        <v>Medium</v>
      </c>
      <c r="N1642" t="str">
        <f t="shared" si="228"/>
        <v>6-10%</v>
      </c>
      <c r="O1642" t="str">
        <f t="shared" si="229"/>
        <v>OK</v>
      </c>
      <c r="P1642">
        <f>IFERROR(Full_Data!G1642/Full_Data!H1642,"Check data")</f>
        <v>4.8285714285714283</v>
      </c>
      <c r="Q1642" t="str">
        <f t="shared" si="230"/>
        <v>Match</v>
      </c>
      <c r="R1642" t="str">
        <f t="shared" si="231"/>
        <v>Mismatch</v>
      </c>
      <c r="S1642" t="str">
        <f t="shared" si="232"/>
        <v>Match</v>
      </c>
    </row>
    <row r="1643" spans="1:19" x14ac:dyDescent="0.25">
      <c r="A1643" t="s">
        <v>1541</v>
      </c>
      <c r="B1643">
        <v>39000</v>
      </c>
      <c r="C1643">
        <f t="shared" si="233"/>
        <v>390</v>
      </c>
      <c r="D1643">
        <v>11</v>
      </c>
      <c r="E1643">
        <v>6</v>
      </c>
      <c r="F1643">
        <v>34700</v>
      </c>
      <c r="G1643">
        <f t="shared" si="225"/>
        <v>347</v>
      </c>
      <c r="H1643">
        <v>696</v>
      </c>
      <c r="I1643" s="4">
        <f>Full_Data[[#This Row],[Selling Price]]/Full_Data[[#This Row],[Weight (g)]]</f>
        <v>0.49856321839080459</v>
      </c>
      <c r="J1643" t="b">
        <v>0</v>
      </c>
      <c r="K1643">
        <v>12</v>
      </c>
      <c r="L1643">
        <f t="shared" si="226"/>
        <v>43</v>
      </c>
      <c r="M1643" t="str">
        <f t="shared" si="227"/>
        <v>High</v>
      </c>
      <c r="N1643" t="str">
        <f t="shared" si="228"/>
        <v>11-15%</v>
      </c>
      <c r="O1643" t="str">
        <f t="shared" si="229"/>
        <v>OK</v>
      </c>
      <c r="P1643">
        <f>IFERROR(Full_Data!G1643/Full_Data!H1643,"Check data")</f>
        <v>0.49856321839080459</v>
      </c>
      <c r="Q1643" t="str">
        <f t="shared" si="230"/>
        <v>Match</v>
      </c>
      <c r="R1643" t="str">
        <f t="shared" si="231"/>
        <v>Mismatch</v>
      </c>
      <c r="S1643" t="str">
        <f t="shared" si="232"/>
        <v>Match</v>
      </c>
    </row>
    <row r="1644" spans="1:19" x14ac:dyDescent="0.25">
      <c r="A1644" t="s">
        <v>1542</v>
      </c>
      <c r="B1644">
        <v>80000</v>
      </c>
      <c r="C1644">
        <f t="shared" si="233"/>
        <v>800</v>
      </c>
      <c r="D1644">
        <v>15</v>
      </c>
      <c r="E1644">
        <v>6</v>
      </c>
      <c r="F1644">
        <v>68000</v>
      </c>
      <c r="G1644">
        <f t="shared" si="225"/>
        <v>680</v>
      </c>
      <c r="H1644">
        <v>3000</v>
      </c>
      <c r="I1644" s="4">
        <f>Full_Data[[#This Row],[Selling Price]]/Full_Data[[#This Row],[Weight (g)]]</f>
        <v>0.22666666666666666</v>
      </c>
      <c r="J1644" t="b">
        <v>0</v>
      </c>
      <c r="K1644">
        <v>3</v>
      </c>
      <c r="L1644">
        <f t="shared" si="226"/>
        <v>120</v>
      </c>
      <c r="M1644" t="str">
        <f t="shared" si="227"/>
        <v>High</v>
      </c>
      <c r="N1644" t="str">
        <f t="shared" si="228"/>
        <v>11-15%</v>
      </c>
      <c r="O1644" t="str">
        <f t="shared" si="229"/>
        <v>OK</v>
      </c>
      <c r="P1644">
        <f>IFERROR(Full_Data!G1644/Full_Data!H1644,"Check data")</f>
        <v>0.22666666666666666</v>
      </c>
      <c r="Q1644" t="str">
        <f t="shared" si="230"/>
        <v>Match</v>
      </c>
      <c r="R1644" t="str">
        <f t="shared" si="231"/>
        <v>Match</v>
      </c>
      <c r="S1644" t="str">
        <f t="shared" si="232"/>
        <v>Match</v>
      </c>
    </row>
    <row r="1645" spans="1:19" x14ac:dyDescent="0.25">
      <c r="A1645" t="s">
        <v>1543</v>
      </c>
      <c r="B1645">
        <v>15000</v>
      </c>
      <c r="C1645">
        <f t="shared" si="233"/>
        <v>150</v>
      </c>
      <c r="D1645">
        <v>10</v>
      </c>
      <c r="E1645">
        <v>6</v>
      </c>
      <c r="F1645">
        <v>13500</v>
      </c>
      <c r="G1645">
        <f t="shared" si="225"/>
        <v>135</v>
      </c>
      <c r="H1645">
        <v>58</v>
      </c>
      <c r="I1645" s="4">
        <f>Full_Data[[#This Row],[Selling Price]]/Full_Data[[#This Row],[Weight (g)]]</f>
        <v>2.3275862068965516</v>
      </c>
      <c r="J1645" t="b">
        <v>0</v>
      </c>
      <c r="K1645">
        <v>1</v>
      </c>
      <c r="L1645">
        <f t="shared" si="226"/>
        <v>15</v>
      </c>
      <c r="M1645" t="str">
        <f t="shared" si="227"/>
        <v>Medium</v>
      </c>
      <c r="N1645" t="str">
        <f t="shared" si="228"/>
        <v>6-10%</v>
      </c>
      <c r="O1645" t="str">
        <f t="shared" si="229"/>
        <v>OK</v>
      </c>
      <c r="P1645">
        <f>IFERROR(Full_Data!G1645/Full_Data!H1645,"Check data")</f>
        <v>2.3275862068965516</v>
      </c>
      <c r="Q1645" t="str">
        <f t="shared" si="230"/>
        <v>Match</v>
      </c>
      <c r="R1645" t="str">
        <f t="shared" si="231"/>
        <v>Match</v>
      </c>
      <c r="S1645" t="str">
        <f t="shared" si="232"/>
        <v>Match</v>
      </c>
    </row>
    <row r="1646" spans="1:19" x14ac:dyDescent="0.25">
      <c r="A1646" t="s">
        <v>1544</v>
      </c>
      <c r="B1646">
        <v>11400</v>
      </c>
      <c r="C1646">
        <f t="shared" si="233"/>
        <v>114</v>
      </c>
      <c r="D1646">
        <v>0</v>
      </c>
      <c r="E1646">
        <v>6</v>
      </c>
      <c r="F1646">
        <v>11400</v>
      </c>
      <c r="G1646">
        <f t="shared" si="225"/>
        <v>114</v>
      </c>
      <c r="H1646">
        <v>800</v>
      </c>
      <c r="I1646" s="4">
        <f>Full_Data[[#This Row],[Selling Price]]/Full_Data[[#This Row],[Weight (g)]]</f>
        <v>0.14249999999999999</v>
      </c>
      <c r="J1646" t="b">
        <v>0</v>
      </c>
      <c r="K1646">
        <v>800</v>
      </c>
      <c r="L1646">
        <f t="shared" si="226"/>
        <v>0</v>
      </c>
      <c r="M1646" t="str">
        <f t="shared" si="227"/>
        <v>Medium</v>
      </c>
      <c r="N1646" t="str">
        <f t="shared" si="228"/>
        <v>0-5%</v>
      </c>
      <c r="O1646" t="str">
        <f t="shared" si="229"/>
        <v>OK</v>
      </c>
      <c r="P1646">
        <f>IFERROR(Full_Data!G1646/Full_Data!H1646,"Check data")</f>
        <v>0.14249999999999999</v>
      </c>
      <c r="Q1646" t="str">
        <f t="shared" si="230"/>
        <v>Match</v>
      </c>
      <c r="R1646" t="str">
        <f t="shared" si="231"/>
        <v>Match</v>
      </c>
      <c r="S1646" t="str">
        <f t="shared" si="232"/>
        <v>Match</v>
      </c>
    </row>
    <row r="1647" spans="1:19" x14ac:dyDescent="0.25">
      <c r="A1647" t="s">
        <v>1545</v>
      </c>
      <c r="B1647">
        <v>5500</v>
      </c>
      <c r="C1647">
        <f t="shared" si="233"/>
        <v>55</v>
      </c>
      <c r="D1647">
        <v>0</v>
      </c>
      <c r="E1647">
        <v>1</v>
      </c>
      <c r="F1647">
        <v>5500</v>
      </c>
      <c r="G1647">
        <f t="shared" si="225"/>
        <v>55</v>
      </c>
      <c r="H1647">
        <v>10</v>
      </c>
      <c r="I1647" s="4">
        <f>Full_Data[[#This Row],[Selling Price]]/Full_Data[[#This Row],[Weight (g)]]</f>
        <v>5.5</v>
      </c>
      <c r="J1647" t="b">
        <v>0</v>
      </c>
      <c r="K1647">
        <v>10</v>
      </c>
      <c r="L1647">
        <f t="shared" si="226"/>
        <v>0</v>
      </c>
      <c r="M1647" t="str">
        <f t="shared" si="227"/>
        <v>Medium</v>
      </c>
      <c r="N1647" t="str">
        <f t="shared" si="228"/>
        <v>0-5%</v>
      </c>
      <c r="O1647" t="str">
        <f t="shared" si="229"/>
        <v>OK</v>
      </c>
      <c r="P1647">
        <f>IFERROR(Full_Data!G1647/Full_Data!H1647,"Check data")</f>
        <v>5.5</v>
      </c>
      <c r="Q1647" t="str">
        <f t="shared" si="230"/>
        <v>Match</v>
      </c>
      <c r="R1647" t="str">
        <f t="shared" si="231"/>
        <v>Match</v>
      </c>
      <c r="S1647" t="str">
        <f t="shared" si="232"/>
        <v>Match</v>
      </c>
    </row>
    <row r="1648" spans="1:19" x14ac:dyDescent="0.25">
      <c r="A1648" t="s">
        <v>1546</v>
      </c>
      <c r="B1648">
        <v>15000</v>
      </c>
      <c r="C1648">
        <f t="shared" si="233"/>
        <v>150</v>
      </c>
      <c r="D1648">
        <v>0</v>
      </c>
      <c r="E1648">
        <v>2</v>
      </c>
      <c r="F1648">
        <v>15000</v>
      </c>
      <c r="G1648">
        <f t="shared" si="225"/>
        <v>150</v>
      </c>
      <c r="H1648">
        <v>58</v>
      </c>
      <c r="I1648" s="4">
        <f>Full_Data[[#This Row],[Selling Price]]/Full_Data[[#This Row],[Weight (g)]]</f>
        <v>2.5862068965517242</v>
      </c>
      <c r="J1648" t="b">
        <v>0</v>
      </c>
      <c r="K1648">
        <v>1</v>
      </c>
      <c r="L1648">
        <f t="shared" si="226"/>
        <v>0</v>
      </c>
      <c r="M1648" t="str">
        <f t="shared" si="227"/>
        <v>Medium</v>
      </c>
      <c r="N1648" t="str">
        <f t="shared" si="228"/>
        <v>0-5%</v>
      </c>
      <c r="O1648" t="str">
        <f t="shared" si="229"/>
        <v>OK</v>
      </c>
      <c r="P1648">
        <f>IFERROR(Full_Data!G1648/Full_Data!H1648,"Check data")</f>
        <v>2.5862068965517242</v>
      </c>
      <c r="Q1648" t="str">
        <f t="shared" si="230"/>
        <v>Match</v>
      </c>
      <c r="R1648" t="str">
        <f t="shared" si="231"/>
        <v>Match</v>
      </c>
      <c r="S1648" t="str">
        <f t="shared" si="232"/>
        <v>Match</v>
      </c>
    </row>
    <row r="1649" spans="1:19" x14ac:dyDescent="0.25">
      <c r="A1649" t="s">
        <v>1547</v>
      </c>
      <c r="B1649">
        <v>33000</v>
      </c>
      <c r="C1649">
        <f t="shared" si="233"/>
        <v>330</v>
      </c>
      <c r="D1649">
        <v>10</v>
      </c>
      <c r="E1649">
        <v>6</v>
      </c>
      <c r="F1649">
        <v>29700</v>
      </c>
      <c r="G1649">
        <f t="shared" si="225"/>
        <v>297</v>
      </c>
      <c r="H1649">
        <v>290</v>
      </c>
      <c r="I1649" s="4">
        <f>Full_Data[[#This Row],[Selling Price]]/Full_Data[[#This Row],[Weight (g)]]</f>
        <v>1.0241379310344827</v>
      </c>
      <c r="J1649" t="b">
        <v>0</v>
      </c>
      <c r="K1649">
        <v>5</v>
      </c>
      <c r="L1649">
        <f t="shared" si="226"/>
        <v>33</v>
      </c>
      <c r="M1649" t="str">
        <f t="shared" si="227"/>
        <v>High</v>
      </c>
      <c r="N1649" t="str">
        <f t="shared" si="228"/>
        <v>6-10%</v>
      </c>
      <c r="O1649" t="str">
        <f t="shared" si="229"/>
        <v>OK</v>
      </c>
      <c r="P1649">
        <f>IFERROR(Full_Data!G1649/Full_Data!H1649,"Check data")</f>
        <v>1.0241379310344827</v>
      </c>
      <c r="Q1649" t="str">
        <f t="shared" si="230"/>
        <v>Match</v>
      </c>
      <c r="R1649" t="str">
        <f t="shared" si="231"/>
        <v>Match</v>
      </c>
      <c r="S1649" t="str">
        <f t="shared" si="232"/>
        <v>Match</v>
      </c>
    </row>
    <row r="1650" spans="1:19" x14ac:dyDescent="0.25">
      <c r="A1650" t="s">
        <v>1548</v>
      </c>
      <c r="B1650">
        <v>18000</v>
      </c>
      <c r="C1650">
        <f t="shared" si="233"/>
        <v>180</v>
      </c>
      <c r="D1650">
        <v>5</v>
      </c>
      <c r="E1650">
        <v>6</v>
      </c>
      <c r="F1650">
        <v>17000</v>
      </c>
      <c r="G1650">
        <f t="shared" si="225"/>
        <v>170</v>
      </c>
      <c r="H1650">
        <v>1000</v>
      </c>
      <c r="I1650" s="4">
        <f>Full_Data[[#This Row],[Selling Price]]/Full_Data[[#This Row],[Weight (g)]]</f>
        <v>0.17</v>
      </c>
      <c r="J1650" t="b">
        <v>0</v>
      </c>
      <c r="K1650">
        <v>1</v>
      </c>
      <c r="L1650">
        <f t="shared" si="226"/>
        <v>10</v>
      </c>
      <c r="M1650" t="str">
        <f t="shared" si="227"/>
        <v>Medium</v>
      </c>
      <c r="N1650" t="str">
        <f t="shared" si="228"/>
        <v>0-5%</v>
      </c>
      <c r="O1650" t="str">
        <f t="shared" si="229"/>
        <v>OK</v>
      </c>
      <c r="P1650">
        <f>IFERROR(Full_Data!G1650/Full_Data!H1650,"Check data")</f>
        <v>0.17</v>
      </c>
      <c r="Q1650" t="str">
        <f t="shared" si="230"/>
        <v>Match</v>
      </c>
      <c r="R1650" t="str">
        <f t="shared" si="231"/>
        <v>Mismatch</v>
      </c>
      <c r="S1650" t="str">
        <f t="shared" si="232"/>
        <v>Mismatch</v>
      </c>
    </row>
    <row r="1651" spans="1:19" x14ac:dyDescent="0.25">
      <c r="A1651" t="s">
        <v>1549</v>
      </c>
      <c r="B1651">
        <v>81000</v>
      </c>
      <c r="C1651">
        <f t="shared" si="233"/>
        <v>810</v>
      </c>
      <c r="D1651">
        <v>7</v>
      </c>
      <c r="E1651">
        <v>2</v>
      </c>
      <c r="F1651">
        <v>75000</v>
      </c>
      <c r="G1651">
        <f t="shared" si="225"/>
        <v>750</v>
      </c>
      <c r="H1651">
        <v>4000</v>
      </c>
      <c r="I1651" s="4">
        <f>Full_Data[[#This Row],[Selling Price]]/Full_Data[[#This Row],[Weight (g)]]</f>
        <v>0.1875</v>
      </c>
      <c r="J1651" t="b">
        <v>0</v>
      </c>
      <c r="K1651">
        <v>4</v>
      </c>
      <c r="L1651">
        <f t="shared" si="226"/>
        <v>60</v>
      </c>
      <c r="M1651" t="str">
        <f t="shared" si="227"/>
        <v>High</v>
      </c>
      <c r="N1651" t="str">
        <f t="shared" si="228"/>
        <v>6-10%</v>
      </c>
      <c r="O1651" t="str">
        <f t="shared" si="229"/>
        <v>OK</v>
      </c>
      <c r="P1651">
        <f>IFERROR(Full_Data!G1651/Full_Data!H1651,"Check data")</f>
        <v>0.1875</v>
      </c>
      <c r="Q1651" t="str">
        <f t="shared" si="230"/>
        <v>Match</v>
      </c>
      <c r="R1651" t="str">
        <f t="shared" si="231"/>
        <v>Mismatch</v>
      </c>
      <c r="S1651" t="str">
        <f t="shared" si="232"/>
        <v>Match</v>
      </c>
    </row>
    <row r="1652" spans="1:19" x14ac:dyDescent="0.25">
      <c r="A1652" t="s">
        <v>1550</v>
      </c>
      <c r="B1652">
        <v>9000</v>
      </c>
      <c r="C1652">
        <f t="shared" si="233"/>
        <v>90</v>
      </c>
      <c r="D1652">
        <v>10</v>
      </c>
      <c r="E1652">
        <v>6</v>
      </c>
      <c r="F1652">
        <v>8100</v>
      </c>
      <c r="G1652">
        <f t="shared" si="225"/>
        <v>81</v>
      </c>
      <c r="H1652">
        <v>348</v>
      </c>
      <c r="I1652" s="4">
        <f>Full_Data[[#This Row],[Selling Price]]/Full_Data[[#This Row],[Weight (g)]]</f>
        <v>0.23275862068965517</v>
      </c>
      <c r="J1652" t="b">
        <v>0</v>
      </c>
      <c r="K1652">
        <v>3</v>
      </c>
      <c r="L1652">
        <f t="shared" si="226"/>
        <v>9</v>
      </c>
      <c r="M1652" t="str">
        <f t="shared" si="227"/>
        <v>Medium</v>
      </c>
      <c r="N1652" t="str">
        <f t="shared" si="228"/>
        <v>6-10%</v>
      </c>
      <c r="O1652" t="str">
        <f t="shared" si="229"/>
        <v>OK</v>
      </c>
      <c r="P1652">
        <f>IFERROR(Full_Data!G1652/Full_Data!H1652,"Check data")</f>
        <v>0.23275862068965517</v>
      </c>
      <c r="Q1652" t="str">
        <f t="shared" si="230"/>
        <v>Match</v>
      </c>
      <c r="R1652" t="str">
        <f t="shared" si="231"/>
        <v>Match</v>
      </c>
      <c r="S1652" t="str">
        <f t="shared" si="232"/>
        <v>Match</v>
      </c>
    </row>
    <row r="1653" spans="1:19" x14ac:dyDescent="0.25">
      <c r="A1653" t="s">
        <v>1551</v>
      </c>
      <c r="B1653">
        <v>16100</v>
      </c>
      <c r="C1653">
        <f t="shared" si="233"/>
        <v>161</v>
      </c>
      <c r="D1653">
        <v>5</v>
      </c>
      <c r="E1653">
        <v>6</v>
      </c>
      <c r="F1653">
        <v>15200</v>
      </c>
      <c r="G1653">
        <f t="shared" si="225"/>
        <v>152</v>
      </c>
      <c r="H1653">
        <v>245</v>
      </c>
      <c r="I1653" s="4">
        <f>Full_Data[[#This Row],[Selling Price]]/Full_Data[[#This Row],[Weight (g)]]</f>
        <v>0.62040816326530612</v>
      </c>
      <c r="J1653" t="b">
        <v>0</v>
      </c>
      <c r="K1653">
        <v>245</v>
      </c>
      <c r="L1653">
        <f t="shared" si="226"/>
        <v>9</v>
      </c>
      <c r="M1653" t="str">
        <f t="shared" si="227"/>
        <v>Medium</v>
      </c>
      <c r="N1653" t="str">
        <f t="shared" si="228"/>
        <v>0-5%</v>
      </c>
      <c r="O1653" t="str">
        <f t="shared" si="229"/>
        <v>OK</v>
      </c>
      <c r="P1653">
        <f>IFERROR(Full_Data!G1653/Full_Data!H1653,"Check data")</f>
        <v>0.62040816326530612</v>
      </c>
      <c r="Q1653" t="str">
        <f t="shared" si="230"/>
        <v>Match</v>
      </c>
      <c r="R1653" t="str">
        <f t="shared" si="231"/>
        <v>Mismatch</v>
      </c>
      <c r="S1653" t="str">
        <f t="shared" si="232"/>
        <v>Mismatch</v>
      </c>
    </row>
    <row r="1654" spans="1:19" x14ac:dyDescent="0.25">
      <c r="A1654" t="s">
        <v>1552</v>
      </c>
      <c r="B1654">
        <v>9500</v>
      </c>
      <c r="C1654">
        <f t="shared" si="233"/>
        <v>95</v>
      </c>
      <c r="D1654">
        <v>9</v>
      </c>
      <c r="E1654">
        <v>6</v>
      </c>
      <c r="F1654">
        <v>8600</v>
      </c>
      <c r="G1654">
        <f t="shared" si="225"/>
        <v>86</v>
      </c>
      <c r="H1654">
        <v>50</v>
      </c>
      <c r="I1654" s="4">
        <f>Full_Data[[#This Row],[Selling Price]]/Full_Data[[#This Row],[Weight (g)]]</f>
        <v>1.72</v>
      </c>
      <c r="J1654" t="b">
        <v>0</v>
      </c>
      <c r="K1654">
        <v>50</v>
      </c>
      <c r="L1654">
        <f t="shared" si="226"/>
        <v>9</v>
      </c>
      <c r="M1654" t="str">
        <f t="shared" si="227"/>
        <v>Medium</v>
      </c>
      <c r="N1654" t="str">
        <f t="shared" si="228"/>
        <v>6-10%</v>
      </c>
      <c r="O1654" t="str">
        <f t="shared" si="229"/>
        <v>OK</v>
      </c>
      <c r="P1654">
        <f>IFERROR(Full_Data!G1654/Full_Data!H1654,"Check data")</f>
        <v>1.72</v>
      </c>
      <c r="Q1654" t="str">
        <f t="shared" si="230"/>
        <v>Match</v>
      </c>
      <c r="R1654" t="str">
        <f t="shared" si="231"/>
        <v>Mismatch</v>
      </c>
      <c r="S1654" t="str">
        <f t="shared" si="232"/>
        <v>Match</v>
      </c>
    </row>
    <row r="1655" spans="1:19" x14ac:dyDescent="0.25">
      <c r="A1655" t="s">
        <v>1553</v>
      </c>
      <c r="B1655">
        <v>10200</v>
      </c>
      <c r="C1655">
        <f t="shared" si="233"/>
        <v>102</v>
      </c>
      <c r="D1655">
        <v>0</v>
      </c>
      <c r="E1655">
        <v>1</v>
      </c>
      <c r="F1655">
        <v>10200</v>
      </c>
      <c r="G1655">
        <f t="shared" si="225"/>
        <v>102</v>
      </c>
      <c r="H1655">
        <v>400</v>
      </c>
      <c r="I1655" s="4">
        <f>Full_Data[[#This Row],[Selling Price]]/Full_Data[[#This Row],[Weight (g)]]</f>
        <v>0.255</v>
      </c>
      <c r="J1655" t="b">
        <v>0</v>
      </c>
      <c r="K1655">
        <v>400</v>
      </c>
      <c r="L1655">
        <f t="shared" si="226"/>
        <v>0</v>
      </c>
      <c r="M1655" t="str">
        <f t="shared" si="227"/>
        <v>Medium</v>
      </c>
      <c r="N1655" t="str">
        <f t="shared" si="228"/>
        <v>0-5%</v>
      </c>
      <c r="O1655" t="str">
        <f t="shared" si="229"/>
        <v>OK</v>
      </c>
      <c r="P1655">
        <f>IFERROR(Full_Data!G1655/Full_Data!H1655,"Check data")</f>
        <v>0.255</v>
      </c>
      <c r="Q1655" t="str">
        <f t="shared" si="230"/>
        <v>Match</v>
      </c>
      <c r="R1655" t="str">
        <f t="shared" si="231"/>
        <v>Match</v>
      </c>
      <c r="S1655" t="str">
        <f t="shared" si="232"/>
        <v>Match</v>
      </c>
    </row>
    <row r="1656" spans="1:19" x14ac:dyDescent="0.25">
      <c r="A1656" t="s">
        <v>1554</v>
      </c>
      <c r="B1656">
        <v>15000</v>
      </c>
      <c r="C1656">
        <f t="shared" si="233"/>
        <v>150</v>
      </c>
      <c r="D1656">
        <v>6</v>
      </c>
      <c r="E1656">
        <v>6</v>
      </c>
      <c r="F1656">
        <v>14000</v>
      </c>
      <c r="G1656">
        <f t="shared" si="225"/>
        <v>140</v>
      </c>
      <c r="H1656">
        <v>58</v>
      </c>
      <c r="I1656" s="4">
        <f>Full_Data[[#This Row],[Selling Price]]/Full_Data[[#This Row],[Weight (g)]]</f>
        <v>2.4137931034482758</v>
      </c>
      <c r="J1656" t="b">
        <v>0</v>
      </c>
      <c r="K1656">
        <v>1</v>
      </c>
      <c r="L1656">
        <f t="shared" si="226"/>
        <v>10</v>
      </c>
      <c r="M1656" t="str">
        <f t="shared" si="227"/>
        <v>Medium</v>
      </c>
      <c r="N1656" t="str">
        <f t="shared" si="228"/>
        <v>6-10%</v>
      </c>
      <c r="O1656" t="str">
        <f t="shared" si="229"/>
        <v>OK</v>
      </c>
      <c r="P1656">
        <f>IFERROR(Full_Data!G1656/Full_Data!H1656,"Check data")</f>
        <v>2.4137931034482758</v>
      </c>
      <c r="Q1656" t="str">
        <f t="shared" si="230"/>
        <v>Match</v>
      </c>
      <c r="R1656" t="str">
        <f t="shared" si="231"/>
        <v>Mismatch</v>
      </c>
      <c r="S1656" t="str">
        <f t="shared" si="232"/>
        <v>Mismatch</v>
      </c>
    </row>
    <row r="1657" spans="1:19" x14ac:dyDescent="0.25">
      <c r="A1657" t="s">
        <v>1555</v>
      </c>
      <c r="B1657">
        <v>28000</v>
      </c>
      <c r="C1657">
        <f t="shared" si="233"/>
        <v>280</v>
      </c>
      <c r="D1657">
        <v>10</v>
      </c>
      <c r="E1657">
        <v>6</v>
      </c>
      <c r="F1657">
        <v>25200</v>
      </c>
      <c r="G1657">
        <f t="shared" si="225"/>
        <v>252</v>
      </c>
      <c r="H1657">
        <v>600</v>
      </c>
      <c r="I1657" s="4">
        <f>Full_Data[[#This Row],[Selling Price]]/Full_Data[[#This Row],[Weight (g)]]</f>
        <v>0.42</v>
      </c>
      <c r="J1657" t="b">
        <v>0</v>
      </c>
      <c r="K1657">
        <v>600</v>
      </c>
      <c r="L1657">
        <f t="shared" si="226"/>
        <v>28</v>
      </c>
      <c r="M1657" t="str">
        <f t="shared" si="227"/>
        <v>High</v>
      </c>
      <c r="N1657" t="str">
        <f t="shared" si="228"/>
        <v>6-10%</v>
      </c>
      <c r="O1657" t="str">
        <f t="shared" si="229"/>
        <v>OK</v>
      </c>
      <c r="P1657">
        <f>IFERROR(Full_Data!G1657/Full_Data!H1657,"Check data")</f>
        <v>0.42</v>
      </c>
      <c r="Q1657" t="str">
        <f t="shared" si="230"/>
        <v>Match</v>
      </c>
      <c r="R1657" t="str">
        <f t="shared" si="231"/>
        <v>Match</v>
      </c>
      <c r="S1657" t="str">
        <f t="shared" si="232"/>
        <v>Match</v>
      </c>
    </row>
    <row r="1658" spans="1:19" x14ac:dyDescent="0.25">
      <c r="A1658" t="s">
        <v>1556</v>
      </c>
      <c r="B1658">
        <v>32500</v>
      </c>
      <c r="C1658">
        <f t="shared" si="233"/>
        <v>325</v>
      </c>
      <c r="D1658">
        <v>10</v>
      </c>
      <c r="E1658">
        <v>6</v>
      </c>
      <c r="F1658">
        <v>29200</v>
      </c>
      <c r="G1658">
        <f t="shared" si="225"/>
        <v>292</v>
      </c>
      <c r="H1658">
        <v>900</v>
      </c>
      <c r="I1658" s="4">
        <f>Full_Data[[#This Row],[Selling Price]]/Full_Data[[#This Row],[Weight (g)]]</f>
        <v>0.32444444444444442</v>
      </c>
      <c r="J1658" t="b">
        <v>0</v>
      </c>
      <c r="K1658">
        <v>900</v>
      </c>
      <c r="L1658">
        <f t="shared" si="226"/>
        <v>33</v>
      </c>
      <c r="M1658" t="str">
        <f t="shared" si="227"/>
        <v>High</v>
      </c>
      <c r="N1658" t="str">
        <f t="shared" si="228"/>
        <v>6-10%</v>
      </c>
      <c r="O1658" t="str">
        <f t="shared" si="229"/>
        <v>OK</v>
      </c>
      <c r="P1658">
        <f>IFERROR(Full_Data!G1658/Full_Data!H1658,"Check data")</f>
        <v>0.32444444444444442</v>
      </c>
      <c r="Q1658" t="str">
        <f t="shared" si="230"/>
        <v>Match</v>
      </c>
      <c r="R1658" t="str">
        <f t="shared" si="231"/>
        <v>Mismatch</v>
      </c>
      <c r="S1658" t="str">
        <f t="shared" si="232"/>
        <v>Match</v>
      </c>
    </row>
    <row r="1659" spans="1:19" x14ac:dyDescent="0.25">
      <c r="A1659" t="s">
        <v>1557</v>
      </c>
      <c r="B1659">
        <v>6800</v>
      </c>
      <c r="C1659">
        <f t="shared" si="233"/>
        <v>68</v>
      </c>
      <c r="D1659">
        <v>0</v>
      </c>
      <c r="E1659">
        <v>6</v>
      </c>
      <c r="F1659">
        <v>6800</v>
      </c>
      <c r="G1659">
        <f t="shared" si="225"/>
        <v>68</v>
      </c>
      <c r="H1659">
        <v>116</v>
      </c>
      <c r="I1659" s="4">
        <f>Full_Data[[#This Row],[Selling Price]]/Full_Data[[#This Row],[Weight (g)]]</f>
        <v>0.58620689655172409</v>
      </c>
      <c r="J1659" t="b">
        <v>0</v>
      </c>
      <c r="K1659">
        <v>2</v>
      </c>
      <c r="L1659">
        <f t="shared" si="226"/>
        <v>0</v>
      </c>
      <c r="M1659" t="str">
        <f t="shared" si="227"/>
        <v>Medium</v>
      </c>
      <c r="N1659" t="str">
        <f t="shared" si="228"/>
        <v>0-5%</v>
      </c>
      <c r="O1659" t="str">
        <f t="shared" si="229"/>
        <v>OK</v>
      </c>
      <c r="P1659">
        <f>IFERROR(Full_Data!G1659/Full_Data!H1659,"Check data")</f>
        <v>0.58620689655172409</v>
      </c>
      <c r="Q1659" t="str">
        <f t="shared" si="230"/>
        <v>Match</v>
      </c>
      <c r="R1659" t="str">
        <f t="shared" si="231"/>
        <v>Match</v>
      </c>
      <c r="S1659" t="str">
        <f t="shared" si="232"/>
        <v>Match</v>
      </c>
    </row>
    <row r="1660" spans="1:19" x14ac:dyDescent="0.25">
      <c r="A1660" t="s">
        <v>1558</v>
      </c>
      <c r="B1660">
        <v>3000</v>
      </c>
      <c r="C1660">
        <f t="shared" si="233"/>
        <v>30</v>
      </c>
      <c r="D1660">
        <v>6</v>
      </c>
      <c r="E1660">
        <v>6</v>
      </c>
      <c r="F1660">
        <v>2800</v>
      </c>
      <c r="G1660">
        <f t="shared" si="225"/>
        <v>28</v>
      </c>
      <c r="H1660">
        <v>1000</v>
      </c>
      <c r="I1660" s="4">
        <f>Full_Data[[#This Row],[Selling Price]]/Full_Data[[#This Row],[Weight (g)]]</f>
        <v>2.8000000000000001E-2</v>
      </c>
      <c r="J1660" t="b">
        <v>0</v>
      </c>
      <c r="K1660">
        <v>1000</v>
      </c>
      <c r="L1660">
        <f t="shared" si="226"/>
        <v>2</v>
      </c>
      <c r="M1660" t="str">
        <f t="shared" si="227"/>
        <v>Low</v>
      </c>
      <c r="N1660" t="str">
        <f t="shared" si="228"/>
        <v>6-10%</v>
      </c>
      <c r="O1660" t="str">
        <f t="shared" si="229"/>
        <v>OK</v>
      </c>
      <c r="P1660">
        <f>IFERROR(Full_Data!G1660/Full_Data!H1660,"Check data")</f>
        <v>2.8000000000000001E-2</v>
      </c>
      <c r="Q1660" t="str">
        <f t="shared" si="230"/>
        <v>Match</v>
      </c>
      <c r="R1660" t="str">
        <f t="shared" si="231"/>
        <v>Mismatch</v>
      </c>
      <c r="S1660" t="str">
        <f t="shared" si="232"/>
        <v>Mismatch</v>
      </c>
    </row>
    <row r="1661" spans="1:19" x14ac:dyDescent="0.25">
      <c r="A1661" t="s">
        <v>1559</v>
      </c>
      <c r="B1661">
        <v>65000</v>
      </c>
      <c r="C1661">
        <f t="shared" si="233"/>
        <v>650</v>
      </c>
      <c r="D1661">
        <v>8</v>
      </c>
      <c r="E1661">
        <v>6</v>
      </c>
      <c r="F1661">
        <v>59800</v>
      </c>
      <c r="G1661">
        <f t="shared" si="225"/>
        <v>598</v>
      </c>
      <c r="H1661">
        <v>1900</v>
      </c>
      <c r="I1661" s="4">
        <f>Full_Data[[#This Row],[Selling Price]]/Full_Data[[#This Row],[Weight (g)]]</f>
        <v>0.31473684210526315</v>
      </c>
      <c r="J1661" t="b">
        <v>0</v>
      </c>
      <c r="K1661">
        <v>1</v>
      </c>
      <c r="L1661">
        <f t="shared" si="226"/>
        <v>52</v>
      </c>
      <c r="M1661" t="str">
        <f t="shared" si="227"/>
        <v>High</v>
      </c>
      <c r="N1661" t="str">
        <f t="shared" si="228"/>
        <v>6-10%</v>
      </c>
      <c r="O1661" t="str">
        <f t="shared" si="229"/>
        <v>OK</v>
      </c>
      <c r="P1661">
        <f>IFERROR(Full_Data!G1661/Full_Data!H1661,"Check data")</f>
        <v>0.31473684210526315</v>
      </c>
      <c r="Q1661" t="str">
        <f t="shared" si="230"/>
        <v>Match</v>
      </c>
      <c r="R1661" t="str">
        <f t="shared" si="231"/>
        <v>Match</v>
      </c>
      <c r="S1661" t="str">
        <f t="shared" si="232"/>
        <v>Match</v>
      </c>
    </row>
    <row r="1662" spans="1:19" x14ac:dyDescent="0.25">
      <c r="A1662" t="s">
        <v>1560</v>
      </c>
      <c r="B1662">
        <v>72000</v>
      </c>
      <c r="C1662">
        <f t="shared" si="233"/>
        <v>720</v>
      </c>
      <c r="D1662">
        <v>9</v>
      </c>
      <c r="E1662">
        <v>4</v>
      </c>
      <c r="F1662">
        <v>64900</v>
      </c>
      <c r="G1662">
        <f t="shared" si="225"/>
        <v>649</v>
      </c>
      <c r="H1662">
        <v>4000</v>
      </c>
      <c r="I1662" s="4">
        <f>Full_Data[[#This Row],[Selling Price]]/Full_Data[[#This Row],[Weight (g)]]</f>
        <v>0.16225000000000001</v>
      </c>
      <c r="J1662" t="b">
        <v>0</v>
      </c>
      <c r="K1662">
        <v>4</v>
      </c>
      <c r="L1662">
        <f t="shared" si="226"/>
        <v>71</v>
      </c>
      <c r="M1662" t="str">
        <f t="shared" si="227"/>
        <v>High</v>
      </c>
      <c r="N1662" t="str">
        <f t="shared" si="228"/>
        <v>6-10%</v>
      </c>
      <c r="O1662" t="str">
        <f t="shared" si="229"/>
        <v>OK</v>
      </c>
      <c r="P1662">
        <f>IFERROR(Full_Data!G1662/Full_Data!H1662,"Check data")</f>
        <v>0.16225000000000001</v>
      </c>
      <c r="Q1662" t="str">
        <f t="shared" si="230"/>
        <v>Match</v>
      </c>
      <c r="R1662" t="str">
        <f t="shared" si="231"/>
        <v>Mismatch</v>
      </c>
      <c r="S1662" t="str">
        <f t="shared" si="232"/>
        <v>Mismatch</v>
      </c>
    </row>
    <row r="1663" spans="1:19" x14ac:dyDescent="0.25">
      <c r="A1663" t="s">
        <v>1561</v>
      </c>
      <c r="B1663">
        <v>10500</v>
      </c>
      <c r="C1663">
        <f t="shared" si="233"/>
        <v>105</v>
      </c>
      <c r="D1663">
        <v>6</v>
      </c>
      <c r="E1663">
        <v>6</v>
      </c>
      <c r="F1663">
        <v>9800</v>
      </c>
      <c r="G1663">
        <f t="shared" si="225"/>
        <v>98</v>
      </c>
      <c r="H1663">
        <v>500</v>
      </c>
      <c r="I1663" s="4">
        <f>Full_Data[[#This Row],[Selling Price]]/Full_Data[[#This Row],[Weight (g)]]</f>
        <v>0.19600000000000001</v>
      </c>
      <c r="J1663" t="b">
        <v>0</v>
      </c>
      <c r="K1663">
        <v>500</v>
      </c>
      <c r="L1663">
        <f t="shared" si="226"/>
        <v>7</v>
      </c>
      <c r="M1663" t="str">
        <f t="shared" si="227"/>
        <v>Medium</v>
      </c>
      <c r="N1663" t="str">
        <f t="shared" si="228"/>
        <v>6-10%</v>
      </c>
      <c r="O1663" t="str">
        <f t="shared" si="229"/>
        <v>OK</v>
      </c>
      <c r="P1663">
        <f>IFERROR(Full_Data!G1663/Full_Data!H1663,"Check data")</f>
        <v>0.19600000000000001</v>
      </c>
      <c r="Q1663" t="str">
        <f t="shared" si="230"/>
        <v>Match</v>
      </c>
      <c r="R1663" t="str">
        <f t="shared" si="231"/>
        <v>Mismatch</v>
      </c>
      <c r="S1663" t="str">
        <f t="shared" si="232"/>
        <v>Mismatch</v>
      </c>
    </row>
    <row r="1664" spans="1:19" x14ac:dyDescent="0.25">
      <c r="A1664" t="s">
        <v>1562</v>
      </c>
      <c r="B1664">
        <v>10000</v>
      </c>
      <c r="C1664">
        <f t="shared" si="233"/>
        <v>100</v>
      </c>
      <c r="D1664">
        <v>10</v>
      </c>
      <c r="E1664">
        <v>6</v>
      </c>
      <c r="F1664">
        <v>9000</v>
      </c>
      <c r="G1664">
        <f t="shared" si="225"/>
        <v>90</v>
      </c>
      <c r="H1664">
        <v>50</v>
      </c>
      <c r="I1664" s="4">
        <f>Full_Data[[#This Row],[Selling Price]]/Full_Data[[#This Row],[Weight (g)]]</f>
        <v>1.8</v>
      </c>
      <c r="J1664" t="b">
        <v>0</v>
      </c>
      <c r="K1664">
        <v>50</v>
      </c>
      <c r="L1664">
        <f t="shared" si="226"/>
        <v>10</v>
      </c>
      <c r="M1664" t="str">
        <f t="shared" si="227"/>
        <v>Medium</v>
      </c>
      <c r="N1664" t="str">
        <f t="shared" si="228"/>
        <v>6-10%</v>
      </c>
      <c r="O1664" t="str">
        <f t="shared" si="229"/>
        <v>OK</v>
      </c>
      <c r="P1664">
        <f>IFERROR(Full_Data!G1664/Full_Data!H1664,"Check data")</f>
        <v>1.8</v>
      </c>
      <c r="Q1664" t="str">
        <f t="shared" si="230"/>
        <v>Match</v>
      </c>
      <c r="R1664" t="str">
        <f t="shared" si="231"/>
        <v>Match</v>
      </c>
      <c r="S1664" t="str">
        <f t="shared" si="232"/>
        <v>Match</v>
      </c>
    </row>
    <row r="1665" spans="1:19" x14ac:dyDescent="0.25">
      <c r="A1665" t="s">
        <v>1563</v>
      </c>
      <c r="B1665">
        <v>9800</v>
      </c>
      <c r="C1665">
        <f t="shared" si="233"/>
        <v>98</v>
      </c>
      <c r="D1665">
        <v>5</v>
      </c>
      <c r="E1665">
        <v>6</v>
      </c>
      <c r="F1665">
        <v>9300</v>
      </c>
      <c r="G1665">
        <f t="shared" si="225"/>
        <v>93</v>
      </c>
      <c r="H1665">
        <v>75</v>
      </c>
      <c r="I1665" s="4">
        <f>Full_Data[[#This Row],[Selling Price]]/Full_Data[[#This Row],[Weight (g)]]</f>
        <v>1.24</v>
      </c>
      <c r="J1665" t="b">
        <v>0</v>
      </c>
      <c r="K1665">
        <v>75</v>
      </c>
      <c r="L1665">
        <f t="shared" si="226"/>
        <v>5</v>
      </c>
      <c r="M1665" t="str">
        <f t="shared" si="227"/>
        <v>Medium</v>
      </c>
      <c r="N1665" t="str">
        <f t="shared" si="228"/>
        <v>0-5%</v>
      </c>
      <c r="O1665" t="str">
        <f t="shared" si="229"/>
        <v>OK</v>
      </c>
      <c r="P1665">
        <f>IFERROR(Full_Data!G1665/Full_Data!H1665,"Check data")</f>
        <v>1.24</v>
      </c>
      <c r="Q1665" t="str">
        <f t="shared" si="230"/>
        <v>Match</v>
      </c>
      <c r="R1665" t="str">
        <f t="shared" si="231"/>
        <v>Mismatch</v>
      </c>
      <c r="S1665" t="str">
        <f t="shared" si="232"/>
        <v>Match</v>
      </c>
    </row>
    <row r="1666" spans="1:19" x14ac:dyDescent="0.25">
      <c r="A1666" t="s">
        <v>1564</v>
      </c>
      <c r="B1666">
        <v>15000</v>
      </c>
      <c r="C1666">
        <f t="shared" si="233"/>
        <v>150</v>
      </c>
      <c r="D1666">
        <v>10</v>
      </c>
      <c r="E1666">
        <v>6</v>
      </c>
      <c r="F1666">
        <v>13500</v>
      </c>
      <c r="G1666">
        <f t="shared" ref="G1666:G1729" si="234">F1666/100</f>
        <v>135</v>
      </c>
      <c r="H1666">
        <v>58</v>
      </c>
      <c r="I1666" s="4">
        <f>Full_Data[[#This Row],[Selling Price]]/Full_Data[[#This Row],[Weight (g)]]</f>
        <v>2.3275862068965516</v>
      </c>
      <c r="J1666" t="b">
        <v>0</v>
      </c>
      <c r="K1666">
        <v>1</v>
      </c>
      <c r="L1666">
        <f t="shared" ref="L1666:L1729" si="235">C1666-G1666</f>
        <v>15</v>
      </c>
      <c r="M1666" t="str">
        <f t="shared" ref="M1666:M1729" si="236">IF(G1666&lt;50,"Low",IF(G1666&lt;200,"Medium","High"))</f>
        <v>Medium</v>
      </c>
      <c r="N1666" t="str">
        <f t="shared" ref="N1666:N1729" si="237">IF(D1666&lt;=5,"0-5%",
IF(D1666&lt;=10,"6-10%",
IF(D1666&lt;=15,"11-15%",
IF(D1666&lt;=20,"16-20%","21%+"))))</f>
        <v>6-10%</v>
      </c>
      <c r="O1666" t="str">
        <f t="shared" ref="O1666:O1729" si="238">IF(AND(C1666=0,G1666=0),"Review: Zero MRP and selling price",IF(C1666&lt;=0,"Review: Invalid MRP",IF(G1666&lt;0,"Review: Negative selling price",IF(G1666=0,"Review: Zero selling price",IF(H1666&lt;=0,"Review: Invalid weight","OK")))))</f>
        <v>OK</v>
      </c>
      <c r="P1666">
        <f>IFERROR(Full_Data!G1666/Full_Data!H1666,"Check data")</f>
        <v>2.3275862068965516</v>
      </c>
      <c r="Q1666" t="str">
        <f t="shared" ref="Q1666:Q1729" si="239">IF(OR(H1666="",H1666&lt;=0),"Invalid weight",IF(G1666="","Missing selling price",IF(ROUND(G1666/H1666,2)=ROUND(I1666,2),"Match","Mismatch")))</f>
        <v>Match</v>
      </c>
      <c r="R1666" t="str">
        <f t="shared" ref="R1666:R1729" si="240">IF(OR(C1666&lt;=0,G1666=""),"Check data",IF(ROUND((C1666-G1666)/C1666*100,2)=ROUND(D1666,2),"Match","Mismatch"))</f>
        <v>Match</v>
      </c>
      <c r="S1666" t="str">
        <f t="shared" ref="S1666:S1729" si="241">IF(OR(C1666&lt;=0,G1666=""),"Check data",IF(ROUND((C1666-G1666)/C1666*100,0)=D1666,"Match","Mismatch"))</f>
        <v>Match</v>
      </c>
    </row>
    <row r="1667" spans="1:19" x14ac:dyDescent="0.25">
      <c r="A1667" t="s">
        <v>1565</v>
      </c>
      <c r="B1667">
        <v>20500</v>
      </c>
      <c r="C1667">
        <f t="shared" ref="C1667:C1730" si="242">B1667/100</f>
        <v>205</v>
      </c>
      <c r="D1667">
        <v>8</v>
      </c>
      <c r="E1667">
        <v>6</v>
      </c>
      <c r="F1667">
        <v>18800</v>
      </c>
      <c r="G1667">
        <f t="shared" si="234"/>
        <v>188</v>
      </c>
      <c r="H1667">
        <v>975</v>
      </c>
      <c r="I1667" s="4">
        <f>Full_Data[[#This Row],[Selling Price]]/Full_Data[[#This Row],[Weight (g)]]</f>
        <v>0.19282051282051282</v>
      </c>
      <c r="J1667" t="b">
        <v>0</v>
      </c>
      <c r="K1667">
        <v>975</v>
      </c>
      <c r="L1667">
        <f t="shared" si="235"/>
        <v>17</v>
      </c>
      <c r="M1667" t="str">
        <f t="shared" si="236"/>
        <v>Medium</v>
      </c>
      <c r="N1667" t="str">
        <f t="shared" si="237"/>
        <v>6-10%</v>
      </c>
      <c r="O1667" t="str">
        <f t="shared" si="238"/>
        <v>OK</v>
      </c>
      <c r="P1667">
        <f>IFERROR(Full_Data!G1667/Full_Data!H1667,"Check data")</f>
        <v>0.19282051282051282</v>
      </c>
      <c r="Q1667" t="str">
        <f t="shared" si="239"/>
        <v>Match</v>
      </c>
      <c r="R1667" t="str">
        <f t="shared" si="240"/>
        <v>Mismatch</v>
      </c>
      <c r="S1667" t="str">
        <f t="shared" si="241"/>
        <v>Match</v>
      </c>
    </row>
    <row r="1668" spans="1:19" x14ac:dyDescent="0.25">
      <c r="A1668" t="s">
        <v>1566</v>
      </c>
      <c r="B1668">
        <v>39000</v>
      </c>
      <c r="C1668">
        <f t="shared" si="242"/>
        <v>390</v>
      </c>
      <c r="D1668">
        <v>16</v>
      </c>
      <c r="E1668">
        <v>6</v>
      </c>
      <c r="F1668">
        <v>32400</v>
      </c>
      <c r="G1668">
        <f t="shared" si="234"/>
        <v>324</v>
      </c>
      <c r="H1668">
        <v>58</v>
      </c>
      <c r="I1668" s="4">
        <f>Full_Data[[#This Row],[Selling Price]]/Full_Data[[#This Row],[Weight (g)]]</f>
        <v>5.5862068965517242</v>
      </c>
      <c r="J1668" t="b">
        <v>0</v>
      </c>
      <c r="K1668">
        <v>1</v>
      </c>
      <c r="L1668">
        <f t="shared" si="235"/>
        <v>66</v>
      </c>
      <c r="M1668" t="str">
        <f t="shared" si="236"/>
        <v>High</v>
      </c>
      <c r="N1668" t="str">
        <f t="shared" si="237"/>
        <v>16-20%</v>
      </c>
      <c r="O1668" t="str">
        <f t="shared" si="238"/>
        <v>OK</v>
      </c>
      <c r="P1668">
        <f>IFERROR(Full_Data!G1668/Full_Data!H1668,"Check data")</f>
        <v>5.5862068965517242</v>
      </c>
      <c r="Q1668" t="str">
        <f t="shared" si="239"/>
        <v>Match</v>
      </c>
      <c r="R1668" t="str">
        <f t="shared" si="240"/>
        <v>Mismatch</v>
      </c>
      <c r="S1668" t="str">
        <f t="shared" si="241"/>
        <v>Mismatch</v>
      </c>
    </row>
    <row r="1669" spans="1:19" x14ac:dyDescent="0.25">
      <c r="A1669" t="s">
        <v>1567</v>
      </c>
      <c r="B1669">
        <v>7000</v>
      </c>
      <c r="C1669">
        <f t="shared" si="242"/>
        <v>70</v>
      </c>
      <c r="D1669">
        <v>10</v>
      </c>
      <c r="E1669">
        <v>6</v>
      </c>
      <c r="F1669">
        <v>6300</v>
      </c>
      <c r="G1669">
        <f t="shared" si="234"/>
        <v>63</v>
      </c>
      <c r="H1669">
        <v>50</v>
      </c>
      <c r="I1669" s="4">
        <f>Full_Data[[#This Row],[Selling Price]]/Full_Data[[#This Row],[Weight (g)]]</f>
        <v>1.26</v>
      </c>
      <c r="J1669" t="b">
        <v>0</v>
      </c>
      <c r="K1669">
        <v>50</v>
      </c>
      <c r="L1669">
        <f t="shared" si="235"/>
        <v>7</v>
      </c>
      <c r="M1669" t="str">
        <f t="shared" si="236"/>
        <v>Medium</v>
      </c>
      <c r="N1669" t="str">
        <f t="shared" si="237"/>
        <v>6-10%</v>
      </c>
      <c r="O1669" t="str">
        <f t="shared" si="238"/>
        <v>OK</v>
      </c>
      <c r="P1669">
        <f>IFERROR(Full_Data!G1669/Full_Data!H1669,"Check data")</f>
        <v>1.26</v>
      </c>
      <c r="Q1669" t="str">
        <f t="shared" si="239"/>
        <v>Match</v>
      </c>
      <c r="R1669" t="str">
        <f t="shared" si="240"/>
        <v>Match</v>
      </c>
      <c r="S1669" t="str">
        <f t="shared" si="241"/>
        <v>Match</v>
      </c>
    </row>
    <row r="1670" spans="1:19" x14ac:dyDescent="0.25">
      <c r="A1670" t="s">
        <v>1568</v>
      </c>
      <c r="B1670">
        <v>15500</v>
      </c>
      <c r="C1670">
        <f t="shared" si="242"/>
        <v>155</v>
      </c>
      <c r="D1670">
        <v>14</v>
      </c>
      <c r="E1670">
        <v>5</v>
      </c>
      <c r="F1670">
        <v>13200</v>
      </c>
      <c r="G1670">
        <f t="shared" si="234"/>
        <v>132</v>
      </c>
      <c r="H1670">
        <v>100</v>
      </c>
      <c r="I1670" s="4">
        <f>Full_Data[[#This Row],[Selling Price]]/Full_Data[[#This Row],[Weight (g)]]</f>
        <v>1.32</v>
      </c>
      <c r="J1670" t="b">
        <v>0</v>
      </c>
      <c r="K1670">
        <v>100</v>
      </c>
      <c r="L1670">
        <f t="shared" si="235"/>
        <v>23</v>
      </c>
      <c r="M1670" t="str">
        <f t="shared" si="236"/>
        <v>Medium</v>
      </c>
      <c r="N1670" t="str">
        <f t="shared" si="237"/>
        <v>11-15%</v>
      </c>
      <c r="O1670" t="str">
        <f t="shared" si="238"/>
        <v>OK</v>
      </c>
      <c r="P1670">
        <f>IFERROR(Full_Data!G1670/Full_Data!H1670,"Check data")</f>
        <v>1.32</v>
      </c>
      <c r="Q1670" t="str">
        <f t="shared" si="239"/>
        <v>Match</v>
      </c>
      <c r="R1670" t="str">
        <f t="shared" si="240"/>
        <v>Mismatch</v>
      </c>
      <c r="S1670" t="str">
        <f t="shared" si="241"/>
        <v>Mismatch</v>
      </c>
    </row>
    <row r="1671" spans="1:19" x14ac:dyDescent="0.25">
      <c r="A1671" t="s">
        <v>1569</v>
      </c>
      <c r="B1671">
        <v>7000</v>
      </c>
      <c r="C1671">
        <f t="shared" si="242"/>
        <v>70</v>
      </c>
      <c r="D1671">
        <v>10</v>
      </c>
      <c r="E1671">
        <v>6</v>
      </c>
      <c r="F1671">
        <v>6300</v>
      </c>
      <c r="G1671">
        <f t="shared" si="234"/>
        <v>63</v>
      </c>
      <c r="H1671">
        <v>50</v>
      </c>
      <c r="I1671" s="4">
        <f>Full_Data[[#This Row],[Selling Price]]/Full_Data[[#This Row],[Weight (g)]]</f>
        <v>1.26</v>
      </c>
      <c r="J1671" t="b">
        <v>0</v>
      </c>
      <c r="K1671">
        <v>50</v>
      </c>
      <c r="L1671">
        <f t="shared" si="235"/>
        <v>7</v>
      </c>
      <c r="M1671" t="str">
        <f t="shared" si="236"/>
        <v>Medium</v>
      </c>
      <c r="N1671" t="str">
        <f t="shared" si="237"/>
        <v>6-10%</v>
      </c>
      <c r="O1671" t="str">
        <f t="shared" si="238"/>
        <v>OK</v>
      </c>
      <c r="P1671">
        <f>IFERROR(Full_Data!G1671/Full_Data!H1671,"Check data")</f>
        <v>1.26</v>
      </c>
      <c r="Q1671" t="str">
        <f t="shared" si="239"/>
        <v>Match</v>
      </c>
      <c r="R1671" t="str">
        <f t="shared" si="240"/>
        <v>Match</v>
      </c>
      <c r="S1671" t="str">
        <f t="shared" si="241"/>
        <v>Match</v>
      </c>
    </row>
    <row r="1672" spans="1:19" x14ac:dyDescent="0.25">
      <c r="A1672" t="s">
        <v>1570</v>
      </c>
      <c r="B1672">
        <v>25000</v>
      </c>
      <c r="C1672">
        <f t="shared" si="242"/>
        <v>250</v>
      </c>
      <c r="D1672">
        <v>0</v>
      </c>
      <c r="E1672">
        <v>6</v>
      </c>
      <c r="F1672">
        <v>25000</v>
      </c>
      <c r="G1672">
        <f t="shared" si="234"/>
        <v>250</v>
      </c>
      <c r="H1672">
        <v>1000</v>
      </c>
      <c r="I1672" s="4">
        <f>Full_Data[[#This Row],[Selling Price]]/Full_Data[[#This Row],[Weight (g)]]</f>
        <v>0.25</v>
      </c>
      <c r="J1672" t="b">
        <v>0</v>
      </c>
      <c r="K1672">
        <v>1</v>
      </c>
      <c r="L1672">
        <f t="shared" si="235"/>
        <v>0</v>
      </c>
      <c r="M1672" t="str">
        <f t="shared" si="236"/>
        <v>High</v>
      </c>
      <c r="N1672" t="str">
        <f t="shared" si="237"/>
        <v>0-5%</v>
      </c>
      <c r="O1672" t="str">
        <f t="shared" si="238"/>
        <v>OK</v>
      </c>
      <c r="P1672">
        <f>IFERROR(Full_Data!G1672/Full_Data!H1672,"Check data")</f>
        <v>0.25</v>
      </c>
      <c r="Q1672" t="str">
        <f t="shared" si="239"/>
        <v>Match</v>
      </c>
      <c r="R1672" t="str">
        <f t="shared" si="240"/>
        <v>Match</v>
      </c>
      <c r="S1672" t="str">
        <f t="shared" si="241"/>
        <v>Match</v>
      </c>
    </row>
    <row r="1673" spans="1:19" x14ac:dyDescent="0.25">
      <c r="A1673" t="s">
        <v>1571</v>
      </c>
      <c r="B1673">
        <v>3000</v>
      </c>
      <c r="C1673">
        <f t="shared" si="242"/>
        <v>30</v>
      </c>
      <c r="D1673">
        <v>3</v>
      </c>
      <c r="E1673">
        <v>6</v>
      </c>
      <c r="F1673">
        <v>2900</v>
      </c>
      <c r="G1673">
        <f t="shared" si="234"/>
        <v>29</v>
      </c>
      <c r="H1673">
        <v>220</v>
      </c>
      <c r="I1673" s="4">
        <f>Full_Data[[#This Row],[Selling Price]]/Full_Data[[#This Row],[Weight (g)]]</f>
        <v>0.13181818181818181</v>
      </c>
      <c r="J1673" t="b">
        <v>0</v>
      </c>
      <c r="K1673">
        <v>220</v>
      </c>
      <c r="L1673">
        <f t="shared" si="235"/>
        <v>1</v>
      </c>
      <c r="M1673" t="str">
        <f t="shared" si="236"/>
        <v>Low</v>
      </c>
      <c r="N1673" t="str">
        <f t="shared" si="237"/>
        <v>0-5%</v>
      </c>
      <c r="O1673" t="str">
        <f t="shared" si="238"/>
        <v>OK</v>
      </c>
      <c r="P1673">
        <f>IFERROR(Full_Data!G1673/Full_Data!H1673,"Check data")</f>
        <v>0.13181818181818181</v>
      </c>
      <c r="Q1673" t="str">
        <f t="shared" si="239"/>
        <v>Match</v>
      </c>
      <c r="R1673" t="str">
        <f t="shared" si="240"/>
        <v>Mismatch</v>
      </c>
      <c r="S1673" t="str">
        <f t="shared" si="241"/>
        <v>Match</v>
      </c>
    </row>
    <row r="1674" spans="1:19" x14ac:dyDescent="0.25">
      <c r="A1674" t="s">
        <v>1572</v>
      </c>
      <c r="B1674">
        <v>7500</v>
      </c>
      <c r="C1674">
        <f t="shared" si="242"/>
        <v>75</v>
      </c>
      <c r="D1674">
        <v>5</v>
      </c>
      <c r="E1674">
        <v>4</v>
      </c>
      <c r="F1674">
        <v>7100</v>
      </c>
      <c r="G1674">
        <f t="shared" si="234"/>
        <v>71</v>
      </c>
      <c r="H1674">
        <v>75</v>
      </c>
      <c r="I1674" s="4">
        <f>Full_Data[[#This Row],[Selling Price]]/Full_Data[[#This Row],[Weight (g)]]</f>
        <v>0.94666666666666666</v>
      </c>
      <c r="J1674" t="b">
        <v>0</v>
      </c>
      <c r="K1674">
        <v>75</v>
      </c>
      <c r="L1674">
        <f t="shared" si="235"/>
        <v>4</v>
      </c>
      <c r="M1674" t="str">
        <f t="shared" si="236"/>
        <v>Medium</v>
      </c>
      <c r="N1674" t="str">
        <f t="shared" si="237"/>
        <v>0-5%</v>
      </c>
      <c r="O1674" t="str">
        <f t="shared" si="238"/>
        <v>OK</v>
      </c>
      <c r="P1674">
        <f>IFERROR(Full_Data!G1674/Full_Data!H1674,"Check data")</f>
        <v>0.94666666666666666</v>
      </c>
      <c r="Q1674" t="str">
        <f t="shared" si="239"/>
        <v>Match</v>
      </c>
      <c r="R1674" t="str">
        <f t="shared" si="240"/>
        <v>Mismatch</v>
      </c>
      <c r="S1674" t="str">
        <f t="shared" si="241"/>
        <v>Match</v>
      </c>
    </row>
    <row r="1675" spans="1:19" x14ac:dyDescent="0.25">
      <c r="A1675" t="s">
        <v>1573</v>
      </c>
      <c r="B1675">
        <v>1200</v>
      </c>
      <c r="C1675">
        <f t="shared" si="242"/>
        <v>12</v>
      </c>
      <c r="D1675">
        <v>0</v>
      </c>
      <c r="E1675">
        <v>4</v>
      </c>
      <c r="F1675">
        <v>1200</v>
      </c>
      <c r="G1675">
        <f t="shared" si="234"/>
        <v>12</v>
      </c>
      <c r="H1675">
        <v>15</v>
      </c>
      <c r="I1675" s="4">
        <f>Full_Data[[#This Row],[Selling Price]]/Full_Data[[#This Row],[Weight (g)]]</f>
        <v>0.8</v>
      </c>
      <c r="J1675" t="b">
        <v>0</v>
      </c>
      <c r="K1675">
        <v>15</v>
      </c>
      <c r="L1675">
        <f t="shared" si="235"/>
        <v>0</v>
      </c>
      <c r="M1675" t="str">
        <f t="shared" si="236"/>
        <v>Low</v>
      </c>
      <c r="N1675" t="str">
        <f t="shared" si="237"/>
        <v>0-5%</v>
      </c>
      <c r="O1675" t="str">
        <f t="shared" si="238"/>
        <v>OK</v>
      </c>
      <c r="P1675">
        <f>IFERROR(Full_Data!G1675/Full_Data!H1675,"Check data")</f>
        <v>0.8</v>
      </c>
      <c r="Q1675" t="str">
        <f t="shared" si="239"/>
        <v>Match</v>
      </c>
      <c r="R1675" t="str">
        <f t="shared" si="240"/>
        <v>Match</v>
      </c>
      <c r="S1675" t="str">
        <f t="shared" si="241"/>
        <v>Match</v>
      </c>
    </row>
    <row r="1676" spans="1:19" x14ac:dyDescent="0.25">
      <c r="A1676" t="s">
        <v>1574</v>
      </c>
      <c r="B1676">
        <v>6800</v>
      </c>
      <c r="C1676">
        <f t="shared" si="242"/>
        <v>68</v>
      </c>
      <c r="D1676">
        <v>5</v>
      </c>
      <c r="E1676">
        <v>6</v>
      </c>
      <c r="F1676">
        <v>6400</v>
      </c>
      <c r="G1676">
        <f t="shared" si="234"/>
        <v>64</v>
      </c>
      <c r="H1676">
        <v>40</v>
      </c>
      <c r="I1676" s="4">
        <f>Full_Data[[#This Row],[Selling Price]]/Full_Data[[#This Row],[Weight (g)]]</f>
        <v>1.6</v>
      </c>
      <c r="J1676" t="b">
        <v>0</v>
      </c>
      <c r="K1676">
        <v>40</v>
      </c>
      <c r="L1676">
        <f t="shared" si="235"/>
        <v>4</v>
      </c>
      <c r="M1676" t="str">
        <f t="shared" si="236"/>
        <v>Medium</v>
      </c>
      <c r="N1676" t="str">
        <f t="shared" si="237"/>
        <v>0-5%</v>
      </c>
      <c r="O1676" t="str">
        <f t="shared" si="238"/>
        <v>OK</v>
      </c>
      <c r="P1676">
        <f>IFERROR(Full_Data!G1676/Full_Data!H1676,"Check data")</f>
        <v>1.6</v>
      </c>
      <c r="Q1676" t="str">
        <f t="shared" si="239"/>
        <v>Match</v>
      </c>
      <c r="R1676" t="str">
        <f t="shared" si="240"/>
        <v>Mismatch</v>
      </c>
      <c r="S1676" t="str">
        <f t="shared" si="241"/>
        <v>Mismatch</v>
      </c>
    </row>
    <row r="1677" spans="1:19" x14ac:dyDescent="0.25">
      <c r="A1677" t="s">
        <v>1575</v>
      </c>
      <c r="B1677">
        <v>7500</v>
      </c>
      <c r="C1677">
        <f t="shared" si="242"/>
        <v>75</v>
      </c>
      <c r="D1677">
        <v>8</v>
      </c>
      <c r="E1677">
        <v>4</v>
      </c>
      <c r="F1677">
        <v>6900</v>
      </c>
      <c r="G1677">
        <f t="shared" si="234"/>
        <v>69</v>
      </c>
      <c r="H1677">
        <v>80</v>
      </c>
      <c r="I1677" s="4">
        <f>Full_Data[[#This Row],[Selling Price]]/Full_Data[[#This Row],[Weight (g)]]</f>
        <v>0.86250000000000004</v>
      </c>
      <c r="J1677" t="b">
        <v>0</v>
      </c>
      <c r="K1677">
        <v>80</v>
      </c>
      <c r="L1677">
        <f t="shared" si="235"/>
        <v>6</v>
      </c>
      <c r="M1677" t="str">
        <f t="shared" si="236"/>
        <v>Medium</v>
      </c>
      <c r="N1677" t="str">
        <f t="shared" si="237"/>
        <v>6-10%</v>
      </c>
      <c r="O1677" t="str">
        <f t="shared" si="238"/>
        <v>OK</v>
      </c>
      <c r="P1677">
        <f>IFERROR(Full_Data!G1677/Full_Data!H1677,"Check data")</f>
        <v>0.86250000000000004</v>
      </c>
      <c r="Q1677" t="str">
        <f t="shared" si="239"/>
        <v>Match</v>
      </c>
      <c r="R1677" t="str">
        <f t="shared" si="240"/>
        <v>Match</v>
      </c>
      <c r="S1677" t="str">
        <f t="shared" si="241"/>
        <v>Match</v>
      </c>
    </row>
    <row r="1678" spans="1:19" x14ac:dyDescent="0.25">
      <c r="A1678" t="s">
        <v>1576</v>
      </c>
      <c r="B1678">
        <v>3000</v>
      </c>
      <c r="C1678">
        <f t="shared" si="242"/>
        <v>30</v>
      </c>
      <c r="D1678">
        <v>6</v>
      </c>
      <c r="E1678">
        <v>6</v>
      </c>
      <c r="F1678">
        <v>2800</v>
      </c>
      <c r="G1678">
        <f t="shared" si="234"/>
        <v>28</v>
      </c>
      <c r="H1678">
        <v>1160</v>
      </c>
      <c r="I1678" s="4">
        <f>Full_Data[[#This Row],[Selling Price]]/Full_Data[[#This Row],[Weight (g)]]</f>
        <v>2.4137931034482758E-2</v>
      </c>
      <c r="J1678" t="b">
        <v>0</v>
      </c>
      <c r="K1678">
        <v>20</v>
      </c>
      <c r="L1678">
        <f t="shared" si="235"/>
        <v>2</v>
      </c>
      <c r="M1678" t="str">
        <f t="shared" si="236"/>
        <v>Low</v>
      </c>
      <c r="N1678" t="str">
        <f t="shared" si="237"/>
        <v>6-10%</v>
      </c>
      <c r="O1678" t="str">
        <f t="shared" si="238"/>
        <v>OK</v>
      </c>
      <c r="P1678">
        <f>IFERROR(Full_Data!G1678/Full_Data!H1678,"Check data")</f>
        <v>2.4137931034482758E-2</v>
      </c>
      <c r="Q1678" t="str">
        <f t="shared" si="239"/>
        <v>Match</v>
      </c>
      <c r="R1678" t="str">
        <f t="shared" si="240"/>
        <v>Mismatch</v>
      </c>
      <c r="S1678" t="str">
        <f t="shared" si="241"/>
        <v>Mismatch</v>
      </c>
    </row>
    <row r="1679" spans="1:19" x14ac:dyDescent="0.25">
      <c r="A1679" t="s">
        <v>1487</v>
      </c>
      <c r="B1679">
        <v>20500</v>
      </c>
      <c r="C1679">
        <f t="shared" si="242"/>
        <v>205</v>
      </c>
      <c r="D1679">
        <v>8</v>
      </c>
      <c r="E1679">
        <v>6</v>
      </c>
      <c r="F1679">
        <v>18800</v>
      </c>
      <c r="G1679">
        <f t="shared" si="234"/>
        <v>188</v>
      </c>
      <c r="H1679">
        <v>975</v>
      </c>
      <c r="I1679" s="4">
        <f>Full_Data[[#This Row],[Selling Price]]/Full_Data[[#This Row],[Weight (g)]]</f>
        <v>0.19282051282051282</v>
      </c>
      <c r="J1679" t="b">
        <v>0</v>
      </c>
      <c r="K1679">
        <v>975</v>
      </c>
      <c r="L1679">
        <f t="shared" si="235"/>
        <v>17</v>
      </c>
      <c r="M1679" t="str">
        <f t="shared" si="236"/>
        <v>Medium</v>
      </c>
      <c r="N1679" t="str">
        <f t="shared" si="237"/>
        <v>6-10%</v>
      </c>
      <c r="O1679" t="str">
        <f t="shared" si="238"/>
        <v>OK</v>
      </c>
      <c r="P1679">
        <f>IFERROR(Full_Data!G1679/Full_Data!H1679,"Check data")</f>
        <v>0.19282051282051282</v>
      </c>
      <c r="Q1679" t="str">
        <f t="shared" si="239"/>
        <v>Match</v>
      </c>
      <c r="R1679" t="str">
        <f t="shared" si="240"/>
        <v>Mismatch</v>
      </c>
      <c r="S1679" t="str">
        <f t="shared" si="241"/>
        <v>Match</v>
      </c>
    </row>
    <row r="1680" spans="1:19" x14ac:dyDescent="0.25">
      <c r="A1680" t="s">
        <v>1577</v>
      </c>
      <c r="B1680">
        <v>18900</v>
      </c>
      <c r="C1680">
        <f t="shared" si="242"/>
        <v>189</v>
      </c>
      <c r="D1680">
        <v>10</v>
      </c>
      <c r="E1680">
        <v>6</v>
      </c>
      <c r="F1680">
        <v>17000</v>
      </c>
      <c r="G1680">
        <f t="shared" si="234"/>
        <v>170</v>
      </c>
      <c r="H1680">
        <v>30</v>
      </c>
      <c r="I1680" s="4">
        <f>Full_Data[[#This Row],[Selling Price]]/Full_Data[[#This Row],[Weight (g)]]</f>
        <v>5.666666666666667</v>
      </c>
      <c r="J1680" t="b">
        <v>0</v>
      </c>
      <c r="K1680">
        <v>30</v>
      </c>
      <c r="L1680">
        <f t="shared" si="235"/>
        <v>19</v>
      </c>
      <c r="M1680" t="str">
        <f t="shared" si="236"/>
        <v>Medium</v>
      </c>
      <c r="N1680" t="str">
        <f t="shared" si="237"/>
        <v>6-10%</v>
      </c>
      <c r="O1680" t="str">
        <f t="shared" si="238"/>
        <v>OK</v>
      </c>
      <c r="P1680">
        <f>IFERROR(Full_Data!G1680/Full_Data!H1680,"Check data")</f>
        <v>5.666666666666667</v>
      </c>
      <c r="Q1680" t="str">
        <f t="shared" si="239"/>
        <v>Match</v>
      </c>
      <c r="R1680" t="str">
        <f t="shared" si="240"/>
        <v>Mismatch</v>
      </c>
      <c r="S1680" t="str">
        <f t="shared" si="241"/>
        <v>Match</v>
      </c>
    </row>
    <row r="1681" spans="1:19" x14ac:dyDescent="0.25">
      <c r="A1681" t="s">
        <v>1578</v>
      </c>
      <c r="B1681">
        <v>16100</v>
      </c>
      <c r="C1681">
        <f t="shared" si="242"/>
        <v>161</v>
      </c>
      <c r="D1681">
        <v>5</v>
      </c>
      <c r="E1681">
        <v>6</v>
      </c>
      <c r="F1681">
        <v>15200</v>
      </c>
      <c r="G1681">
        <f t="shared" si="234"/>
        <v>152</v>
      </c>
      <c r="H1681">
        <v>245</v>
      </c>
      <c r="I1681" s="4">
        <f>Full_Data[[#This Row],[Selling Price]]/Full_Data[[#This Row],[Weight (g)]]</f>
        <v>0.62040816326530612</v>
      </c>
      <c r="J1681" t="b">
        <v>0</v>
      </c>
      <c r="K1681">
        <v>245</v>
      </c>
      <c r="L1681">
        <f t="shared" si="235"/>
        <v>9</v>
      </c>
      <c r="M1681" t="str">
        <f t="shared" si="236"/>
        <v>Medium</v>
      </c>
      <c r="N1681" t="str">
        <f t="shared" si="237"/>
        <v>0-5%</v>
      </c>
      <c r="O1681" t="str">
        <f t="shared" si="238"/>
        <v>OK</v>
      </c>
      <c r="P1681">
        <f>IFERROR(Full_Data!G1681/Full_Data!H1681,"Check data")</f>
        <v>0.62040816326530612</v>
      </c>
      <c r="Q1681" t="str">
        <f t="shared" si="239"/>
        <v>Match</v>
      </c>
      <c r="R1681" t="str">
        <f t="shared" si="240"/>
        <v>Mismatch</v>
      </c>
      <c r="S1681" t="str">
        <f t="shared" si="241"/>
        <v>Mismatch</v>
      </c>
    </row>
    <row r="1682" spans="1:19" x14ac:dyDescent="0.25">
      <c r="A1682" t="s">
        <v>1579</v>
      </c>
      <c r="B1682">
        <v>13500</v>
      </c>
      <c r="C1682">
        <f t="shared" si="242"/>
        <v>135</v>
      </c>
      <c r="D1682">
        <v>9</v>
      </c>
      <c r="E1682">
        <v>5</v>
      </c>
      <c r="F1682">
        <v>12200</v>
      </c>
      <c r="G1682">
        <f t="shared" si="234"/>
        <v>122</v>
      </c>
      <c r="H1682">
        <v>58</v>
      </c>
      <c r="I1682" s="4">
        <f>Full_Data[[#This Row],[Selling Price]]/Full_Data[[#This Row],[Weight (g)]]</f>
        <v>2.103448275862069</v>
      </c>
      <c r="J1682" t="b">
        <v>0</v>
      </c>
      <c r="K1682">
        <v>1</v>
      </c>
      <c r="L1682">
        <f t="shared" si="235"/>
        <v>13</v>
      </c>
      <c r="M1682" t="str">
        <f t="shared" si="236"/>
        <v>Medium</v>
      </c>
      <c r="N1682" t="str">
        <f t="shared" si="237"/>
        <v>6-10%</v>
      </c>
      <c r="O1682" t="str">
        <f t="shared" si="238"/>
        <v>OK</v>
      </c>
      <c r="P1682">
        <f>IFERROR(Full_Data!G1682/Full_Data!H1682,"Check data")</f>
        <v>2.103448275862069</v>
      </c>
      <c r="Q1682" t="str">
        <f t="shared" si="239"/>
        <v>Match</v>
      </c>
      <c r="R1682" t="str">
        <f t="shared" si="240"/>
        <v>Mismatch</v>
      </c>
      <c r="S1682" t="str">
        <f t="shared" si="241"/>
        <v>Mismatch</v>
      </c>
    </row>
    <row r="1683" spans="1:19" x14ac:dyDescent="0.25">
      <c r="A1683" t="s">
        <v>1580</v>
      </c>
      <c r="B1683">
        <v>15000</v>
      </c>
      <c r="C1683">
        <f t="shared" si="242"/>
        <v>150</v>
      </c>
      <c r="D1683">
        <v>12</v>
      </c>
      <c r="E1683">
        <v>1</v>
      </c>
      <c r="F1683">
        <v>13200</v>
      </c>
      <c r="G1683">
        <f t="shared" si="234"/>
        <v>132</v>
      </c>
      <c r="H1683">
        <v>137</v>
      </c>
      <c r="I1683" s="4">
        <f>Full_Data[[#This Row],[Selling Price]]/Full_Data[[#This Row],[Weight (g)]]</f>
        <v>0.96350364963503654</v>
      </c>
      <c r="J1683" t="b">
        <v>0</v>
      </c>
      <c r="K1683">
        <v>137</v>
      </c>
      <c r="L1683">
        <f t="shared" si="235"/>
        <v>18</v>
      </c>
      <c r="M1683" t="str">
        <f t="shared" si="236"/>
        <v>Medium</v>
      </c>
      <c r="N1683" t="str">
        <f t="shared" si="237"/>
        <v>11-15%</v>
      </c>
      <c r="O1683" t="str">
        <f t="shared" si="238"/>
        <v>OK</v>
      </c>
      <c r="P1683">
        <f>IFERROR(Full_Data!G1683/Full_Data!H1683,"Check data")</f>
        <v>0.96350364963503654</v>
      </c>
      <c r="Q1683" t="str">
        <f t="shared" si="239"/>
        <v>Match</v>
      </c>
      <c r="R1683" t="str">
        <f t="shared" si="240"/>
        <v>Match</v>
      </c>
      <c r="S1683" t="str">
        <f t="shared" si="241"/>
        <v>Match</v>
      </c>
    </row>
    <row r="1684" spans="1:19" x14ac:dyDescent="0.25">
      <c r="A1684" t="s">
        <v>1581</v>
      </c>
      <c r="B1684">
        <v>5500</v>
      </c>
      <c r="C1684">
        <f t="shared" si="242"/>
        <v>55</v>
      </c>
      <c r="D1684">
        <v>0</v>
      </c>
      <c r="E1684">
        <v>4</v>
      </c>
      <c r="F1684">
        <v>5500</v>
      </c>
      <c r="G1684">
        <f t="shared" si="234"/>
        <v>55</v>
      </c>
      <c r="H1684">
        <v>10</v>
      </c>
      <c r="I1684" s="4">
        <f>Full_Data[[#This Row],[Selling Price]]/Full_Data[[#This Row],[Weight (g)]]</f>
        <v>5.5</v>
      </c>
      <c r="J1684" t="b">
        <v>0</v>
      </c>
      <c r="K1684">
        <v>10</v>
      </c>
      <c r="L1684">
        <f t="shared" si="235"/>
        <v>0</v>
      </c>
      <c r="M1684" t="str">
        <f t="shared" si="236"/>
        <v>Medium</v>
      </c>
      <c r="N1684" t="str">
        <f t="shared" si="237"/>
        <v>0-5%</v>
      </c>
      <c r="O1684" t="str">
        <f t="shared" si="238"/>
        <v>OK</v>
      </c>
      <c r="P1684">
        <f>IFERROR(Full_Data!G1684/Full_Data!H1684,"Check data")</f>
        <v>5.5</v>
      </c>
      <c r="Q1684" t="str">
        <f t="shared" si="239"/>
        <v>Match</v>
      </c>
      <c r="R1684" t="str">
        <f t="shared" si="240"/>
        <v>Match</v>
      </c>
      <c r="S1684" t="str">
        <f t="shared" si="241"/>
        <v>Match</v>
      </c>
    </row>
    <row r="1685" spans="1:19" x14ac:dyDescent="0.25">
      <c r="A1685" t="s">
        <v>1582</v>
      </c>
      <c r="B1685">
        <v>8000</v>
      </c>
      <c r="C1685">
        <f t="shared" si="242"/>
        <v>80</v>
      </c>
      <c r="D1685">
        <v>10</v>
      </c>
      <c r="E1685">
        <v>6</v>
      </c>
      <c r="F1685">
        <v>7200</v>
      </c>
      <c r="G1685">
        <f t="shared" si="234"/>
        <v>72</v>
      </c>
      <c r="H1685">
        <v>50</v>
      </c>
      <c r="I1685" s="4">
        <f>Full_Data[[#This Row],[Selling Price]]/Full_Data[[#This Row],[Weight (g)]]</f>
        <v>1.44</v>
      </c>
      <c r="J1685" t="b">
        <v>0</v>
      </c>
      <c r="K1685">
        <v>50</v>
      </c>
      <c r="L1685">
        <f t="shared" si="235"/>
        <v>8</v>
      </c>
      <c r="M1685" t="str">
        <f t="shared" si="236"/>
        <v>Medium</v>
      </c>
      <c r="N1685" t="str">
        <f t="shared" si="237"/>
        <v>6-10%</v>
      </c>
      <c r="O1685" t="str">
        <f t="shared" si="238"/>
        <v>OK</v>
      </c>
      <c r="P1685">
        <f>IFERROR(Full_Data!G1685/Full_Data!H1685,"Check data")</f>
        <v>1.44</v>
      </c>
      <c r="Q1685" t="str">
        <f t="shared" si="239"/>
        <v>Match</v>
      </c>
      <c r="R1685" t="str">
        <f t="shared" si="240"/>
        <v>Match</v>
      </c>
      <c r="S1685" t="str">
        <f t="shared" si="241"/>
        <v>Match</v>
      </c>
    </row>
    <row r="1686" spans="1:19" x14ac:dyDescent="0.25">
      <c r="A1686" t="s">
        <v>1583</v>
      </c>
      <c r="B1686">
        <v>11500</v>
      </c>
      <c r="C1686">
        <f t="shared" si="242"/>
        <v>115</v>
      </c>
      <c r="D1686">
        <v>14</v>
      </c>
      <c r="E1686">
        <v>6</v>
      </c>
      <c r="F1686">
        <v>9800</v>
      </c>
      <c r="G1686">
        <f t="shared" si="234"/>
        <v>98</v>
      </c>
      <c r="H1686">
        <v>58</v>
      </c>
      <c r="I1686" s="4">
        <f>Full_Data[[#This Row],[Selling Price]]/Full_Data[[#This Row],[Weight (g)]]</f>
        <v>1.6896551724137931</v>
      </c>
      <c r="J1686" t="b">
        <v>0</v>
      </c>
      <c r="K1686">
        <v>1</v>
      </c>
      <c r="L1686">
        <f t="shared" si="235"/>
        <v>17</v>
      </c>
      <c r="M1686" t="str">
        <f t="shared" si="236"/>
        <v>Medium</v>
      </c>
      <c r="N1686" t="str">
        <f t="shared" si="237"/>
        <v>11-15%</v>
      </c>
      <c r="O1686" t="str">
        <f t="shared" si="238"/>
        <v>OK</v>
      </c>
      <c r="P1686">
        <f>IFERROR(Full_Data!G1686/Full_Data!H1686,"Check data")</f>
        <v>1.6896551724137931</v>
      </c>
      <c r="Q1686" t="str">
        <f t="shared" si="239"/>
        <v>Match</v>
      </c>
      <c r="R1686" t="str">
        <f t="shared" si="240"/>
        <v>Mismatch</v>
      </c>
      <c r="S1686" t="str">
        <f t="shared" si="241"/>
        <v>Mismatch</v>
      </c>
    </row>
    <row r="1687" spans="1:19" x14ac:dyDescent="0.25">
      <c r="A1687" t="s">
        <v>1584</v>
      </c>
      <c r="B1687">
        <v>29900</v>
      </c>
      <c r="C1687">
        <f t="shared" si="242"/>
        <v>299</v>
      </c>
      <c r="D1687">
        <v>10</v>
      </c>
      <c r="E1687">
        <v>2</v>
      </c>
      <c r="F1687">
        <v>26900</v>
      </c>
      <c r="G1687">
        <f t="shared" si="234"/>
        <v>269</v>
      </c>
      <c r="H1687">
        <v>75</v>
      </c>
      <c r="I1687" s="4">
        <f>Full_Data[[#This Row],[Selling Price]]/Full_Data[[#This Row],[Weight (g)]]</f>
        <v>3.5866666666666664</v>
      </c>
      <c r="J1687" t="b">
        <v>0</v>
      </c>
      <c r="K1687">
        <v>75</v>
      </c>
      <c r="L1687">
        <f t="shared" si="235"/>
        <v>30</v>
      </c>
      <c r="M1687" t="str">
        <f t="shared" si="236"/>
        <v>High</v>
      </c>
      <c r="N1687" t="str">
        <f t="shared" si="237"/>
        <v>6-10%</v>
      </c>
      <c r="O1687" t="str">
        <f t="shared" si="238"/>
        <v>OK</v>
      </c>
      <c r="P1687">
        <f>IFERROR(Full_Data!G1687/Full_Data!H1687,"Check data")</f>
        <v>3.5866666666666664</v>
      </c>
      <c r="Q1687" t="str">
        <f t="shared" si="239"/>
        <v>Match</v>
      </c>
      <c r="R1687" t="str">
        <f t="shared" si="240"/>
        <v>Mismatch</v>
      </c>
      <c r="S1687" t="str">
        <f t="shared" si="241"/>
        <v>Match</v>
      </c>
    </row>
    <row r="1688" spans="1:19" x14ac:dyDescent="0.25">
      <c r="A1688" t="s">
        <v>1585</v>
      </c>
      <c r="B1688">
        <v>26500</v>
      </c>
      <c r="C1688">
        <f t="shared" si="242"/>
        <v>265</v>
      </c>
      <c r="D1688">
        <v>0</v>
      </c>
      <c r="E1688">
        <v>6</v>
      </c>
      <c r="F1688">
        <v>26500</v>
      </c>
      <c r="G1688">
        <f t="shared" si="234"/>
        <v>265</v>
      </c>
      <c r="H1688">
        <v>58</v>
      </c>
      <c r="I1688" s="4">
        <f>Full_Data[[#This Row],[Selling Price]]/Full_Data[[#This Row],[Weight (g)]]</f>
        <v>4.568965517241379</v>
      </c>
      <c r="J1688" t="b">
        <v>0</v>
      </c>
      <c r="K1688">
        <v>1</v>
      </c>
      <c r="L1688">
        <f t="shared" si="235"/>
        <v>0</v>
      </c>
      <c r="M1688" t="str">
        <f t="shared" si="236"/>
        <v>High</v>
      </c>
      <c r="N1688" t="str">
        <f t="shared" si="237"/>
        <v>0-5%</v>
      </c>
      <c r="O1688" t="str">
        <f t="shared" si="238"/>
        <v>OK</v>
      </c>
      <c r="P1688">
        <f>IFERROR(Full_Data!G1688/Full_Data!H1688,"Check data")</f>
        <v>4.568965517241379</v>
      </c>
      <c r="Q1688" t="str">
        <f t="shared" si="239"/>
        <v>Match</v>
      </c>
      <c r="R1688" t="str">
        <f t="shared" si="240"/>
        <v>Match</v>
      </c>
      <c r="S1688" t="str">
        <f t="shared" si="241"/>
        <v>Match</v>
      </c>
    </row>
    <row r="1689" spans="1:19" x14ac:dyDescent="0.25">
      <c r="A1689" t="s">
        <v>1570</v>
      </c>
      <c r="B1689">
        <v>22500</v>
      </c>
      <c r="C1689">
        <f t="shared" si="242"/>
        <v>225</v>
      </c>
      <c r="D1689">
        <v>0</v>
      </c>
      <c r="E1689">
        <v>6</v>
      </c>
      <c r="F1689">
        <v>22500</v>
      </c>
      <c r="G1689">
        <f t="shared" si="234"/>
        <v>225</v>
      </c>
      <c r="H1689">
        <v>1000</v>
      </c>
      <c r="I1689" s="4">
        <f>Full_Data[[#This Row],[Selling Price]]/Full_Data[[#This Row],[Weight (g)]]</f>
        <v>0.22500000000000001</v>
      </c>
      <c r="J1689" t="b">
        <v>0</v>
      </c>
      <c r="K1689">
        <v>1</v>
      </c>
      <c r="L1689">
        <f t="shared" si="235"/>
        <v>0</v>
      </c>
      <c r="M1689" t="str">
        <f t="shared" si="236"/>
        <v>High</v>
      </c>
      <c r="N1689" t="str">
        <f t="shared" si="237"/>
        <v>0-5%</v>
      </c>
      <c r="O1689" t="str">
        <f t="shared" si="238"/>
        <v>OK</v>
      </c>
      <c r="P1689">
        <f>IFERROR(Full_Data!G1689/Full_Data!H1689,"Check data")</f>
        <v>0.22500000000000001</v>
      </c>
      <c r="Q1689" t="str">
        <f t="shared" si="239"/>
        <v>Match</v>
      </c>
      <c r="R1689" t="str">
        <f t="shared" si="240"/>
        <v>Match</v>
      </c>
      <c r="S1689" t="str">
        <f t="shared" si="241"/>
        <v>Match</v>
      </c>
    </row>
    <row r="1690" spans="1:19" x14ac:dyDescent="0.25">
      <c r="A1690" t="s">
        <v>1586</v>
      </c>
      <c r="B1690">
        <v>13900</v>
      </c>
      <c r="C1690">
        <f t="shared" si="242"/>
        <v>139</v>
      </c>
      <c r="D1690">
        <v>10</v>
      </c>
      <c r="E1690">
        <v>6</v>
      </c>
      <c r="F1690">
        <v>12500</v>
      </c>
      <c r="G1690">
        <f t="shared" si="234"/>
        <v>125</v>
      </c>
      <c r="H1690">
        <v>30</v>
      </c>
      <c r="I1690" s="4">
        <f>Full_Data[[#This Row],[Selling Price]]/Full_Data[[#This Row],[Weight (g)]]</f>
        <v>4.166666666666667</v>
      </c>
      <c r="J1690" t="b">
        <v>0</v>
      </c>
      <c r="K1690">
        <v>30</v>
      </c>
      <c r="L1690">
        <f t="shared" si="235"/>
        <v>14</v>
      </c>
      <c r="M1690" t="str">
        <f t="shared" si="236"/>
        <v>Medium</v>
      </c>
      <c r="N1690" t="str">
        <f t="shared" si="237"/>
        <v>6-10%</v>
      </c>
      <c r="O1690" t="str">
        <f t="shared" si="238"/>
        <v>OK</v>
      </c>
      <c r="P1690">
        <f>IFERROR(Full_Data!G1690/Full_Data!H1690,"Check data")</f>
        <v>4.166666666666667</v>
      </c>
      <c r="Q1690" t="str">
        <f t="shared" si="239"/>
        <v>Match</v>
      </c>
      <c r="R1690" t="str">
        <f t="shared" si="240"/>
        <v>Mismatch</v>
      </c>
      <c r="S1690" t="str">
        <f t="shared" si="241"/>
        <v>Match</v>
      </c>
    </row>
    <row r="1691" spans="1:19" x14ac:dyDescent="0.25">
      <c r="A1691" t="s">
        <v>1587</v>
      </c>
      <c r="B1691">
        <v>2900</v>
      </c>
      <c r="C1691">
        <f t="shared" si="242"/>
        <v>29</v>
      </c>
      <c r="D1691">
        <v>3</v>
      </c>
      <c r="E1691">
        <v>5</v>
      </c>
      <c r="F1691">
        <v>2800</v>
      </c>
      <c r="G1691">
        <f t="shared" si="234"/>
        <v>28</v>
      </c>
      <c r="H1691">
        <v>58</v>
      </c>
      <c r="I1691" s="4">
        <f>Full_Data[[#This Row],[Selling Price]]/Full_Data[[#This Row],[Weight (g)]]</f>
        <v>0.48275862068965519</v>
      </c>
      <c r="J1691" t="b">
        <v>0</v>
      </c>
      <c r="K1691">
        <v>1</v>
      </c>
      <c r="L1691">
        <f t="shared" si="235"/>
        <v>1</v>
      </c>
      <c r="M1691" t="str">
        <f t="shared" si="236"/>
        <v>Low</v>
      </c>
      <c r="N1691" t="str">
        <f t="shared" si="237"/>
        <v>0-5%</v>
      </c>
      <c r="O1691" t="str">
        <f t="shared" si="238"/>
        <v>OK</v>
      </c>
      <c r="P1691">
        <f>IFERROR(Full_Data!G1691/Full_Data!H1691,"Check data")</f>
        <v>0.48275862068965519</v>
      </c>
      <c r="Q1691" t="str">
        <f t="shared" si="239"/>
        <v>Match</v>
      </c>
      <c r="R1691" t="str">
        <f t="shared" si="240"/>
        <v>Mismatch</v>
      </c>
      <c r="S1691" t="str">
        <f t="shared" si="241"/>
        <v>Match</v>
      </c>
    </row>
    <row r="1692" spans="1:19" x14ac:dyDescent="0.25">
      <c r="A1692" t="s">
        <v>1588</v>
      </c>
      <c r="B1692">
        <v>16500</v>
      </c>
      <c r="C1692">
        <f t="shared" si="242"/>
        <v>165</v>
      </c>
      <c r="D1692">
        <v>5</v>
      </c>
      <c r="E1692">
        <v>5</v>
      </c>
      <c r="F1692">
        <v>15600</v>
      </c>
      <c r="G1692">
        <f t="shared" si="234"/>
        <v>156</v>
      </c>
      <c r="H1692">
        <v>975</v>
      </c>
      <c r="I1692" s="4">
        <f>Full_Data[[#This Row],[Selling Price]]/Full_Data[[#This Row],[Weight (g)]]</f>
        <v>0.16</v>
      </c>
      <c r="J1692" t="b">
        <v>0</v>
      </c>
      <c r="K1692">
        <v>975</v>
      </c>
      <c r="L1692">
        <f t="shared" si="235"/>
        <v>9</v>
      </c>
      <c r="M1692" t="str">
        <f t="shared" si="236"/>
        <v>Medium</v>
      </c>
      <c r="N1692" t="str">
        <f t="shared" si="237"/>
        <v>0-5%</v>
      </c>
      <c r="O1692" t="str">
        <f t="shared" si="238"/>
        <v>OK</v>
      </c>
      <c r="P1692">
        <f>IFERROR(Full_Data!G1692/Full_Data!H1692,"Check data")</f>
        <v>0.16</v>
      </c>
      <c r="Q1692" t="str">
        <f t="shared" si="239"/>
        <v>Match</v>
      </c>
      <c r="R1692" t="str">
        <f t="shared" si="240"/>
        <v>Mismatch</v>
      </c>
      <c r="S1692" t="str">
        <f t="shared" si="241"/>
        <v>Match</v>
      </c>
    </row>
    <row r="1693" spans="1:19" x14ac:dyDescent="0.25">
      <c r="A1693" t="s">
        <v>1589</v>
      </c>
      <c r="B1693">
        <v>17900</v>
      </c>
      <c r="C1693">
        <f t="shared" si="242"/>
        <v>179</v>
      </c>
      <c r="D1693">
        <v>10</v>
      </c>
      <c r="E1693">
        <v>6</v>
      </c>
      <c r="F1693">
        <v>16100</v>
      </c>
      <c r="G1693">
        <f t="shared" si="234"/>
        <v>161</v>
      </c>
      <c r="H1693">
        <v>1000</v>
      </c>
      <c r="I1693" s="4">
        <f>Full_Data[[#This Row],[Selling Price]]/Full_Data[[#This Row],[Weight (g)]]</f>
        <v>0.161</v>
      </c>
      <c r="J1693" t="b">
        <v>0</v>
      </c>
      <c r="K1693">
        <v>1</v>
      </c>
      <c r="L1693">
        <f t="shared" si="235"/>
        <v>18</v>
      </c>
      <c r="M1693" t="str">
        <f t="shared" si="236"/>
        <v>Medium</v>
      </c>
      <c r="N1693" t="str">
        <f t="shared" si="237"/>
        <v>6-10%</v>
      </c>
      <c r="O1693" t="str">
        <f t="shared" si="238"/>
        <v>OK</v>
      </c>
      <c r="P1693">
        <f>IFERROR(Full_Data!G1693/Full_Data!H1693,"Check data")</f>
        <v>0.161</v>
      </c>
      <c r="Q1693" t="str">
        <f t="shared" si="239"/>
        <v>Match</v>
      </c>
      <c r="R1693" t="str">
        <f t="shared" si="240"/>
        <v>Mismatch</v>
      </c>
      <c r="S1693" t="str">
        <f t="shared" si="241"/>
        <v>Match</v>
      </c>
    </row>
    <row r="1694" spans="1:19" x14ac:dyDescent="0.25">
      <c r="A1694" t="s">
        <v>1590</v>
      </c>
      <c r="B1694">
        <v>16100</v>
      </c>
      <c r="C1694">
        <f t="shared" si="242"/>
        <v>161</v>
      </c>
      <c r="D1694">
        <v>5</v>
      </c>
      <c r="E1694">
        <v>5</v>
      </c>
      <c r="F1694">
        <v>15200</v>
      </c>
      <c r="G1694">
        <f t="shared" si="234"/>
        <v>152</v>
      </c>
      <c r="H1694">
        <v>245</v>
      </c>
      <c r="I1694" s="4">
        <f>Full_Data[[#This Row],[Selling Price]]/Full_Data[[#This Row],[Weight (g)]]</f>
        <v>0.62040816326530612</v>
      </c>
      <c r="J1694" t="b">
        <v>0</v>
      </c>
      <c r="K1694">
        <v>245</v>
      </c>
      <c r="L1694">
        <f t="shared" si="235"/>
        <v>9</v>
      </c>
      <c r="M1694" t="str">
        <f t="shared" si="236"/>
        <v>Medium</v>
      </c>
      <c r="N1694" t="str">
        <f t="shared" si="237"/>
        <v>0-5%</v>
      </c>
      <c r="O1694" t="str">
        <f t="shared" si="238"/>
        <v>OK</v>
      </c>
      <c r="P1694">
        <f>IFERROR(Full_Data!G1694/Full_Data!H1694,"Check data")</f>
        <v>0.62040816326530612</v>
      </c>
      <c r="Q1694" t="str">
        <f t="shared" si="239"/>
        <v>Match</v>
      </c>
      <c r="R1694" t="str">
        <f t="shared" si="240"/>
        <v>Mismatch</v>
      </c>
      <c r="S1694" t="str">
        <f t="shared" si="241"/>
        <v>Mismatch</v>
      </c>
    </row>
    <row r="1695" spans="1:19" x14ac:dyDescent="0.25">
      <c r="A1695" t="s">
        <v>1591</v>
      </c>
      <c r="B1695">
        <v>32000</v>
      </c>
      <c r="C1695">
        <f t="shared" si="242"/>
        <v>320</v>
      </c>
      <c r="D1695">
        <v>0</v>
      </c>
      <c r="E1695">
        <v>2</v>
      </c>
      <c r="F1695">
        <v>32000</v>
      </c>
      <c r="G1695">
        <f t="shared" si="234"/>
        <v>320</v>
      </c>
      <c r="H1695">
        <v>58</v>
      </c>
      <c r="I1695" s="4">
        <f>Full_Data[[#This Row],[Selling Price]]/Full_Data[[#This Row],[Weight (g)]]</f>
        <v>5.5172413793103452</v>
      </c>
      <c r="J1695" t="b">
        <v>0</v>
      </c>
      <c r="K1695">
        <v>1</v>
      </c>
      <c r="L1695">
        <f t="shared" si="235"/>
        <v>0</v>
      </c>
      <c r="M1695" t="str">
        <f t="shared" si="236"/>
        <v>High</v>
      </c>
      <c r="N1695" t="str">
        <f t="shared" si="237"/>
        <v>0-5%</v>
      </c>
      <c r="O1695" t="str">
        <f t="shared" si="238"/>
        <v>OK</v>
      </c>
      <c r="P1695">
        <f>IFERROR(Full_Data!G1695/Full_Data!H1695,"Check data")</f>
        <v>5.5172413793103452</v>
      </c>
      <c r="Q1695" t="str">
        <f t="shared" si="239"/>
        <v>Match</v>
      </c>
      <c r="R1695" t="str">
        <f t="shared" si="240"/>
        <v>Match</v>
      </c>
      <c r="S1695" t="str">
        <f t="shared" si="241"/>
        <v>Match</v>
      </c>
    </row>
    <row r="1696" spans="1:19" x14ac:dyDescent="0.25">
      <c r="A1696" t="s">
        <v>1592</v>
      </c>
      <c r="B1696">
        <v>22000</v>
      </c>
      <c r="C1696">
        <f t="shared" si="242"/>
        <v>220</v>
      </c>
      <c r="D1696">
        <v>10</v>
      </c>
      <c r="E1696">
        <v>6</v>
      </c>
      <c r="F1696">
        <v>19800</v>
      </c>
      <c r="G1696">
        <f t="shared" si="234"/>
        <v>198</v>
      </c>
      <c r="H1696">
        <v>58</v>
      </c>
      <c r="I1696" s="4">
        <f>Full_Data[[#This Row],[Selling Price]]/Full_Data[[#This Row],[Weight (g)]]</f>
        <v>3.4137931034482758</v>
      </c>
      <c r="J1696" t="b">
        <v>0</v>
      </c>
      <c r="K1696">
        <v>1</v>
      </c>
      <c r="L1696">
        <f t="shared" si="235"/>
        <v>22</v>
      </c>
      <c r="M1696" t="str">
        <f t="shared" si="236"/>
        <v>Medium</v>
      </c>
      <c r="N1696" t="str">
        <f t="shared" si="237"/>
        <v>6-10%</v>
      </c>
      <c r="O1696" t="str">
        <f t="shared" si="238"/>
        <v>OK</v>
      </c>
      <c r="P1696">
        <f>IFERROR(Full_Data!G1696/Full_Data!H1696,"Check data")</f>
        <v>3.4137931034482758</v>
      </c>
      <c r="Q1696" t="str">
        <f t="shared" si="239"/>
        <v>Match</v>
      </c>
      <c r="R1696" t="str">
        <f t="shared" si="240"/>
        <v>Match</v>
      </c>
      <c r="S1696" t="str">
        <f t="shared" si="241"/>
        <v>Match</v>
      </c>
    </row>
    <row r="1697" spans="1:19" x14ac:dyDescent="0.25">
      <c r="A1697" t="s">
        <v>1593</v>
      </c>
      <c r="B1697">
        <v>28000</v>
      </c>
      <c r="C1697">
        <f t="shared" si="242"/>
        <v>280</v>
      </c>
      <c r="D1697">
        <v>10</v>
      </c>
      <c r="E1697">
        <v>6</v>
      </c>
      <c r="F1697">
        <v>25200</v>
      </c>
      <c r="G1697">
        <f t="shared" si="234"/>
        <v>252</v>
      </c>
      <c r="H1697">
        <v>100</v>
      </c>
      <c r="I1697" s="4">
        <f>Full_Data[[#This Row],[Selling Price]]/Full_Data[[#This Row],[Weight (g)]]</f>
        <v>2.52</v>
      </c>
      <c r="J1697" t="b">
        <v>0</v>
      </c>
      <c r="K1697">
        <v>100</v>
      </c>
      <c r="L1697">
        <f t="shared" si="235"/>
        <v>28</v>
      </c>
      <c r="M1697" t="str">
        <f t="shared" si="236"/>
        <v>High</v>
      </c>
      <c r="N1697" t="str">
        <f t="shared" si="237"/>
        <v>6-10%</v>
      </c>
      <c r="O1697" t="str">
        <f t="shared" si="238"/>
        <v>OK</v>
      </c>
      <c r="P1697">
        <f>IFERROR(Full_Data!G1697/Full_Data!H1697,"Check data")</f>
        <v>2.52</v>
      </c>
      <c r="Q1697" t="str">
        <f t="shared" si="239"/>
        <v>Match</v>
      </c>
      <c r="R1697" t="str">
        <f t="shared" si="240"/>
        <v>Match</v>
      </c>
      <c r="S1697" t="str">
        <f t="shared" si="241"/>
        <v>Match</v>
      </c>
    </row>
    <row r="1698" spans="1:19" x14ac:dyDescent="0.25">
      <c r="A1698" t="s">
        <v>1594</v>
      </c>
      <c r="B1698">
        <v>14000</v>
      </c>
      <c r="C1698">
        <f t="shared" si="242"/>
        <v>140</v>
      </c>
      <c r="D1698">
        <v>0</v>
      </c>
      <c r="E1698">
        <v>6</v>
      </c>
      <c r="F1698">
        <v>14000</v>
      </c>
      <c r="G1698">
        <f t="shared" si="234"/>
        <v>140</v>
      </c>
      <c r="H1698">
        <v>174</v>
      </c>
      <c r="I1698" s="4">
        <f>Full_Data[[#This Row],[Selling Price]]/Full_Data[[#This Row],[Weight (g)]]</f>
        <v>0.8045977011494253</v>
      </c>
      <c r="J1698" t="b">
        <v>0</v>
      </c>
      <c r="K1698">
        <v>3</v>
      </c>
      <c r="L1698">
        <f t="shared" si="235"/>
        <v>0</v>
      </c>
      <c r="M1698" t="str">
        <f t="shared" si="236"/>
        <v>Medium</v>
      </c>
      <c r="N1698" t="str">
        <f t="shared" si="237"/>
        <v>0-5%</v>
      </c>
      <c r="O1698" t="str">
        <f t="shared" si="238"/>
        <v>OK</v>
      </c>
      <c r="P1698">
        <f>IFERROR(Full_Data!G1698/Full_Data!H1698,"Check data")</f>
        <v>0.8045977011494253</v>
      </c>
      <c r="Q1698" t="str">
        <f t="shared" si="239"/>
        <v>Match</v>
      </c>
      <c r="R1698" t="str">
        <f t="shared" si="240"/>
        <v>Match</v>
      </c>
      <c r="S1698" t="str">
        <f t="shared" si="241"/>
        <v>Match</v>
      </c>
    </row>
    <row r="1699" spans="1:19" x14ac:dyDescent="0.25">
      <c r="A1699" t="s">
        <v>1595</v>
      </c>
      <c r="B1699">
        <v>7800</v>
      </c>
      <c r="C1699">
        <f t="shared" si="242"/>
        <v>78</v>
      </c>
      <c r="D1699">
        <v>10</v>
      </c>
      <c r="E1699">
        <v>6</v>
      </c>
      <c r="F1699">
        <v>7000</v>
      </c>
      <c r="G1699">
        <f t="shared" si="234"/>
        <v>70</v>
      </c>
      <c r="H1699">
        <v>58</v>
      </c>
      <c r="I1699" s="4">
        <f>Full_Data[[#This Row],[Selling Price]]/Full_Data[[#This Row],[Weight (g)]]</f>
        <v>1.2068965517241379</v>
      </c>
      <c r="J1699" t="b">
        <v>0</v>
      </c>
      <c r="K1699">
        <v>1</v>
      </c>
      <c r="L1699">
        <f t="shared" si="235"/>
        <v>8</v>
      </c>
      <c r="M1699" t="str">
        <f t="shared" si="236"/>
        <v>Medium</v>
      </c>
      <c r="N1699" t="str">
        <f t="shared" si="237"/>
        <v>6-10%</v>
      </c>
      <c r="O1699" t="str">
        <f t="shared" si="238"/>
        <v>OK</v>
      </c>
      <c r="P1699">
        <f>IFERROR(Full_Data!G1699/Full_Data!H1699,"Check data")</f>
        <v>1.2068965517241379</v>
      </c>
      <c r="Q1699" t="str">
        <f t="shared" si="239"/>
        <v>Match</v>
      </c>
      <c r="R1699" t="str">
        <f t="shared" si="240"/>
        <v>Mismatch</v>
      </c>
      <c r="S1699" t="str">
        <f t="shared" si="241"/>
        <v>Match</v>
      </c>
    </row>
    <row r="1700" spans="1:19" x14ac:dyDescent="0.25">
      <c r="A1700" t="s">
        <v>1596</v>
      </c>
      <c r="B1700">
        <v>7400</v>
      </c>
      <c r="C1700">
        <f t="shared" si="242"/>
        <v>74</v>
      </c>
      <c r="D1700">
        <v>5</v>
      </c>
      <c r="E1700">
        <v>6</v>
      </c>
      <c r="F1700">
        <v>7000</v>
      </c>
      <c r="G1700">
        <f t="shared" si="234"/>
        <v>70</v>
      </c>
      <c r="H1700">
        <v>200</v>
      </c>
      <c r="I1700" s="4">
        <f>Full_Data[[#This Row],[Selling Price]]/Full_Data[[#This Row],[Weight (g)]]</f>
        <v>0.35</v>
      </c>
      <c r="J1700" t="b">
        <v>0</v>
      </c>
      <c r="K1700">
        <v>200</v>
      </c>
      <c r="L1700">
        <f t="shared" si="235"/>
        <v>4</v>
      </c>
      <c r="M1700" t="str">
        <f t="shared" si="236"/>
        <v>Medium</v>
      </c>
      <c r="N1700" t="str">
        <f t="shared" si="237"/>
        <v>0-5%</v>
      </c>
      <c r="O1700" t="str">
        <f t="shared" si="238"/>
        <v>OK</v>
      </c>
      <c r="P1700">
        <f>IFERROR(Full_Data!G1700/Full_Data!H1700,"Check data")</f>
        <v>0.35</v>
      </c>
      <c r="Q1700" t="str">
        <f t="shared" si="239"/>
        <v>Match</v>
      </c>
      <c r="R1700" t="str">
        <f t="shared" si="240"/>
        <v>Mismatch</v>
      </c>
      <c r="S1700" t="str">
        <f t="shared" si="241"/>
        <v>Match</v>
      </c>
    </row>
    <row r="1701" spans="1:19" x14ac:dyDescent="0.25">
      <c r="A1701" t="s">
        <v>1597</v>
      </c>
      <c r="B1701">
        <v>11900</v>
      </c>
      <c r="C1701">
        <f t="shared" si="242"/>
        <v>119</v>
      </c>
      <c r="D1701">
        <v>10</v>
      </c>
      <c r="E1701">
        <v>6</v>
      </c>
      <c r="F1701">
        <v>10700</v>
      </c>
      <c r="G1701">
        <f t="shared" si="234"/>
        <v>107</v>
      </c>
      <c r="H1701">
        <v>40</v>
      </c>
      <c r="I1701" s="4">
        <f>Full_Data[[#This Row],[Selling Price]]/Full_Data[[#This Row],[Weight (g)]]</f>
        <v>2.6749999999999998</v>
      </c>
      <c r="J1701" t="b">
        <v>0</v>
      </c>
      <c r="K1701">
        <v>40</v>
      </c>
      <c r="L1701">
        <f t="shared" si="235"/>
        <v>12</v>
      </c>
      <c r="M1701" t="str">
        <f t="shared" si="236"/>
        <v>Medium</v>
      </c>
      <c r="N1701" t="str">
        <f t="shared" si="237"/>
        <v>6-10%</v>
      </c>
      <c r="O1701" t="str">
        <f t="shared" si="238"/>
        <v>OK</v>
      </c>
      <c r="P1701">
        <f>IFERROR(Full_Data!G1701/Full_Data!H1701,"Check data")</f>
        <v>2.6749999999999998</v>
      </c>
      <c r="Q1701" t="str">
        <f t="shared" si="239"/>
        <v>Match</v>
      </c>
      <c r="R1701" t="str">
        <f t="shared" si="240"/>
        <v>Mismatch</v>
      </c>
      <c r="S1701" t="str">
        <f t="shared" si="241"/>
        <v>Match</v>
      </c>
    </row>
    <row r="1702" spans="1:19" x14ac:dyDescent="0.25">
      <c r="A1702" t="s">
        <v>1501</v>
      </c>
      <c r="B1702">
        <v>2000</v>
      </c>
      <c r="C1702">
        <f t="shared" si="242"/>
        <v>20</v>
      </c>
      <c r="D1702">
        <v>0</v>
      </c>
      <c r="E1702">
        <v>6</v>
      </c>
      <c r="F1702">
        <v>2000</v>
      </c>
      <c r="G1702">
        <f t="shared" si="234"/>
        <v>20</v>
      </c>
      <c r="H1702">
        <v>75</v>
      </c>
      <c r="I1702" s="4">
        <f>Full_Data[[#This Row],[Selling Price]]/Full_Data[[#This Row],[Weight (g)]]</f>
        <v>0.26666666666666666</v>
      </c>
      <c r="J1702" t="b">
        <v>0</v>
      </c>
      <c r="K1702">
        <v>75</v>
      </c>
      <c r="L1702">
        <f t="shared" si="235"/>
        <v>0</v>
      </c>
      <c r="M1702" t="str">
        <f t="shared" si="236"/>
        <v>Low</v>
      </c>
      <c r="N1702" t="str">
        <f t="shared" si="237"/>
        <v>0-5%</v>
      </c>
      <c r="O1702" t="str">
        <f t="shared" si="238"/>
        <v>OK</v>
      </c>
      <c r="P1702">
        <f>IFERROR(Full_Data!G1702/Full_Data!H1702,"Check data")</f>
        <v>0.26666666666666666</v>
      </c>
      <c r="Q1702" t="str">
        <f t="shared" si="239"/>
        <v>Match</v>
      </c>
      <c r="R1702" t="str">
        <f t="shared" si="240"/>
        <v>Match</v>
      </c>
      <c r="S1702" t="str">
        <f t="shared" si="241"/>
        <v>Match</v>
      </c>
    </row>
    <row r="1703" spans="1:19" x14ac:dyDescent="0.25">
      <c r="A1703" t="s">
        <v>1598</v>
      </c>
      <c r="B1703">
        <v>7900</v>
      </c>
      <c r="C1703">
        <f t="shared" si="242"/>
        <v>79</v>
      </c>
      <c r="D1703">
        <v>10</v>
      </c>
      <c r="E1703">
        <v>6</v>
      </c>
      <c r="F1703">
        <v>7100</v>
      </c>
      <c r="G1703">
        <f t="shared" si="234"/>
        <v>71</v>
      </c>
      <c r="H1703">
        <v>25</v>
      </c>
      <c r="I1703" s="4">
        <f>Full_Data[[#This Row],[Selling Price]]/Full_Data[[#This Row],[Weight (g)]]</f>
        <v>2.84</v>
      </c>
      <c r="J1703" t="b">
        <v>0</v>
      </c>
      <c r="K1703">
        <v>25</v>
      </c>
      <c r="L1703">
        <f t="shared" si="235"/>
        <v>8</v>
      </c>
      <c r="M1703" t="str">
        <f t="shared" si="236"/>
        <v>Medium</v>
      </c>
      <c r="N1703" t="str">
        <f t="shared" si="237"/>
        <v>6-10%</v>
      </c>
      <c r="O1703" t="str">
        <f t="shared" si="238"/>
        <v>OK</v>
      </c>
      <c r="P1703">
        <f>IFERROR(Full_Data!G1703/Full_Data!H1703,"Check data")</f>
        <v>2.84</v>
      </c>
      <c r="Q1703" t="str">
        <f t="shared" si="239"/>
        <v>Match</v>
      </c>
      <c r="R1703" t="str">
        <f t="shared" si="240"/>
        <v>Mismatch</v>
      </c>
      <c r="S1703" t="str">
        <f t="shared" si="241"/>
        <v>Match</v>
      </c>
    </row>
    <row r="1704" spans="1:19" x14ac:dyDescent="0.25">
      <c r="A1704" t="s">
        <v>1480</v>
      </c>
      <c r="B1704">
        <v>49900</v>
      </c>
      <c r="C1704">
        <f t="shared" si="242"/>
        <v>499</v>
      </c>
      <c r="D1704">
        <v>0</v>
      </c>
      <c r="E1704">
        <v>1</v>
      </c>
      <c r="F1704">
        <v>49900</v>
      </c>
      <c r="G1704">
        <f t="shared" si="234"/>
        <v>499</v>
      </c>
      <c r="H1704">
        <v>2000</v>
      </c>
      <c r="I1704" s="4">
        <f>Full_Data[[#This Row],[Selling Price]]/Full_Data[[#This Row],[Weight (g)]]</f>
        <v>0.2495</v>
      </c>
      <c r="J1704" t="b">
        <v>0</v>
      </c>
      <c r="K1704">
        <v>2</v>
      </c>
      <c r="L1704">
        <f t="shared" si="235"/>
        <v>0</v>
      </c>
      <c r="M1704" t="str">
        <f t="shared" si="236"/>
        <v>High</v>
      </c>
      <c r="N1704" t="str">
        <f t="shared" si="237"/>
        <v>0-5%</v>
      </c>
      <c r="O1704" t="str">
        <f t="shared" si="238"/>
        <v>OK</v>
      </c>
      <c r="P1704">
        <f>IFERROR(Full_Data!G1704/Full_Data!H1704,"Check data")</f>
        <v>0.2495</v>
      </c>
      <c r="Q1704" t="str">
        <f t="shared" si="239"/>
        <v>Match</v>
      </c>
      <c r="R1704" t="str">
        <f t="shared" si="240"/>
        <v>Match</v>
      </c>
      <c r="S1704" t="str">
        <f t="shared" si="241"/>
        <v>Match</v>
      </c>
    </row>
    <row r="1705" spans="1:19" x14ac:dyDescent="0.25">
      <c r="A1705" t="s">
        <v>1599</v>
      </c>
      <c r="B1705">
        <v>70000</v>
      </c>
      <c r="C1705">
        <f t="shared" si="242"/>
        <v>700</v>
      </c>
      <c r="D1705">
        <v>17</v>
      </c>
      <c r="E1705">
        <v>6</v>
      </c>
      <c r="F1705">
        <v>58100</v>
      </c>
      <c r="G1705">
        <f t="shared" si="234"/>
        <v>581</v>
      </c>
      <c r="H1705">
        <v>580</v>
      </c>
      <c r="I1705" s="4">
        <f>Full_Data[[#This Row],[Selling Price]]/Full_Data[[#This Row],[Weight (g)]]</f>
        <v>1.0017241379310344</v>
      </c>
      <c r="J1705" t="b">
        <v>0</v>
      </c>
      <c r="K1705">
        <v>10</v>
      </c>
      <c r="L1705">
        <f t="shared" si="235"/>
        <v>119</v>
      </c>
      <c r="M1705" t="str">
        <f t="shared" si="236"/>
        <v>High</v>
      </c>
      <c r="N1705" t="str">
        <f t="shared" si="237"/>
        <v>16-20%</v>
      </c>
      <c r="O1705" t="str">
        <f t="shared" si="238"/>
        <v>OK</v>
      </c>
      <c r="P1705">
        <f>IFERROR(Full_Data!G1705/Full_Data!H1705,"Check data")</f>
        <v>1.0017241379310344</v>
      </c>
      <c r="Q1705" t="str">
        <f t="shared" si="239"/>
        <v>Match</v>
      </c>
      <c r="R1705" t="str">
        <f t="shared" si="240"/>
        <v>Match</v>
      </c>
      <c r="S1705" t="str">
        <f t="shared" si="241"/>
        <v>Match</v>
      </c>
    </row>
    <row r="1706" spans="1:19" x14ac:dyDescent="0.25">
      <c r="A1706" t="s">
        <v>1600</v>
      </c>
      <c r="B1706">
        <v>5000</v>
      </c>
      <c r="C1706">
        <f t="shared" si="242"/>
        <v>50</v>
      </c>
      <c r="D1706">
        <v>2</v>
      </c>
      <c r="E1706">
        <v>6</v>
      </c>
      <c r="F1706">
        <v>4900</v>
      </c>
      <c r="G1706">
        <f t="shared" si="234"/>
        <v>49</v>
      </c>
      <c r="H1706">
        <v>25</v>
      </c>
      <c r="I1706" s="4">
        <f>Full_Data[[#This Row],[Selling Price]]/Full_Data[[#This Row],[Weight (g)]]</f>
        <v>1.96</v>
      </c>
      <c r="J1706" t="b">
        <v>0</v>
      </c>
      <c r="K1706">
        <v>25</v>
      </c>
      <c r="L1706">
        <f t="shared" si="235"/>
        <v>1</v>
      </c>
      <c r="M1706" t="str">
        <f t="shared" si="236"/>
        <v>Low</v>
      </c>
      <c r="N1706" t="str">
        <f t="shared" si="237"/>
        <v>0-5%</v>
      </c>
      <c r="O1706" t="str">
        <f t="shared" si="238"/>
        <v>OK</v>
      </c>
      <c r="P1706">
        <f>IFERROR(Full_Data!G1706/Full_Data!H1706,"Check data")</f>
        <v>1.96</v>
      </c>
      <c r="Q1706" t="str">
        <f t="shared" si="239"/>
        <v>Match</v>
      </c>
      <c r="R1706" t="str">
        <f t="shared" si="240"/>
        <v>Match</v>
      </c>
      <c r="S1706" t="str">
        <f t="shared" si="241"/>
        <v>Match</v>
      </c>
    </row>
    <row r="1707" spans="1:19" x14ac:dyDescent="0.25">
      <c r="A1707" t="s">
        <v>1559</v>
      </c>
      <c r="B1707">
        <v>32500</v>
      </c>
      <c r="C1707">
        <f t="shared" si="242"/>
        <v>325</v>
      </c>
      <c r="D1707">
        <v>5</v>
      </c>
      <c r="E1707">
        <v>6</v>
      </c>
      <c r="F1707">
        <v>30800</v>
      </c>
      <c r="G1707">
        <f t="shared" si="234"/>
        <v>308</v>
      </c>
      <c r="H1707">
        <v>900</v>
      </c>
      <c r="I1707" s="4">
        <f>Full_Data[[#This Row],[Selling Price]]/Full_Data[[#This Row],[Weight (g)]]</f>
        <v>0.34222222222222221</v>
      </c>
      <c r="J1707" t="b">
        <v>0</v>
      </c>
      <c r="K1707">
        <v>900</v>
      </c>
      <c r="L1707">
        <f t="shared" si="235"/>
        <v>17</v>
      </c>
      <c r="M1707" t="str">
        <f t="shared" si="236"/>
        <v>High</v>
      </c>
      <c r="N1707" t="str">
        <f t="shared" si="237"/>
        <v>0-5%</v>
      </c>
      <c r="O1707" t="str">
        <f t="shared" si="238"/>
        <v>OK</v>
      </c>
      <c r="P1707">
        <f>IFERROR(Full_Data!G1707/Full_Data!H1707,"Check data")</f>
        <v>0.34222222222222221</v>
      </c>
      <c r="Q1707" t="str">
        <f t="shared" si="239"/>
        <v>Match</v>
      </c>
      <c r="R1707" t="str">
        <f t="shared" si="240"/>
        <v>Mismatch</v>
      </c>
      <c r="S1707" t="str">
        <f t="shared" si="241"/>
        <v>Match</v>
      </c>
    </row>
    <row r="1708" spans="1:19" x14ac:dyDescent="0.25">
      <c r="A1708" t="s">
        <v>1601</v>
      </c>
      <c r="B1708">
        <v>5000</v>
      </c>
      <c r="C1708">
        <f t="shared" si="242"/>
        <v>50</v>
      </c>
      <c r="D1708">
        <v>0</v>
      </c>
      <c r="E1708">
        <v>1</v>
      </c>
      <c r="F1708">
        <v>5000</v>
      </c>
      <c r="G1708">
        <f t="shared" si="234"/>
        <v>50</v>
      </c>
      <c r="H1708">
        <v>58</v>
      </c>
      <c r="I1708" s="4">
        <f>Full_Data[[#This Row],[Selling Price]]/Full_Data[[#This Row],[Weight (g)]]</f>
        <v>0.86206896551724133</v>
      </c>
      <c r="J1708" t="b">
        <v>0</v>
      </c>
      <c r="K1708">
        <v>1</v>
      </c>
      <c r="L1708">
        <f t="shared" si="235"/>
        <v>0</v>
      </c>
      <c r="M1708" t="str">
        <f t="shared" si="236"/>
        <v>Medium</v>
      </c>
      <c r="N1708" t="str">
        <f t="shared" si="237"/>
        <v>0-5%</v>
      </c>
      <c r="O1708" t="str">
        <f t="shared" si="238"/>
        <v>OK</v>
      </c>
      <c r="P1708">
        <f>IFERROR(Full_Data!G1708/Full_Data!H1708,"Check data")</f>
        <v>0.86206896551724133</v>
      </c>
      <c r="Q1708" t="str">
        <f t="shared" si="239"/>
        <v>Match</v>
      </c>
      <c r="R1708" t="str">
        <f t="shared" si="240"/>
        <v>Match</v>
      </c>
      <c r="S1708" t="str">
        <f t="shared" si="241"/>
        <v>Match</v>
      </c>
    </row>
    <row r="1709" spans="1:19" x14ac:dyDescent="0.25">
      <c r="A1709" t="s">
        <v>1602</v>
      </c>
      <c r="B1709">
        <v>22000</v>
      </c>
      <c r="C1709">
        <f t="shared" si="242"/>
        <v>220</v>
      </c>
      <c r="D1709">
        <v>0</v>
      </c>
      <c r="E1709">
        <v>4</v>
      </c>
      <c r="F1709">
        <v>22000</v>
      </c>
      <c r="G1709">
        <f t="shared" si="234"/>
        <v>220</v>
      </c>
      <c r="H1709">
        <v>1000</v>
      </c>
      <c r="I1709" s="4">
        <f>Full_Data[[#This Row],[Selling Price]]/Full_Data[[#This Row],[Weight (g)]]</f>
        <v>0.22</v>
      </c>
      <c r="J1709" t="b">
        <v>0</v>
      </c>
      <c r="K1709">
        <v>1</v>
      </c>
      <c r="L1709">
        <f t="shared" si="235"/>
        <v>0</v>
      </c>
      <c r="M1709" t="str">
        <f t="shared" si="236"/>
        <v>High</v>
      </c>
      <c r="N1709" t="str">
        <f t="shared" si="237"/>
        <v>0-5%</v>
      </c>
      <c r="O1709" t="str">
        <f t="shared" si="238"/>
        <v>OK</v>
      </c>
      <c r="P1709">
        <f>IFERROR(Full_Data!G1709/Full_Data!H1709,"Check data")</f>
        <v>0.22</v>
      </c>
      <c r="Q1709" t="str">
        <f t="shared" si="239"/>
        <v>Match</v>
      </c>
      <c r="R1709" t="str">
        <f t="shared" si="240"/>
        <v>Match</v>
      </c>
      <c r="S1709" t="str">
        <f t="shared" si="241"/>
        <v>Match</v>
      </c>
    </row>
    <row r="1710" spans="1:19" x14ac:dyDescent="0.25">
      <c r="A1710" t="s">
        <v>1603</v>
      </c>
      <c r="B1710">
        <v>18800</v>
      </c>
      <c r="C1710">
        <f t="shared" si="242"/>
        <v>188</v>
      </c>
      <c r="D1710">
        <v>10</v>
      </c>
      <c r="E1710">
        <v>4</v>
      </c>
      <c r="F1710">
        <v>16900</v>
      </c>
      <c r="G1710">
        <f t="shared" si="234"/>
        <v>169</v>
      </c>
      <c r="H1710">
        <v>35</v>
      </c>
      <c r="I1710" s="4">
        <f>Full_Data[[#This Row],[Selling Price]]/Full_Data[[#This Row],[Weight (g)]]</f>
        <v>4.8285714285714283</v>
      </c>
      <c r="J1710" t="b">
        <v>0</v>
      </c>
      <c r="K1710">
        <v>35</v>
      </c>
      <c r="L1710">
        <f t="shared" si="235"/>
        <v>19</v>
      </c>
      <c r="M1710" t="str">
        <f t="shared" si="236"/>
        <v>Medium</v>
      </c>
      <c r="N1710" t="str">
        <f t="shared" si="237"/>
        <v>6-10%</v>
      </c>
      <c r="O1710" t="str">
        <f t="shared" si="238"/>
        <v>OK</v>
      </c>
      <c r="P1710">
        <f>IFERROR(Full_Data!G1710/Full_Data!H1710,"Check data")</f>
        <v>4.8285714285714283</v>
      </c>
      <c r="Q1710" t="str">
        <f t="shared" si="239"/>
        <v>Match</v>
      </c>
      <c r="R1710" t="str">
        <f t="shared" si="240"/>
        <v>Mismatch</v>
      </c>
      <c r="S1710" t="str">
        <f t="shared" si="241"/>
        <v>Match</v>
      </c>
    </row>
    <row r="1711" spans="1:19" x14ac:dyDescent="0.25">
      <c r="A1711" t="s">
        <v>1604</v>
      </c>
      <c r="B1711">
        <v>18000</v>
      </c>
      <c r="C1711">
        <f t="shared" si="242"/>
        <v>180</v>
      </c>
      <c r="D1711">
        <v>2</v>
      </c>
      <c r="E1711">
        <v>6</v>
      </c>
      <c r="F1711">
        <v>17500</v>
      </c>
      <c r="G1711">
        <f t="shared" si="234"/>
        <v>175</v>
      </c>
      <c r="H1711">
        <v>58</v>
      </c>
      <c r="I1711" s="4">
        <f>Full_Data[[#This Row],[Selling Price]]/Full_Data[[#This Row],[Weight (g)]]</f>
        <v>3.0172413793103448</v>
      </c>
      <c r="J1711" t="b">
        <v>0</v>
      </c>
      <c r="K1711">
        <v>1</v>
      </c>
      <c r="L1711">
        <f t="shared" si="235"/>
        <v>5</v>
      </c>
      <c r="M1711" t="str">
        <f t="shared" si="236"/>
        <v>Medium</v>
      </c>
      <c r="N1711" t="str">
        <f t="shared" si="237"/>
        <v>0-5%</v>
      </c>
      <c r="O1711" t="str">
        <f t="shared" si="238"/>
        <v>OK</v>
      </c>
      <c r="P1711">
        <f>IFERROR(Full_Data!G1711/Full_Data!H1711,"Check data")</f>
        <v>3.0172413793103448</v>
      </c>
      <c r="Q1711" t="str">
        <f t="shared" si="239"/>
        <v>Match</v>
      </c>
      <c r="R1711" t="str">
        <f t="shared" si="240"/>
        <v>Mismatch</v>
      </c>
      <c r="S1711" t="str">
        <f t="shared" si="241"/>
        <v>Mismatch</v>
      </c>
    </row>
    <row r="1712" spans="1:19" x14ac:dyDescent="0.25">
      <c r="A1712" t="s">
        <v>1605</v>
      </c>
      <c r="B1712">
        <v>0</v>
      </c>
      <c r="C1712">
        <f t="shared" si="242"/>
        <v>0</v>
      </c>
      <c r="D1712">
        <v>0</v>
      </c>
      <c r="E1712">
        <v>1</v>
      </c>
      <c r="F1712">
        <v>0</v>
      </c>
      <c r="G1712">
        <f t="shared" si="234"/>
        <v>0</v>
      </c>
      <c r="H1712">
        <v>75</v>
      </c>
      <c r="I1712" s="4">
        <f>Full_Data[[#This Row],[Selling Price]]/Full_Data[[#This Row],[Weight (g)]]</f>
        <v>0</v>
      </c>
      <c r="J1712" t="b">
        <v>0</v>
      </c>
      <c r="K1712">
        <v>75</v>
      </c>
      <c r="L1712">
        <f t="shared" si="235"/>
        <v>0</v>
      </c>
      <c r="M1712" t="str">
        <f t="shared" si="236"/>
        <v>Low</v>
      </c>
      <c r="N1712" t="str">
        <f t="shared" si="237"/>
        <v>0-5%</v>
      </c>
      <c r="O1712" t="str">
        <f t="shared" si="238"/>
        <v>Review: Zero MRP and selling price</v>
      </c>
      <c r="P1712">
        <f>IFERROR(Full_Data!G1712/Full_Data!H1712,"Check data")</f>
        <v>0</v>
      </c>
      <c r="Q1712" t="str">
        <f t="shared" si="239"/>
        <v>Match</v>
      </c>
      <c r="R1712" t="str">
        <f t="shared" si="240"/>
        <v>Check data</v>
      </c>
      <c r="S1712" t="str">
        <f t="shared" si="241"/>
        <v>Check data</v>
      </c>
    </row>
    <row r="1713" spans="1:19" x14ac:dyDescent="0.25">
      <c r="A1713" t="s">
        <v>1606</v>
      </c>
      <c r="B1713">
        <v>1200</v>
      </c>
      <c r="C1713">
        <f t="shared" si="242"/>
        <v>12</v>
      </c>
      <c r="D1713">
        <v>0</v>
      </c>
      <c r="E1713">
        <v>6</v>
      </c>
      <c r="F1713">
        <v>1200</v>
      </c>
      <c r="G1713">
        <f t="shared" si="234"/>
        <v>12</v>
      </c>
      <c r="H1713">
        <v>15</v>
      </c>
      <c r="I1713" s="4">
        <f>Full_Data[[#This Row],[Selling Price]]/Full_Data[[#This Row],[Weight (g)]]</f>
        <v>0.8</v>
      </c>
      <c r="J1713" t="b">
        <v>0</v>
      </c>
      <c r="K1713">
        <v>15</v>
      </c>
      <c r="L1713">
        <f t="shared" si="235"/>
        <v>0</v>
      </c>
      <c r="M1713" t="str">
        <f t="shared" si="236"/>
        <v>Low</v>
      </c>
      <c r="N1713" t="str">
        <f t="shared" si="237"/>
        <v>0-5%</v>
      </c>
      <c r="O1713" t="str">
        <f t="shared" si="238"/>
        <v>OK</v>
      </c>
      <c r="P1713">
        <f>IFERROR(Full_Data!G1713/Full_Data!H1713,"Check data")</f>
        <v>0.8</v>
      </c>
      <c r="Q1713" t="str">
        <f t="shared" si="239"/>
        <v>Match</v>
      </c>
      <c r="R1713" t="str">
        <f t="shared" si="240"/>
        <v>Match</v>
      </c>
      <c r="S1713" t="str">
        <f t="shared" si="241"/>
        <v>Match</v>
      </c>
    </row>
    <row r="1714" spans="1:19" x14ac:dyDescent="0.25">
      <c r="A1714" t="s">
        <v>1607</v>
      </c>
      <c r="B1714">
        <v>6000</v>
      </c>
      <c r="C1714">
        <f t="shared" si="242"/>
        <v>60</v>
      </c>
      <c r="D1714">
        <v>10</v>
      </c>
      <c r="E1714">
        <v>5</v>
      </c>
      <c r="F1714">
        <v>5400</v>
      </c>
      <c r="G1714">
        <f t="shared" si="234"/>
        <v>54</v>
      </c>
      <c r="H1714">
        <v>1160</v>
      </c>
      <c r="I1714" s="4">
        <f>Full_Data[[#This Row],[Selling Price]]/Full_Data[[#This Row],[Weight (g)]]</f>
        <v>4.6551724137931037E-2</v>
      </c>
      <c r="J1714" t="b">
        <v>0</v>
      </c>
      <c r="K1714">
        <v>20</v>
      </c>
      <c r="L1714">
        <f t="shared" si="235"/>
        <v>6</v>
      </c>
      <c r="M1714" t="str">
        <f t="shared" si="236"/>
        <v>Medium</v>
      </c>
      <c r="N1714" t="str">
        <f t="shared" si="237"/>
        <v>6-10%</v>
      </c>
      <c r="O1714" t="str">
        <f t="shared" si="238"/>
        <v>OK</v>
      </c>
      <c r="P1714">
        <f>IFERROR(Full_Data!G1714/Full_Data!H1714,"Check data")</f>
        <v>4.6551724137931037E-2</v>
      </c>
      <c r="Q1714" t="str">
        <f t="shared" si="239"/>
        <v>Match</v>
      </c>
      <c r="R1714" t="str">
        <f t="shared" si="240"/>
        <v>Match</v>
      </c>
      <c r="S1714" t="str">
        <f t="shared" si="241"/>
        <v>Match</v>
      </c>
    </row>
    <row r="1715" spans="1:19" x14ac:dyDescent="0.25">
      <c r="A1715" t="s">
        <v>1608</v>
      </c>
      <c r="B1715">
        <v>4200</v>
      </c>
      <c r="C1715">
        <f t="shared" si="242"/>
        <v>42</v>
      </c>
      <c r="D1715">
        <v>2</v>
      </c>
      <c r="E1715">
        <v>6</v>
      </c>
      <c r="F1715">
        <v>4100</v>
      </c>
      <c r="G1715">
        <f t="shared" si="234"/>
        <v>41</v>
      </c>
      <c r="H1715">
        <v>116</v>
      </c>
      <c r="I1715" s="4">
        <f>Full_Data[[#This Row],[Selling Price]]/Full_Data[[#This Row],[Weight (g)]]</f>
        <v>0.35344827586206895</v>
      </c>
      <c r="J1715" t="b">
        <v>0</v>
      </c>
      <c r="K1715">
        <v>2</v>
      </c>
      <c r="L1715">
        <f t="shared" si="235"/>
        <v>1</v>
      </c>
      <c r="M1715" t="str">
        <f t="shared" si="236"/>
        <v>Low</v>
      </c>
      <c r="N1715" t="str">
        <f t="shared" si="237"/>
        <v>0-5%</v>
      </c>
      <c r="O1715" t="str">
        <f t="shared" si="238"/>
        <v>OK</v>
      </c>
      <c r="P1715">
        <f>IFERROR(Full_Data!G1715/Full_Data!H1715,"Check data")</f>
        <v>0.35344827586206895</v>
      </c>
      <c r="Q1715" t="str">
        <f t="shared" si="239"/>
        <v>Match</v>
      </c>
      <c r="R1715" t="str">
        <f t="shared" si="240"/>
        <v>Mismatch</v>
      </c>
      <c r="S1715" t="str">
        <f t="shared" si="241"/>
        <v>Match</v>
      </c>
    </row>
    <row r="1716" spans="1:19" x14ac:dyDescent="0.25">
      <c r="A1716" t="s">
        <v>1609</v>
      </c>
      <c r="B1716">
        <v>6900</v>
      </c>
      <c r="C1716">
        <f t="shared" si="242"/>
        <v>69</v>
      </c>
      <c r="D1716">
        <v>11</v>
      </c>
      <c r="E1716">
        <v>6</v>
      </c>
      <c r="F1716">
        <v>6100</v>
      </c>
      <c r="G1716">
        <f t="shared" si="234"/>
        <v>61</v>
      </c>
      <c r="H1716">
        <v>30</v>
      </c>
      <c r="I1716" s="4">
        <f>Full_Data[[#This Row],[Selling Price]]/Full_Data[[#This Row],[Weight (g)]]</f>
        <v>2.0333333333333332</v>
      </c>
      <c r="J1716" t="b">
        <v>0</v>
      </c>
      <c r="K1716">
        <v>30</v>
      </c>
      <c r="L1716">
        <f t="shared" si="235"/>
        <v>8</v>
      </c>
      <c r="M1716" t="str">
        <f t="shared" si="236"/>
        <v>Medium</v>
      </c>
      <c r="N1716" t="str">
        <f t="shared" si="237"/>
        <v>11-15%</v>
      </c>
      <c r="O1716" t="str">
        <f t="shared" si="238"/>
        <v>OK</v>
      </c>
      <c r="P1716">
        <f>IFERROR(Full_Data!G1716/Full_Data!H1716,"Check data")</f>
        <v>2.0333333333333332</v>
      </c>
      <c r="Q1716" t="str">
        <f t="shared" si="239"/>
        <v>Match</v>
      </c>
      <c r="R1716" t="str">
        <f t="shared" si="240"/>
        <v>Mismatch</v>
      </c>
      <c r="S1716" t="str">
        <f t="shared" si="241"/>
        <v>Mismatch</v>
      </c>
    </row>
    <row r="1717" spans="1:19" x14ac:dyDescent="0.25">
      <c r="A1717" t="s">
        <v>1610</v>
      </c>
      <c r="B1717">
        <v>25000</v>
      </c>
      <c r="C1717">
        <f t="shared" si="242"/>
        <v>250</v>
      </c>
      <c r="D1717">
        <v>10</v>
      </c>
      <c r="E1717">
        <v>3</v>
      </c>
      <c r="F1717">
        <v>22500</v>
      </c>
      <c r="G1717">
        <f t="shared" si="234"/>
        <v>225</v>
      </c>
      <c r="H1717">
        <v>85</v>
      </c>
      <c r="I1717" s="4">
        <f>Full_Data[[#This Row],[Selling Price]]/Full_Data[[#This Row],[Weight (g)]]</f>
        <v>2.6470588235294117</v>
      </c>
      <c r="J1717" t="b">
        <v>0</v>
      </c>
      <c r="K1717">
        <v>1</v>
      </c>
      <c r="L1717">
        <f t="shared" si="235"/>
        <v>25</v>
      </c>
      <c r="M1717" t="str">
        <f t="shared" si="236"/>
        <v>High</v>
      </c>
      <c r="N1717" t="str">
        <f t="shared" si="237"/>
        <v>6-10%</v>
      </c>
      <c r="O1717" t="str">
        <f t="shared" si="238"/>
        <v>OK</v>
      </c>
      <c r="P1717">
        <f>IFERROR(Full_Data!G1717/Full_Data!H1717,"Check data")</f>
        <v>2.6470588235294117</v>
      </c>
      <c r="Q1717" t="str">
        <f t="shared" si="239"/>
        <v>Match</v>
      </c>
      <c r="R1717" t="str">
        <f t="shared" si="240"/>
        <v>Match</v>
      </c>
      <c r="S1717" t="str">
        <f t="shared" si="241"/>
        <v>Match</v>
      </c>
    </row>
    <row r="1718" spans="1:19" x14ac:dyDescent="0.25">
      <c r="A1718" t="s">
        <v>1611</v>
      </c>
      <c r="B1718">
        <v>24000</v>
      </c>
      <c r="C1718">
        <f t="shared" si="242"/>
        <v>240</v>
      </c>
      <c r="D1718">
        <v>0</v>
      </c>
      <c r="E1718">
        <v>6</v>
      </c>
      <c r="F1718">
        <v>24000</v>
      </c>
      <c r="G1718">
        <f t="shared" si="234"/>
        <v>240</v>
      </c>
      <c r="H1718">
        <v>580</v>
      </c>
      <c r="I1718" s="4">
        <f>Full_Data[[#This Row],[Selling Price]]/Full_Data[[#This Row],[Weight (g)]]</f>
        <v>0.41379310344827586</v>
      </c>
      <c r="J1718" t="b">
        <v>0</v>
      </c>
      <c r="K1718">
        <v>50</v>
      </c>
      <c r="L1718">
        <f t="shared" si="235"/>
        <v>0</v>
      </c>
      <c r="M1718" t="str">
        <f t="shared" si="236"/>
        <v>High</v>
      </c>
      <c r="N1718" t="str">
        <f t="shared" si="237"/>
        <v>0-5%</v>
      </c>
      <c r="O1718" t="str">
        <f t="shared" si="238"/>
        <v>OK</v>
      </c>
      <c r="P1718">
        <f>IFERROR(Full_Data!G1718/Full_Data!H1718,"Check data")</f>
        <v>0.41379310344827586</v>
      </c>
      <c r="Q1718" t="str">
        <f t="shared" si="239"/>
        <v>Match</v>
      </c>
      <c r="R1718" t="str">
        <f t="shared" si="240"/>
        <v>Match</v>
      </c>
      <c r="S1718" t="str">
        <f t="shared" si="241"/>
        <v>Match</v>
      </c>
    </row>
    <row r="1719" spans="1:19" x14ac:dyDescent="0.25">
      <c r="A1719" t="s">
        <v>1612</v>
      </c>
      <c r="B1719">
        <v>14000</v>
      </c>
      <c r="C1719">
        <f t="shared" si="242"/>
        <v>140</v>
      </c>
      <c r="D1719">
        <v>7</v>
      </c>
      <c r="E1719">
        <v>6</v>
      </c>
      <c r="F1719">
        <v>12900</v>
      </c>
      <c r="G1719">
        <f t="shared" si="234"/>
        <v>129</v>
      </c>
      <c r="H1719">
        <v>58</v>
      </c>
      <c r="I1719" s="4">
        <f>Full_Data[[#This Row],[Selling Price]]/Full_Data[[#This Row],[Weight (g)]]</f>
        <v>2.2241379310344827</v>
      </c>
      <c r="J1719" t="b">
        <v>0</v>
      </c>
      <c r="K1719">
        <v>1</v>
      </c>
      <c r="L1719">
        <f t="shared" si="235"/>
        <v>11</v>
      </c>
      <c r="M1719" t="str">
        <f t="shared" si="236"/>
        <v>Medium</v>
      </c>
      <c r="N1719" t="str">
        <f t="shared" si="237"/>
        <v>6-10%</v>
      </c>
      <c r="O1719" t="str">
        <f t="shared" si="238"/>
        <v>OK</v>
      </c>
      <c r="P1719">
        <f>IFERROR(Full_Data!G1719/Full_Data!H1719,"Check data")</f>
        <v>2.2241379310344827</v>
      </c>
      <c r="Q1719" t="str">
        <f t="shared" si="239"/>
        <v>Match</v>
      </c>
      <c r="R1719" t="str">
        <f t="shared" si="240"/>
        <v>Mismatch</v>
      </c>
      <c r="S1719" t="str">
        <f t="shared" si="241"/>
        <v>Mismatch</v>
      </c>
    </row>
    <row r="1720" spans="1:19" x14ac:dyDescent="0.25">
      <c r="A1720" t="s">
        <v>1613</v>
      </c>
      <c r="B1720">
        <v>26000</v>
      </c>
      <c r="C1720">
        <f t="shared" si="242"/>
        <v>260</v>
      </c>
      <c r="D1720">
        <v>0</v>
      </c>
      <c r="E1720">
        <v>6</v>
      </c>
      <c r="F1720">
        <v>26000</v>
      </c>
      <c r="G1720">
        <f t="shared" si="234"/>
        <v>260</v>
      </c>
      <c r="H1720">
        <v>1000</v>
      </c>
      <c r="I1720" s="4">
        <f>Full_Data[[#This Row],[Selling Price]]/Full_Data[[#This Row],[Weight (g)]]</f>
        <v>0.26</v>
      </c>
      <c r="J1720" t="b">
        <v>0</v>
      </c>
      <c r="K1720">
        <v>1</v>
      </c>
      <c r="L1720">
        <f t="shared" si="235"/>
        <v>0</v>
      </c>
      <c r="M1720" t="str">
        <f t="shared" si="236"/>
        <v>High</v>
      </c>
      <c r="N1720" t="str">
        <f t="shared" si="237"/>
        <v>0-5%</v>
      </c>
      <c r="O1720" t="str">
        <f t="shared" si="238"/>
        <v>OK</v>
      </c>
      <c r="P1720">
        <f>IFERROR(Full_Data!G1720/Full_Data!H1720,"Check data")</f>
        <v>0.26</v>
      </c>
      <c r="Q1720" t="str">
        <f t="shared" si="239"/>
        <v>Match</v>
      </c>
      <c r="R1720" t="str">
        <f t="shared" si="240"/>
        <v>Match</v>
      </c>
      <c r="S1720" t="str">
        <f t="shared" si="241"/>
        <v>Match</v>
      </c>
    </row>
    <row r="1721" spans="1:19" x14ac:dyDescent="0.25">
      <c r="A1721" t="s">
        <v>1570</v>
      </c>
      <c r="B1721">
        <v>25000</v>
      </c>
      <c r="C1721">
        <f t="shared" si="242"/>
        <v>250</v>
      </c>
      <c r="D1721">
        <v>0</v>
      </c>
      <c r="E1721">
        <v>4</v>
      </c>
      <c r="F1721">
        <v>25000</v>
      </c>
      <c r="G1721">
        <f t="shared" si="234"/>
        <v>250</v>
      </c>
      <c r="H1721">
        <v>1000</v>
      </c>
      <c r="I1721" s="4">
        <f>Full_Data[[#This Row],[Selling Price]]/Full_Data[[#This Row],[Weight (g)]]</f>
        <v>0.25</v>
      </c>
      <c r="J1721" t="b">
        <v>0</v>
      </c>
      <c r="K1721">
        <v>1</v>
      </c>
      <c r="L1721">
        <f t="shared" si="235"/>
        <v>0</v>
      </c>
      <c r="M1721" t="str">
        <f t="shared" si="236"/>
        <v>High</v>
      </c>
      <c r="N1721" t="str">
        <f t="shared" si="237"/>
        <v>0-5%</v>
      </c>
      <c r="O1721" t="str">
        <f t="shared" si="238"/>
        <v>OK</v>
      </c>
      <c r="P1721">
        <f>IFERROR(Full_Data!G1721/Full_Data!H1721,"Check data")</f>
        <v>0.25</v>
      </c>
      <c r="Q1721" t="str">
        <f t="shared" si="239"/>
        <v>Match</v>
      </c>
      <c r="R1721" t="str">
        <f t="shared" si="240"/>
        <v>Match</v>
      </c>
      <c r="S1721" t="str">
        <f t="shared" si="241"/>
        <v>Match</v>
      </c>
    </row>
    <row r="1722" spans="1:19" x14ac:dyDescent="0.25">
      <c r="A1722" t="s">
        <v>1614</v>
      </c>
      <c r="B1722">
        <v>2300</v>
      </c>
      <c r="C1722">
        <f t="shared" si="242"/>
        <v>23</v>
      </c>
      <c r="D1722">
        <v>4</v>
      </c>
      <c r="E1722">
        <v>0</v>
      </c>
      <c r="F1722">
        <v>2200</v>
      </c>
      <c r="G1722">
        <f t="shared" si="234"/>
        <v>22</v>
      </c>
      <c r="H1722">
        <v>300</v>
      </c>
      <c r="I1722" s="4">
        <f>Full_Data[[#This Row],[Selling Price]]/Full_Data[[#This Row],[Weight (g)]]</f>
        <v>7.3333333333333334E-2</v>
      </c>
      <c r="J1722" t="b">
        <v>1</v>
      </c>
      <c r="K1722">
        <v>300</v>
      </c>
      <c r="L1722">
        <f t="shared" si="235"/>
        <v>1</v>
      </c>
      <c r="M1722" t="str">
        <f t="shared" si="236"/>
        <v>Low</v>
      </c>
      <c r="N1722" t="str">
        <f t="shared" si="237"/>
        <v>0-5%</v>
      </c>
      <c r="O1722" t="str">
        <f t="shared" si="238"/>
        <v>OK</v>
      </c>
      <c r="P1722">
        <f>IFERROR(Full_Data!G1722/Full_Data!H1722,"Check data")</f>
        <v>7.3333333333333334E-2</v>
      </c>
      <c r="Q1722" t="str">
        <f t="shared" si="239"/>
        <v>Match</v>
      </c>
      <c r="R1722" t="str">
        <f t="shared" si="240"/>
        <v>Mismatch</v>
      </c>
      <c r="S1722" t="str">
        <f t="shared" si="241"/>
        <v>Match</v>
      </c>
    </row>
    <row r="1723" spans="1:19" x14ac:dyDescent="0.25">
      <c r="A1723" t="s">
        <v>1615</v>
      </c>
      <c r="B1723">
        <v>11600</v>
      </c>
      <c r="C1723">
        <f t="shared" si="242"/>
        <v>116</v>
      </c>
      <c r="D1723">
        <v>0</v>
      </c>
      <c r="E1723">
        <v>0</v>
      </c>
      <c r="F1723">
        <v>11600</v>
      </c>
      <c r="G1723">
        <f t="shared" si="234"/>
        <v>116</v>
      </c>
      <c r="H1723">
        <v>250</v>
      </c>
      <c r="I1723" s="4">
        <f>Full_Data[[#This Row],[Selling Price]]/Full_Data[[#This Row],[Weight (g)]]</f>
        <v>0.46400000000000002</v>
      </c>
      <c r="J1723" t="b">
        <v>1</v>
      </c>
      <c r="K1723">
        <v>250</v>
      </c>
      <c r="L1723">
        <f t="shared" si="235"/>
        <v>0</v>
      </c>
      <c r="M1723" t="str">
        <f t="shared" si="236"/>
        <v>Medium</v>
      </c>
      <c r="N1723" t="str">
        <f t="shared" si="237"/>
        <v>0-5%</v>
      </c>
      <c r="O1723" t="str">
        <f t="shared" si="238"/>
        <v>OK</v>
      </c>
      <c r="P1723">
        <f>IFERROR(Full_Data!G1723/Full_Data!H1723,"Check data")</f>
        <v>0.46400000000000002</v>
      </c>
      <c r="Q1723" t="str">
        <f t="shared" si="239"/>
        <v>Match</v>
      </c>
      <c r="R1723" t="str">
        <f t="shared" si="240"/>
        <v>Match</v>
      </c>
      <c r="S1723" t="str">
        <f t="shared" si="241"/>
        <v>Match</v>
      </c>
    </row>
    <row r="1724" spans="1:19" x14ac:dyDescent="0.25">
      <c r="A1724" t="s">
        <v>1616</v>
      </c>
      <c r="B1724">
        <v>8900</v>
      </c>
      <c r="C1724">
        <f t="shared" si="242"/>
        <v>89</v>
      </c>
      <c r="D1724">
        <v>0</v>
      </c>
      <c r="E1724">
        <v>0</v>
      </c>
      <c r="F1724">
        <v>8900</v>
      </c>
      <c r="G1724">
        <f t="shared" si="234"/>
        <v>89</v>
      </c>
      <c r="H1724">
        <v>60</v>
      </c>
      <c r="I1724" s="4">
        <f>Full_Data[[#This Row],[Selling Price]]/Full_Data[[#This Row],[Weight (g)]]</f>
        <v>1.4833333333333334</v>
      </c>
      <c r="J1724" t="b">
        <v>1</v>
      </c>
      <c r="K1724">
        <v>60</v>
      </c>
      <c r="L1724">
        <f t="shared" si="235"/>
        <v>0</v>
      </c>
      <c r="M1724" t="str">
        <f t="shared" si="236"/>
        <v>Medium</v>
      </c>
      <c r="N1724" t="str">
        <f t="shared" si="237"/>
        <v>0-5%</v>
      </c>
      <c r="O1724" t="str">
        <f t="shared" si="238"/>
        <v>OK</v>
      </c>
      <c r="P1724">
        <f>IFERROR(Full_Data!G1724/Full_Data!H1724,"Check data")</f>
        <v>1.4833333333333334</v>
      </c>
      <c r="Q1724" t="str">
        <f t="shared" si="239"/>
        <v>Match</v>
      </c>
      <c r="R1724" t="str">
        <f t="shared" si="240"/>
        <v>Match</v>
      </c>
      <c r="S1724" t="str">
        <f t="shared" si="241"/>
        <v>Match</v>
      </c>
    </row>
    <row r="1725" spans="1:19" x14ac:dyDescent="0.25">
      <c r="A1725" t="s">
        <v>1617</v>
      </c>
      <c r="B1725">
        <v>8600</v>
      </c>
      <c r="C1725">
        <f t="shared" si="242"/>
        <v>86</v>
      </c>
      <c r="D1725">
        <v>2</v>
      </c>
      <c r="E1725">
        <v>0</v>
      </c>
      <c r="F1725">
        <v>8400</v>
      </c>
      <c r="G1725">
        <f t="shared" si="234"/>
        <v>84</v>
      </c>
      <c r="H1725">
        <v>1000</v>
      </c>
      <c r="I1725" s="4">
        <f>Full_Data[[#This Row],[Selling Price]]/Full_Data[[#This Row],[Weight (g)]]</f>
        <v>8.4000000000000005E-2</v>
      </c>
      <c r="J1725" t="b">
        <v>1</v>
      </c>
      <c r="K1725">
        <v>1</v>
      </c>
      <c r="L1725">
        <f t="shared" si="235"/>
        <v>2</v>
      </c>
      <c r="M1725" t="str">
        <f t="shared" si="236"/>
        <v>Medium</v>
      </c>
      <c r="N1725" t="str">
        <f t="shared" si="237"/>
        <v>0-5%</v>
      </c>
      <c r="O1725" t="str">
        <f t="shared" si="238"/>
        <v>OK</v>
      </c>
      <c r="P1725">
        <f>IFERROR(Full_Data!G1725/Full_Data!H1725,"Check data")</f>
        <v>8.4000000000000005E-2</v>
      </c>
      <c r="Q1725" t="str">
        <f t="shared" si="239"/>
        <v>Match</v>
      </c>
      <c r="R1725" t="str">
        <f t="shared" si="240"/>
        <v>Mismatch</v>
      </c>
      <c r="S1725" t="str">
        <f t="shared" si="241"/>
        <v>Match</v>
      </c>
    </row>
    <row r="1726" spans="1:19" x14ac:dyDescent="0.25">
      <c r="A1726" t="s">
        <v>1618</v>
      </c>
      <c r="B1726">
        <v>13600</v>
      </c>
      <c r="C1726">
        <f t="shared" si="242"/>
        <v>136</v>
      </c>
      <c r="D1726">
        <v>3</v>
      </c>
      <c r="E1726">
        <v>0</v>
      </c>
      <c r="F1726">
        <v>13100</v>
      </c>
      <c r="G1726">
        <f t="shared" si="234"/>
        <v>131</v>
      </c>
      <c r="H1726">
        <v>1000</v>
      </c>
      <c r="I1726" s="4">
        <f>Full_Data[[#This Row],[Selling Price]]/Full_Data[[#This Row],[Weight (g)]]</f>
        <v>0.13100000000000001</v>
      </c>
      <c r="J1726" t="b">
        <v>1</v>
      </c>
      <c r="K1726">
        <v>1</v>
      </c>
      <c r="L1726">
        <f t="shared" si="235"/>
        <v>5</v>
      </c>
      <c r="M1726" t="str">
        <f t="shared" si="236"/>
        <v>Medium</v>
      </c>
      <c r="N1726" t="str">
        <f t="shared" si="237"/>
        <v>0-5%</v>
      </c>
      <c r="O1726" t="str">
        <f t="shared" si="238"/>
        <v>OK</v>
      </c>
      <c r="P1726">
        <f>IFERROR(Full_Data!G1726/Full_Data!H1726,"Check data")</f>
        <v>0.13100000000000001</v>
      </c>
      <c r="Q1726" t="str">
        <f t="shared" si="239"/>
        <v>Match</v>
      </c>
      <c r="R1726" t="str">
        <f t="shared" si="240"/>
        <v>Mismatch</v>
      </c>
      <c r="S1726" t="str">
        <f t="shared" si="241"/>
        <v>Mismatch</v>
      </c>
    </row>
    <row r="1727" spans="1:19" x14ac:dyDescent="0.25">
      <c r="A1727" t="s">
        <v>1619</v>
      </c>
      <c r="B1727">
        <v>1000</v>
      </c>
      <c r="C1727">
        <f t="shared" si="242"/>
        <v>10</v>
      </c>
      <c r="D1727">
        <v>0</v>
      </c>
      <c r="E1727">
        <v>0</v>
      </c>
      <c r="F1727">
        <v>1000</v>
      </c>
      <c r="G1727">
        <f t="shared" si="234"/>
        <v>10</v>
      </c>
      <c r="H1727">
        <v>140</v>
      </c>
      <c r="I1727" s="4">
        <f>Full_Data[[#This Row],[Selling Price]]/Full_Data[[#This Row],[Weight (g)]]</f>
        <v>7.1428571428571425E-2</v>
      </c>
      <c r="J1727" t="b">
        <v>1</v>
      </c>
      <c r="K1727">
        <v>140</v>
      </c>
      <c r="L1727">
        <f t="shared" si="235"/>
        <v>0</v>
      </c>
      <c r="M1727" t="str">
        <f t="shared" si="236"/>
        <v>Low</v>
      </c>
      <c r="N1727" t="str">
        <f t="shared" si="237"/>
        <v>0-5%</v>
      </c>
      <c r="O1727" t="str">
        <f t="shared" si="238"/>
        <v>OK</v>
      </c>
      <c r="P1727">
        <f>IFERROR(Full_Data!G1727/Full_Data!H1727,"Check data")</f>
        <v>7.1428571428571425E-2</v>
      </c>
      <c r="Q1727" t="str">
        <f t="shared" si="239"/>
        <v>Match</v>
      </c>
      <c r="R1727" t="str">
        <f t="shared" si="240"/>
        <v>Match</v>
      </c>
      <c r="S1727" t="str">
        <f t="shared" si="241"/>
        <v>Match</v>
      </c>
    </row>
    <row r="1728" spans="1:19" x14ac:dyDescent="0.25">
      <c r="A1728" t="s">
        <v>1620</v>
      </c>
      <c r="B1728">
        <v>9000</v>
      </c>
      <c r="C1728">
        <f t="shared" si="242"/>
        <v>90</v>
      </c>
      <c r="D1728">
        <v>8</v>
      </c>
      <c r="E1728">
        <v>0</v>
      </c>
      <c r="F1728">
        <v>8200</v>
      </c>
      <c r="G1728">
        <f t="shared" si="234"/>
        <v>82</v>
      </c>
      <c r="H1728">
        <v>100</v>
      </c>
      <c r="I1728" s="4">
        <f>Full_Data[[#This Row],[Selling Price]]/Full_Data[[#This Row],[Weight (g)]]</f>
        <v>0.82</v>
      </c>
      <c r="J1728" t="b">
        <v>1</v>
      </c>
      <c r="K1728">
        <v>100</v>
      </c>
      <c r="L1728">
        <f t="shared" si="235"/>
        <v>8</v>
      </c>
      <c r="M1728" t="str">
        <f t="shared" si="236"/>
        <v>Medium</v>
      </c>
      <c r="N1728" t="str">
        <f t="shared" si="237"/>
        <v>6-10%</v>
      </c>
      <c r="O1728" t="str">
        <f t="shared" si="238"/>
        <v>OK</v>
      </c>
      <c r="P1728">
        <f>IFERROR(Full_Data!G1728/Full_Data!H1728,"Check data")</f>
        <v>0.82</v>
      </c>
      <c r="Q1728" t="str">
        <f t="shared" si="239"/>
        <v>Match</v>
      </c>
      <c r="R1728" t="str">
        <f t="shared" si="240"/>
        <v>Mismatch</v>
      </c>
      <c r="S1728" t="str">
        <f t="shared" si="241"/>
        <v>Mismatch</v>
      </c>
    </row>
    <row r="1729" spans="1:19" x14ac:dyDescent="0.25">
      <c r="A1729" t="s">
        <v>1621</v>
      </c>
      <c r="B1729">
        <v>1200</v>
      </c>
      <c r="C1729">
        <f t="shared" si="242"/>
        <v>12</v>
      </c>
      <c r="D1729">
        <v>8</v>
      </c>
      <c r="E1729">
        <v>0</v>
      </c>
      <c r="F1729">
        <v>1100</v>
      </c>
      <c r="G1729">
        <f t="shared" si="234"/>
        <v>11</v>
      </c>
      <c r="H1729">
        <v>58</v>
      </c>
      <c r="I1729" s="4">
        <f>Full_Data[[#This Row],[Selling Price]]/Full_Data[[#This Row],[Weight (g)]]</f>
        <v>0.18965517241379309</v>
      </c>
      <c r="J1729" t="b">
        <v>1</v>
      </c>
      <c r="K1729">
        <v>1</v>
      </c>
      <c r="L1729">
        <f t="shared" si="235"/>
        <v>1</v>
      </c>
      <c r="M1729" t="str">
        <f t="shared" si="236"/>
        <v>Low</v>
      </c>
      <c r="N1729" t="str">
        <f t="shared" si="237"/>
        <v>6-10%</v>
      </c>
      <c r="O1729" t="str">
        <f t="shared" si="238"/>
        <v>OK</v>
      </c>
      <c r="P1729">
        <f>IFERROR(Full_Data!G1729/Full_Data!H1729,"Check data")</f>
        <v>0.18965517241379309</v>
      </c>
      <c r="Q1729" t="str">
        <f t="shared" si="239"/>
        <v>Match</v>
      </c>
      <c r="R1729" t="str">
        <f t="shared" si="240"/>
        <v>Mismatch</v>
      </c>
      <c r="S1729" t="str">
        <f t="shared" si="241"/>
        <v>Match</v>
      </c>
    </row>
    <row r="1730" spans="1:19" x14ac:dyDescent="0.25">
      <c r="A1730" t="s">
        <v>1622</v>
      </c>
      <c r="B1730">
        <v>6500</v>
      </c>
      <c r="C1730">
        <f t="shared" si="242"/>
        <v>65</v>
      </c>
      <c r="D1730">
        <v>9</v>
      </c>
      <c r="E1730">
        <v>0</v>
      </c>
      <c r="F1730">
        <v>5900</v>
      </c>
      <c r="G1730">
        <f t="shared" ref="G1730:G1793" si="243">F1730/100</f>
        <v>59</v>
      </c>
      <c r="H1730">
        <v>116</v>
      </c>
      <c r="I1730" s="4">
        <f>Full_Data[[#This Row],[Selling Price]]/Full_Data[[#This Row],[Weight (g)]]</f>
        <v>0.50862068965517238</v>
      </c>
      <c r="J1730" t="b">
        <v>1</v>
      </c>
      <c r="K1730">
        <v>2</v>
      </c>
      <c r="L1730">
        <f t="shared" ref="L1730:L1793" si="244">C1730-G1730</f>
        <v>6</v>
      </c>
      <c r="M1730" t="str">
        <f t="shared" ref="M1730:M1793" si="245">IF(G1730&lt;50,"Low",IF(G1730&lt;200,"Medium","High"))</f>
        <v>Medium</v>
      </c>
      <c r="N1730" t="str">
        <f t="shared" ref="N1730:N1794" si="246">IF(D1730&lt;=5,"0-5%",
IF(D1730&lt;=10,"6-10%",
IF(D1730&lt;=15,"11-15%",
IF(D1730&lt;=20,"16-20%","21%+"))))</f>
        <v>6-10%</v>
      </c>
      <c r="O1730" t="str">
        <f t="shared" ref="O1730:O1793" si="247">IF(AND(C1730=0,G1730=0),"Review: Zero MRP and selling price",IF(C1730&lt;=0,"Review: Invalid MRP",IF(G1730&lt;0,"Review: Negative selling price",IF(G1730=0,"Review: Zero selling price",IF(H1730&lt;=0,"Review: Invalid weight","OK")))))</f>
        <v>OK</v>
      </c>
      <c r="P1730">
        <f>IFERROR(Full_Data!G1730/Full_Data!H1730,"Check data")</f>
        <v>0.50862068965517238</v>
      </c>
      <c r="Q1730" t="str">
        <f t="shared" ref="Q1730:Q1793" si="248">IF(OR(H1730="",H1730&lt;=0),"Invalid weight",IF(G1730="","Missing selling price",IF(ROUND(G1730/H1730,2)=ROUND(I1730,2),"Match","Mismatch")))</f>
        <v>Match</v>
      </c>
      <c r="R1730" t="str">
        <f t="shared" ref="R1730:R1793" si="249">IF(OR(C1730&lt;=0,G1730=""),"Check data",IF(ROUND((C1730-G1730)/C1730*100,2)=ROUND(D1730,2),"Match","Mismatch"))</f>
        <v>Mismatch</v>
      </c>
      <c r="S1730" t="str">
        <f t="shared" ref="S1730:S1793" si="250">IF(OR(C1730&lt;=0,G1730=""),"Check data",IF(ROUND((C1730-G1730)/C1730*100,0)=D1730,"Match","Mismatch"))</f>
        <v>Match</v>
      </c>
    </row>
    <row r="1731" spans="1:19" x14ac:dyDescent="0.25">
      <c r="A1731" t="s">
        <v>1623</v>
      </c>
      <c r="B1731">
        <v>19000</v>
      </c>
      <c r="C1731">
        <f t="shared" ref="C1731:C1794" si="251">B1731/100</f>
        <v>190</v>
      </c>
      <c r="D1731">
        <v>7</v>
      </c>
      <c r="E1731">
        <v>0</v>
      </c>
      <c r="F1731">
        <v>17500</v>
      </c>
      <c r="G1731">
        <f t="shared" si="243"/>
        <v>175</v>
      </c>
      <c r="H1731">
        <v>58</v>
      </c>
      <c r="I1731" s="4">
        <f>Full_Data[[#This Row],[Selling Price]]/Full_Data[[#This Row],[Weight (g)]]</f>
        <v>3.0172413793103448</v>
      </c>
      <c r="J1731" t="b">
        <v>1</v>
      </c>
      <c r="K1731">
        <v>1</v>
      </c>
      <c r="L1731">
        <f t="shared" si="244"/>
        <v>15</v>
      </c>
      <c r="M1731" t="str">
        <f t="shared" si="245"/>
        <v>Medium</v>
      </c>
      <c r="N1731" t="str">
        <f t="shared" si="246"/>
        <v>6-10%</v>
      </c>
      <c r="O1731" t="str">
        <f t="shared" si="247"/>
        <v>OK</v>
      </c>
      <c r="P1731">
        <f>IFERROR(Full_Data!G1731/Full_Data!H1731,"Check data")</f>
        <v>3.0172413793103448</v>
      </c>
      <c r="Q1731" t="str">
        <f t="shared" si="248"/>
        <v>Match</v>
      </c>
      <c r="R1731" t="str">
        <f t="shared" si="249"/>
        <v>Mismatch</v>
      </c>
      <c r="S1731" t="str">
        <f t="shared" si="250"/>
        <v>Mismatch</v>
      </c>
    </row>
    <row r="1732" spans="1:19" x14ac:dyDescent="0.25">
      <c r="A1732" t="s">
        <v>1624</v>
      </c>
      <c r="B1732">
        <v>10500</v>
      </c>
      <c r="C1732">
        <f t="shared" si="251"/>
        <v>105</v>
      </c>
      <c r="D1732">
        <v>2</v>
      </c>
      <c r="E1732">
        <v>0</v>
      </c>
      <c r="F1732">
        <v>10200</v>
      </c>
      <c r="G1732">
        <f t="shared" si="243"/>
        <v>102</v>
      </c>
      <c r="H1732">
        <v>58</v>
      </c>
      <c r="I1732" s="4">
        <f>Full_Data[[#This Row],[Selling Price]]/Full_Data[[#This Row],[Weight (g)]]</f>
        <v>1.7586206896551724</v>
      </c>
      <c r="J1732" t="b">
        <v>1</v>
      </c>
      <c r="K1732">
        <v>1</v>
      </c>
      <c r="L1732">
        <f t="shared" si="244"/>
        <v>3</v>
      </c>
      <c r="M1732" t="str">
        <f t="shared" si="245"/>
        <v>Medium</v>
      </c>
      <c r="N1732" t="str">
        <f t="shared" si="246"/>
        <v>0-5%</v>
      </c>
      <c r="O1732" t="str">
        <f t="shared" si="247"/>
        <v>OK</v>
      </c>
      <c r="P1732">
        <f>IFERROR(Full_Data!G1732/Full_Data!H1732,"Check data")</f>
        <v>1.7586206896551724</v>
      </c>
      <c r="Q1732" t="str">
        <f t="shared" si="248"/>
        <v>Match</v>
      </c>
      <c r="R1732" t="str">
        <f t="shared" si="249"/>
        <v>Mismatch</v>
      </c>
      <c r="S1732" t="str">
        <f t="shared" si="250"/>
        <v>Mismatch</v>
      </c>
    </row>
    <row r="1733" spans="1:19" x14ac:dyDescent="0.25">
      <c r="A1733" t="s">
        <v>1614</v>
      </c>
      <c r="B1733">
        <v>4500</v>
      </c>
      <c r="C1733">
        <f t="shared" si="251"/>
        <v>45</v>
      </c>
      <c r="D1733">
        <v>0</v>
      </c>
      <c r="E1733">
        <v>0</v>
      </c>
      <c r="F1733">
        <v>4500</v>
      </c>
      <c r="G1733">
        <f t="shared" si="243"/>
        <v>45</v>
      </c>
      <c r="H1733">
        <v>600</v>
      </c>
      <c r="I1733" s="4">
        <f>Full_Data[[#This Row],[Selling Price]]/Full_Data[[#This Row],[Weight (g)]]</f>
        <v>7.4999999999999997E-2</v>
      </c>
      <c r="J1733" t="b">
        <v>1</v>
      </c>
      <c r="K1733">
        <v>600</v>
      </c>
      <c r="L1733">
        <f t="shared" si="244"/>
        <v>0</v>
      </c>
      <c r="M1733" t="str">
        <f t="shared" si="245"/>
        <v>Low</v>
      </c>
      <c r="N1733" t="str">
        <f t="shared" si="246"/>
        <v>0-5%</v>
      </c>
      <c r="O1733" t="str">
        <f t="shared" si="247"/>
        <v>OK</v>
      </c>
      <c r="P1733">
        <f>IFERROR(Full_Data!G1733/Full_Data!H1733,"Check data")</f>
        <v>7.4999999999999997E-2</v>
      </c>
      <c r="Q1733" t="str">
        <f t="shared" si="248"/>
        <v>Match</v>
      </c>
      <c r="R1733" t="str">
        <f t="shared" si="249"/>
        <v>Match</v>
      </c>
      <c r="S1733" t="str">
        <f t="shared" si="250"/>
        <v>Match</v>
      </c>
    </row>
    <row r="1734" spans="1:19" x14ac:dyDescent="0.25">
      <c r="A1734" t="s">
        <v>1625</v>
      </c>
      <c r="B1734">
        <v>6900</v>
      </c>
      <c r="C1734">
        <f t="shared" si="251"/>
        <v>69</v>
      </c>
      <c r="D1734">
        <v>10</v>
      </c>
      <c r="E1734">
        <v>0</v>
      </c>
      <c r="F1734">
        <v>6200</v>
      </c>
      <c r="G1734">
        <f t="shared" si="243"/>
        <v>62</v>
      </c>
      <c r="H1734">
        <v>500</v>
      </c>
      <c r="I1734" s="4">
        <f>Full_Data[[#This Row],[Selling Price]]/Full_Data[[#This Row],[Weight (g)]]</f>
        <v>0.124</v>
      </c>
      <c r="J1734" t="b">
        <v>1</v>
      </c>
      <c r="K1734">
        <v>500</v>
      </c>
      <c r="L1734">
        <f t="shared" si="244"/>
        <v>7</v>
      </c>
      <c r="M1734" t="str">
        <f t="shared" si="245"/>
        <v>Medium</v>
      </c>
      <c r="N1734" t="str">
        <f t="shared" si="246"/>
        <v>6-10%</v>
      </c>
      <c r="O1734" t="str">
        <f t="shared" si="247"/>
        <v>OK</v>
      </c>
      <c r="P1734">
        <f>IFERROR(Full_Data!G1734/Full_Data!H1734,"Check data")</f>
        <v>0.124</v>
      </c>
      <c r="Q1734" t="str">
        <f t="shared" si="248"/>
        <v>Match</v>
      </c>
      <c r="R1734" t="str">
        <f t="shared" si="249"/>
        <v>Mismatch</v>
      </c>
      <c r="S1734" t="str">
        <f t="shared" si="250"/>
        <v>Match</v>
      </c>
    </row>
    <row r="1735" spans="1:19" x14ac:dyDescent="0.25">
      <c r="A1735" t="s">
        <v>1626</v>
      </c>
      <c r="B1735">
        <v>23500</v>
      </c>
      <c r="C1735">
        <f t="shared" si="251"/>
        <v>235</v>
      </c>
      <c r="D1735">
        <v>9</v>
      </c>
      <c r="E1735">
        <v>0</v>
      </c>
      <c r="F1735">
        <v>21200</v>
      </c>
      <c r="G1735">
        <f t="shared" si="243"/>
        <v>212</v>
      </c>
      <c r="H1735">
        <v>860</v>
      </c>
      <c r="I1735" s="4">
        <f>Full_Data[[#This Row],[Selling Price]]/Full_Data[[#This Row],[Weight (g)]]</f>
        <v>0.24651162790697675</v>
      </c>
      <c r="J1735" t="b">
        <v>1</v>
      </c>
      <c r="K1735">
        <v>860</v>
      </c>
      <c r="L1735">
        <f t="shared" si="244"/>
        <v>23</v>
      </c>
      <c r="M1735" t="str">
        <f t="shared" si="245"/>
        <v>High</v>
      </c>
      <c r="N1735" t="str">
        <f t="shared" si="246"/>
        <v>6-10%</v>
      </c>
      <c r="O1735" t="str">
        <f t="shared" si="247"/>
        <v>OK</v>
      </c>
      <c r="P1735">
        <f>IFERROR(Full_Data!G1735/Full_Data!H1735,"Check data")</f>
        <v>0.24651162790697675</v>
      </c>
      <c r="Q1735" t="str">
        <f t="shared" si="248"/>
        <v>Match</v>
      </c>
      <c r="R1735" t="str">
        <f t="shared" si="249"/>
        <v>Mismatch</v>
      </c>
      <c r="S1735" t="str">
        <f t="shared" si="250"/>
        <v>Mismatch</v>
      </c>
    </row>
    <row r="1736" spans="1:19" x14ac:dyDescent="0.25">
      <c r="A1736" t="s">
        <v>1627</v>
      </c>
      <c r="B1736">
        <v>2500</v>
      </c>
      <c r="C1736">
        <f t="shared" si="251"/>
        <v>25</v>
      </c>
      <c r="D1736">
        <v>0</v>
      </c>
      <c r="E1736">
        <v>0</v>
      </c>
      <c r="F1736">
        <v>2500</v>
      </c>
      <c r="G1736">
        <f t="shared" si="243"/>
        <v>25</v>
      </c>
      <c r="H1736">
        <v>75</v>
      </c>
      <c r="I1736" s="4">
        <f>Full_Data[[#This Row],[Selling Price]]/Full_Data[[#This Row],[Weight (g)]]</f>
        <v>0.33333333333333331</v>
      </c>
      <c r="J1736" t="b">
        <v>1</v>
      </c>
      <c r="K1736">
        <v>75</v>
      </c>
      <c r="L1736">
        <f t="shared" si="244"/>
        <v>0</v>
      </c>
      <c r="M1736" t="str">
        <f t="shared" si="245"/>
        <v>Low</v>
      </c>
      <c r="N1736" t="str">
        <f t="shared" si="246"/>
        <v>0-5%</v>
      </c>
      <c r="O1736" t="str">
        <f t="shared" si="247"/>
        <v>OK</v>
      </c>
      <c r="P1736">
        <f>IFERROR(Full_Data!G1736/Full_Data!H1736,"Check data")</f>
        <v>0.33333333333333331</v>
      </c>
      <c r="Q1736" t="str">
        <f t="shared" si="248"/>
        <v>Match</v>
      </c>
      <c r="R1736" t="str">
        <f t="shared" si="249"/>
        <v>Match</v>
      </c>
      <c r="S1736" t="str">
        <f t="shared" si="250"/>
        <v>Match</v>
      </c>
    </row>
    <row r="1737" spans="1:19" x14ac:dyDescent="0.25">
      <c r="A1737" t="s">
        <v>1497</v>
      </c>
      <c r="B1737">
        <v>20800</v>
      </c>
      <c r="C1737">
        <f t="shared" si="251"/>
        <v>208</v>
      </c>
      <c r="D1737">
        <v>6</v>
      </c>
      <c r="E1737">
        <v>0</v>
      </c>
      <c r="F1737">
        <v>19500</v>
      </c>
      <c r="G1737">
        <f t="shared" si="243"/>
        <v>195</v>
      </c>
      <c r="H1737">
        <v>1000</v>
      </c>
      <c r="I1737" s="4">
        <f>Full_Data[[#This Row],[Selling Price]]/Full_Data[[#This Row],[Weight (g)]]</f>
        <v>0.19500000000000001</v>
      </c>
      <c r="J1737" t="b">
        <v>1</v>
      </c>
      <c r="K1737">
        <v>1</v>
      </c>
      <c r="L1737">
        <f t="shared" si="244"/>
        <v>13</v>
      </c>
      <c r="M1737" t="str">
        <f t="shared" si="245"/>
        <v>Medium</v>
      </c>
      <c r="N1737" t="str">
        <f t="shared" si="246"/>
        <v>6-10%</v>
      </c>
      <c r="O1737" t="str">
        <f t="shared" si="247"/>
        <v>OK</v>
      </c>
      <c r="P1737">
        <f>IFERROR(Full_Data!G1737/Full_Data!H1737,"Check data")</f>
        <v>0.19500000000000001</v>
      </c>
      <c r="Q1737" t="str">
        <f t="shared" si="248"/>
        <v>Match</v>
      </c>
      <c r="R1737" t="str">
        <f t="shared" si="249"/>
        <v>Mismatch</v>
      </c>
      <c r="S1737" t="str">
        <f t="shared" si="250"/>
        <v>Match</v>
      </c>
    </row>
    <row r="1738" spans="1:19" x14ac:dyDescent="0.25">
      <c r="A1738" t="s">
        <v>1628</v>
      </c>
      <c r="B1738">
        <v>8000</v>
      </c>
      <c r="C1738">
        <f t="shared" si="251"/>
        <v>80</v>
      </c>
      <c r="D1738">
        <v>15</v>
      </c>
      <c r="E1738">
        <v>0</v>
      </c>
      <c r="F1738">
        <v>6800</v>
      </c>
      <c r="G1738">
        <f t="shared" si="243"/>
        <v>68</v>
      </c>
      <c r="H1738">
        <v>58</v>
      </c>
      <c r="I1738" s="4">
        <f>Full_Data[[#This Row],[Selling Price]]/Full_Data[[#This Row],[Weight (g)]]</f>
        <v>1.1724137931034482</v>
      </c>
      <c r="J1738" t="b">
        <v>1</v>
      </c>
      <c r="K1738">
        <v>1</v>
      </c>
      <c r="L1738">
        <f t="shared" si="244"/>
        <v>12</v>
      </c>
      <c r="M1738" t="str">
        <f t="shared" si="245"/>
        <v>Medium</v>
      </c>
      <c r="N1738" t="str">
        <f t="shared" si="246"/>
        <v>11-15%</v>
      </c>
      <c r="O1738" t="str">
        <f t="shared" si="247"/>
        <v>OK</v>
      </c>
      <c r="P1738">
        <f>IFERROR(Full_Data!G1738/Full_Data!H1738,"Check data")</f>
        <v>1.1724137931034482</v>
      </c>
      <c r="Q1738" t="str">
        <f t="shared" si="248"/>
        <v>Match</v>
      </c>
      <c r="R1738" t="str">
        <f t="shared" si="249"/>
        <v>Match</v>
      </c>
      <c r="S1738" t="str">
        <f t="shared" si="250"/>
        <v>Match</v>
      </c>
    </row>
    <row r="1739" spans="1:19" x14ac:dyDescent="0.25">
      <c r="A1739" t="s">
        <v>1629</v>
      </c>
      <c r="B1739">
        <v>25000</v>
      </c>
      <c r="C1739">
        <f t="shared" si="251"/>
        <v>250</v>
      </c>
      <c r="D1739">
        <v>10</v>
      </c>
      <c r="E1739">
        <v>0</v>
      </c>
      <c r="F1739">
        <v>22500</v>
      </c>
      <c r="G1739">
        <f t="shared" si="243"/>
        <v>225</v>
      </c>
      <c r="H1739">
        <v>100</v>
      </c>
      <c r="I1739" s="4">
        <f>Full_Data[[#This Row],[Selling Price]]/Full_Data[[#This Row],[Weight (g)]]</f>
        <v>2.25</v>
      </c>
      <c r="J1739" t="b">
        <v>1</v>
      </c>
      <c r="K1739">
        <v>100</v>
      </c>
      <c r="L1739">
        <f t="shared" si="244"/>
        <v>25</v>
      </c>
      <c r="M1739" t="str">
        <f t="shared" si="245"/>
        <v>High</v>
      </c>
      <c r="N1739" t="str">
        <f t="shared" si="246"/>
        <v>6-10%</v>
      </c>
      <c r="O1739" t="str">
        <f t="shared" si="247"/>
        <v>OK</v>
      </c>
      <c r="P1739">
        <f>IFERROR(Full_Data!G1739/Full_Data!H1739,"Check data")</f>
        <v>2.25</v>
      </c>
      <c r="Q1739" t="str">
        <f t="shared" si="248"/>
        <v>Match</v>
      </c>
      <c r="R1739" t="str">
        <f t="shared" si="249"/>
        <v>Match</v>
      </c>
      <c r="S1739" t="str">
        <f t="shared" si="250"/>
        <v>Match</v>
      </c>
    </row>
    <row r="1740" spans="1:19" x14ac:dyDescent="0.25">
      <c r="A1740" t="s">
        <v>1476</v>
      </c>
      <c r="B1740">
        <v>3000</v>
      </c>
      <c r="C1740">
        <f t="shared" si="251"/>
        <v>30</v>
      </c>
      <c r="D1740">
        <v>0</v>
      </c>
      <c r="E1740">
        <v>0</v>
      </c>
      <c r="F1740">
        <v>3000</v>
      </c>
      <c r="G1740">
        <f t="shared" si="243"/>
        <v>30</v>
      </c>
      <c r="H1740">
        <v>60</v>
      </c>
      <c r="I1740" s="4">
        <f>Full_Data[[#This Row],[Selling Price]]/Full_Data[[#This Row],[Weight (g)]]</f>
        <v>0.5</v>
      </c>
      <c r="J1740" t="b">
        <v>1</v>
      </c>
      <c r="K1740">
        <v>60</v>
      </c>
      <c r="L1740">
        <f t="shared" si="244"/>
        <v>0</v>
      </c>
      <c r="M1740" t="str">
        <f t="shared" si="245"/>
        <v>Low</v>
      </c>
      <c r="N1740" t="str">
        <f t="shared" si="246"/>
        <v>0-5%</v>
      </c>
      <c r="O1740" t="str">
        <f t="shared" si="247"/>
        <v>OK</v>
      </c>
      <c r="P1740">
        <f>IFERROR(Full_Data!G1740/Full_Data!H1740,"Check data")</f>
        <v>0.5</v>
      </c>
      <c r="Q1740" t="str">
        <f t="shared" si="248"/>
        <v>Match</v>
      </c>
      <c r="R1740" t="str">
        <f t="shared" si="249"/>
        <v>Match</v>
      </c>
      <c r="S1740" t="str">
        <f t="shared" si="250"/>
        <v>Match</v>
      </c>
    </row>
    <row r="1741" spans="1:19" x14ac:dyDescent="0.25">
      <c r="A1741" t="s">
        <v>1630</v>
      </c>
      <c r="B1741">
        <v>4000</v>
      </c>
      <c r="C1741">
        <f t="shared" si="251"/>
        <v>40</v>
      </c>
      <c r="D1741">
        <v>50</v>
      </c>
      <c r="E1741">
        <v>6</v>
      </c>
      <c r="F1741">
        <v>2000</v>
      </c>
      <c r="G1741">
        <f t="shared" si="243"/>
        <v>20</v>
      </c>
      <c r="H1741">
        <v>75</v>
      </c>
      <c r="I1741" s="4">
        <f>Full_Data[[#This Row],[Selling Price]]/Full_Data[[#This Row],[Weight (g)]]</f>
        <v>0.26666666666666666</v>
      </c>
      <c r="J1741" t="b">
        <v>0</v>
      </c>
      <c r="K1741">
        <v>75</v>
      </c>
      <c r="L1741">
        <f t="shared" si="244"/>
        <v>20</v>
      </c>
      <c r="M1741" t="str">
        <f t="shared" si="245"/>
        <v>Low</v>
      </c>
      <c r="N1741" t="str">
        <f t="shared" si="246"/>
        <v>21%+</v>
      </c>
      <c r="O1741" t="str">
        <f t="shared" si="247"/>
        <v>OK</v>
      </c>
      <c r="P1741">
        <f>IFERROR(Full_Data!G1741/Full_Data!H1741,"Check data")</f>
        <v>0.26666666666666666</v>
      </c>
      <c r="Q1741" t="str">
        <f t="shared" si="248"/>
        <v>Match</v>
      </c>
      <c r="R1741" t="str">
        <f t="shared" si="249"/>
        <v>Match</v>
      </c>
      <c r="S1741" t="str">
        <f t="shared" si="250"/>
        <v>Match</v>
      </c>
    </row>
    <row r="1742" spans="1:19" x14ac:dyDescent="0.25">
      <c r="A1742" t="s">
        <v>1631</v>
      </c>
      <c r="B1742">
        <v>4000</v>
      </c>
      <c r="C1742">
        <f t="shared" si="251"/>
        <v>40</v>
      </c>
      <c r="D1742">
        <v>50</v>
      </c>
      <c r="E1742">
        <v>6</v>
      </c>
      <c r="F1742">
        <v>2000</v>
      </c>
      <c r="G1742">
        <f t="shared" si="243"/>
        <v>20</v>
      </c>
      <c r="H1742">
        <v>75</v>
      </c>
      <c r="I1742" s="4">
        <f>Full_Data[[#This Row],[Selling Price]]/Full_Data[[#This Row],[Weight (g)]]</f>
        <v>0.26666666666666666</v>
      </c>
      <c r="J1742" t="b">
        <v>0</v>
      </c>
      <c r="K1742">
        <v>75</v>
      </c>
      <c r="L1742">
        <f t="shared" si="244"/>
        <v>20</v>
      </c>
      <c r="M1742" t="str">
        <f t="shared" si="245"/>
        <v>Low</v>
      </c>
      <c r="N1742" t="str">
        <f t="shared" si="246"/>
        <v>21%+</v>
      </c>
      <c r="O1742" t="str">
        <f t="shared" si="247"/>
        <v>OK</v>
      </c>
      <c r="P1742">
        <f>IFERROR(Full_Data!G1742/Full_Data!H1742,"Check data")</f>
        <v>0.26666666666666666</v>
      </c>
      <c r="Q1742" t="str">
        <f t="shared" si="248"/>
        <v>Match</v>
      </c>
      <c r="R1742" t="str">
        <f t="shared" si="249"/>
        <v>Match</v>
      </c>
      <c r="S1742" t="str">
        <f t="shared" si="250"/>
        <v>Match</v>
      </c>
    </row>
    <row r="1743" spans="1:19" x14ac:dyDescent="0.25">
      <c r="A1743" t="s">
        <v>1632</v>
      </c>
      <c r="B1743">
        <v>8200</v>
      </c>
      <c r="C1743">
        <f t="shared" si="251"/>
        <v>82</v>
      </c>
      <c r="D1743">
        <v>0</v>
      </c>
      <c r="E1743">
        <v>6</v>
      </c>
      <c r="F1743">
        <v>8200</v>
      </c>
      <c r="G1743">
        <f t="shared" si="243"/>
        <v>82</v>
      </c>
      <c r="H1743">
        <v>174</v>
      </c>
      <c r="I1743" s="4">
        <f>Full_Data[[#This Row],[Selling Price]]/Full_Data[[#This Row],[Weight (g)]]</f>
        <v>0.47126436781609193</v>
      </c>
      <c r="J1743" t="b">
        <v>0</v>
      </c>
      <c r="K1743">
        <v>3</v>
      </c>
      <c r="L1743">
        <f t="shared" si="244"/>
        <v>0</v>
      </c>
      <c r="M1743" t="str">
        <f t="shared" si="245"/>
        <v>Medium</v>
      </c>
      <c r="N1743" t="str">
        <f t="shared" si="246"/>
        <v>0-5%</v>
      </c>
      <c r="O1743" t="str">
        <f t="shared" si="247"/>
        <v>OK</v>
      </c>
      <c r="P1743">
        <f>IFERROR(Full_Data!G1743/Full_Data!H1743,"Check data")</f>
        <v>0.47126436781609193</v>
      </c>
      <c r="Q1743" t="str">
        <f t="shared" si="248"/>
        <v>Match</v>
      </c>
      <c r="R1743" t="str">
        <f t="shared" si="249"/>
        <v>Match</v>
      </c>
      <c r="S1743" t="str">
        <f t="shared" si="250"/>
        <v>Match</v>
      </c>
    </row>
    <row r="1744" spans="1:19" x14ac:dyDescent="0.25">
      <c r="A1744" t="s">
        <v>1633</v>
      </c>
      <c r="B1744">
        <v>24500</v>
      </c>
      <c r="C1744">
        <f t="shared" si="251"/>
        <v>245</v>
      </c>
      <c r="D1744">
        <v>10</v>
      </c>
      <c r="E1744">
        <v>6</v>
      </c>
      <c r="F1744">
        <v>22000</v>
      </c>
      <c r="G1744">
        <f t="shared" si="243"/>
        <v>220</v>
      </c>
      <c r="H1744">
        <v>580</v>
      </c>
      <c r="I1744" s="4">
        <f>Full_Data[[#This Row],[Selling Price]]/Full_Data[[#This Row],[Weight (g)]]</f>
        <v>0.37931034482758619</v>
      </c>
      <c r="J1744" t="b">
        <v>0</v>
      </c>
      <c r="K1744">
        <v>10</v>
      </c>
      <c r="L1744">
        <f t="shared" si="244"/>
        <v>25</v>
      </c>
      <c r="M1744" t="str">
        <f t="shared" si="245"/>
        <v>High</v>
      </c>
      <c r="N1744" t="str">
        <f t="shared" si="246"/>
        <v>6-10%</v>
      </c>
      <c r="O1744" t="str">
        <f t="shared" si="247"/>
        <v>OK</v>
      </c>
      <c r="P1744">
        <f>IFERROR(Full_Data!G1744/Full_Data!H1744,"Check data")</f>
        <v>0.37931034482758619</v>
      </c>
      <c r="Q1744" t="str">
        <f t="shared" si="248"/>
        <v>Match</v>
      </c>
      <c r="R1744" t="str">
        <f t="shared" si="249"/>
        <v>Mismatch</v>
      </c>
      <c r="S1744" t="str">
        <f t="shared" si="250"/>
        <v>Match</v>
      </c>
    </row>
    <row r="1745" spans="1:19" x14ac:dyDescent="0.25">
      <c r="A1745" t="s">
        <v>1634</v>
      </c>
      <c r="B1745">
        <v>4500</v>
      </c>
      <c r="C1745">
        <f t="shared" si="251"/>
        <v>45</v>
      </c>
      <c r="D1745">
        <v>6</v>
      </c>
      <c r="E1745">
        <v>6</v>
      </c>
      <c r="F1745">
        <v>4200</v>
      </c>
      <c r="G1745">
        <f t="shared" si="243"/>
        <v>42</v>
      </c>
      <c r="H1745">
        <v>120</v>
      </c>
      <c r="I1745" s="4">
        <f>Full_Data[[#This Row],[Selling Price]]/Full_Data[[#This Row],[Weight (g)]]</f>
        <v>0.35</v>
      </c>
      <c r="J1745" t="b">
        <v>0</v>
      </c>
      <c r="K1745">
        <v>120</v>
      </c>
      <c r="L1745">
        <f t="shared" si="244"/>
        <v>3</v>
      </c>
      <c r="M1745" t="str">
        <f t="shared" si="245"/>
        <v>Low</v>
      </c>
      <c r="N1745" t="str">
        <f t="shared" si="246"/>
        <v>6-10%</v>
      </c>
      <c r="O1745" t="str">
        <f t="shared" si="247"/>
        <v>OK</v>
      </c>
      <c r="P1745">
        <f>IFERROR(Full_Data!G1745/Full_Data!H1745,"Check data")</f>
        <v>0.35</v>
      </c>
      <c r="Q1745" t="str">
        <f t="shared" si="248"/>
        <v>Match</v>
      </c>
      <c r="R1745" t="str">
        <f t="shared" si="249"/>
        <v>Mismatch</v>
      </c>
      <c r="S1745" t="str">
        <f t="shared" si="250"/>
        <v>Mismatch</v>
      </c>
    </row>
    <row r="1746" spans="1:19" x14ac:dyDescent="0.25">
      <c r="A1746" t="s">
        <v>1635</v>
      </c>
      <c r="B1746">
        <v>4500</v>
      </c>
      <c r="C1746">
        <f t="shared" si="251"/>
        <v>45</v>
      </c>
      <c r="D1746">
        <v>6</v>
      </c>
      <c r="E1746">
        <v>2</v>
      </c>
      <c r="F1746">
        <v>4200</v>
      </c>
      <c r="G1746">
        <f t="shared" si="243"/>
        <v>42</v>
      </c>
      <c r="H1746">
        <v>120</v>
      </c>
      <c r="I1746" s="4">
        <f>Full_Data[[#This Row],[Selling Price]]/Full_Data[[#This Row],[Weight (g)]]</f>
        <v>0.35</v>
      </c>
      <c r="J1746" t="b">
        <v>0</v>
      </c>
      <c r="K1746">
        <v>180</v>
      </c>
      <c r="L1746">
        <f t="shared" si="244"/>
        <v>3</v>
      </c>
      <c r="M1746" t="str">
        <f t="shared" si="245"/>
        <v>Low</v>
      </c>
      <c r="N1746" t="str">
        <f t="shared" si="246"/>
        <v>6-10%</v>
      </c>
      <c r="O1746" t="str">
        <f t="shared" si="247"/>
        <v>OK</v>
      </c>
      <c r="P1746">
        <f>IFERROR(Full_Data!G1746/Full_Data!H1746,"Check data")</f>
        <v>0.35</v>
      </c>
      <c r="Q1746" t="str">
        <f t="shared" si="248"/>
        <v>Match</v>
      </c>
      <c r="R1746" t="str">
        <f t="shared" si="249"/>
        <v>Mismatch</v>
      </c>
      <c r="S1746" t="str">
        <f t="shared" si="250"/>
        <v>Mismatch</v>
      </c>
    </row>
    <row r="1747" spans="1:19" x14ac:dyDescent="0.25">
      <c r="A1747" t="s">
        <v>1636</v>
      </c>
      <c r="B1747">
        <v>4000</v>
      </c>
      <c r="C1747">
        <f t="shared" si="251"/>
        <v>40</v>
      </c>
      <c r="D1747">
        <v>10</v>
      </c>
      <c r="E1747">
        <v>4</v>
      </c>
      <c r="F1747">
        <v>3600</v>
      </c>
      <c r="G1747">
        <f t="shared" si="243"/>
        <v>36</v>
      </c>
      <c r="H1747">
        <v>8</v>
      </c>
      <c r="I1747" s="4">
        <f>Full_Data[[#This Row],[Selling Price]]/Full_Data[[#This Row],[Weight (g)]]</f>
        <v>4.5</v>
      </c>
      <c r="J1747" t="b">
        <v>0</v>
      </c>
      <c r="K1747">
        <v>8</v>
      </c>
      <c r="L1747">
        <f t="shared" si="244"/>
        <v>4</v>
      </c>
      <c r="M1747" t="str">
        <f t="shared" si="245"/>
        <v>Low</v>
      </c>
      <c r="N1747" t="str">
        <f t="shared" si="246"/>
        <v>6-10%</v>
      </c>
      <c r="O1747" t="str">
        <f t="shared" si="247"/>
        <v>OK</v>
      </c>
      <c r="P1747">
        <f>IFERROR(Full_Data!G1747/Full_Data!H1747,"Check data")</f>
        <v>4.5</v>
      </c>
      <c r="Q1747" t="str">
        <f t="shared" si="248"/>
        <v>Match</v>
      </c>
      <c r="R1747" t="str">
        <f t="shared" si="249"/>
        <v>Match</v>
      </c>
      <c r="S1747" t="str">
        <f t="shared" si="250"/>
        <v>Match</v>
      </c>
    </row>
    <row r="1748" spans="1:19" x14ac:dyDescent="0.25">
      <c r="A1748" t="s">
        <v>1637</v>
      </c>
      <c r="B1748">
        <v>2000</v>
      </c>
      <c r="C1748">
        <f t="shared" si="251"/>
        <v>20</v>
      </c>
      <c r="D1748">
        <v>0</v>
      </c>
      <c r="E1748">
        <v>6</v>
      </c>
      <c r="F1748">
        <v>2000</v>
      </c>
      <c r="G1748">
        <f t="shared" si="243"/>
        <v>20</v>
      </c>
      <c r="H1748">
        <v>1160</v>
      </c>
      <c r="I1748" s="4">
        <f>Full_Data[[#This Row],[Selling Price]]/Full_Data[[#This Row],[Weight (g)]]</f>
        <v>1.7241379310344827E-2</v>
      </c>
      <c r="J1748" t="b">
        <v>0</v>
      </c>
      <c r="K1748">
        <v>20</v>
      </c>
      <c r="L1748">
        <f t="shared" si="244"/>
        <v>0</v>
      </c>
      <c r="M1748" t="str">
        <f t="shared" si="245"/>
        <v>Low</v>
      </c>
      <c r="N1748" t="str">
        <f t="shared" si="246"/>
        <v>0-5%</v>
      </c>
      <c r="O1748" t="str">
        <f t="shared" si="247"/>
        <v>OK</v>
      </c>
      <c r="P1748">
        <f>IFERROR(Full_Data!G1748/Full_Data!H1748,"Check data")</f>
        <v>1.7241379310344827E-2</v>
      </c>
      <c r="Q1748" t="str">
        <f t="shared" si="248"/>
        <v>Match</v>
      </c>
      <c r="R1748" t="str">
        <f t="shared" si="249"/>
        <v>Match</v>
      </c>
      <c r="S1748" t="str">
        <f t="shared" si="250"/>
        <v>Match</v>
      </c>
    </row>
    <row r="1749" spans="1:19" x14ac:dyDescent="0.25">
      <c r="A1749" t="s">
        <v>1638</v>
      </c>
      <c r="B1749">
        <v>22800</v>
      </c>
      <c r="C1749">
        <f t="shared" si="251"/>
        <v>228</v>
      </c>
      <c r="D1749">
        <v>10</v>
      </c>
      <c r="E1749">
        <v>6</v>
      </c>
      <c r="F1749">
        <v>20500</v>
      </c>
      <c r="G1749">
        <f t="shared" si="243"/>
        <v>205</v>
      </c>
      <c r="H1749">
        <v>580</v>
      </c>
      <c r="I1749" s="4">
        <f>Full_Data[[#This Row],[Selling Price]]/Full_Data[[#This Row],[Weight (g)]]</f>
        <v>0.35344827586206895</v>
      </c>
      <c r="J1749" t="b">
        <v>0</v>
      </c>
      <c r="K1749">
        <v>10</v>
      </c>
      <c r="L1749">
        <f t="shared" si="244"/>
        <v>23</v>
      </c>
      <c r="M1749" t="str">
        <f t="shared" si="245"/>
        <v>High</v>
      </c>
      <c r="N1749" t="str">
        <f t="shared" si="246"/>
        <v>6-10%</v>
      </c>
      <c r="O1749" t="str">
        <f t="shared" si="247"/>
        <v>OK</v>
      </c>
      <c r="P1749">
        <f>IFERROR(Full_Data!G1749/Full_Data!H1749,"Check data")</f>
        <v>0.35344827586206895</v>
      </c>
      <c r="Q1749" t="str">
        <f t="shared" si="248"/>
        <v>Match</v>
      </c>
      <c r="R1749" t="str">
        <f t="shared" si="249"/>
        <v>Mismatch</v>
      </c>
      <c r="S1749" t="str">
        <f t="shared" si="250"/>
        <v>Match</v>
      </c>
    </row>
    <row r="1750" spans="1:19" x14ac:dyDescent="0.25">
      <c r="A1750" t="s">
        <v>1639</v>
      </c>
      <c r="B1750">
        <v>8500</v>
      </c>
      <c r="C1750">
        <f t="shared" si="251"/>
        <v>85</v>
      </c>
      <c r="D1750">
        <v>9</v>
      </c>
      <c r="E1750">
        <v>6</v>
      </c>
      <c r="F1750">
        <v>7700</v>
      </c>
      <c r="G1750">
        <f t="shared" si="243"/>
        <v>77</v>
      </c>
      <c r="H1750">
        <v>25</v>
      </c>
      <c r="I1750" s="4">
        <f>Full_Data[[#This Row],[Selling Price]]/Full_Data[[#This Row],[Weight (g)]]</f>
        <v>3.08</v>
      </c>
      <c r="J1750" t="b">
        <v>0</v>
      </c>
      <c r="K1750">
        <v>25</v>
      </c>
      <c r="L1750">
        <f t="shared" si="244"/>
        <v>8</v>
      </c>
      <c r="M1750" t="str">
        <f t="shared" si="245"/>
        <v>Medium</v>
      </c>
      <c r="N1750" t="str">
        <f t="shared" si="246"/>
        <v>6-10%</v>
      </c>
      <c r="O1750" t="str">
        <f t="shared" si="247"/>
        <v>OK</v>
      </c>
      <c r="P1750">
        <f>IFERROR(Full_Data!G1750/Full_Data!H1750,"Check data")</f>
        <v>3.08</v>
      </c>
      <c r="Q1750" t="str">
        <f t="shared" si="248"/>
        <v>Match</v>
      </c>
      <c r="R1750" t="str">
        <f t="shared" si="249"/>
        <v>Mismatch</v>
      </c>
      <c r="S1750" t="str">
        <f t="shared" si="250"/>
        <v>Match</v>
      </c>
    </row>
    <row r="1751" spans="1:19" x14ac:dyDescent="0.25">
      <c r="A1751" t="s">
        <v>1640</v>
      </c>
      <c r="B1751">
        <v>14500</v>
      </c>
      <c r="C1751">
        <f t="shared" si="251"/>
        <v>145</v>
      </c>
      <c r="D1751">
        <v>11</v>
      </c>
      <c r="E1751">
        <v>2</v>
      </c>
      <c r="F1751">
        <v>12900</v>
      </c>
      <c r="G1751">
        <f t="shared" si="243"/>
        <v>129</v>
      </c>
      <c r="H1751">
        <v>50</v>
      </c>
      <c r="I1751" s="4">
        <f>Full_Data[[#This Row],[Selling Price]]/Full_Data[[#This Row],[Weight (g)]]</f>
        <v>2.58</v>
      </c>
      <c r="J1751" t="b">
        <v>0</v>
      </c>
      <c r="K1751">
        <v>50</v>
      </c>
      <c r="L1751">
        <f t="shared" si="244"/>
        <v>16</v>
      </c>
      <c r="M1751" t="str">
        <f t="shared" si="245"/>
        <v>Medium</v>
      </c>
      <c r="N1751" t="str">
        <f t="shared" si="246"/>
        <v>11-15%</v>
      </c>
      <c r="O1751" t="str">
        <f t="shared" si="247"/>
        <v>OK</v>
      </c>
      <c r="P1751">
        <f>IFERROR(Full_Data!G1751/Full_Data!H1751,"Check data")</f>
        <v>2.58</v>
      </c>
      <c r="Q1751" t="str">
        <f t="shared" si="248"/>
        <v>Match</v>
      </c>
      <c r="R1751" t="str">
        <f t="shared" si="249"/>
        <v>Mismatch</v>
      </c>
      <c r="S1751" t="str">
        <f t="shared" si="250"/>
        <v>Match</v>
      </c>
    </row>
    <row r="1752" spans="1:19" x14ac:dyDescent="0.25">
      <c r="A1752" t="s">
        <v>1641</v>
      </c>
      <c r="B1752">
        <v>4500</v>
      </c>
      <c r="C1752">
        <f t="shared" si="251"/>
        <v>45</v>
      </c>
      <c r="D1752">
        <v>6</v>
      </c>
      <c r="E1752">
        <v>6</v>
      </c>
      <c r="F1752">
        <v>4200</v>
      </c>
      <c r="G1752">
        <f t="shared" si="243"/>
        <v>42</v>
      </c>
      <c r="H1752">
        <v>120</v>
      </c>
      <c r="I1752" s="4">
        <f>Full_Data[[#This Row],[Selling Price]]/Full_Data[[#This Row],[Weight (g)]]</f>
        <v>0.35</v>
      </c>
      <c r="J1752" t="b">
        <v>0</v>
      </c>
      <c r="K1752">
        <v>120</v>
      </c>
      <c r="L1752">
        <f t="shared" si="244"/>
        <v>3</v>
      </c>
      <c r="M1752" t="str">
        <f t="shared" si="245"/>
        <v>Low</v>
      </c>
      <c r="N1752" t="str">
        <f t="shared" si="246"/>
        <v>6-10%</v>
      </c>
      <c r="O1752" t="str">
        <f t="shared" si="247"/>
        <v>OK</v>
      </c>
      <c r="P1752">
        <f>IFERROR(Full_Data!G1752/Full_Data!H1752,"Check data")</f>
        <v>0.35</v>
      </c>
      <c r="Q1752" t="str">
        <f t="shared" si="248"/>
        <v>Match</v>
      </c>
      <c r="R1752" t="str">
        <f t="shared" si="249"/>
        <v>Mismatch</v>
      </c>
      <c r="S1752" t="str">
        <f t="shared" si="250"/>
        <v>Mismatch</v>
      </c>
    </row>
    <row r="1753" spans="1:19" x14ac:dyDescent="0.25">
      <c r="A1753" t="s">
        <v>1642</v>
      </c>
      <c r="B1753">
        <v>15900</v>
      </c>
      <c r="C1753">
        <f t="shared" si="251"/>
        <v>159</v>
      </c>
      <c r="D1753">
        <v>10</v>
      </c>
      <c r="E1753">
        <v>6</v>
      </c>
      <c r="F1753">
        <v>14300</v>
      </c>
      <c r="G1753">
        <f t="shared" si="243"/>
        <v>143</v>
      </c>
      <c r="H1753">
        <v>225</v>
      </c>
      <c r="I1753" s="4">
        <f>Full_Data[[#This Row],[Selling Price]]/Full_Data[[#This Row],[Weight (g)]]</f>
        <v>0.63555555555555554</v>
      </c>
      <c r="J1753" t="b">
        <v>0</v>
      </c>
      <c r="K1753">
        <v>225</v>
      </c>
      <c r="L1753">
        <f t="shared" si="244"/>
        <v>16</v>
      </c>
      <c r="M1753" t="str">
        <f t="shared" si="245"/>
        <v>Medium</v>
      </c>
      <c r="N1753" t="str">
        <f t="shared" si="246"/>
        <v>6-10%</v>
      </c>
      <c r="O1753" t="str">
        <f t="shared" si="247"/>
        <v>OK</v>
      </c>
      <c r="P1753">
        <f>IFERROR(Full_Data!G1753/Full_Data!H1753,"Check data")</f>
        <v>0.63555555555555554</v>
      </c>
      <c r="Q1753" t="str">
        <f t="shared" si="248"/>
        <v>Match</v>
      </c>
      <c r="R1753" t="str">
        <f t="shared" si="249"/>
        <v>Mismatch</v>
      </c>
      <c r="S1753" t="str">
        <f t="shared" si="250"/>
        <v>Match</v>
      </c>
    </row>
    <row r="1754" spans="1:19" x14ac:dyDescent="0.25">
      <c r="A1754" t="s">
        <v>1643</v>
      </c>
      <c r="B1754">
        <v>4000</v>
      </c>
      <c r="C1754">
        <f t="shared" si="251"/>
        <v>40</v>
      </c>
      <c r="D1754">
        <v>2</v>
      </c>
      <c r="E1754">
        <v>6</v>
      </c>
      <c r="F1754">
        <v>3900</v>
      </c>
      <c r="G1754">
        <f t="shared" si="243"/>
        <v>39</v>
      </c>
      <c r="H1754">
        <v>8</v>
      </c>
      <c r="I1754" s="4">
        <f>Full_Data[[#This Row],[Selling Price]]/Full_Data[[#This Row],[Weight (g)]]</f>
        <v>4.875</v>
      </c>
      <c r="J1754" t="b">
        <v>0</v>
      </c>
      <c r="K1754">
        <v>8</v>
      </c>
      <c r="L1754">
        <f t="shared" si="244"/>
        <v>1</v>
      </c>
      <c r="M1754" t="str">
        <f t="shared" si="245"/>
        <v>Low</v>
      </c>
      <c r="N1754" t="str">
        <f t="shared" si="246"/>
        <v>0-5%</v>
      </c>
      <c r="O1754" t="str">
        <f t="shared" si="247"/>
        <v>OK</v>
      </c>
      <c r="P1754">
        <f>IFERROR(Full_Data!G1754/Full_Data!H1754,"Check data")</f>
        <v>4.875</v>
      </c>
      <c r="Q1754" t="str">
        <f t="shared" si="248"/>
        <v>Match</v>
      </c>
      <c r="R1754" t="str">
        <f t="shared" si="249"/>
        <v>Mismatch</v>
      </c>
      <c r="S1754" t="str">
        <f t="shared" si="250"/>
        <v>Mismatch</v>
      </c>
    </row>
    <row r="1755" spans="1:19" x14ac:dyDescent="0.25">
      <c r="A1755" t="s">
        <v>1644</v>
      </c>
      <c r="B1755">
        <v>6500</v>
      </c>
      <c r="C1755">
        <f t="shared" si="251"/>
        <v>65</v>
      </c>
      <c r="D1755">
        <v>10</v>
      </c>
      <c r="E1755">
        <v>4</v>
      </c>
      <c r="F1755">
        <v>5800</v>
      </c>
      <c r="G1755">
        <f t="shared" si="243"/>
        <v>58</v>
      </c>
      <c r="H1755">
        <v>100</v>
      </c>
      <c r="I1755" s="4">
        <f>Full_Data[[#This Row],[Selling Price]]/Full_Data[[#This Row],[Weight (g)]]</f>
        <v>0.57999999999999996</v>
      </c>
      <c r="J1755" t="b">
        <v>0</v>
      </c>
      <c r="K1755">
        <v>100</v>
      </c>
      <c r="L1755">
        <f t="shared" si="244"/>
        <v>7</v>
      </c>
      <c r="M1755" t="str">
        <f t="shared" si="245"/>
        <v>Medium</v>
      </c>
      <c r="N1755" t="str">
        <f t="shared" si="246"/>
        <v>6-10%</v>
      </c>
      <c r="O1755" t="str">
        <f t="shared" si="247"/>
        <v>OK</v>
      </c>
      <c r="P1755">
        <f>IFERROR(Full_Data!G1755/Full_Data!H1755,"Check data")</f>
        <v>0.57999999999999996</v>
      </c>
      <c r="Q1755" t="str">
        <f t="shared" si="248"/>
        <v>Match</v>
      </c>
      <c r="R1755" t="str">
        <f t="shared" si="249"/>
        <v>Mismatch</v>
      </c>
      <c r="S1755" t="str">
        <f t="shared" si="250"/>
        <v>Mismatch</v>
      </c>
    </row>
    <row r="1756" spans="1:19" x14ac:dyDescent="0.25">
      <c r="A1756" t="s">
        <v>1645</v>
      </c>
      <c r="B1756">
        <v>18900</v>
      </c>
      <c r="C1756">
        <f t="shared" si="251"/>
        <v>189</v>
      </c>
      <c r="D1756">
        <v>15</v>
      </c>
      <c r="E1756">
        <v>6</v>
      </c>
      <c r="F1756">
        <v>16000</v>
      </c>
      <c r="G1756">
        <f t="shared" si="243"/>
        <v>160</v>
      </c>
      <c r="H1756">
        <v>50</v>
      </c>
      <c r="I1756" s="4">
        <f>Full_Data[[#This Row],[Selling Price]]/Full_Data[[#This Row],[Weight (g)]]</f>
        <v>3.2</v>
      </c>
      <c r="J1756" t="b">
        <v>0</v>
      </c>
      <c r="K1756">
        <v>50</v>
      </c>
      <c r="L1756">
        <f t="shared" si="244"/>
        <v>29</v>
      </c>
      <c r="M1756" t="str">
        <f t="shared" si="245"/>
        <v>Medium</v>
      </c>
      <c r="N1756" t="str">
        <f t="shared" si="246"/>
        <v>11-15%</v>
      </c>
      <c r="O1756" t="str">
        <f t="shared" si="247"/>
        <v>OK</v>
      </c>
      <c r="P1756">
        <f>IFERROR(Full_Data!G1756/Full_Data!H1756,"Check data")</f>
        <v>3.2</v>
      </c>
      <c r="Q1756" t="str">
        <f t="shared" si="248"/>
        <v>Match</v>
      </c>
      <c r="R1756" t="str">
        <f t="shared" si="249"/>
        <v>Mismatch</v>
      </c>
      <c r="S1756" t="str">
        <f t="shared" si="250"/>
        <v>Match</v>
      </c>
    </row>
    <row r="1757" spans="1:19" x14ac:dyDescent="0.25">
      <c r="A1757" t="s">
        <v>1646</v>
      </c>
      <c r="B1757">
        <v>16500</v>
      </c>
      <c r="C1757">
        <f t="shared" si="251"/>
        <v>165</v>
      </c>
      <c r="D1757">
        <v>10</v>
      </c>
      <c r="E1757">
        <v>6</v>
      </c>
      <c r="F1757">
        <v>14800</v>
      </c>
      <c r="G1757">
        <f t="shared" si="243"/>
        <v>148</v>
      </c>
      <c r="H1757">
        <v>170</v>
      </c>
      <c r="I1757" s="4">
        <f>Full_Data[[#This Row],[Selling Price]]/Full_Data[[#This Row],[Weight (g)]]</f>
        <v>0.87058823529411766</v>
      </c>
      <c r="J1757" t="b">
        <v>0</v>
      </c>
      <c r="K1757">
        <v>170</v>
      </c>
      <c r="L1757">
        <f t="shared" si="244"/>
        <v>17</v>
      </c>
      <c r="M1757" t="str">
        <f t="shared" si="245"/>
        <v>Medium</v>
      </c>
      <c r="N1757" t="str">
        <f t="shared" si="246"/>
        <v>6-10%</v>
      </c>
      <c r="O1757" t="str">
        <f t="shared" si="247"/>
        <v>OK</v>
      </c>
      <c r="P1757">
        <f>IFERROR(Full_Data!G1757/Full_Data!H1757,"Check data")</f>
        <v>0.87058823529411766</v>
      </c>
      <c r="Q1757" t="str">
        <f t="shared" si="248"/>
        <v>Match</v>
      </c>
      <c r="R1757" t="str">
        <f t="shared" si="249"/>
        <v>Mismatch</v>
      </c>
      <c r="S1757" t="str">
        <f t="shared" si="250"/>
        <v>Match</v>
      </c>
    </row>
    <row r="1758" spans="1:19" x14ac:dyDescent="0.25">
      <c r="A1758" t="s">
        <v>1647</v>
      </c>
      <c r="B1758">
        <v>22800</v>
      </c>
      <c r="C1758">
        <f t="shared" si="251"/>
        <v>228</v>
      </c>
      <c r="D1758">
        <v>10</v>
      </c>
      <c r="E1758">
        <v>6</v>
      </c>
      <c r="F1758">
        <v>20500</v>
      </c>
      <c r="G1758">
        <f t="shared" si="243"/>
        <v>205</v>
      </c>
      <c r="H1758">
        <v>580</v>
      </c>
      <c r="I1758" s="4">
        <f>Full_Data[[#This Row],[Selling Price]]/Full_Data[[#This Row],[Weight (g)]]</f>
        <v>0.35344827586206895</v>
      </c>
      <c r="J1758" t="b">
        <v>0</v>
      </c>
      <c r="K1758">
        <v>10</v>
      </c>
      <c r="L1758">
        <f t="shared" si="244"/>
        <v>23</v>
      </c>
      <c r="M1758" t="str">
        <f t="shared" si="245"/>
        <v>High</v>
      </c>
      <c r="N1758" t="str">
        <f t="shared" si="246"/>
        <v>6-10%</v>
      </c>
      <c r="O1758" t="str">
        <f t="shared" si="247"/>
        <v>OK</v>
      </c>
      <c r="P1758">
        <f>IFERROR(Full_Data!G1758/Full_Data!H1758,"Check data")</f>
        <v>0.35344827586206895</v>
      </c>
      <c r="Q1758" t="str">
        <f t="shared" si="248"/>
        <v>Match</v>
      </c>
      <c r="R1758" t="str">
        <f t="shared" si="249"/>
        <v>Mismatch</v>
      </c>
      <c r="S1758" t="str">
        <f t="shared" si="250"/>
        <v>Match</v>
      </c>
    </row>
    <row r="1759" spans="1:19" x14ac:dyDescent="0.25">
      <c r="A1759" t="s">
        <v>1648</v>
      </c>
      <c r="B1759">
        <v>13000</v>
      </c>
      <c r="C1759">
        <f t="shared" si="251"/>
        <v>130</v>
      </c>
      <c r="D1759">
        <v>10</v>
      </c>
      <c r="E1759">
        <v>6</v>
      </c>
      <c r="F1759">
        <v>11700</v>
      </c>
      <c r="G1759">
        <f t="shared" si="243"/>
        <v>117</v>
      </c>
      <c r="H1759">
        <v>100</v>
      </c>
      <c r="I1759" s="4">
        <f>Full_Data[[#This Row],[Selling Price]]/Full_Data[[#This Row],[Weight (g)]]</f>
        <v>1.17</v>
      </c>
      <c r="J1759" t="b">
        <v>0</v>
      </c>
      <c r="K1759">
        <v>100</v>
      </c>
      <c r="L1759">
        <f t="shared" si="244"/>
        <v>13</v>
      </c>
      <c r="M1759" t="str">
        <f t="shared" si="245"/>
        <v>Medium</v>
      </c>
      <c r="N1759" t="str">
        <f t="shared" si="246"/>
        <v>6-10%</v>
      </c>
      <c r="O1759" t="str">
        <f t="shared" si="247"/>
        <v>OK</v>
      </c>
      <c r="P1759">
        <f>IFERROR(Full_Data!G1759/Full_Data!H1759,"Check data")</f>
        <v>1.17</v>
      </c>
      <c r="Q1759" t="str">
        <f t="shared" si="248"/>
        <v>Match</v>
      </c>
      <c r="R1759" t="str">
        <f t="shared" si="249"/>
        <v>Match</v>
      </c>
      <c r="S1759" t="str">
        <f t="shared" si="250"/>
        <v>Match</v>
      </c>
    </row>
    <row r="1760" spans="1:19" x14ac:dyDescent="0.25">
      <c r="A1760" t="s">
        <v>1649</v>
      </c>
      <c r="B1760">
        <v>14900</v>
      </c>
      <c r="C1760">
        <f t="shared" si="251"/>
        <v>149</v>
      </c>
      <c r="D1760">
        <v>5</v>
      </c>
      <c r="E1760">
        <v>5</v>
      </c>
      <c r="F1760">
        <v>14100</v>
      </c>
      <c r="G1760">
        <f t="shared" si="243"/>
        <v>141</v>
      </c>
      <c r="H1760">
        <v>35</v>
      </c>
      <c r="I1760" s="4">
        <f>Full_Data[[#This Row],[Selling Price]]/Full_Data[[#This Row],[Weight (g)]]</f>
        <v>4.0285714285714285</v>
      </c>
      <c r="J1760" t="b">
        <v>0</v>
      </c>
      <c r="K1760">
        <v>35</v>
      </c>
      <c r="L1760">
        <f t="shared" si="244"/>
        <v>8</v>
      </c>
      <c r="M1760" t="str">
        <f t="shared" si="245"/>
        <v>Medium</v>
      </c>
      <c r="N1760" t="str">
        <f t="shared" si="246"/>
        <v>0-5%</v>
      </c>
      <c r="O1760" t="str">
        <f t="shared" si="247"/>
        <v>OK</v>
      </c>
      <c r="P1760">
        <f>IFERROR(Full_Data!G1760/Full_Data!H1760,"Check data")</f>
        <v>4.0285714285714285</v>
      </c>
      <c r="Q1760" t="str">
        <f t="shared" si="248"/>
        <v>Match</v>
      </c>
      <c r="R1760" t="str">
        <f t="shared" si="249"/>
        <v>Mismatch</v>
      </c>
      <c r="S1760" t="str">
        <f t="shared" si="250"/>
        <v>Match</v>
      </c>
    </row>
    <row r="1761" spans="1:19" x14ac:dyDescent="0.25">
      <c r="A1761" t="s">
        <v>1650</v>
      </c>
      <c r="B1761">
        <v>18900</v>
      </c>
      <c r="C1761">
        <f t="shared" si="251"/>
        <v>189</v>
      </c>
      <c r="D1761">
        <v>10</v>
      </c>
      <c r="E1761">
        <v>6</v>
      </c>
      <c r="F1761">
        <v>17000</v>
      </c>
      <c r="G1761">
        <f t="shared" si="243"/>
        <v>170</v>
      </c>
      <c r="H1761">
        <v>72</v>
      </c>
      <c r="I1761" s="4">
        <f>Full_Data[[#This Row],[Selling Price]]/Full_Data[[#This Row],[Weight (g)]]</f>
        <v>2.3611111111111112</v>
      </c>
      <c r="J1761" t="b">
        <v>0</v>
      </c>
      <c r="K1761">
        <v>72</v>
      </c>
      <c r="L1761">
        <f t="shared" si="244"/>
        <v>19</v>
      </c>
      <c r="M1761" t="str">
        <f t="shared" si="245"/>
        <v>Medium</v>
      </c>
      <c r="N1761" t="str">
        <f t="shared" si="246"/>
        <v>6-10%</v>
      </c>
      <c r="O1761" t="str">
        <f t="shared" si="247"/>
        <v>OK</v>
      </c>
      <c r="P1761">
        <f>IFERROR(Full_Data!G1761/Full_Data!H1761,"Check data")</f>
        <v>2.3611111111111112</v>
      </c>
      <c r="Q1761" t="str">
        <f t="shared" si="248"/>
        <v>Match</v>
      </c>
      <c r="R1761" t="str">
        <f t="shared" si="249"/>
        <v>Mismatch</v>
      </c>
      <c r="S1761" t="str">
        <f t="shared" si="250"/>
        <v>Match</v>
      </c>
    </row>
    <row r="1762" spans="1:19" x14ac:dyDescent="0.25">
      <c r="A1762" t="s">
        <v>1651</v>
      </c>
      <c r="B1762">
        <v>24500</v>
      </c>
      <c r="C1762">
        <f t="shared" si="251"/>
        <v>245</v>
      </c>
      <c r="D1762">
        <v>10</v>
      </c>
      <c r="E1762">
        <v>2</v>
      </c>
      <c r="F1762">
        <v>22000</v>
      </c>
      <c r="G1762">
        <f t="shared" si="243"/>
        <v>220</v>
      </c>
      <c r="H1762">
        <v>580</v>
      </c>
      <c r="I1762" s="4">
        <f>Full_Data[[#This Row],[Selling Price]]/Full_Data[[#This Row],[Weight (g)]]</f>
        <v>0.37931034482758619</v>
      </c>
      <c r="J1762" t="b">
        <v>0</v>
      </c>
      <c r="K1762">
        <v>10</v>
      </c>
      <c r="L1762">
        <f t="shared" si="244"/>
        <v>25</v>
      </c>
      <c r="M1762" t="str">
        <f t="shared" si="245"/>
        <v>High</v>
      </c>
      <c r="N1762" t="str">
        <f t="shared" si="246"/>
        <v>6-10%</v>
      </c>
      <c r="O1762" t="str">
        <f t="shared" si="247"/>
        <v>OK</v>
      </c>
      <c r="P1762">
        <f>IFERROR(Full_Data!G1762/Full_Data!H1762,"Check data")</f>
        <v>0.37931034482758619</v>
      </c>
      <c r="Q1762" t="str">
        <f t="shared" si="248"/>
        <v>Match</v>
      </c>
      <c r="R1762" t="str">
        <f t="shared" si="249"/>
        <v>Mismatch</v>
      </c>
      <c r="S1762" t="str">
        <f t="shared" si="250"/>
        <v>Match</v>
      </c>
    </row>
    <row r="1763" spans="1:19" x14ac:dyDescent="0.25">
      <c r="A1763" t="s">
        <v>1652</v>
      </c>
      <c r="B1763">
        <v>13000</v>
      </c>
      <c r="C1763">
        <f t="shared" si="251"/>
        <v>130</v>
      </c>
      <c r="D1763">
        <v>0</v>
      </c>
      <c r="E1763">
        <v>6</v>
      </c>
      <c r="F1763">
        <v>13000</v>
      </c>
      <c r="G1763">
        <f t="shared" si="243"/>
        <v>130</v>
      </c>
      <c r="H1763">
        <v>100</v>
      </c>
      <c r="I1763" s="4">
        <f>Full_Data[[#This Row],[Selling Price]]/Full_Data[[#This Row],[Weight (g)]]</f>
        <v>1.3</v>
      </c>
      <c r="J1763" t="b">
        <v>0</v>
      </c>
      <c r="K1763">
        <v>100</v>
      </c>
      <c r="L1763">
        <f t="shared" si="244"/>
        <v>0</v>
      </c>
      <c r="M1763" t="str">
        <f t="shared" si="245"/>
        <v>Medium</v>
      </c>
      <c r="N1763" t="str">
        <f t="shared" si="246"/>
        <v>0-5%</v>
      </c>
      <c r="O1763" t="str">
        <f t="shared" si="247"/>
        <v>OK</v>
      </c>
      <c r="P1763">
        <f>IFERROR(Full_Data!G1763/Full_Data!H1763,"Check data")</f>
        <v>1.3</v>
      </c>
      <c r="Q1763" t="str">
        <f t="shared" si="248"/>
        <v>Match</v>
      </c>
      <c r="R1763" t="str">
        <f t="shared" si="249"/>
        <v>Match</v>
      </c>
      <c r="S1763" t="str">
        <f t="shared" si="250"/>
        <v>Match</v>
      </c>
    </row>
    <row r="1764" spans="1:19" x14ac:dyDescent="0.25">
      <c r="A1764" t="s">
        <v>1653</v>
      </c>
      <c r="B1764">
        <v>15000</v>
      </c>
      <c r="C1764">
        <f t="shared" si="251"/>
        <v>150</v>
      </c>
      <c r="D1764">
        <v>10</v>
      </c>
      <c r="E1764">
        <v>6</v>
      </c>
      <c r="F1764">
        <v>13500</v>
      </c>
      <c r="G1764">
        <f t="shared" si="243"/>
        <v>135</v>
      </c>
      <c r="H1764">
        <v>580</v>
      </c>
      <c r="I1764" s="4">
        <f>Full_Data[[#This Row],[Selling Price]]/Full_Data[[#This Row],[Weight (g)]]</f>
        <v>0.23275862068965517</v>
      </c>
      <c r="J1764" t="b">
        <v>0</v>
      </c>
      <c r="K1764">
        <v>10</v>
      </c>
      <c r="L1764">
        <f t="shared" si="244"/>
        <v>15</v>
      </c>
      <c r="M1764" t="str">
        <f t="shared" si="245"/>
        <v>Medium</v>
      </c>
      <c r="N1764" t="str">
        <f t="shared" si="246"/>
        <v>6-10%</v>
      </c>
      <c r="O1764" t="str">
        <f t="shared" si="247"/>
        <v>OK</v>
      </c>
      <c r="P1764">
        <f>IFERROR(Full_Data!G1764/Full_Data!H1764,"Check data")</f>
        <v>0.23275862068965517</v>
      </c>
      <c r="Q1764" t="str">
        <f t="shared" si="248"/>
        <v>Match</v>
      </c>
      <c r="R1764" t="str">
        <f t="shared" si="249"/>
        <v>Match</v>
      </c>
      <c r="S1764" t="str">
        <f t="shared" si="250"/>
        <v>Match</v>
      </c>
    </row>
    <row r="1765" spans="1:19" x14ac:dyDescent="0.25">
      <c r="A1765" t="s">
        <v>1654</v>
      </c>
      <c r="B1765">
        <v>4500</v>
      </c>
      <c r="C1765">
        <f t="shared" si="251"/>
        <v>45</v>
      </c>
      <c r="D1765">
        <v>6</v>
      </c>
      <c r="E1765">
        <v>6</v>
      </c>
      <c r="F1765">
        <v>4200</v>
      </c>
      <c r="G1765">
        <f t="shared" si="243"/>
        <v>42</v>
      </c>
      <c r="H1765">
        <v>120</v>
      </c>
      <c r="I1765" s="4">
        <f>Full_Data[[#This Row],[Selling Price]]/Full_Data[[#This Row],[Weight (g)]]</f>
        <v>0.35</v>
      </c>
      <c r="J1765" t="b">
        <v>0</v>
      </c>
      <c r="K1765">
        <v>120</v>
      </c>
      <c r="L1765">
        <f t="shared" si="244"/>
        <v>3</v>
      </c>
      <c r="M1765" t="str">
        <f t="shared" si="245"/>
        <v>Low</v>
      </c>
      <c r="N1765" t="str">
        <f t="shared" si="246"/>
        <v>6-10%</v>
      </c>
      <c r="O1765" t="str">
        <f t="shared" si="247"/>
        <v>OK</v>
      </c>
      <c r="P1765">
        <f>IFERROR(Full_Data!G1765/Full_Data!H1765,"Check data")</f>
        <v>0.35</v>
      </c>
      <c r="Q1765" t="str">
        <f t="shared" si="248"/>
        <v>Match</v>
      </c>
      <c r="R1765" t="str">
        <f t="shared" si="249"/>
        <v>Mismatch</v>
      </c>
      <c r="S1765" t="str">
        <f t="shared" si="250"/>
        <v>Mismatch</v>
      </c>
    </row>
    <row r="1766" spans="1:19" x14ac:dyDescent="0.25">
      <c r="A1766" t="s">
        <v>1655</v>
      </c>
      <c r="B1766">
        <v>11000</v>
      </c>
      <c r="C1766">
        <f t="shared" si="251"/>
        <v>110</v>
      </c>
      <c r="D1766">
        <v>22</v>
      </c>
      <c r="E1766">
        <v>3</v>
      </c>
      <c r="F1766">
        <v>8500</v>
      </c>
      <c r="G1766">
        <f t="shared" si="243"/>
        <v>85</v>
      </c>
      <c r="H1766">
        <v>100</v>
      </c>
      <c r="I1766" s="4">
        <f>Full_Data[[#This Row],[Selling Price]]/Full_Data[[#This Row],[Weight (g)]]</f>
        <v>0.85</v>
      </c>
      <c r="J1766" t="b">
        <v>0</v>
      </c>
      <c r="K1766">
        <v>100</v>
      </c>
      <c r="L1766">
        <f t="shared" si="244"/>
        <v>25</v>
      </c>
      <c r="M1766" t="str">
        <f t="shared" si="245"/>
        <v>Medium</v>
      </c>
      <c r="N1766" t="str">
        <f t="shared" si="246"/>
        <v>21%+</v>
      </c>
      <c r="O1766" t="str">
        <f t="shared" si="247"/>
        <v>OK</v>
      </c>
      <c r="P1766">
        <f>IFERROR(Full_Data!G1766/Full_Data!H1766,"Check data")</f>
        <v>0.85</v>
      </c>
      <c r="Q1766" t="str">
        <f t="shared" si="248"/>
        <v>Match</v>
      </c>
      <c r="R1766" t="str">
        <f t="shared" si="249"/>
        <v>Mismatch</v>
      </c>
      <c r="S1766" t="str">
        <f t="shared" si="250"/>
        <v>Mismatch</v>
      </c>
    </row>
    <row r="1767" spans="1:19" x14ac:dyDescent="0.25">
      <c r="A1767" t="s">
        <v>1656</v>
      </c>
      <c r="B1767">
        <v>29900</v>
      </c>
      <c r="C1767">
        <f t="shared" si="251"/>
        <v>299</v>
      </c>
      <c r="D1767">
        <v>15</v>
      </c>
      <c r="E1767">
        <v>6</v>
      </c>
      <c r="F1767">
        <v>25400</v>
      </c>
      <c r="G1767">
        <f t="shared" si="243"/>
        <v>254</v>
      </c>
      <c r="H1767">
        <v>1000</v>
      </c>
      <c r="I1767" s="4">
        <f>Full_Data[[#This Row],[Selling Price]]/Full_Data[[#This Row],[Weight (g)]]</f>
        <v>0.254</v>
      </c>
      <c r="J1767" t="b">
        <v>0</v>
      </c>
      <c r="K1767">
        <v>1</v>
      </c>
      <c r="L1767">
        <f t="shared" si="244"/>
        <v>45</v>
      </c>
      <c r="M1767" t="str">
        <f t="shared" si="245"/>
        <v>High</v>
      </c>
      <c r="N1767" t="str">
        <f t="shared" si="246"/>
        <v>11-15%</v>
      </c>
      <c r="O1767" t="str">
        <f t="shared" si="247"/>
        <v>OK</v>
      </c>
      <c r="P1767">
        <f>IFERROR(Full_Data!G1767/Full_Data!H1767,"Check data")</f>
        <v>0.254</v>
      </c>
      <c r="Q1767" t="str">
        <f t="shared" si="248"/>
        <v>Match</v>
      </c>
      <c r="R1767" t="str">
        <f t="shared" si="249"/>
        <v>Mismatch</v>
      </c>
      <c r="S1767" t="str">
        <f t="shared" si="250"/>
        <v>Match</v>
      </c>
    </row>
    <row r="1768" spans="1:19" x14ac:dyDescent="0.25">
      <c r="A1768" t="s">
        <v>1657</v>
      </c>
      <c r="B1768">
        <v>11000</v>
      </c>
      <c r="C1768">
        <f t="shared" si="251"/>
        <v>110</v>
      </c>
      <c r="D1768">
        <v>10</v>
      </c>
      <c r="E1768">
        <v>6</v>
      </c>
      <c r="F1768">
        <v>9900</v>
      </c>
      <c r="G1768">
        <f t="shared" si="243"/>
        <v>99</v>
      </c>
      <c r="H1768">
        <v>100</v>
      </c>
      <c r="I1768" s="4">
        <f>Full_Data[[#This Row],[Selling Price]]/Full_Data[[#This Row],[Weight (g)]]</f>
        <v>0.99</v>
      </c>
      <c r="J1768" t="b">
        <v>0</v>
      </c>
      <c r="K1768">
        <v>100</v>
      </c>
      <c r="L1768">
        <f t="shared" si="244"/>
        <v>11</v>
      </c>
      <c r="M1768" t="str">
        <f t="shared" si="245"/>
        <v>Medium</v>
      </c>
      <c r="N1768" t="str">
        <f t="shared" si="246"/>
        <v>6-10%</v>
      </c>
      <c r="O1768" t="str">
        <f t="shared" si="247"/>
        <v>OK</v>
      </c>
      <c r="P1768">
        <f>IFERROR(Full_Data!G1768/Full_Data!H1768,"Check data")</f>
        <v>0.99</v>
      </c>
      <c r="Q1768" t="str">
        <f t="shared" si="248"/>
        <v>Match</v>
      </c>
      <c r="R1768" t="str">
        <f t="shared" si="249"/>
        <v>Match</v>
      </c>
      <c r="S1768" t="str">
        <f t="shared" si="250"/>
        <v>Match</v>
      </c>
    </row>
    <row r="1769" spans="1:19" x14ac:dyDescent="0.25">
      <c r="A1769" t="s">
        <v>1658</v>
      </c>
      <c r="B1769">
        <v>29000</v>
      </c>
      <c r="C1769">
        <f t="shared" si="251"/>
        <v>290</v>
      </c>
      <c r="D1769">
        <v>15</v>
      </c>
      <c r="E1769">
        <v>6</v>
      </c>
      <c r="F1769">
        <v>24600</v>
      </c>
      <c r="G1769">
        <f t="shared" si="243"/>
        <v>246</v>
      </c>
      <c r="H1769">
        <v>80</v>
      </c>
      <c r="I1769" s="4">
        <f>Full_Data[[#This Row],[Selling Price]]/Full_Data[[#This Row],[Weight (g)]]</f>
        <v>3.0750000000000002</v>
      </c>
      <c r="J1769" t="b">
        <v>0</v>
      </c>
      <c r="K1769">
        <v>80</v>
      </c>
      <c r="L1769">
        <f t="shared" si="244"/>
        <v>44</v>
      </c>
      <c r="M1769" t="str">
        <f t="shared" si="245"/>
        <v>High</v>
      </c>
      <c r="N1769" t="str">
        <f t="shared" si="246"/>
        <v>11-15%</v>
      </c>
      <c r="O1769" t="str">
        <f t="shared" si="247"/>
        <v>OK</v>
      </c>
      <c r="P1769">
        <f>IFERROR(Full_Data!G1769/Full_Data!H1769,"Check data")</f>
        <v>3.0750000000000002</v>
      </c>
      <c r="Q1769" t="str">
        <f t="shared" si="248"/>
        <v>Match</v>
      </c>
      <c r="R1769" t="str">
        <f t="shared" si="249"/>
        <v>Mismatch</v>
      </c>
      <c r="S1769" t="str">
        <f t="shared" si="250"/>
        <v>Match</v>
      </c>
    </row>
    <row r="1770" spans="1:19" x14ac:dyDescent="0.25">
      <c r="A1770" t="s">
        <v>1659</v>
      </c>
      <c r="B1770">
        <v>12000</v>
      </c>
      <c r="C1770">
        <f t="shared" si="251"/>
        <v>120</v>
      </c>
      <c r="D1770">
        <v>0</v>
      </c>
      <c r="E1770">
        <v>6</v>
      </c>
      <c r="F1770">
        <v>12000</v>
      </c>
      <c r="G1770">
        <f t="shared" si="243"/>
        <v>120</v>
      </c>
      <c r="H1770">
        <v>174</v>
      </c>
      <c r="I1770" s="4">
        <f>Full_Data[[#This Row],[Selling Price]]/Full_Data[[#This Row],[Weight (g)]]</f>
        <v>0.68965517241379315</v>
      </c>
      <c r="J1770" t="b">
        <v>0</v>
      </c>
      <c r="K1770">
        <v>3</v>
      </c>
      <c r="L1770">
        <f t="shared" si="244"/>
        <v>0</v>
      </c>
      <c r="M1770" t="str">
        <f t="shared" si="245"/>
        <v>Medium</v>
      </c>
      <c r="N1770" t="str">
        <f t="shared" si="246"/>
        <v>0-5%</v>
      </c>
      <c r="O1770" t="str">
        <f t="shared" si="247"/>
        <v>OK</v>
      </c>
      <c r="P1770">
        <f>IFERROR(Full_Data!G1770/Full_Data!H1770,"Check data")</f>
        <v>0.68965517241379315</v>
      </c>
      <c r="Q1770" t="str">
        <f t="shared" si="248"/>
        <v>Match</v>
      </c>
      <c r="R1770" t="str">
        <f t="shared" si="249"/>
        <v>Match</v>
      </c>
      <c r="S1770" t="str">
        <f t="shared" si="250"/>
        <v>Match</v>
      </c>
    </row>
    <row r="1771" spans="1:19" x14ac:dyDescent="0.25">
      <c r="A1771" t="s">
        <v>1660</v>
      </c>
      <c r="B1771">
        <v>22800</v>
      </c>
      <c r="C1771">
        <f t="shared" si="251"/>
        <v>228</v>
      </c>
      <c r="D1771">
        <v>10</v>
      </c>
      <c r="E1771">
        <v>6</v>
      </c>
      <c r="F1771">
        <v>20500</v>
      </c>
      <c r="G1771">
        <f t="shared" si="243"/>
        <v>205</v>
      </c>
      <c r="H1771">
        <v>580</v>
      </c>
      <c r="I1771" s="4">
        <f>Full_Data[[#This Row],[Selling Price]]/Full_Data[[#This Row],[Weight (g)]]</f>
        <v>0.35344827586206895</v>
      </c>
      <c r="J1771" t="b">
        <v>0</v>
      </c>
      <c r="K1771">
        <v>10</v>
      </c>
      <c r="L1771">
        <f t="shared" si="244"/>
        <v>23</v>
      </c>
      <c r="M1771" t="str">
        <f t="shared" si="245"/>
        <v>High</v>
      </c>
      <c r="N1771" t="str">
        <f t="shared" si="246"/>
        <v>6-10%</v>
      </c>
      <c r="O1771" t="str">
        <f t="shared" si="247"/>
        <v>OK</v>
      </c>
      <c r="P1771">
        <f>IFERROR(Full_Data!G1771/Full_Data!H1771,"Check data")</f>
        <v>0.35344827586206895</v>
      </c>
      <c r="Q1771" t="str">
        <f t="shared" si="248"/>
        <v>Match</v>
      </c>
      <c r="R1771" t="str">
        <f t="shared" si="249"/>
        <v>Mismatch</v>
      </c>
      <c r="S1771" t="str">
        <f t="shared" si="250"/>
        <v>Match</v>
      </c>
    </row>
    <row r="1772" spans="1:19" x14ac:dyDescent="0.25">
      <c r="A1772" t="s">
        <v>1661</v>
      </c>
      <c r="B1772">
        <v>4500</v>
      </c>
      <c r="C1772">
        <f t="shared" si="251"/>
        <v>45</v>
      </c>
      <c r="D1772">
        <v>8</v>
      </c>
      <c r="E1772">
        <v>6</v>
      </c>
      <c r="F1772">
        <v>4100</v>
      </c>
      <c r="G1772">
        <f t="shared" si="243"/>
        <v>41</v>
      </c>
      <c r="H1772">
        <v>8</v>
      </c>
      <c r="I1772" s="4">
        <f>Full_Data[[#This Row],[Selling Price]]/Full_Data[[#This Row],[Weight (g)]]</f>
        <v>5.125</v>
      </c>
      <c r="J1772" t="b">
        <v>0</v>
      </c>
      <c r="K1772">
        <v>8</v>
      </c>
      <c r="L1772">
        <f t="shared" si="244"/>
        <v>4</v>
      </c>
      <c r="M1772" t="str">
        <f t="shared" si="245"/>
        <v>Low</v>
      </c>
      <c r="N1772" t="str">
        <f t="shared" si="246"/>
        <v>6-10%</v>
      </c>
      <c r="O1772" t="str">
        <f t="shared" si="247"/>
        <v>OK</v>
      </c>
      <c r="P1772">
        <f>IFERROR(Full_Data!G1772/Full_Data!H1772,"Check data")</f>
        <v>5.125</v>
      </c>
      <c r="Q1772" t="str">
        <f t="shared" si="248"/>
        <v>Match</v>
      </c>
      <c r="R1772" t="str">
        <f t="shared" si="249"/>
        <v>Mismatch</v>
      </c>
      <c r="S1772" t="str">
        <f t="shared" si="250"/>
        <v>Mismatch</v>
      </c>
    </row>
    <row r="1773" spans="1:19" x14ac:dyDescent="0.25">
      <c r="A1773" t="s">
        <v>1662</v>
      </c>
      <c r="B1773">
        <v>13000</v>
      </c>
      <c r="C1773">
        <f t="shared" si="251"/>
        <v>130</v>
      </c>
      <c r="D1773">
        <v>5</v>
      </c>
      <c r="E1773">
        <v>1</v>
      </c>
      <c r="F1773">
        <v>12300</v>
      </c>
      <c r="G1773">
        <f t="shared" si="243"/>
        <v>123</v>
      </c>
      <c r="H1773">
        <v>130</v>
      </c>
      <c r="I1773" s="4">
        <f>Full_Data[[#This Row],[Selling Price]]/Full_Data[[#This Row],[Weight (g)]]</f>
        <v>0.94615384615384612</v>
      </c>
      <c r="J1773" t="b">
        <v>0</v>
      </c>
      <c r="K1773">
        <v>130</v>
      </c>
      <c r="L1773">
        <f t="shared" si="244"/>
        <v>7</v>
      </c>
      <c r="M1773" t="str">
        <f t="shared" si="245"/>
        <v>Medium</v>
      </c>
      <c r="N1773" t="str">
        <f t="shared" si="246"/>
        <v>0-5%</v>
      </c>
      <c r="O1773" t="str">
        <f t="shared" si="247"/>
        <v>OK</v>
      </c>
      <c r="P1773">
        <f>IFERROR(Full_Data!G1773/Full_Data!H1773,"Check data")</f>
        <v>0.94615384615384612</v>
      </c>
      <c r="Q1773" t="str">
        <f t="shared" si="248"/>
        <v>Match</v>
      </c>
      <c r="R1773" t="str">
        <f t="shared" si="249"/>
        <v>Mismatch</v>
      </c>
      <c r="S1773" t="str">
        <f t="shared" si="250"/>
        <v>Match</v>
      </c>
    </row>
    <row r="1774" spans="1:19" x14ac:dyDescent="0.25">
      <c r="A1774" t="s">
        <v>1663</v>
      </c>
      <c r="B1774">
        <v>41500</v>
      </c>
      <c r="C1774">
        <f t="shared" si="251"/>
        <v>415</v>
      </c>
      <c r="D1774">
        <v>7</v>
      </c>
      <c r="E1774">
        <v>6</v>
      </c>
      <c r="F1774">
        <v>38500</v>
      </c>
      <c r="G1774">
        <f t="shared" si="243"/>
        <v>385</v>
      </c>
      <c r="H1774">
        <v>900</v>
      </c>
      <c r="I1774" s="4">
        <f>Full_Data[[#This Row],[Selling Price]]/Full_Data[[#This Row],[Weight (g)]]</f>
        <v>0.42777777777777776</v>
      </c>
      <c r="J1774" t="b">
        <v>0</v>
      </c>
      <c r="K1774">
        <v>900</v>
      </c>
      <c r="L1774">
        <f t="shared" si="244"/>
        <v>30</v>
      </c>
      <c r="M1774" t="str">
        <f t="shared" si="245"/>
        <v>High</v>
      </c>
      <c r="N1774" t="str">
        <f t="shared" si="246"/>
        <v>6-10%</v>
      </c>
      <c r="O1774" t="str">
        <f t="shared" si="247"/>
        <v>OK</v>
      </c>
      <c r="P1774">
        <f>IFERROR(Full_Data!G1774/Full_Data!H1774,"Check data")</f>
        <v>0.42777777777777776</v>
      </c>
      <c r="Q1774" t="str">
        <f t="shared" si="248"/>
        <v>Match</v>
      </c>
      <c r="R1774" t="str">
        <f t="shared" si="249"/>
        <v>Mismatch</v>
      </c>
      <c r="S1774" t="str">
        <f t="shared" si="250"/>
        <v>Match</v>
      </c>
    </row>
    <row r="1775" spans="1:19" x14ac:dyDescent="0.25">
      <c r="A1775" t="s">
        <v>1636</v>
      </c>
      <c r="B1775">
        <v>8500</v>
      </c>
      <c r="C1775">
        <f t="shared" si="251"/>
        <v>85</v>
      </c>
      <c r="D1775">
        <v>10</v>
      </c>
      <c r="E1775">
        <v>5</v>
      </c>
      <c r="F1775">
        <v>7600</v>
      </c>
      <c r="G1775">
        <f t="shared" si="243"/>
        <v>76</v>
      </c>
      <c r="H1775">
        <v>25</v>
      </c>
      <c r="I1775" s="4">
        <f>Full_Data[[#This Row],[Selling Price]]/Full_Data[[#This Row],[Weight (g)]]</f>
        <v>3.04</v>
      </c>
      <c r="J1775" t="b">
        <v>0</v>
      </c>
      <c r="K1775">
        <v>25</v>
      </c>
      <c r="L1775">
        <f t="shared" si="244"/>
        <v>9</v>
      </c>
      <c r="M1775" t="str">
        <f t="shared" si="245"/>
        <v>Medium</v>
      </c>
      <c r="N1775" t="str">
        <f t="shared" si="246"/>
        <v>6-10%</v>
      </c>
      <c r="O1775" t="str">
        <f t="shared" si="247"/>
        <v>OK</v>
      </c>
      <c r="P1775">
        <f>IFERROR(Full_Data!G1775/Full_Data!H1775,"Check data")</f>
        <v>3.04</v>
      </c>
      <c r="Q1775" t="str">
        <f t="shared" si="248"/>
        <v>Match</v>
      </c>
      <c r="R1775" t="str">
        <f t="shared" si="249"/>
        <v>Mismatch</v>
      </c>
      <c r="S1775" t="str">
        <f t="shared" si="250"/>
        <v>Mismatch</v>
      </c>
    </row>
    <row r="1776" spans="1:19" x14ac:dyDescent="0.25">
      <c r="A1776" t="s">
        <v>1664</v>
      </c>
      <c r="B1776">
        <v>12500</v>
      </c>
      <c r="C1776">
        <f t="shared" si="251"/>
        <v>125</v>
      </c>
      <c r="D1776">
        <v>9</v>
      </c>
      <c r="E1776">
        <v>6</v>
      </c>
      <c r="F1776">
        <v>11300</v>
      </c>
      <c r="G1776">
        <f t="shared" si="243"/>
        <v>113</v>
      </c>
      <c r="H1776">
        <v>45</v>
      </c>
      <c r="I1776" s="4">
        <f>Full_Data[[#This Row],[Selling Price]]/Full_Data[[#This Row],[Weight (g)]]</f>
        <v>2.5111111111111111</v>
      </c>
      <c r="J1776" t="b">
        <v>0</v>
      </c>
      <c r="K1776">
        <v>45</v>
      </c>
      <c r="L1776">
        <f t="shared" si="244"/>
        <v>12</v>
      </c>
      <c r="M1776" t="str">
        <f t="shared" si="245"/>
        <v>Medium</v>
      </c>
      <c r="N1776" t="str">
        <f t="shared" si="246"/>
        <v>6-10%</v>
      </c>
      <c r="O1776" t="str">
        <f t="shared" si="247"/>
        <v>OK</v>
      </c>
      <c r="P1776">
        <f>IFERROR(Full_Data!G1776/Full_Data!H1776,"Check data")</f>
        <v>2.5111111111111111</v>
      </c>
      <c r="Q1776" t="str">
        <f t="shared" si="248"/>
        <v>Match</v>
      </c>
      <c r="R1776" t="str">
        <f t="shared" si="249"/>
        <v>Mismatch</v>
      </c>
      <c r="S1776" t="str">
        <f t="shared" si="250"/>
        <v>Mismatch</v>
      </c>
    </row>
    <row r="1777" spans="1:19" x14ac:dyDescent="0.25">
      <c r="A1777" t="s">
        <v>1665</v>
      </c>
      <c r="B1777">
        <v>24900</v>
      </c>
      <c r="C1777">
        <f t="shared" si="251"/>
        <v>249</v>
      </c>
      <c r="D1777">
        <v>14</v>
      </c>
      <c r="E1777">
        <v>6</v>
      </c>
      <c r="F1777">
        <v>21200</v>
      </c>
      <c r="G1777">
        <f t="shared" si="243"/>
        <v>212</v>
      </c>
      <c r="H1777">
        <v>1000</v>
      </c>
      <c r="I1777" s="4">
        <f>Full_Data[[#This Row],[Selling Price]]/Full_Data[[#This Row],[Weight (g)]]</f>
        <v>0.21199999999999999</v>
      </c>
      <c r="J1777" t="b">
        <v>0</v>
      </c>
      <c r="K1777">
        <v>1</v>
      </c>
      <c r="L1777">
        <f t="shared" si="244"/>
        <v>37</v>
      </c>
      <c r="M1777" t="str">
        <f t="shared" si="245"/>
        <v>High</v>
      </c>
      <c r="N1777" t="str">
        <f t="shared" si="246"/>
        <v>11-15%</v>
      </c>
      <c r="O1777" t="str">
        <f t="shared" si="247"/>
        <v>OK</v>
      </c>
      <c r="P1777">
        <f>IFERROR(Full_Data!G1777/Full_Data!H1777,"Check data")</f>
        <v>0.21199999999999999</v>
      </c>
      <c r="Q1777" t="str">
        <f t="shared" si="248"/>
        <v>Match</v>
      </c>
      <c r="R1777" t="str">
        <f t="shared" si="249"/>
        <v>Mismatch</v>
      </c>
      <c r="S1777" t="str">
        <f t="shared" si="250"/>
        <v>Mismatch</v>
      </c>
    </row>
    <row r="1778" spans="1:19" x14ac:dyDescent="0.25">
      <c r="A1778" t="s">
        <v>1666</v>
      </c>
      <c r="B1778">
        <v>34900</v>
      </c>
      <c r="C1778">
        <f t="shared" si="251"/>
        <v>349</v>
      </c>
      <c r="D1778">
        <v>3</v>
      </c>
      <c r="E1778">
        <v>6</v>
      </c>
      <c r="F1778">
        <v>33800</v>
      </c>
      <c r="G1778">
        <f t="shared" si="243"/>
        <v>338</v>
      </c>
      <c r="H1778">
        <v>950</v>
      </c>
      <c r="I1778" s="4">
        <f>Full_Data[[#This Row],[Selling Price]]/Full_Data[[#This Row],[Weight (g)]]</f>
        <v>0.35578947368421054</v>
      </c>
      <c r="J1778" t="b">
        <v>0</v>
      </c>
      <c r="K1778">
        <v>1</v>
      </c>
      <c r="L1778">
        <f t="shared" si="244"/>
        <v>11</v>
      </c>
      <c r="M1778" t="str">
        <f t="shared" si="245"/>
        <v>High</v>
      </c>
      <c r="N1778" t="str">
        <f t="shared" si="246"/>
        <v>0-5%</v>
      </c>
      <c r="O1778" t="str">
        <f t="shared" si="247"/>
        <v>OK</v>
      </c>
      <c r="P1778">
        <f>IFERROR(Full_Data!G1778/Full_Data!H1778,"Check data")</f>
        <v>0.35578947368421054</v>
      </c>
      <c r="Q1778" t="str">
        <f t="shared" si="248"/>
        <v>Match</v>
      </c>
      <c r="R1778" t="str">
        <f t="shared" si="249"/>
        <v>Mismatch</v>
      </c>
      <c r="S1778" t="str">
        <f t="shared" si="250"/>
        <v>Match</v>
      </c>
    </row>
    <row r="1779" spans="1:19" x14ac:dyDescent="0.25">
      <c r="A1779" t="s">
        <v>1667</v>
      </c>
      <c r="B1779">
        <v>10000</v>
      </c>
      <c r="C1779">
        <f t="shared" si="251"/>
        <v>100</v>
      </c>
      <c r="D1779">
        <v>11</v>
      </c>
      <c r="E1779">
        <v>6</v>
      </c>
      <c r="F1779">
        <v>8900</v>
      </c>
      <c r="G1779">
        <f t="shared" si="243"/>
        <v>89</v>
      </c>
      <c r="H1779">
        <v>28</v>
      </c>
      <c r="I1779" s="4">
        <f>Full_Data[[#This Row],[Selling Price]]/Full_Data[[#This Row],[Weight (g)]]</f>
        <v>3.1785714285714284</v>
      </c>
      <c r="J1779" t="b">
        <v>0</v>
      </c>
      <c r="K1779">
        <v>27</v>
      </c>
      <c r="L1779">
        <f t="shared" si="244"/>
        <v>11</v>
      </c>
      <c r="M1779" t="str">
        <f t="shared" si="245"/>
        <v>Medium</v>
      </c>
      <c r="N1779" t="str">
        <f t="shared" si="246"/>
        <v>11-15%</v>
      </c>
      <c r="O1779" t="str">
        <f t="shared" si="247"/>
        <v>OK</v>
      </c>
      <c r="P1779">
        <f>IFERROR(Full_Data!G1779/Full_Data!H1779,"Check data")</f>
        <v>3.1785714285714284</v>
      </c>
      <c r="Q1779" t="str">
        <f t="shared" si="248"/>
        <v>Match</v>
      </c>
      <c r="R1779" t="str">
        <f t="shared" si="249"/>
        <v>Match</v>
      </c>
      <c r="S1779" t="str">
        <f t="shared" si="250"/>
        <v>Match</v>
      </c>
    </row>
    <row r="1780" spans="1:19" x14ac:dyDescent="0.25">
      <c r="A1780" t="s">
        <v>1668</v>
      </c>
      <c r="B1780">
        <v>36000</v>
      </c>
      <c r="C1780">
        <f t="shared" si="251"/>
        <v>360</v>
      </c>
      <c r="D1780">
        <v>15</v>
      </c>
      <c r="E1780">
        <v>6</v>
      </c>
      <c r="F1780">
        <v>30600</v>
      </c>
      <c r="G1780">
        <f t="shared" si="243"/>
        <v>306</v>
      </c>
      <c r="H1780">
        <v>580</v>
      </c>
      <c r="I1780" s="4">
        <f>Full_Data[[#This Row],[Selling Price]]/Full_Data[[#This Row],[Weight (g)]]</f>
        <v>0.52758620689655178</v>
      </c>
      <c r="J1780" t="b">
        <v>0</v>
      </c>
      <c r="K1780">
        <v>10</v>
      </c>
      <c r="L1780">
        <f t="shared" si="244"/>
        <v>54</v>
      </c>
      <c r="M1780" t="str">
        <f t="shared" si="245"/>
        <v>High</v>
      </c>
      <c r="N1780" t="str">
        <f t="shared" si="246"/>
        <v>11-15%</v>
      </c>
      <c r="O1780" t="str">
        <f t="shared" si="247"/>
        <v>OK</v>
      </c>
      <c r="P1780">
        <f>IFERROR(Full_Data!G1780/Full_Data!H1780,"Check data")</f>
        <v>0.52758620689655178</v>
      </c>
      <c r="Q1780" t="str">
        <f t="shared" si="248"/>
        <v>Match</v>
      </c>
      <c r="R1780" t="str">
        <f t="shared" si="249"/>
        <v>Match</v>
      </c>
      <c r="S1780" t="str">
        <f t="shared" si="250"/>
        <v>Match</v>
      </c>
    </row>
    <row r="1781" spans="1:19" x14ac:dyDescent="0.25">
      <c r="A1781" t="s">
        <v>1669</v>
      </c>
      <c r="B1781">
        <v>5000</v>
      </c>
      <c r="C1781">
        <f t="shared" si="251"/>
        <v>50</v>
      </c>
      <c r="D1781">
        <v>6</v>
      </c>
      <c r="E1781">
        <v>4</v>
      </c>
      <c r="F1781">
        <v>4700</v>
      </c>
      <c r="G1781">
        <f t="shared" si="243"/>
        <v>47</v>
      </c>
      <c r="H1781">
        <v>10</v>
      </c>
      <c r="I1781" s="4">
        <f>Full_Data[[#This Row],[Selling Price]]/Full_Data[[#This Row],[Weight (g)]]</f>
        <v>4.7</v>
      </c>
      <c r="J1781" t="b">
        <v>0</v>
      </c>
      <c r="K1781">
        <v>10</v>
      </c>
      <c r="L1781">
        <f t="shared" si="244"/>
        <v>3</v>
      </c>
      <c r="M1781" t="str">
        <f t="shared" si="245"/>
        <v>Low</v>
      </c>
      <c r="N1781" t="str">
        <f t="shared" si="246"/>
        <v>6-10%</v>
      </c>
      <c r="O1781" t="str">
        <f t="shared" si="247"/>
        <v>OK</v>
      </c>
      <c r="P1781">
        <f>IFERROR(Full_Data!G1781/Full_Data!H1781,"Check data")</f>
        <v>4.7</v>
      </c>
      <c r="Q1781" t="str">
        <f t="shared" si="248"/>
        <v>Match</v>
      </c>
      <c r="R1781" t="str">
        <f t="shared" si="249"/>
        <v>Match</v>
      </c>
      <c r="S1781" t="str">
        <f t="shared" si="250"/>
        <v>Match</v>
      </c>
    </row>
    <row r="1782" spans="1:19" x14ac:dyDescent="0.25">
      <c r="A1782" t="s">
        <v>1670</v>
      </c>
      <c r="B1782">
        <v>7500</v>
      </c>
      <c r="C1782">
        <f t="shared" si="251"/>
        <v>75</v>
      </c>
      <c r="D1782">
        <v>5</v>
      </c>
      <c r="E1782">
        <v>6</v>
      </c>
      <c r="F1782">
        <v>7100</v>
      </c>
      <c r="G1782">
        <f t="shared" si="243"/>
        <v>71</v>
      </c>
      <c r="H1782">
        <v>15</v>
      </c>
      <c r="I1782" s="4">
        <f>Full_Data[[#This Row],[Selling Price]]/Full_Data[[#This Row],[Weight (g)]]</f>
        <v>4.7333333333333334</v>
      </c>
      <c r="J1782" t="b">
        <v>0</v>
      </c>
      <c r="K1782">
        <v>15</v>
      </c>
      <c r="L1782">
        <f t="shared" si="244"/>
        <v>4</v>
      </c>
      <c r="M1782" t="str">
        <f t="shared" si="245"/>
        <v>Medium</v>
      </c>
      <c r="N1782" t="str">
        <f t="shared" si="246"/>
        <v>0-5%</v>
      </c>
      <c r="O1782" t="str">
        <f t="shared" si="247"/>
        <v>OK</v>
      </c>
      <c r="P1782">
        <f>IFERROR(Full_Data!G1782/Full_Data!H1782,"Check data")</f>
        <v>4.7333333333333334</v>
      </c>
      <c r="Q1782" t="str">
        <f t="shared" si="248"/>
        <v>Match</v>
      </c>
      <c r="R1782" t="str">
        <f t="shared" si="249"/>
        <v>Mismatch</v>
      </c>
      <c r="S1782" t="str">
        <f t="shared" si="250"/>
        <v>Match</v>
      </c>
    </row>
    <row r="1783" spans="1:19" x14ac:dyDescent="0.25">
      <c r="A1783" t="s">
        <v>1671</v>
      </c>
      <c r="B1783">
        <v>23500</v>
      </c>
      <c r="C1783">
        <f t="shared" si="251"/>
        <v>235</v>
      </c>
      <c r="D1783">
        <v>5</v>
      </c>
      <c r="E1783">
        <v>6</v>
      </c>
      <c r="F1783">
        <v>22300</v>
      </c>
      <c r="G1783">
        <f t="shared" si="243"/>
        <v>223</v>
      </c>
      <c r="H1783">
        <v>500</v>
      </c>
      <c r="I1783" s="4">
        <f>Full_Data[[#This Row],[Selling Price]]/Full_Data[[#This Row],[Weight (g)]]</f>
        <v>0.44600000000000001</v>
      </c>
      <c r="J1783" t="b">
        <v>0</v>
      </c>
      <c r="K1783">
        <v>500</v>
      </c>
      <c r="L1783">
        <f t="shared" si="244"/>
        <v>12</v>
      </c>
      <c r="M1783" t="str">
        <f t="shared" si="245"/>
        <v>High</v>
      </c>
      <c r="N1783" t="str">
        <f t="shared" si="246"/>
        <v>0-5%</v>
      </c>
      <c r="O1783" t="str">
        <f t="shared" si="247"/>
        <v>OK</v>
      </c>
      <c r="P1783">
        <f>IFERROR(Full_Data!G1783/Full_Data!H1783,"Check data")</f>
        <v>0.44600000000000001</v>
      </c>
      <c r="Q1783" t="str">
        <f t="shared" si="248"/>
        <v>Match</v>
      </c>
      <c r="R1783" t="str">
        <f t="shared" si="249"/>
        <v>Mismatch</v>
      </c>
      <c r="S1783" t="str">
        <f t="shared" si="250"/>
        <v>Match</v>
      </c>
    </row>
    <row r="1784" spans="1:19" x14ac:dyDescent="0.25">
      <c r="A1784" t="s">
        <v>1655</v>
      </c>
      <c r="B1784">
        <v>11000</v>
      </c>
      <c r="C1784">
        <f t="shared" si="251"/>
        <v>110</v>
      </c>
      <c r="D1784">
        <v>22</v>
      </c>
      <c r="E1784">
        <v>5</v>
      </c>
      <c r="F1784">
        <v>8500</v>
      </c>
      <c r="G1784">
        <f t="shared" si="243"/>
        <v>85</v>
      </c>
      <c r="H1784">
        <v>100</v>
      </c>
      <c r="I1784" s="4">
        <f>Full_Data[[#This Row],[Selling Price]]/Full_Data[[#This Row],[Weight (g)]]</f>
        <v>0.85</v>
      </c>
      <c r="J1784" t="b">
        <v>0</v>
      </c>
      <c r="K1784">
        <v>100</v>
      </c>
      <c r="L1784">
        <f t="shared" si="244"/>
        <v>25</v>
      </c>
      <c r="M1784" t="str">
        <f t="shared" si="245"/>
        <v>Medium</v>
      </c>
      <c r="N1784" t="str">
        <f t="shared" si="246"/>
        <v>21%+</v>
      </c>
      <c r="O1784" t="str">
        <f t="shared" si="247"/>
        <v>OK</v>
      </c>
      <c r="P1784">
        <f>IFERROR(Full_Data!G1784/Full_Data!H1784,"Check data")</f>
        <v>0.85</v>
      </c>
      <c r="Q1784" t="str">
        <f t="shared" si="248"/>
        <v>Match</v>
      </c>
      <c r="R1784" t="str">
        <f t="shared" si="249"/>
        <v>Mismatch</v>
      </c>
      <c r="S1784" t="str">
        <f t="shared" si="250"/>
        <v>Mismatch</v>
      </c>
    </row>
    <row r="1785" spans="1:19" x14ac:dyDescent="0.25">
      <c r="A1785" t="s">
        <v>1672</v>
      </c>
      <c r="B1785">
        <v>17500</v>
      </c>
      <c r="C1785">
        <f t="shared" si="251"/>
        <v>175</v>
      </c>
      <c r="D1785">
        <v>10</v>
      </c>
      <c r="E1785">
        <v>6</v>
      </c>
      <c r="F1785">
        <v>15700</v>
      </c>
      <c r="G1785">
        <f t="shared" si="243"/>
        <v>157</v>
      </c>
      <c r="H1785">
        <v>230</v>
      </c>
      <c r="I1785" s="4">
        <f>Full_Data[[#This Row],[Selling Price]]/Full_Data[[#This Row],[Weight (g)]]</f>
        <v>0.68260869565217386</v>
      </c>
      <c r="J1785" t="b">
        <v>0</v>
      </c>
      <c r="K1785">
        <v>230</v>
      </c>
      <c r="L1785">
        <f t="shared" si="244"/>
        <v>18</v>
      </c>
      <c r="M1785" t="str">
        <f t="shared" si="245"/>
        <v>Medium</v>
      </c>
      <c r="N1785" t="str">
        <f t="shared" si="246"/>
        <v>6-10%</v>
      </c>
      <c r="O1785" t="str">
        <f t="shared" si="247"/>
        <v>OK</v>
      </c>
      <c r="P1785">
        <f>IFERROR(Full_Data!G1785/Full_Data!H1785,"Check data")</f>
        <v>0.68260869565217386</v>
      </c>
      <c r="Q1785" t="str">
        <f t="shared" si="248"/>
        <v>Match</v>
      </c>
      <c r="R1785" t="str">
        <f t="shared" si="249"/>
        <v>Mismatch</v>
      </c>
      <c r="S1785" t="str">
        <f t="shared" si="250"/>
        <v>Match</v>
      </c>
    </row>
    <row r="1786" spans="1:19" x14ac:dyDescent="0.25">
      <c r="A1786" t="s">
        <v>1673</v>
      </c>
      <c r="B1786">
        <v>19000</v>
      </c>
      <c r="C1786">
        <f t="shared" si="251"/>
        <v>190</v>
      </c>
      <c r="D1786">
        <v>6</v>
      </c>
      <c r="E1786">
        <v>6</v>
      </c>
      <c r="F1786">
        <v>17700</v>
      </c>
      <c r="G1786">
        <f t="shared" si="243"/>
        <v>177</v>
      </c>
      <c r="H1786">
        <v>500</v>
      </c>
      <c r="I1786" s="4">
        <f>Full_Data[[#This Row],[Selling Price]]/Full_Data[[#This Row],[Weight (g)]]</f>
        <v>0.35399999999999998</v>
      </c>
      <c r="J1786" t="b">
        <v>0</v>
      </c>
      <c r="K1786">
        <v>500</v>
      </c>
      <c r="L1786">
        <f t="shared" si="244"/>
        <v>13</v>
      </c>
      <c r="M1786" t="str">
        <f t="shared" si="245"/>
        <v>Medium</v>
      </c>
      <c r="N1786" t="str">
        <f t="shared" si="246"/>
        <v>6-10%</v>
      </c>
      <c r="O1786" t="str">
        <f t="shared" si="247"/>
        <v>OK</v>
      </c>
      <c r="P1786">
        <f>IFERROR(Full_Data!G1786/Full_Data!H1786,"Check data")</f>
        <v>0.35399999999999998</v>
      </c>
      <c r="Q1786" t="str">
        <f t="shared" si="248"/>
        <v>Match</v>
      </c>
      <c r="R1786" t="str">
        <f t="shared" si="249"/>
        <v>Mismatch</v>
      </c>
      <c r="S1786" t="str">
        <f t="shared" si="250"/>
        <v>Mismatch</v>
      </c>
    </row>
    <row r="1787" spans="1:19" x14ac:dyDescent="0.25">
      <c r="A1787" t="s">
        <v>1674</v>
      </c>
      <c r="B1787">
        <v>10500</v>
      </c>
      <c r="C1787">
        <f t="shared" si="251"/>
        <v>105</v>
      </c>
      <c r="D1787">
        <v>9</v>
      </c>
      <c r="E1787">
        <v>4</v>
      </c>
      <c r="F1787">
        <v>9500</v>
      </c>
      <c r="G1787">
        <f t="shared" si="243"/>
        <v>95</v>
      </c>
      <c r="H1787">
        <v>116</v>
      </c>
      <c r="I1787" s="4">
        <f>Full_Data[[#This Row],[Selling Price]]/Full_Data[[#This Row],[Weight (g)]]</f>
        <v>0.81896551724137934</v>
      </c>
      <c r="J1787" t="b">
        <v>0</v>
      </c>
      <c r="K1787">
        <v>2</v>
      </c>
      <c r="L1787">
        <f t="shared" si="244"/>
        <v>10</v>
      </c>
      <c r="M1787" t="str">
        <f t="shared" si="245"/>
        <v>Medium</v>
      </c>
      <c r="N1787" t="str">
        <f t="shared" si="246"/>
        <v>6-10%</v>
      </c>
      <c r="O1787" t="str">
        <f t="shared" si="247"/>
        <v>OK</v>
      </c>
      <c r="P1787">
        <f>IFERROR(Full_Data!G1787/Full_Data!H1787,"Check data")</f>
        <v>0.81896551724137934</v>
      </c>
      <c r="Q1787" t="str">
        <f t="shared" si="248"/>
        <v>Match</v>
      </c>
      <c r="R1787" t="str">
        <f t="shared" si="249"/>
        <v>Mismatch</v>
      </c>
      <c r="S1787" t="str">
        <f t="shared" si="250"/>
        <v>Mismatch</v>
      </c>
    </row>
    <row r="1788" spans="1:19" x14ac:dyDescent="0.25">
      <c r="A1788" t="s">
        <v>1675</v>
      </c>
      <c r="B1788">
        <v>19500</v>
      </c>
      <c r="C1788">
        <f t="shared" si="251"/>
        <v>195</v>
      </c>
      <c r="D1788">
        <v>6</v>
      </c>
      <c r="E1788">
        <v>6</v>
      </c>
      <c r="F1788">
        <v>18200</v>
      </c>
      <c r="G1788">
        <f t="shared" si="243"/>
        <v>182</v>
      </c>
      <c r="H1788">
        <v>30</v>
      </c>
      <c r="I1788" s="4">
        <f>Full_Data[[#This Row],[Selling Price]]/Full_Data[[#This Row],[Weight (g)]]</f>
        <v>6.0666666666666664</v>
      </c>
      <c r="J1788" t="b">
        <v>0</v>
      </c>
      <c r="K1788">
        <v>30</v>
      </c>
      <c r="L1788">
        <f t="shared" si="244"/>
        <v>13</v>
      </c>
      <c r="M1788" t="str">
        <f t="shared" si="245"/>
        <v>Medium</v>
      </c>
      <c r="N1788" t="str">
        <f t="shared" si="246"/>
        <v>6-10%</v>
      </c>
      <c r="O1788" t="str">
        <f t="shared" si="247"/>
        <v>OK</v>
      </c>
      <c r="P1788">
        <f>IFERROR(Full_Data!G1788/Full_Data!H1788,"Check data")</f>
        <v>6.0666666666666664</v>
      </c>
      <c r="Q1788" t="str">
        <f t="shared" si="248"/>
        <v>Match</v>
      </c>
      <c r="R1788" t="str">
        <f t="shared" si="249"/>
        <v>Mismatch</v>
      </c>
      <c r="S1788" t="str">
        <f t="shared" si="250"/>
        <v>Mismatch</v>
      </c>
    </row>
    <row r="1789" spans="1:19" x14ac:dyDescent="0.25">
      <c r="A1789" t="s">
        <v>1676</v>
      </c>
      <c r="B1789">
        <v>39500</v>
      </c>
      <c r="C1789">
        <f t="shared" si="251"/>
        <v>395</v>
      </c>
      <c r="D1789">
        <v>20</v>
      </c>
      <c r="E1789">
        <v>4</v>
      </c>
      <c r="F1789">
        <v>31600</v>
      </c>
      <c r="G1789">
        <f t="shared" si="243"/>
        <v>316</v>
      </c>
      <c r="H1789">
        <v>100</v>
      </c>
      <c r="I1789" s="4">
        <f>Full_Data[[#This Row],[Selling Price]]/Full_Data[[#This Row],[Weight (g)]]</f>
        <v>3.16</v>
      </c>
      <c r="J1789" t="b">
        <v>0</v>
      </c>
      <c r="K1789">
        <v>100</v>
      </c>
      <c r="L1789">
        <f t="shared" si="244"/>
        <v>79</v>
      </c>
      <c r="M1789" t="str">
        <f t="shared" si="245"/>
        <v>High</v>
      </c>
      <c r="N1789" t="str">
        <f t="shared" si="246"/>
        <v>16-20%</v>
      </c>
      <c r="O1789" t="str">
        <f t="shared" si="247"/>
        <v>OK</v>
      </c>
      <c r="P1789">
        <f>IFERROR(Full_Data!G1789/Full_Data!H1789,"Check data")</f>
        <v>3.16</v>
      </c>
      <c r="Q1789" t="str">
        <f t="shared" si="248"/>
        <v>Match</v>
      </c>
      <c r="R1789" t="str">
        <f t="shared" si="249"/>
        <v>Match</v>
      </c>
      <c r="S1789" t="str">
        <f t="shared" si="250"/>
        <v>Match</v>
      </c>
    </row>
    <row r="1790" spans="1:19" x14ac:dyDescent="0.25">
      <c r="A1790" t="s">
        <v>1677</v>
      </c>
      <c r="B1790">
        <v>49500</v>
      </c>
      <c r="C1790">
        <f t="shared" si="251"/>
        <v>495</v>
      </c>
      <c r="D1790">
        <v>20</v>
      </c>
      <c r="E1790">
        <v>6</v>
      </c>
      <c r="F1790">
        <v>39600</v>
      </c>
      <c r="G1790">
        <f t="shared" si="243"/>
        <v>396</v>
      </c>
      <c r="H1790">
        <v>500</v>
      </c>
      <c r="I1790" s="4">
        <f>Full_Data[[#This Row],[Selling Price]]/Full_Data[[#This Row],[Weight (g)]]</f>
        <v>0.79200000000000004</v>
      </c>
      <c r="J1790" t="b">
        <v>0</v>
      </c>
      <c r="K1790">
        <v>500</v>
      </c>
      <c r="L1790">
        <f t="shared" si="244"/>
        <v>99</v>
      </c>
      <c r="M1790" t="str">
        <f t="shared" si="245"/>
        <v>High</v>
      </c>
      <c r="N1790" t="str">
        <f t="shared" si="246"/>
        <v>16-20%</v>
      </c>
      <c r="O1790" t="str">
        <f t="shared" si="247"/>
        <v>OK</v>
      </c>
      <c r="P1790">
        <f>IFERROR(Full_Data!G1790/Full_Data!H1790,"Check data")</f>
        <v>0.79200000000000004</v>
      </c>
      <c r="Q1790" t="str">
        <f t="shared" si="248"/>
        <v>Match</v>
      </c>
      <c r="R1790" t="str">
        <f t="shared" si="249"/>
        <v>Match</v>
      </c>
      <c r="S1790" t="str">
        <f t="shared" si="250"/>
        <v>Match</v>
      </c>
    </row>
    <row r="1791" spans="1:19" x14ac:dyDescent="0.25">
      <c r="A1791" t="s">
        <v>1678</v>
      </c>
      <c r="B1791">
        <v>22500</v>
      </c>
      <c r="C1791">
        <f t="shared" si="251"/>
        <v>225</v>
      </c>
      <c r="D1791">
        <v>0</v>
      </c>
      <c r="E1791">
        <v>6</v>
      </c>
      <c r="F1791">
        <v>22500</v>
      </c>
      <c r="G1791">
        <f t="shared" si="243"/>
        <v>225</v>
      </c>
      <c r="H1791">
        <v>60</v>
      </c>
      <c r="I1791" s="4">
        <f>Full_Data[[#This Row],[Selling Price]]/Full_Data[[#This Row],[Weight (g)]]</f>
        <v>3.75</v>
      </c>
      <c r="J1791" t="b">
        <v>0</v>
      </c>
      <c r="K1791">
        <v>60</v>
      </c>
      <c r="L1791">
        <f t="shared" si="244"/>
        <v>0</v>
      </c>
      <c r="M1791" t="str">
        <f t="shared" si="245"/>
        <v>High</v>
      </c>
      <c r="N1791" t="str">
        <f t="shared" si="246"/>
        <v>0-5%</v>
      </c>
      <c r="O1791" t="str">
        <f t="shared" si="247"/>
        <v>OK</v>
      </c>
      <c r="P1791">
        <f>IFERROR(Full_Data!G1791/Full_Data!H1791,"Check data")</f>
        <v>3.75</v>
      </c>
      <c r="Q1791" t="str">
        <f t="shared" si="248"/>
        <v>Match</v>
      </c>
      <c r="R1791" t="str">
        <f t="shared" si="249"/>
        <v>Match</v>
      </c>
      <c r="S1791" t="str">
        <f t="shared" si="250"/>
        <v>Match</v>
      </c>
    </row>
    <row r="1792" spans="1:19" x14ac:dyDescent="0.25">
      <c r="A1792" t="s">
        <v>1679</v>
      </c>
      <c r="B1792">
        <v>9900</v>
      </c>
      <c r="C1792">
        <f t="shared" si="251"/>
        <v>99</v>
      </c>
      <c r="D1792">
        <v>0</v>
      </c>
      <c r="E1792">
        <v>1</v>
      </c>
      <c r="F1792">
        <v>9900</v>
      </c>
      <c r="G1792">
        <f t="shared" si="243"/>
        <v>99</v>
      </c>
      <c r="H1792">
        <v>250</v>
      </c>
      <c r="I1792" s="4">
        <f>Full_Data[[#This Row],[Selling Price]]/Full_Data[[#This Row],[Weight (g)]]</f>
        <v>0.39600000000000002</v>
      </c>
      <c r="J1792" t="b">
        <v>0</v>
      </c>
      <c r="K1792">
        <v>25</v>
      </c>
      <c r="L1792">
        <f t="shared" si="244"/>
        <v>0</v>
      </c>
      <c r="M1792" t="str">
        <f t="shared" si="245"/>
        <v>Medium</v>
      </c>
      <c r="N1792" t="str">
        <f t="shared" si="246"/>
        <v>0-5%</v>
      </c>
      <c r="O1792" t="str">
        <f t="shared" si="247"/>
        <v>OK</v>
      </c>
      <c r="P1792">
        <f>IFERROR(Full_Data!G1792/Full_Data!H1792,"Check data")</f>
        <v>0.39600000000000002</v>
      </c>
      <c r="Q1792" t="str">
        <f t="shared" si="248"/>
        <v>Match</v>
      </c>
      <c r="R1792" t="str">
        <f t="shared" si="249"/>
        <v>Match</v>
      </c>
      <c r="S1792" t="str">
        <f t="shared" si="250"/>
        <v>Match</v>
      </c>
    </row>
    <row r="1793" spans="1:19" x14ac:dyDescent="0.25">
      <c r="A1793" t="s">
        <v>1680</v>
      </c>
      <c r="B1793">
        <v>10500</v>
      </c>
      <c r="C1793">
        <f t="shared" si="251"/>
        <v>105</v>
      </c>
      <c r="D1793">
        <v>11</v>
      </c>
      <c r="E1793">
        <v>6</v>
      </c>
      <c r="F1793">
        <v>9300</v>
      </c>
      <c r="G1793">
        <f t="shared" si="243"/>
        <v>93</v>
      </c>
      <c r="H1793">
        <v>25</v>
      </c>
      <c r="I1793" s="4">
        <f>Full_Data[[#This Row],[Selling Price]]/Full_Data[[#This Row],[Weight (g)]]</f>
        <v>3.72</v>
      </c>
      <c r="J1793" t="b">
        <v>0</v>
      </c>
      <c r="K1793">
        <v>25</v>
      </c>
      <c r="L1793">
        <f t="shared" si="244"/>
        <v>12</v>
      </c>
      <c r="M1793" t="str">
        <f t="shared" si="245"/>
        <v>Medium</v>
      </c>
      <c r="N1793" t="str">
        <f t="shared" si="246"/>
        <v>11-15%</v>
      </c>
      <c r="O1793" t="str">
        <f t="shared" si="247"/>
        <v>OK</v>
      </c>
      <c r="P1793">
        <f>IFERROR(Full_Data!G1793/Full_Data!H1793,"Check data")</f>
        <v>3.72</v>
      </c>
      <c r="Q1793" t="str">
        <f t="shared" si="248"/>
        <v>Match</v>
      </c>
      <c r="R1793" t="str">
        <f t="shared" si="249"/>
        <v>Mismatch</v>
      </c>
      <c r="S1793" t="str">
        <f t="shared" si="250"/>
        <v>Match</v>
      </c>
    </row>
    <row r="1794" spans="1:19" x14ac:dyDescent="0.25">
      <c r="A1794" t="s">
        <v>1681</v>
      </c>
      <c r="B1794">
        <v>20500</v>
      </c>
      <c r="C1794">
        <f t="shared" si="251"/>
        <v>205</v>
      </c>
      <c r="D1794">
        <v>20</v>
      </c>
      <c r="E1794">
        <v>1</v>
      </c>
      <c r="F1794">
        <v>16400</v>
      </c>
      <c r="G1794">
        <f t="shared" ref="G1794:G1831" si="252">F1794/100</f>
        <v>164</v>
      </c>
      <c r="H1794">
        <v>60</v>
      </c>
      <c r="I1794" s="4">
        <f>Full_Data[[#This Row],[Selling Price]]/Full_Data[[#This Row],[Weight (g)]]</f>
        <v>2.7333333333333334</v>
      </c>
      <c r="J1794" t="b">
        <v>0</v>
      </c>
      <c r="K1794">
        <v>60</v>
      </c>
      <c r="L1794">
        <f t="shared" ref="L1794:L1831" si="253">C1794-G1794</f>
        <v>41</v>
      </c>
      <c r="M1794" t="str">
        <f t="shared" ref="M1794:M1831" si="254">IF(G1794&lt;50,"Low",IF(G1794&lt;200,"Medium","High"))</f>
        <v>Medium</v>
      </c>
      <c r="N1794" t="str">
        <f t="shared" si="246"/>
        <v>16-20%</v>
      </c>
      <c r="O1794" t="str">
        <f t="shared" ref="O1794:O1831" si="255">IF(AND(C1794=0,G1794=0),"Review: Zero MRP and selling price",IF(C1794&lt;=0,"Review: Invalid MRP",IF(G1794&lt;0,"Review: Negative selling price",IF(G1794=0,"Review: Zero selling price",IF(H1794&lt;=0,"Review: Invalid weight","OK")))))</f>
        <v>OK</v>
      </c>
      <c r="P1794">
        <f>IFERROR(Full_Data!G1794/Full_Data!H1794,"Check data")</f>
        <v>2.7333333333333334</v>
      </c>
      <c r="Q1794" t="str">
        <f t="shared" ref="Q1794:Q1831" si="256">IF(OR(H1794="",H1794&lt;=0),"Invalid weight",IF(G1794="","Missing selling price",IF(ROUND(G1794/H1794,2)=ROUND(I1794,2),"Match","Mismatch")))</f>
        <v>Match</v>
      </c>
      <c r="R1794" t="str">
        <f t="shared" ref="R1794:R1831" si="257">IF(OR(C1794&lt;=0,G1794=""),"Check data",IF(ROUND((C1794-G1794)/C1794*100,2)=ROUND(D1794,2),"Match","Mismatch"))</f>
        <v>Match</v>
      </c>
      <c r="S1794" t="str">
        <f t="shared" ref="S1794:S1831" si="258">IF(OR(C1794&lt;=0,G1794=""),"Check data",IF(ROUND((C1794-G1794)/C1794*100,0)=D1794,"Match","Mismatch"))</f>
        <v>Match</v>
      </c>
    </row>
    <row r="1795" spans="1:19" x14ac:dyDescent="0.25">
      <c r="A1795" t="s">
        <v>1682</v>
      </c>
      <c r="B1795">
        <v>27000</v>
      </c>
      <c r="C1795">
        <f t="shared" ref="C1795:C1831" si="259">B1795/100</f>
        <v>270</v>
      </c>
      <c r="D1795">
        <v>0</v>
      </c>
      <c r="E1795">
        <v>2</v>
      </c>
      <c r="F1795">
        <v>27000</v>
      </c>
      <c r="G1795">
        <f t="shared" si="252"/>
        <v>270</v>
      </c>
      <c r="H1795">
        <v>200</v>
      </c>
      <c r="I1795" s="4">
        <f>Full_Data[[#This Row],[Selling Price]]/Full_Data[[#This Row],[Weight (g)]]</f>
        <v>1.35</v>
      </c>
      <c r="J1795" t="b">
        <v>0</v>
      </c>
      <c r="K1795">
        <v>200</v>
      </c>
      <c r="L1795">
        <f t="shared" si="253"/>
        <v>0</v>
      </c>
      <c r="M1795" t="str">
        <f t="shared" si="254"/>
        <v>High</v>
      </c>
      <c r="N1795" t="str">
        <f t="shared" ref="N1795:N1831" si="260">IF(D1795&lt;=5,"0-5%",
IF(D1795&lt;=10,"6-10%",
IF(D1795&lt;=15,"11-15%",
IF(D1795&lt;=20,"16-20%","21%+"))))</f>
        <v>0-5%</v>
      </c>
      <c r="O1795" t="str">
        <f t="shared" si="255"/>
        <v>OK</v>
      </c>
      <c r="P1795">
        <f>IFERROR(Full_Data!G1795/Full_Data!H1795,"Check data")</f>
        <v>1.35</v>
      </c>
      <c r="Q1795" t="str">
        <f t="shared" si="256"/>
        <v>Match</v>
      </c>
      <c r="R1795" t="str">
        <f t="shared" si="257"/>
        <v>Match</v>
      </c>
      <c r="S1795" t="str">
        <f t="shared" si="258"/>
        <v>Match</v>
      </c>
    </row>
    <row r="1796" spans="1:19" x14ac:dyDescent="0.25">
      <c r="A1796" t="s">
        <v>1683</v>
      </c>
      <c r="B1796">
        <v>14000</v>
      </c>
      <c r="C1796">
        <f t="shared" si="259"/>
        <v>140</v>
      </c>
      <c r="D1796">
        <v>5</v>
      </c>
      <c r="E1796">
        <v>6</v>
      </c>
      <c r="F1796">
        <v>13300</v>
      </c>
      <c r="G1796">
        <f t="shared" si="252"/>
        <v>133</v>
      </c>
      <c r="H1796">
        <v>100</v>
      </c>
      <c r="I1796" s="4">
        <f>Full_Data[[#This Row],[Selling Price]]/Full_Data[[#This Row],[Weight (g)]]</f>
        <v>1.33</v>
      </c>
      <c r="J1796" t="b">
        <v>0</v>
      </c>
      <c r="K1796">
        <v>100</v>
      </c>
      <c r="L1796">
        <f t="shared" si="253"/>
        <v>7</v>
      </c>
      <c r="M1796" t="str">
        <f t="shared" si="254"/>
        <v>Medium</v>
      </c>
      <c r="N1796" t="str">
        <f t="shared" si="260"/>
        <v>0-5%</v>
      </c>
      <c r="O1796" t="str">
        <f t="shared" si="255"/>
        <v>OK</v>
      </c>
      <c r="P1796">
        <f>IFERROR(Full_Data!G1796/Full_Data!H1796,"Check data")</f>
        <v>1.33</v>
      </c>
      <c r="Q1796" t="str">
        <f t="shared" si="256"/>
        <v>Match</v>
      </c>
      <c r="R1796" t="str">
        <f t="shared" si="257"/>
        <v>Match</v>
      </c>
      <c r="S1796" t="str">
        <f t="shared" si="258"/>
        <v>Match</v>
      </c>
    </row>
    <row r="1797" spans="1:19" x14ac:dyDescent="0.25">
      <c r="A1797" t="s">
        <v>1684</v>
      </c>
      <c r="B1797">
        <v>40000</v>
      </c>
      <c r="C1797">
        <f t="shared" si="259"/>
        <v>400</v>
      </c>
      <c r="D1797">
        <v>15</v>
      </c>
      <c r="E1797">
        <v>1</v>
      </c>
      <c r="F1797">
        <v>34000</v>
      </c>
      <c r="G1797">
        <f t="shared" si="252"/>
        <v>340</v>
      </c>
      <c r="H1797">
        <v>1000</v>
      </c>
      <c r="I1797" s="4">
        <f>Full_Data[[#This Row],[Selling Price]]/Full_Data[[#This Row],[Weight (g)]]</f>
        <v>0.34</v>
      </c>
      <c r="J1797" t="b">
        <v>0</v>
      </c>
      <c r="K1797">
        <v>1</v>
      </c>
      <c r="L1797">
        <f t="shared" si="253"/>
        <v>60</v>
      </c>
      <c r="M1797" t="str">
        <f t="shared" si="254"/>
        <v>High</v>
      </c>
      <c r="N1797" t="str">
        <f t="shared" si="260"/>
        <v>11-15%</v>
      </c>
      <c r="O1797" t="str">
        <f t="shared" si="255"/>
        <v>OK</v>
      </c>
      <c r="P1797">
        <f>IFERROR(Full_Data!G1797/Full_Data!H1797,"Check data")</f>
        <v>0.34</v>
      </c>
      <c r="Q1797" t="str">
        <f t="shared" si="256"/>
        <v>Match</v>
      </c>
      <c r="R1797" t="str">
        <f t="shared" si="257"/>
        <v>Match</v>
      </c>
      <c r="S1797" t="str">
        <f t="shared" si="258"/>
        <v>Match</v>
      </c>
    </row>
    <row r="1798" spans="1:19" x14ac:dyDescent="0.25">
      <c r="A1798" t="s">
        <v>1685</v>
      </c>
      <c r="B1798">
        <v>23500</v>
      </c>
      <c r="C1798">
        <f t="shared" si="259"/>
        <v>235</v>
      </c>
      <c r="D1798">
        <v>15</v>
      </c>
      <c r="E1798">
        <v>6</v>
      </c>
      <c r="F1798">
        <v>19900</v>
      </c>
      <c r="G1798">
        <f t="shared" si="252"/>
        <v>199</v>
      </c>
      <c r="H1798">
        <v>1000</v>
      </c>
      <c r="I1798" s="4">
        <f>Full_Data[[#This Row],[Selling Price]]/Full_Data[[#This Row],[Weight (g)]]</f>
        <v>0.19900000000000001</v>
      </c>
      <c r="J1798" t="b">
        <v>0</v>
      </c>
      <c r="K1798">
        <v>1</v>
      </c>
      <c r="L1798">
        <f t="shared" si="253"/>
        <v>36</v>
      </c>
      <c r="M1798" t="str">
        <f t="shared" si="254"/>
        <v>Medium</v>
      </c>
      <c r="N1798" t="str">
        <f t="shared" si="260"/>
        <v>11-15%</v>
      </c>
      <c r="O1798" t="str">
        <f t="shared" si="255"/>
        <v>OK</v>
      </c>
      <c r="P1798">
        <f>IFERROR(Full_Data!G1798/Full_Data!H1798,"Check data")</f>
        <v>0.19900000000000001</v>
      </c>
      <c r="Q1798" t="str">
        <f t="shared" si="256"/>
        <v>Match</v>
      </c>
      <c r="R1798" t="str">
        <f t="shared" si="257"/>
        <v>Mismatch</v>
      </c>
      <c r="S1798" t="str">
        <f t="shared" si="258"/>
        <v>Match</v>
      </c>
    </row>
    <row r="1799" spans="1:19" x14ac:dyDescent="0.25">
      <c r="A1799" t="s">
        <v>1686</v>
      </c>
      <c r="B1799">
        <v>4000</v>
      </c>
      <c r="C1799">
        <f t="shared" si="259"/>
        <v>40</v>
      </c>
      <c r="D1799">
        <v>50</v>
      </c>
      <c r="E1799">
        <v>0</v>
      </c>
      <c r="F1799">
        <v>2000</v>
      </c>
      <c r="G1799">
        <f t="shared" si="252"/>
        <v>20</v>
      </c>
      <c r="H1799">
        <v>75</v>
      </c>
      <c r="I1799" s="4">
        <f>Full_Data[[#This Row],[Selling Price]]/Full_Data[[#This Row],[Weight (g)]]</f>
        <v>0.26666666666666666</v>
      </c>
      <c r="J1799" t="b">
        <v>1</v>
      </c>
      <c r="K1799">
        <v>75</v>
      </c>
      <c r="L1799">
        <f t="shared" si="253"/>
        <v>20</v>
      </c>
      <c r="M1799" t="str">
        <f t="shared" si="254"/>
        <v>Low</v>
      </c>
      <c r="N1799" t="str">
        <f t="shared" si="260"/>
        <v>21%+</v>
      </c>
      <c r="O1799" t="str">
        <f t="shared" si="255"/>
        <v>OK</v>
      </c>
      <c r="P1799">
        <f>IFERROR(Full_Data!G1799/Full_Data!H1799,"Check data")</f>
        <v>0.26666666666666666</v>
      </c>
      <c r="Q1799" t="str">
        <f t="shared" si="256"/>
        <v>Match</v>
      </c>
      <c r="R1799" t="str">
        <f t="shared" si="257"/>
        <v>Match</v>
      </c>
      <c r="S1799" t="str">
        <f t="shared" si="258"/>
        <v>Match</v>
      </c>
    </row>
    <row r="1800" spans="1:19" x14ac:dyDescent="0.25">
      <c r="A1800" t="s">
        <v>1687</v>
      </c>
      <c r="B1800">
        <v>5400</v>
      </c>
      <c r="C1800">
        <f t="shared" si="259"/>
        <v>54</v>
      </c>
      <c r="D1800">
        <v>11</v>
      </c>
      <c r="E1800">
        <v>0</v>
      </c>
      <c r="F1800">
        <v>4800</v>
      </c>
      <c r="G1800">
        <f t="shared" si="252"/>
        <v>48</v>
      </c>
      <c r="H1800">
        <v>5</v>
      </c>
      <c r="I1800" s="4">
        <f>Full_Data[[#This Row],[Selling Price]]/Full_Data[[#This Row],[Weight (g)]]</f>
        <v>9.6</v>
      </c>
      <c r="J1800" t="b">
        <v>1</v>
      </c>
      <c r="K1800">
        <v>5</v>
      </c>
      <c r="L1800">
        <f t="shared" si="253"/>
        <v>6</v>
      </c>
      <c r="M1800" t="str">
        <f t="shared" si="254"/>
        <v>Low</v>
      </c>
      <c r="N1800" t="str">
        <f t="shared" si="260"/>
        <v>11-15%</v>
      </c>
      <c r="O1800" t="str">
        <f t="shared" si="255"/>
        <v>OK</v>
      </c>
      <c r="P1800">
        <f>IFERROR(Full_Data!G1800/Full_Data!H1800,"Check data")</f>
        <v>9.6</v>
      </c>
      <c r="Q1800" t="str">
        <f t="shared" si="256"/>
        <v>Match</v>
      </c>
      <c r="R1800" t="str">
        <f t="shared" si="257"/>
        <v>Mismatch</v>
      </c>
      <c r="S1800" t="str">
        <f t="shared" si="258"/>
        <v>Match</v>
      </c>
    </row>
    <row r="1801" spans="1:19" x14ac:dyDescent="0.25">
      <c r="A1801" t="s">
        <v>1688</v>
      </c>
      <c r="B1801">
        <v>10500</v>
      </c>
      <c r="C1801">
        <f t="shared" si="259"/>
        <v>105</v>
      </c>
      <c r="D1801">
        <v>15</v>
      </c>
      <c r="E1801">
        <v>0</v>
      </c>
      <c r="F1801">
        <v>8900</v>
      </c>
      <c r="G1801">
        <f t="shared" si="252"/>
        <v>89</v>
      </c>
      <c r="H1801">
        <v>100</v>
      </c>
      <c r="I1801" s="4">
        <f>Full_Data[[#This Row],[Selling Price]]/Full_Data[[#This Row],[Weight (g)]]</f>
        <v>0.89</v>
      </c>
      <c r="J1801" t="b">
        <v>1</v>
      </c>
      <c r="K1801">
        <v>100</v>
      </c>
      <c r="L1801">
        <f t="shared" si="253"/>
        <v>16</v>
      </c>
      <c r="M1801" t="str">
        <f t="shared" si="254"/>
        <v>Medium</v>
      </c>
      <c r="N1801" t="str">
        <f t="shared" si="260"/>
        <v>11-15%</v>
      </c>
      <c r="O1801" t="str">
        <f t="shared" si="255"/>
        <v>OK</v>
      </c>
      <c r="P1801">
        <f>IFERROR(Full_Data!G1801/Full_Data!H1801,"Check data")</f>
        <v>0.89</v>
      </c>
      <c r="Q1801" t="str">
        <f t="shared" si="256"/>
        <v>Match</v>
      </c>
      <c r="R1801" t="str">
        <f t="shared" si="257"/>
        <v>Mismatch</v>
      </c>
      <c r="S1801" t="str">
        <f t="shared" si="258"/>
        <v>Match</v>
      </c>
    </row>
    <row r="1802" spans="1:19" x14ac:dyDescent="0.25">
      <c r="A1802" t="s">
        <v>1657</v>
      </c>
      <c r="B1802">
        <v>6000</v>
      </c>
      <c r="C1802">
        <f t="shared" si="259"/>
        <v>60</v>
      </c>
      <c r="D1802">
        <v>0</v>
      </c>
      <c r="E1802">
        <v>0</v>
      </c>
      <c r="F1802">
        <v>6000</v>
      </c>
      <c r="G1802">
        <f t="shared" si="252"/>
        <v>60</v>
      </c>
      <c r="H1802">
        <v>50</v>
      </c>
      <c r="I1802" s="4">
        <f>Full_Data[[#This Row],[Selling Price]]/Full_Data[[#This Row],[Weight (g)]]</f>
        <v>1.2</v>
      </c>
      <c r="J1802" t="b">
        <v>1</v>
      </c>
      <c r="K1802">
        <v>50</v>
      </c>
      <c r="L1802">
        <f t="shared" si="253"/>
        <v>0</v>
      </c>
      <c r="M1802" t="str">
        <f t="shared" si="254"/>
        <v>Medium</v>
      </c>
      <c r="N1802" t="str">
        <f t="shared" si="260"/>
        <v>0-5%</v>
      </c>
      <c r="O1802" t="str">
        <f t="shared" si="255"/>
        <v>OK</v>
      </c>
      <c r="P1802">
        <f>IFERROR(Full_Data!G1802/Full_Data!H1802,"Check data")</f>
        <v>1.2</v>
      </c>
      <c r="Q1802" t="str">
        <f t="shared" si="256"/>
        <v>Match</v>
      </c>
      <c r="R1802" t="str">
        <f t="shared" si="257"/>
        <v>Match</v>
      </c>
      <c r="S1802" t="str">
        <f t="shared" si="258"/>
        <v>Match</v>
      </c>
    </row>
    <row r="1803" spans="1:19" x14ac:dyDescent="0.25">
      <c r="A1803" t="s">
        <v>1689</v>
      </c>
      <c r="B1803">
        <v>5000</v>
      </c>
      <c r="C1803">
        <f t="shared" si="259"/>
        <v>50</v>
      </c>
      <c r="D1803">
        <v>2</v>
      </c>
      <c r="E1803">
        <v>1</v>
      </c>
      <c r="F1803">
        <v>4900</v>
      </c>
      <c r="G1803">
        <f t="shared" si="252"/>
        <v>49</v>
      </c>
      <c r="H1803">
        <v>300</v>
      </c>
      <c r="I1803" s="4">
        <f>Full_Data[[#This Row],[Selling Price]]/Full_Data[[#This Row],[Weight (g)]]</f>
        <v>0.16333333333333333</v>
      </c>
      <c r="J1803" t="b">
        <v>0</v>
      </c>
      <c r="K1803">
        <v>300</v>
      </c>
      <c r="L1803">
        <f t="shared" si="253"/>
        <v>1</v>
      </c>
      <c r="M1803" t="str">
        <f t="shared" si="254"/>
        <v>Low</v>
      </c>
      <c r="N1803" t="str">
        <f t="shared" si="260"/>
        <v>0-5%</v>
      </c>
      <c r="O1803" t="str">
        <f t="shared" si="255"/>
        <v>OK</v>
      </c>
      <c r="P1803">
        <f>IFERROR(Full_Data!G1803/Full_Data!H1803,"Check data")</f>
        <v>0.16333333333333333</v>
      </c>
      <c r="Q1803" t="str">
        <f t="shared" si="256"/>
        <v>Match</v>
      </c>
      <c r="R1803" t="str">
        <f t="shared" si="257"/>
        <v>Match</v>
      </c>
      <c r="S1803" t="str">
        <f t="shared" si="258"/>
        <v>Match</v>
      </c>
    </row>
    <row r="1804" spans="1:19" x14ac:dyDescent="0.25">
      <c r="A1804" t="s">
        <v>1690</v>
      </c>
      <c r="B1804">
        <v>7900</v>
      </c>
      <c r="C1804">
        <f t="shared" si="259"/>
        <v>79</v>
      </c>
      <c r="D1804">
        <v>25</v>
      </c>
      <c r="E1804">
        <v>6</v>
      </c>
      <c r="F1804">
        <v>5900</v>
      </c>
      <c r="G1804">
        <f t="shared" si="252"/>
        <v>59</v>
      </c>
      <c r="H1804">
        <v>330</v>
      </c>
      <c r="I1804" s="4">
        <f>Full_Data[[#This Row],[Selling Price]]/Full_Data[[#This Row],[Weight (g)]]</f>
        <v>0.1787878787878788</v>
      </c>
      <c r="J1804" t="b">
        <v>0</v>
      </c>
      <c r="K1804">
        <v>330</v>
      </c>
      <c r="L1804">
        <f t="shared" si="253"/>
        <v>20</v>
      </c>
      <c r="M1804" t="str">
        <f t="shared" si="254"/>
        <v>Medium</v>
      </c>
      <c r="N1804" t="str">
        <f t="shared" si="260"/>
        <v>21%+</v>
      </c>
      <c r="O1804" t="str">
        <f t="shared" si="255"/>
        <v>OK</v>
      </c>
      <c r="P1804">
        <f>IFERROR(Full_Data!G1804/Full_Data!H1804,"Check data")</f>
        <v>0.1787878787878788</v>
      </c>
      <c r="Q1804" t="str">
        <f t="shared" si="256"/>
        <v>Match</v>
      </c>
      <c r="R1804" t="str">
        <f t="shared" si="257"/>
        <v>Mismatch</v>
      </c>
      <c r="S1804" t="str">
        <f t="shared" si="258"/>
        <v>Match</v>
      </c>
    </row>
    <row r="1805" spans="1:19" x14ac:dyDescent="0.25">
      <c r="A1805" t="s">
        <v>1691</v>
      </c>
      <c r="B1805">
        <v>5000</v>
      </c>
      <c r="C1805">
        <f t="shared" si="259"/>
        <v>50</v>
      </c>
      <c r="D1805">
        <v>2</v>
      </c>
      <c r="E1805">
        <v>6</v>
      </c>
      <c r="F1805">
        <v>4900</v>
      </c>
      <c r="G1805">
        <f t="shared" si="252"/>
        <v>49</v>
      </c>
      <c r="H1805">
        <v>300</v>
      </c>
      <c r="I1805" s="4">
        <f>Full_Data[[#This Row],[Selling Price]]/Full_Data[[#This Row],[Weight (g)]]</f>
        <v>0.16333333333333333</v>
      </c>
      <c r="J1805" t="b">
        <v>0</v>
      </c>
      <c r="K1805">
        <v>300</v>
      </c>
      <c r="L1805">
        <f t="shared" si="253"/>
        <v>1</v>
      </c>
      <c r="M1805" t="str">
        <f t="shared" si="254"/>
        <v>Low</v>
      </c>
      <c r="N1805" t="str">
        <f t="shared" si="260"/>
        <v>0-5%</v>
      </c>
      <c r="O1805" t="str">
        <f t="shared" si="255"/>
        <v>OK</v>
      </c>
      <c r="P1805">
        <f>IFERROR(Full_Data!G1805/Full_Data!H1805,"Check data")</f>
        <v>0.16333333333333333</v>
      </c>
      <c r="Q1805" t="str">
        <f t="shared" si="256"/>
        <v>Match</v>
      </c>
      <c r="R1805" t="str">
        <f t="shared" si="257"/>
        <v>Match</v>
      </c>
      <c r="S1805" t="str">
        <f t="shared" si="258"/>
        <v>Match</v>
      </c>
    </row>
    <row r="1806" spans="1:19" x14ac:dyDescent="0.25">
      <c r="A1806" t="s">
        <v>1692</v>
      </c>
      <c r="B1806">
        <v>7900</v>
      </c>
      <c r="C1806">
        <f t="shared" si="259"/>
        <v>79</v>
      </c>
      <c r="D1806">
        <v>25</v>
      </c>
      <c r="E1806">
        <v>6</v>
      </c>
      <c r="F1806">
        <v>5900</v>
      </c>
      <c r="G1806">
        <f t="shared" si="252"/>
        <v>59</v>
      </c>
      <c r="H1806">
        <v>330</v>
      </c>
      <c r="I1806" s="4">
        <f>Full_Data[[#This Row],[Selling Price]]/Full_Data[[#This Row],[Weight (g)]]</f>
        <v>0.1787878787878788</v>
      </c>
      <c r="J1806" t="b">
        <v>0</v>
      </c>
      <c r="K1806">
        <v>330</v>
      </c>
      <c r="L1806">
        <f t="shared" si="253"/>
        <v>20</v>
      </c>
      <c r="M1806" t="str">
        <f t="shared" si="254"/>
        <v>Medium</v>
      </c>
      <c r="N1806" t="str">
        <f t="shared" si="260"/>
        <v>21%+</v>
      </c>
      <c r="O1806" t="str">
        <f t="shared" si="255"/>
        <v>OK</v>
      </c>
      <c r="P1806">
        <f>IFERROR(Full_Data!G1806/Full_Data!H1806,"Check data")</f>
        <v>0.1787878787878788</v>
      </c>
      <c r="Q1806" t="str">
        <f t="shared" si="256"/>
        <v>Match</v>
      </c>
      <c r="R1806" t="str">
        <f t="shared" si="257"/>
        <v>Mismatch</v>
      </c>
      <c r="S1806" t="str">
        <f t="shared" si="258"/>
        <v>Match</v>
      </c>
    </row>
    <row r="1807" spans="1:19" x14ac:dyDescent="0.25">
      <c r="A1807" t="s">
        <v>1693</v>
      </c>
      <c r="B1807">
        <v>10900</v>
      </c>
      <c r="C1807">
        <f t="shared" si="259"/>
        <v>109</v>
      </c>
      <c r="D1807">
        <v>5</v>
      </c>
      <c r="E1807">
        <v>3</v>
      </c>
      <c r="F1807">
        <v>10300</v>
      </c>
      <c r="G1807">
        <f t="shared" si="252"/>
        <v>103</v>
      </c>
      <c r="H1807">
        <v>107</v>
      </c>
      <c r="I1807" s="4">
        <f>Full_Data[[#This Row],[Selling Price]]/Full_Data[[#This Row],[Weight (g)]]</f>
        <v>0.96261682242990654</v>
      </c>
      <c r="J1807" t="b">
        <v>0</v>
      </c>
      <c r="K1807">
        <v>110</v>
      </c>
      <c r="L1807">
        <f t="shared" si="253"/>
        <v>6</v>
      </c>
      <c r="M1807" t="str">
        <f t="shared" si="254"/>
        <v>Medium</v>
      </c>
      <c r="N1807" t="str">
        <f t="shared" si="260"/>
        <v>0-5%</v>
      </c>
      <c r="O1807" t="str">
        <f t="shared" si="255"/>
        <v>OK</v>
      </c>
      <c r="P1807">
        <f>IFERROR(Full_Data!G1807/Full_Data!H1807,"Check data")</f>
        <v>0.96261682242990654</v>
      </c>
      <c r="Q1807" t="str">
        <f t="shared" si="256"/>
        <v>Match</v>
      </c>
      <c r="R1807" t="str">
        <f t="shared" si="257"/>
        <v>Mismatch</v>
      </c>
      <c r="S1807" t="str">
        <f t="shared" si="258"/>
        <v>Mismatch</v>
      </c>
    </row>
    <row r="1808" spans="1:19" x14ac:dyDescent="0.25">
      <c r="A1808" t="s">
        <v>1694</v>
      </c>
      <c r="B1808">
        <v>7900</v>
      </c>
      <c r="C1808">
        <f t="shared" si="259"/>
        <v>79</v>
      </c>
      <c r="D1808">
        <v>25</v>
      </c>
      <c r="E1808">
        <v>6</v>
      </c>
      <c r="F1808">
        <v>5900</v>
      </c>
      <c r="G1808">
        <f t="shared" si="252"/>
        <v>59</v>
      </c>
      <c r="H1808">
        <v>330</v>
      </c>
      <c r="I1808" s="4">
        <f>Full_Data[[#This Row],[Selling Price]]/Full_Data[[#This Row],[Weight (g)]]</f>
        <v>0.1787878787878788</v>
      </c>
      <c r="J1808" t="b">
        <v>0</v>
      </c>
      <c r="K1808">
        <v>330</v>
      </c>
      <c r="L1808">
        <f t="shared" si="253"/>
        <v>20</v>
      </c>
      <c r="M1808" t="str">
        <f t="shared" si="254"/>
        <v>Medium</v>
      </c>
      <c r="N1808" t="str">
        <f t="shared" si="260"/>
        <v>21%+</v>
      </c>
      <c r="O1808" t="str">
        <f t="shared" si="255"/>
        <v>OK</v>
      </c>
      <c r="P1808">
        <f>IFERROR(Full_Data!G1808/Full_Data!H1808,"Check data")</f>
        <v>0.1787878787878788</v>
      </c>
      <c r="Q1808" t="str">
        <f t="shared" si="256"/>
        <v>Match</v>
      </c>
      <c r="R1808" t="str">
        <f t="shared" si="257"/>
        <v>Mismatch</v>
      </c>
      <c r="S1808" t="str">
        <f t="shared" si="258"/>
        <v>Match</v>
      </c>
    </row>
    <row r="1809" spans="1:19" x14ac:dyDescent="0.25">
      <c r="A1809" t="s">
        <v>1695</v>
      </c>
      <c r="B1809">
        <v>7900</v>
      </c>
      <c r="C1809">
        <f t="shared" si="259"/>
        <v>79</v>
      </c>
      <c r="D1809">
        <v>25</v>
      </c>
      <c r="E1809">
        <v>6</v>
      </c>
      <c r="F1809">
        <v>5900</v>
      </c>
      <c r="G1809">
        <f t="shared" si="252"/>
        <v>59</v>
      </c>
      <c r="H1809">
        <v>330</v>
      </c>
      <c r="I1809" s="4">
        <f>Full_Data[[#This Row],[Selling Price]]/Full_Data[[#This Row],[Weight (g)]]</f>
        <v>0.1787878787878788</v>
      </c>
      <c r="J1809" t="b">
        <v>0</v>
      </c>
      <c r="K1809">
        <v>330</v>
      </c>
      <c r="L1809">
        <f t="shared" si="253"/>
        <v>20</v>
      </c>
      <c r="M1809" t="str">
        <f t="shared" si="254"/>
        <v>Medium</v>
      </c>
      <c r="N1809" t="str">
        <f t="shared" si="260"/>
        <v>21%+</v>
      </c>
      <c r="O1809" t="str">
        <f t="shared" si="255"/>
        <v>OK</v>
      </c>
      <c r="P1809">
        <f>IFERROR(Full_Data!G1809/Full_Data!H1809,"Check data")</f>
        <v>0.1787878787878788</v>
      </c>
      <c r="Q1809" t="str">
        <f t="shared" si="256"/>
        <v>Match</v>
      </c>
      <c r="R1809" t="str">
        <f t="shared" si="257"/>
        <v>Mismatch</v>
      </c>
      <c r="S1809" t="str">
        <f t="shared" si="258"/>
        <v>Match</v>
      </c>
    </row>
    <row r="1810" spans="1:19" x14ac:dyDescent="0.25">
      <c r="A1810" t="s">
        <v>1696</v>
      </c>
      <c r="B1810">
        <v>7900</v>
      </c>
      <c r="C1810">
        <f t="shared" si="259"/>
        <v>79</v>
      </c>
      <c r="D1810">
        <v>25</v>
      </c>
      <c r="E1810">
        <v>6</v>
      </c>
      <c r="F1810">
        <v>5900</v>
      </c>
      <c r="G1810">
        <f t="shared" si="252"/>
        <v>59</v>
      </c>
      <c r="H1810">
        <v>330</v>
      </c>
      <c r="I1810" s="4">
        <f>Full_Data[[#This Row],[Selling Price]]/Full_Data[[#This Row],[Weight (g)]]</f>
        <v>0.1787878787878788</v>
      </c>
      <c r="J1810" t="b">
        <v>0</v>
      </c>
      <c r="K1810">
        <v>330</v>
      </c>
      <c r="L1810">
        <f t="shared" si="253"/>
        <v>20</v>
      </c>
      <c r="M1810" t="str">
        <f t="shared" si="254"/>
        <v>Medium</v>
      </c>
      <c r="N1810" t="str">
        <f t="shared" si="260"/>
        <v>21%+</v>
      </c>
      <c r="O1810" t="str">
        <f t="shared" si="255"/>
        <v>OK</v>
      </c>
      <c r="P1810">
        <f>IFERROR(Full_Data!G1810/Full_Data!H1810,"Check data")</f>
        <v>0.1787878787878788</v>
      </c>
      <c r="Q1810" t="str">
        <f t="shared" si="256"/>
        <v>Match</v>
      </c>
      <c r="R1810" t="str">
        <f t="shared" si="257"/>
        <v>Mismatch</v>
      </c>
      <c r="S1810" t="str">
        <f t="shared" si="258"/>
        <v>Match</v>
      </c>
    </row>
    <row r="1811" spans="1:19" x14ac:dyDescent="0.25">
      <c r="A1811" t="s">
        <v>1697</v>
      </c>
      <c r="B1811">
        <v>4900</v>
      </c>
      <c r="C1811">
        <f t="shared" si="259"/>
        <v>49</v>
      </c>
      <c r="D1811">
        <v>2</v>
      </c>
      <c r="E1811">
        <v>6</v>
      </c>
      <c r="F1811">
        <v>4800</v>
      </c>
      <c r="G1811">
        <f t="shared" si="252"/>
        <v>48</v>
      </c>
      <c r="H1811">
        <v>60</v>
      </c>
      <c r="I1811" s="4">
        <f>Full_Data[[#This Row],[Selling Price]]/Full_Data[[#This Row],[Weight (g)]]</f>
        <v>0.8</v>
      </c>
      <c r="J1811" t="b">
        <v>0</v>
      </c>
      <c r="K1811">
        <v>60</v>
      </c>
      <c r="L1811">
        <f t="shared" si="253"/>
        <v>1</v>
      </c>
      <c r="M1811" t="str">
        <f t="shared" si="254"/>
        <v>Low</v>
      </c>
      <c r="N1811" t="str">
        <f t="shared" si="260"/>
        <v>0-5%</v>
      </c>
      <c r="O1811" t="str">
        <f t="shared" si="255"/>
        <v>OK</v>
      </c>
      <c r="P1811">
        <f>IFERROR(Full_Data!G1811/Full_Data!H1811,"Check data")</f>
        <v>0.8</v>
      </c>
      <c r="Q1811" t="str">
        <f t="shared" si="256"/>
        <v>Match</v>
      </c>
      <c r="R1811" t="str">
        <f t="shared" si="257"/>
        <v>Mismatch</v>
      </c>
      <c r="S1811" t="str">
        <f t="shared" si="258"/>
        <v>Match</v>
      </c>
    </row>
    <row r="1812" spans="1:19" x14ac:dyDescent="0.25">
      <c r="A1812" t="s">
        <v>1698</v>
      </c>
      <c r="B1812">
        <v>7900</v>
      </c>
      <c r="C1812">
        <f t="shared" si="259"/>
        <v>79</v>
      </c>
      <c r="D1812">
        <v>25</v>
      </c>
      <c r="E1812">
        <v>6</v>
      </c>
      <c r="F1812">
        <v>5900</v>
      </c>
      <c r="G1812">
        <f t="shared" si="252"/>
        <v>59</v>
      </c>
      <c r="H1812">
        <v>330</v>
      </c>
      <c r="I1812" s="4">
        <f>Full_Data[[#This Row],[Selling Price]]/Full_Data[[#This Row],[Weight (g)]]</f>
        <v>0.1787878787878788</v>
      </c>
      <c r="J1812" t="b">
        <v>0</v>
      </c>
      <c r="K1812">
        <v>330</v>
      </c>
      <c r="L1812">
        <f t="shared" si="253"/>
        <v>20</v>
      </c>
      <c r="M1812" t="str">
        <f t="shared" si="254"/>
        <v>Medium</v>
      </c>
      <c r="N1812" t="str">
        <f t="shared" si="260"/>
        <v>21%+</v>
      </c>
      <c r="O1812" t="str">
        <f t="shared" si="255"/>
        <v>OK</v>
      </c>
      <c r="P1812">
        <f>IFERROR(Full_Data!G1812/Full_Data!H1812,"Check data")</f>
        <v>0.1787878787878788</v>
      </c>
      <c r="Q1812" t="str">
        <f t="shared" si="256"/>
        <v>Match</v>
      </c>
      <c r="R1812" t="str">
        <f t="shared" si="257"/>
        <v>Mismatch</v>
      </c>
      <c r="S1812" t="str">
        <f t="shared" si="258"/>
        <v>Match</v>
      </c>
    </row>
    <row r="1813" spans="1:19" x14ac:dyDescent="0.25">
      <c r="A1813" t="s">
        <v>1699</v>
      </c>
      <c r="B1813">
        <v>10900</v>
      </c>
      <c r="C1813">
        <f t="shared" si="259"/>
        <v>109</v>
      </c>
      <c r="D1813">
        <v>5</v>
      </c>
      <c r="E1813">
        <v>6</v>
      </c>
      <c r="F1813">
        <v>10300</v>
      </c>
      <c r="G1813">
        <f t="shared" si="252"/>
        <v>103</v>
      </c>
      <c r="H1813">
        <v>107</v>
      </c>
      <c r="I1813" s="4">
        <f>Full_Data[[#This Row],[Selling Price]]/Full_Data[[#This Row],[Weight (g)]]</f>
        <v>0.96261682242990654</v>
      </c>
      <c r="J1813" t="b">
        <v>0</v>
      </c>
      <c r="K1813">
        <v>110</v>
      </c>
      <c r="L1813">
        <f t="shared" si="253"/>
        <v>6</v>
      </c>
      <c r="M1813" t="str">
        <f t="shared" si="254"/>
        <v>Medium</v>
      </c>
      <c r="N1813" t="str">
        <f t="shared" si="260"/>
        <v>0-5%</v>
      </c>
      <c r="O1813" t="str">
        <f t="shared" si="255"/>
        <v>OK</v>
      </c>
      <c r="P1813">
        <f>IFERROR(Full_Data!G1813/Full_Data!H1813,"Check data")</f>
        <v>0.96261682242990654</v>
      </c>
      <c r="Q1813" t="str">
        <f t="shared" si="256"/>
        <v>Match</v>
      </c>
      <c r="R1813" t="str">
        <f t="shared" si="257"/>
        <v>Mismatch</v>
      </c>
      <c r="S1813" t="str">
        <f t="shared" si="258"/>
        <v>Mismatch</v>
      </c>
    </row>
    <row r="1814" spans="1:19" x14ac:dyDescent="0.25">
      <c r="A1814" t="s">
        <v>1700</v>
      </c>
      <c r="B1814">
        <v>9900</v>
      </c>
      <c r="C1814">
        <f t="shared" si="259"/>
        <v>99</v>
      </c>
      <c r="D1814">
        <v>5</v>
      </c>
      <c r="E1814">
        <v>6</v>
      </c>
      <c r="F1814">
        <v>9400</v>
      </c>
      <c r="G1814">
        <f t="shared" si="252"/>
        <v>94</v>
      </c>
      <c r="H1814">
        <v>250</v>
      </c>
      <c r="I1814" s="4">
        <f>Full_Data[[#This Row],[Selling Price]]/Full_Data[[#This Row],[Weight (g)]]</f>
        <v>0.376</v>
      </c>
      <c r="J1814" t="b">
        <v>0</v>
      </c>
      <c r="K1814">
        <v>250</v>
      </c>
      <c r="L1814">
        <f t="shared" si="253"/>
        <v>5</v>
      </c>
      <c r="M1814" t="str">
        <f t="shared" si="254"/>
        <v>Medium</v>
      </c>
      <c r="N1814" t="str">
        <f t="shared" si="260"/>
        <v>0-5%</v>
      </c>
      <c r="O1814" t="str">
        <f t="shared" si="255"/>
        <v>OK</v>
      </c>
      <c r="P1814">
        <f>IFERROR(Full_Data!G1814/Full_Data!H1814,"Check data")</f>
        <v>0.376</v>
      </c>
      <c r="Q1814" t="str">
        <f t="shared" si="256"/>
        <v>Match</v>
      </c>
      <c r="R1814" t="str">
        <f t="shared" si="257"/>
        <v>Mismatch</v>
      </c>
      <c r="S1814" t="str">
        <f t="shared" si="258"/>
        <v>Match</v>
      </c>
    </row>
    <row r="1815" spans="1:19" x14ac:dyDescent="0.25">
      <c r="A1815" t="s">
        <v>1701</v>
      </c>
      <c r="B1815">
        <v>3900</v>
      </c>
      <c r="C1815">
        <f t="shared" si="259"/>
        <v>39</v>
      </c>
      <c r="D1815">
        <v>2</v>
      </c>
      <c r="E1815">
        <v>6</v>
      </c>
      <c r="F1815">
        <v>3800</v>
      </c>
      <c r="G1815">
        <f t="shared" si="252"/>
        <v>38</v>
      </c>
      <c r="H1815">
        <v>35</v>
      </c>
      <c r="I1815" s="4">
        <f>Full_Data[[#This Row],[Selling Price]]/Full_Data[[#This Row],[Weight (g)]]</f>
        <v>1.0857142857142856</v>
      </c>
      <c r="J1815" t="b">
        <v>0</v>
      </c>
      <c r="K1815">
        <v>35</v>
      </c>
      <c r="L1815">
        <f t="shared" si="253"/>
        <v>1</v>
      </c>
      <c r="M1815" t="str">
        <f t="shared" si="254"/>
        <v>Low</v>
      </c>
      <c r="N1815" t="str">
        <f t="shared" si="260"/>
        <v>0-5%</v>
      </c>
      <c r="O1815" t="str">
        <f t="shared" si="255"/>
        <v>OK</v>
      </c>
      <c r="P1815">
        <f>IFERROR(Full_Data!G1815/Full_Data!H1815,"Check data")</f>
        <v>1.0857142857142856</v>
      </c>
      <c r="Q1815" t="str">
        <f t="shared" si="256"/>
        <v>Match</v>
      </c>
      <c r="R1815" t="str">
        <f t="shared" si="257"/>
        <v>Mismatch</v>
      </c>
      <c r="S1815" t="str">
        <f t="shared" si="258"/>
        <v>Mismatch</v>
      </c>
    </row>
    <row r="1816" spans="1:19" x14ac:dyDescent="0.25">
      <c r="A1816" t="s">
        <v>1702</v>
      </c>
      <c r="B1816">
        <v>8000</v>
      </c>
      <c r="C1816">
        <f t="shared" si="259"/>
        <v>80</v>
      </c>
      <c r="D1816">
        <v>10</v>
      </c>
      <c r="E1816">
        <v>2</v>
      </c>
      <c r="F1816">
        <v>7200</v>
      </c>
      <c r="G1816">
        <f t="shared" si="252"/>
        <v>72</v>
      </c>
      <c r="H1816">
        <v>94</v>
      </c>
      <c r="I1816" s="4">
        <f>Full_Data[[#This Row],[Selling Price]]/Full_Data[[#This Row],[Weight (g)]]</f>
        <v>0.76595744680851063</v>
      </c>
      <c r="J1816" t="b">
        <v>0</v>
      </c>
      <c r="K1816">
        <v>94</v>
      </c>
      <c r="L1816">
        <f t="shared" si="253"/>
        <v>8</v>
      </c>
      <c r="M1816" t="str">
        <f t="shared" si="254"/>
        <v>Medium</v>
      </c>
      <c r="N1816" t="str">
        <f t="shared" si="260"/>
        <v>6-10%</v>
      </c>
      <c r="O1816" t="str">
        <f t="shared" si="255"/>
        <v>OK</v>
      </c>
      <c r="P1816">
        <f>IFERROR(Full_Data!G1816/Full_Data!H1816,"Check data")</f>
        <v>0.76595744680851063</v>
      </c>
      <c r="Q1816" t="str">
        <f t="shared" si="256"/>
        <v>Match</v>
      </c>
      <c r="R1816" t="str">
        <f t="shared" si="257"/>
        <v>Match</v>
      </c>
      <c r="S1816" t="str">
        <f t="shared" si="258"/>
        <v>Match</v>
      </c>
    </row>
    <row r="1817" spans="1:19" x14ac:dyDescent="0.25">
      <c r="A1817" t="s">
        <v>1703</v>
      </c>
      <c r="B1817">
        <v>3900</v>
      </c>
      <c r="C1817">
        <f t="shared" si="259"/>
        <v>39</v>
      </c>
      <c r="D1817">
        <v>15</v>
      </c>
      <c r="E1817">
        <v>6</v>
      </c>
      <c r="F1817">
        <v>3300</v>
      </c>
      <c r="G1817">
        <f t="shared" si="252"/>
        <v>33</v>
      </c>
      <c r="H1817">
        <v>35</v>
      </c>
      <c r="I1817" s="4">
        <f>Full_Data[[#This Row],[Selling Price]]/Full_Data[[#This Row],[Weight (g)]]</f>
        <v>0.94285714285714284</v>
      </c>
      <c r="J1817" t="b">
        <v>0</v>
      </c>
      <c r="K1817">
        <v>35</v>
      </c>
      <c r="L1817">
        <f t="shared" si="253"/>
        <v>6</v>
      </c>
      <c r="M1817" t="str">
        <f t="shared" si="254"/>
        <v>Low</v>
      </c>
      <c r="N1817" t="str">
        <f t="shared" si="260"/>
        <v>11-15%</v>
      </c>
      <c r="O1817" t="str">
        <f t="shared" si="255"/>
        <v>OK</v>
      </c>
      <c r="P1817">
        <f>IFERROR(Full_Data!G1817/Full_Data!H1817,"Check data")</f>
        <v>0.94285714285714284</v>
      </c>
      <c r="Q1817" t="str">
        <f t="shared" si="256"/>
        <v>Match</v>
      </c>
      <c r="R1817" t="str">
        <f t="shared" si="257"/>
        <v>Mismatch</v>
      </c>
      <c r="S1817" t="str">
        <f t="shared" si="258"/>
        <v>Match</v>
      </c>
    </row>
    <row r="1818" spans="1:19" x14ac:dyDescent="0.25">
      <c r="A1818" t="s">
        <v>1704</v>
      </c>
      <c r="B1818">
        <v>7500</v>
      </c>
      <c r="C1818">
        <f t="shared" si="259"/>
        <v>75</v>
      </c>
      <c r="D1818">
        <v>9</v>
      </c>
      <c r="E1818">
        <v>6</v>
      </c>
      <c r="F1818">
        <v>6800</v>
      </c>
      <c r="G1818">
        <f t="shared" si="252"/>
        <v>68</v>
      </c>
      <c r="H1818">
        <v>85</v>
      </c>
      <c r="I1818" s="4">
        <f>Full_Data[[#This Row],[Selling Price]]/Full_Data[[#This Row],[Weight (g)]]</f>
        <v>0.8</v>
      </c>
      <c r="J1818" t="b">
        <v>0</v>
      </c>
      <c r="K1818">
        <v>85</v>
      </c>
      <c r="L1818">
        <f t="shared" si="253"/>
        <v>7</v>
      </c>
      <c r="M1818" t="str">
        <f t="shared" si="254"/>
        <v>Medium</v>
      </c>
      <c r="N1818" t="str">
        <f t="shared" si="260"/>
        <v>6-10%</v>
      </c>
      <c r="O1818" t="str">
        <f t="shared" si="255"/>
        <v>OK</v>
      </c>
      <c r="P1818">
        <f>IFERROR(Full_Data!G1818/Full_Data!H1818,"Check data")</f>
        <v>0.8</v>
      </c>
      <c r="Q1818" t="str">
        <f t="shared" si="256"/>
        <v>Match</v>
      </c>
      <c r="R1818" t="str">
        <f t="shared" si="257"/>
        <v>Mismatch</v>
      </c>
      <c r="S1818" t="str">
        <f t="shared" si="258"/>
        <v>Match</v>
      </c>
    </row>
    <row r="1819" spans="1:19" x14ac:dyDescent="0.25">
      <c r="A1819" t="s">
        <v>1705</v>
      </c>
      <c r="B1819">
        <v>8000</v>
      </c>
      <c r="C1819">
        <f t="shared" si="259"/>
        <v>80</v>
      </c>
      <c r="D1819">
        <v>15</v>
      </c>
      <c r="E1819">
        <v>6</v>
      </c>
      <c r="F1819">
        <v>6800</v>
      </c>
      <c r="G1819">
        <f t="shared" si="252"/>
        <v>68</v>
      </c>
      <c r="H1819">
        <v>92</v>
      </c>
      <c r="I1819" s="4">
        <f>Full_Data[[#This Row],[Selling Price]]/Full_Data[[#This Row],[Weight (g)]]</f>
        <v>0.73913043478260865</v>
      </c>
      <c r="J1819" t="b">
        <v>0</v>
      </c>
      <c r="K1819">
        <v>92</v>
      </c>
      <c r="L1819">
        <f t="shared" si="253"/>
        <v>12</v>
      </c>
      <c r="M1819" t="str">
        <f t="shared" si="254"/>
        <v>Medium</v>
      </c>
      <c r="N1819" t="str">
        <f t="shared" si="260"/>
        <v>11-15%</v>
      </c>
      <c r="O1819" t="str">
        <f t="shared" si="255"/>
        <v>OK</v>
      </c>
      <c r="P1819">
        <f>IFERROR(Full_Data!G1819/Full_Data!H1819,"Check data")</f>
        <v>0.73913043478260865</v>
      </c>
      <c r="Q1819" t="str">
        <f t="shared" si="256"/>
        <v>Match</v>
      </c>
      <c r="R1819" t="str">
        <f t="shared" si="257"/>
        <v>Match</v>
      </c>
      <c r="S1819" t="str">
        <f t="shared" si="258"/>
        <v>Match</v>
      </c>
    </row>
    <row r="1820" spans="1:19" x14ac:dyDescent="0.25">
      <c r="A1820" t="s">
        <v>1706</v>
      </c>
      <c r="B1820">
        <v>9900</v>
      </c>
      <c r="C1820">
        <f t="shared" si="259"/>
        <v>99</v>
      </c>
      <c r="D1820">
        <v>20</v>
      </c>
      <c r="E1820">
        <v>6</v>
      </c>
      <c r="F1820">
        <v>7900</v>
      </c>
      <c r="G1820">
        <f t="shared" si="252"/>
        <v>79</v>
      </c>
      <c r="H1820">
        <v>125</v>
      </c>
      <c r="I1820" s="4">
        <f>Full_Data[[#This Row],[Selling Price]]/Full_Data[[#This Row],[Weight (g)]]</f>
        <v>0.63200000000000001</v>
      </c>
      <c r="J1820" t="b">
        <v>0</v>
      </c>
      <c r="K1820">
        <v>125</v>
      </c>
      <c r="L1820">
        <f t="shared" si="253"/>
        <v>20</v>
      </c>
      <c r="M1820" t="str">
        <f t="shared" si="254"/>
        <v>Medium</v>
      </c>
      <c r="N1820" t="str">
        <f t="shared" si="260"/>
        <v>16-20%</v>
      </c>
      <c r="O1820" t="str">
        <f t="shared" si="255"/>
        <v>OK</v>
      </c>
      <c r="P1820">
        <f>IFERROR(Full_Data!G1820/Full_Data!H1820,"Check data")</f>
        <v>0.63200000000000001</v>
      </c>
      <c r="Q1820" t="str">
        <f t="shared" si="256"/>
        <v>Match</v>
      </c>
      <c r="R1820" t="str">
        <f t="shared" si="257"/>
        <v>Mismatch</v>
      </c>
      <c r="S1820" t="str">
        <f t="shared" si="258"/>
        <v>Match</v>
      </c>
    </row>
    <row r="1821" spans="1:19" x14ac:dyDescent="0.25">
      <c r="A1821" t="s">
        <v>1707</v>
      </c>
      <c r="B1821">
        <v>6500</v>
      </c>
      <c r="C1821">
        <f t="shared" si="259"/>
        <v>65</v>
      </c>
      <c r="D1821">
        <v>7</v>
      </c>
      <c r="E1821">
        <v>6</v>
      </c>
      <c r="F1821">
        <v>6000</v>
      </c>
      <c r="G1821">
        <f t="shared" si="252"/>
        <v>60</v>
      </c>
      <c r="H1821">
        <v>200</v>
      </c>
      <c r="I1821" s="4">
        <f>Full_Data[[#This Row],[Selling Price]]/Full_Data[[#This Row],[Weight (g)]]</f>
        <v>0.3</v>
      </c>
      <c r="J1821" t="b">
        <v>0</v>
      </c>
      <c r="K1821">
        <v>200</v>
      </c>
      <c r="L1821">
        <f t="shared" si="253"/>
        <v>5</v>
      </c>
      <c r="M1821" t="str">
        <f t="shared" si="254"/>
        <v>Medium</v>
      </c>
      <c r="N1821" t="str">
        <f t="shared" si="260"/>
        <v>6-10%</v>
      </c>
      <c r="O1821" t="str">
        <f t="shared" si="255"/>
        <v>OK</v>
      </c>
      <c r="P1821">
        <f>IFERROR(Full_Data!G1821/Full_Data!H1821,"Check data")</f>
        <v>0.3</v>
      </c>
      <c r="Q1821" t="str">
        <f t="shared" si="256"/>
        <v>Match</v>
      </c>
      <c r="R1821" t="str">
        <f t="shared" si="257"/>
        <v>Mismatch</v>
      </c>
      <c r="S1821" t="str">
        <f t="shared" si="258"/>
        <v>Mismatch</v>
      </c>
    </row>
    <row r="1822" spans="1:19" x14ac:dyDescent="0.25">
      <c r="A1822" t="s">
        <v>1708</v>
      </c>
      <c r="B1822">
        <v>17500</v>
      </c>
      <c r="C1822">
        <f t="shared" si="259"/>
        <v>175</v>
      </c>
      <c r="D1822">
        <v>14</v>
      </c>
      <c r="E1822">
        <v>6</v>
      </c>
      <c r="F1822">
        <v>14900</v>
      </c>
      <c r="G1822">
        <f t="shared" si="252"/>
        <v>149</v>
      </c>
      <c r="H1822">
        <v>125</v>
      </c>
      <c r="I1822" s="4">
        <f>Full_Data[[#This Row],[Selling Price]]/Full_Data[[#This Row],[Weight (g)]]</f>
        <v>1.1919999999999999</v>
      </c>
      <c r="J1822" t="b">
        <v>0</v>
      </c>
      <c r="K1822">
        <v>125</v>
      </c>
      <c r="L1822">
        <f t="shared" si="253"/>
        <v>26</v>
      </c>
      <c r="M1822" t="str">
        <f t="shared" si="254"/>
        <v>Medium</v>
      </c>
      <c r="N1822" t="str">
        <f t="shared" si="260"/>
        <v>11-15%</v>
      </c>
      <c r="O1822" t="str">
        <f t="shared" si="255"/>
        <v>OK</v>
      </c>
      <c r="P1822">
        <f>IFERROR(Full_Data!G1822/Full_Data!H1822,"Check data")</f>
        <v>1.1919999999999999</v>
      </c>
      <c r="Q1822" t="str">
        <f t="shared" si="256"/>
        <v>Match</v>
      </c>
      <c r="R1822" t="str">
        <f t="shared" si="257"/>
        <v>Mismatch</v>
      </c>
      <c r="S1822" t="str">
        <f t="shared" si="258"/>
        <v>Mismatch</v>
      </c>
    </row>
    <row r="1823" spans="1:19" x14ac:dyDescent="0.25">
      <c r="A1823" t="s">
        <v>1709</v>
      </c>
      <c r="B1823">
        <v>7500</v>
      </c>
      <c r="C1823">
        <f t="shared" si="259"/>
        <v>75</v>
      </c>
      <c r="D1823">
        <v>13</v>
      </c>
      <c r="E1823">
        <v>6</v>
      </c>
      <c r="F1823">
        <v>6500</v>
      </c>
      <c r="G1823">
        <f t="shared" si="252"/>
        <v>65</v>
      </c>
      <c r="H1823">
        <v>85</v>
      </c>
      <c r="I1823" s="4">
        <f>Full_Data[[#This Row],[Selling Price]]/Full_Data[[#This Row],[Weight (g)]]</f>
        <v>0.76470588235294112</v>
      </c>
      <c r="J1823" t="b">
        <v>0</v>
      </c>
      <c r="K1823">
        <v>85</v>
      </c>
      <c r="L1823">
        <f t="shared" si="253"/>
        <v>10</v>
      </c>
      <c r="M1823" t="str">
        <f t="shared" si="254"/>
        <v>Medium</v>
      </c>
      <c r="N1823" t="str">
        <f t="shared" si="260"/>
        <v>11-15%</v>
      </c>
      <c r="O1823" t="str">
        <f t="shared" si="255"/>
        <v>OK</v>
      </c>
      <c r="P1823">
        <f>IFERROR(Full_Data!G1823/Full_Data!H1823,"Check data")</f>
        <v>0.76470588235294112</v>
      </c>
      <c r="Q1823" t="str">
        <f t="shared" si="256"/>
        <v>Match</v>
      </c>
      <c r="R1823" t="str">
        <f t="shared" si="257"/>
        <v>Mismatch</v>
      </c>
      <c r="S1823" t="str">
        <f t="shared" si="258"/>
        <v>Match</v>
      </c>
    </row>
    <row r="1824" spans="1:19" x14ac:dyDescent="0.25">
      <c r="A1824" t="s">
        <v>1710</v>
      </c>
      <c r="B1824">
        <v>2500</v>
      </c>
      <c r="C1824">
        <f t="shared" si="259"/>
        <v>25</v>
      </c>
      <c r="D1824">
        <v>0</v>
      </c>
      <c r="E1824">
        <v>6</v>
      </c>
      <c r="F1824">
        <v>2500</v>
      </c>
      <c r="G1824">
        <f t="shared" si="252"/>
        <v>25</v>
      </c>
      <c r="H1824">
        <v>100</v>
      </c>
      <c r="I1824" s="4">
        <f>Full_Data[[#This Row],[Selling Price]]/Full_Data[[#This Row],[Weight (g)]]</f>
        <v>0.25</v>
      </c>
      <c r="J1824" t="b">
        <v>0</v>
      </c>
      <c r="K1824">
        <v>100</v>
      </c>
      <c r="L1824">
        <f t="shared" si="253"/>
        <v>0</v>
      </c>
      <c r="M1824" t="str">
        <f t="shared" si="254"/>
        <v>Low</v>
      </c>
      <c r="N1824" t="str">
        <f t="shared" si="260"/>
        <v>0-5%</v>
      </c>
      <c r="O1824" t="str">
        <f t="shared" si="255"/>
        <v>OK</v>
      </c>
      <c r="P1824">
        <f>IFERROR(Full_Data!G1824/Full_Data!H1824,"Check data")</f>
        <v>0.25</v>
      </c>
      <c r="Q1824" t="str">
        <f t="shared" si="256"/>
        <v>Match</v>
      </c>
      <c r="R1824" t="str">
        <f t="shared" si="257"/>
        <v>Match</v>
      </c>
      <c r="S1824" t="str">
        <f t="shared" si="258"/>
        <v>Match</v>
      </c>
    </row>
    <row r="1825" spans="1:19" x14ac:dyDescent="0.25">
      <c r="A1825" t="s">
        <v>1711</v>
      </c>
      <c r="B1825">
        <v>9900</v>
      </c>
      <c r="C1825">
        <f t="shared" si="259"/>
        <v>99</v>
      </c>
      <c r="D1825">
        <v>15</v>
      </c>
      <c r="E1825">
        <v>6</v>
      </c>
      <c r="F1825">
        <v>8400</v>
      </c>
      <c r="G1825">
        <f t="shared" si="252"/>
        <v>84</v>
      </c>
      <c r="H1825">
        <v>125</v>
      </c>
      <c r="I1825" s="4">
        <f>Full_Data[[#This Row],[Selling Price]]/Full_Data[[#This Row],[Weight (g)]]</f>
        <v>0.67200000000000004</v>
      </c>
      <c r="J1825" t="b">
        <v>0</v>
      </c>
      <c r="K1825">
        <v>150</v>
      </c>
      <c r="L1825">
        <f t="shared" si="253"/>
        <v>15</v>
      </c>
      <c r="M1825" t="str">
        <f t="shared" si="254"/>
        <v>Medium</v>
      </c>
      <c r="N1825" t="str">
        <f t="shared" si="260"/>
        <v>11-15%</v>
      </c>
      <c r="O1825" t="str">
        <f t="shared" si="255"/>
        <v>OK</v>
      </c>
      <c r="P1825">
        <f>IFERROR(Full_Data!G1825/Full_Data!H1825,"Check data")</f>
        <v>0.67200000000000004</v>
      </c>
      <c r="Q1825" t="str">
        <f t="shared" si="256"/>
        <v>Match</v>
      </c>
      <c r="R1825" t="str">
        <f t="shared" si="257"/>
        <v>Mismatch</v>
      </c>
      <c r="S1825" t="str">
        <f t="shared" si="258"/>
        <v>Match</v>
      </c>
    </row>
    <row r="1826" spans="1:19" x14ac:dyDescent="0.25">
      <c r="A1826" t="s">
        <v>1712</v>
      </c>
      <c r="B1826">
        <v>9500</v>
      </c>
      <c r="C1826">
        <f t="shared" si="259"/>
        <v>95</v>
      </c>
      <c r="D1826">
        <v>0</v>
      </c>
      <c r="E1826">
        <v>6</v>
      </c>
      <c r="F1826">
        <v>9500</v>
      </c>
      <c r="G1826">
        <f t="shared" si="252"/>
        <v>95</v>
      </c>
      <c r="H1826">
        <v>200</v>
      </c>
      <c r="I1826" s="4">
        <f>Full_Data[[#This Row],[Selling Price]]/Full_Data[[#This Row],[Weight (g)]]</f>
        <v>0.47499999999999998</v>
      </c>
      <c r="J1826" t="b">
        <v>0</v>
      </c>
      <c r="K1826">
        <v>200</v>
      </c>
      <c r="L1826">
        <f t="shared" si="253"/>
        <v>0</v>
      </c>
      <c r="M1826" t="str">
        <f t="shared" si="254"/>
        <v>Medium</v>
      </c>
      <c r="N1826" t="str">
        <f t="shared" si="260"/>
        <v>0-5%</v>
      </c>
      <c r="O1826" t="str">
        <f t="shared" si="255"/>
        <v>OK</v>
      </c>
      <c r="P1826">
        <f>IFERROR(Full_Data!G1826/Full_Data!H1826,"Check data")</f>
        <v>0.47499999999999998</v>
      </c>
      <c r="Q1826" t="str">
        <f t="shared" si="256"/>
        <v>Match</v>
      </c>
      <c r="R1826" t="str">
        <f t="shared" si="257"/>
        <v>Match</v>
      </c>
      <c r="S1826" t="str">
        <f t="shared" si="258"/>
        <v>Match</v>
      </c>
    </row>
    <row r="1827" spans="1:19" x14ac:dyDescent="0.25">
      <c r="A1827" t="s">
        <v>1713</v>
      </c>
      <c r="B1827">
        <v>5000</v>
      </c>
      <c r="C1827">
        <f t="shared" si="259"/>
        <v>50</v>
      </c>
      <c r="D1827">
        <v>30</v>
      </c>
      <c r="E1827">
        <v>6</v>
      </c>
      <c r="F1827">
        <v>3500</v>
      </c>
      <c r="G1827">
        <f t="shared" si="252"/>
        <v>35</v>
      </c>
      <c r="H1827">
        <v>125</v>
      </c>
      <c r="I1827" s="4">
        <f>Full_Data[[#This Row],[Selling Price]]/Full_Data[[#This Row],[Weight (g)]]</f>
        <v>0.28000000000000003</v>
      </c>
      <c r="J1827" t="b">
        <v>0</v>
      </c>
      <c r="K1827">
        <v>125</v>
      </c>
      <c r="L1827">
        <f t="shared" si="253"/>
        <v>15</v>
      </c>
      <c r="M1827" t="str">
        <f t="shared" si="254"/>
        <v>Low</v>
      </c>
      <c r="N1827" t="str">
        <f t="shared" si="260"/>
        <v>21%+</v>
      </c>
      <c r="O1827" t="str">
        <f t="shared" si="255"/>
        <v>OK</v>
      </c>
      <c r="P1827">
        <f>IFERROR(Full_Data!G1827/Full_Data!H1827,"Check data")</f>
        <v>0.28000000000000003</v>
      </c>
      <c r="Q1827" t="str">
        <f t="shared" si="256"/>
        <v>Match</v>
      </c>
      <c r="R1827" t="str">
        <f t="shared" si="257"/>
        <v>Match</v>
      </c>
      <c r="S1827" t="str">
        <f t="shared" si="258"/>
        <v>Match</v>
      </c>
    </row>
    <row r="1828" spans="1:19" x14ac:dyDescent="0.25">
      <c r="A1828" t="s">
        <v>1714</v>
      </c>
      <c r="B1828">
        <v>5000</v>
      </c>
      <c r="C1828">
        <f t="shared" si="259"/>
        <v>50</v>
      </c>
      <c r="D1828">
        <v>2</v>
      </c>
      <c r="E1828">
        <v>6</v>
      </c>
      <c r="F1828">
        <v>4900</v>
      </c>
      <c r="G1828">
        <f t="shared" si="252"/>
        <v>49</v>
      </c>
      <c r="H1828">
        <v>30</v>
      </c>
      <c r="I1828" s="4">
        <f>Full_Data[[#This Row],[Selling Price]]/Full_Data[[#This Row],[Weight (g)]]</f>
        <v>1.6333333333333333</v>
      </c>
      <c r="J1828" t="b">
        <v>0</v>
      </c>
      <c r="K1828">
        <v>30</v>
      </c>
      <c r="L1828">
        <f t="shared" si="253"/>
        <v>1</v>
      </c>
      <c r="M1828" t="str">
        <f t="shared" si="254"/>
        <v>Low</v>
      </c>
      <c r="N1828" t="str">
        <f t="shared" si="260"/>
        <v>0-5%</v>
      </c>
      <c r="O1828" t="str">
        <f t="shared" si="255"/>
        <v>OK</v>
      </c>
      <c r="P1828">
        <f>IFERROR(Full_Data!G1828/Full_Data!H1828,"Check data")</f>
        <v>1.6333333333333333</v>
      </c>
      <c r="Q1828" t="str">
        <f t="shared" si="256"/>
        <v>Match</v>
      </c>
      <c r="R1828" t="str">
        <f t="shared" si="257"/>
        <v>Match</v>
      </c>
      <c r="S1828" t="str">
        <f t="shared" si="258"/>
        <v>Match</v>
      </c>
    </row>
    <row r="1829" spans="1:19" x14ac:dyDescent="0.25">
      <c r="A1829" t="s">
        <v>1715</v>
      </c>
      <c r="B1829">
        <v>5000</v>
      </c>
      <c r="C1829">
        <f t="shared" si="259"/>
        <v>50</v>
      </c>
      <c r="D1829">
        <v>30</v>
      </c>
      <c r="E1829">
        <v>6</v>
      </c>
      <c r="F1829">
        <v>3500</v>
      </c>
      <c r="G1829">
        <f t="shared" si="252"/>
        <v>35</v>
      </c>
      <c r="H1829">
        <v>125</v>
      </c>
      <c r="I1829" s="4">
        <f>Full_Data[[#This Row],[Selling Price]]/Full_Data[[#This Row],[Weight (g)]]</f>
        <v>0.28000000000000003</v>
      </c>
      <c r="J1829" t="b">
        <v>0</v>
      </c>
      <c r="K1829">
        <v>125</v>
      </c>
      <c r="L1829">
        <f t="shared" si="253"/>
        <v>15</v>
      </c>
      <c r="M1829" t="str">
        <f t="shared" si="254"/>
        <v>Low</v>
      </c>
      <c r="N1829" t="str">
        <f t="shared" si="260"/>
        <v>21%+</v>
      </c>
      <c r="O1829" t="str">
        <f t="shared" si="255"/>
        <v>OK</v>
      </c>
      <c r="P1829">
        <f>IFERROR(Full_Data!G1829/Full_Data!H1829,"Check data")</f>
        <v>0.28000000000000003</v>
      </c>
      <c r="Q1829" t="str">
        <f t="shared" si="256"/>
        <v>Match</v>
      </c>
      <c r="R1829" t="str">
        <f t="shared" si="257"/>
        <v>Match</v>
      </c>
      <c r="S1829" t="str">
        <f t="shared" si="258"/>
        <v>Match</v>
      </c>
    </row>
    <row r="1830" spans="1:19" x14ac:dyDescent="0.25">
      <c r="A1830" t="s">
        <v>1716</v>
      </c>
      <c r="B1830">
        <v>30000</v>
      </c>
      <c r="C1830">
        <f t="shared" si="259"/>
        <v>300</v>
      </c>
      <c r="D1830">
        <v>11</v>
      </c>
      <c r="E1830">
        <v>6</v>
      </c>
      <c r="F1830">
        <v>26700</v>
      </c>
      <c r="G1830">
        <f t="shared" si="252"/>
        <v>267</v>
      </c>
      <c r="H1830">
        <v>580</v>
      </c>
      <c r="I1830" s="4">
        <f>Full_Data[[#This Row],[Selling Price]]/Full_Data[[#This Row],[Weight (g)]]</f>
        <v>0.46034482758620687</v>
      </c>
      <c r="J1830" t="b">
        <v>0</v>
      </c>
      <c r="K1830">
        <v>10</v>
      </c>
      <c r="L1830">
        <f t="shared" si="253"/>
        <v>33</v>
      </c>
      <c r="M1830" t="str">
        <f t="shared" si="254"/>
        <v>High</v>
      </c>
      <c r="N1830" t="str">
        <f t="shared" si="260"/>
        <v>11-15%</v>
      </c>
      <c r="O1830" t="str">
        <f t="shared" si="255"/>
        <v>OK</v>
      </c>
      <c r="P1830">
        <f>IFERROR(Full_Data!G1830/Full_Data!H1830,"Check data")</f>
        <v>0.46034482758620687</v>
      </c>
      <c r="Q1830" t="str">
        <f t="shared" si="256"/>
        <v>Match</v>
      </c>
      <c r="R1830" t="str">
        <f t="shared" si="257"/>
        <v>Match</v>
      </c>
      <c r="S1830" t="str">
        <f t="shared" si="258"/>
        <v>Match</v>
      </c>
    </row>
    <row r="1831" spans="1:19" x14ac:dyDescent="0.25">
      <c r="A1831" t="s">
        <v>1717</v>
      </c>
      <c r="B1831">
        <v>5000</v>
      </c>
      <c r="C1831">
        <f t="shared" si="259"/>
        <v>50</v>
      </c>
      <c r="D1831">
        <v>30</v>
      </c>
      <c r="E1831">
        <v>0</v>
      </c>
      <c r="F1831">
        <v>3500</v>
      </c>
      <c r="G1831">
        <f t="shared" si="252"/>
        <v>35</v>
      </c>
      <c r="H1831">
        <v>125</v>
      </c>
      <c r="I1831" s="4">
        <f>Full_Data[[#This Row],[Selling Price]]/Full_Data[[#This Row],[Weight (g)]]</f>
        <v>0.28000000000000003</v>
      </c>
      <c r="J1831" t="b">
        <v>1</v>
      </c>
      <c r="K1831">
        <v>125</v>
      </c>
      <c r="L1831">
        <f t="shared" si="253"/>
        <v>15</v>
      </c>
      <c r="M1831" t="str">
        <f t="shared" si="254"/>
        <v>Low</v>
      </c>
      <c r="N1831" t="str">
        <f t="shared" si="260"/>
        <v>21%+</v>
      </c>
      <c r="O1831" t="str">
        <f t="shared" si="255"/>
        <v>OK</v>
      </c>
      <c r="P1831">
        <f>IFERROR(Full_Data!G1831/Full_Data!H1831,"Check data")</f>
        <v>0.28000000000000003</v>
      </c>
      <c r="Q1831" t="str">
        <f t="shared" si="256"/>
        <v>Match</v>
      </c>
      <c r="R1831" t="str">
        <f t="shared" si="257"/>
        <v>Match</v>
      </c>
      <c r="S1831" t="str">
        <f t="shared" si="258"/>
        <v>Match</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24C85-EB42-47B4-B104-C586C7D5A649}">
  <dimension ref="A1:V30"/>
  <sheetViews>
    <sheetView topLeftCell="A21" workbookViewId="0">
      <selection activeCell="H39" sqref="H39"/>
    </sheetView>
  </sheetViews>
  <sheetFormatPr defaultRowHeight="15" x14ac:dyDescent="0.25"/>
  <cols>
    <col min="1" max="1" width="22" bestFit="1" customWidth="1"/>
    <col min="2" max="2" width="16.28515625" bestFit="1" customWidth="1"/>
    <col min="3" max="3" width="7.140625" bestFit="1" customWidth="1"/>
    <col min="4" max="4" width="11.28515625" bestFit="1" customWidth="1"/>
    <col min="5" max="5" width="13.140625" bestFit="1" customWidth="1"/>
    <col min="6" max="7" width="22" bestFit="1" customWidth="1"/>
    <col min="8" max="8" width="47.5703125" bestFit="1" customWidth="1"/>
    <col min="9" max="9" width="23.28515625" bestFit="1" customWidth="1"/>
    <col min="11" max="11" width="13.140625" bestFit="1" customWidth="1"/>
    <col min="12" max="12" width="22" bestFit="1" customWidth="1"/>
    <col min="13" max="13" width="22.28515625" bestFit="1" customWidth="1"/>
    <col min="14" max="14" width="7.7109375" customWidth="1"/>
    <col min="15" max="15" width="13.140625" bestFit="1" customWidth="1"/>
    <col min="16" max="16" width="22" bestFit="1" customWidth="1"/>
    <col min="18" max="18" width="73" bestFit="1" customWidth="1"/>
    <col min="19" max="19" width="24.140625" bestFit="1" customWidth="1"/>
    <col min="21" max="21" width="13.140625" bestFit="1" customWidth="1"/>
    <col min="22" max="22" width="21" bestFit="1" customWidth="1"/>
  </cols>
  <sheetData>
    <row r="1" spans="1:22" ht="18.75" x14ac:dyDescent="0.3">
      <c r="A1" s="14" t="s">
        <v>1735</v>
      </c>
      <c r="B1" s="14"/>
      <c r="C1" s="14"/>
      <c r="D1" s="14"/>
      <c r="E1" s="14"/>
      <c r="F1" s="14"/>
      <c r="G1" s="14"/>
      <c r="H1" s="14"/>
      <c r="I1" s="14"/>
    </row>
    <row r="4" spans="1:22" x14ac:dyDescent="0.25">
      <c r="B4" t="s">
        <v>1738</v>
      </c>
      <c r="E4" s="5" t="s">
        <v>1718</v>
      </c>
      <c r="F4" t="s">
        <v>1738</v>
      </c>
      <c r="H4" s="5" t="s">
        <v>1718</v>
      </c>
      <c r="I4" t="s">
        <v>1739</v>
      </c>
      <c r="K4" s="5" t="s">
        <v>1718</v>
      </c>
      <c r="L4" t="s">
        <v>1738</v>
      </c>
      <c r="M4" t="s">
        <v>1742</v>
      </c>
      <c r="O4" s="5" t="s">
        <v>1718</v>
      </c>
      <c r="P4" t="s">
        <v>1738</v>
      </c>
      <c r="R4" s="5" t="s">
        <v>1718</v>
      </c>
      <c r="S4" t="s">
        <v>1722</v>
      </c>
      <c r="U4" s="5" t="s">
        <v>1718</v>
      </c>
      <c r="V4" t="s">
        <v>1741</v>
      </c>
    </row>
    <row r="5" spans="1:22" x14ac:dyDescent="0.25">
      <c r="B5">
        <v>1830</v>
      </c>
      <c r="E5" s="6" t="s">
        <v>1749</v>
      </c>
      <c r="F5">
        <v>851</v>
      </c>
      <c r="H5" s="6" t="s">
        <v>1387</v>
      </c>
      <c r="I5">
        <v>150</v>
      </c>
      <c r="K5" s="6" t="s">
        <v>1747</v>
      </c>
      <c r="L5" s="7">
        <v>0.23661202185792349</v>
      </c>
      <c r="M5" s="4">
        <v>30.627020785219401</v>
      </c>
      <c r="O5" s="6" t="s">
        <v>1746</v>
      </c>
      <c r="P5">
        <v>1612</v>
      </c>
      <c r="R5" s="6" t="s">
        <v>1355</v>
      </c>
      <c r="S5" s="4">
        <v>13.333333333333334</v>
      </c>
      <c r="U5" s="6" t="s">
        <v>1746</v>
      </c>
      <c r="V5" s="4">
        <v>8.1042183622828787</v>
      </c>
    </row>
    <row r="6" spans="1:22" x14ac:dyDescent="0.25">
      <c r="C6" s="4"/>
      <c r="E6" s="6" t="s">
        <v>1750</v>
      </c>
      <c r="F6">
        <v>551</v>
      </c>
      <c r="H6" s="6" t="s">
        <v>650</v>
      </c>
      <c r="I6">
        <v>178</v>
      </c>
      <c r="K6" s="6" t="s">
        <v>1745</v>
      </c>
      <c r="L6" s="7">
        <v>0.55956284153005464</v>
      </c>
      <c r="M6" s="4">
        <v>109.14072265625001</v>
      </c>
      <c r="O6" s="6" t="s">
        <v>1790</v>
      </c>
      <c r="P6">
        <v>218</v>
      </c>
      <c r="R6" s="6" t="s">
        <v>1408</v>
      </c>
      <c r="S6" s="4">
        <v>13.5</v>
      </c>
      <c r="U6" s="6" t="s">
        <v>1790</v>
      </c>
      <c r="V6" s="4">
        <v>5.6513761467889907</v>
      </c>
    </row>
    <row r="7" spans="1:22" x14ac:dyDescent="0.25">
      <c r="B7" t="s">
        <v>1740</v>
      </c>
      <c r="E7" s="6" t="s">
        <v>1751</v>
      </c>
      <c r="F7">
        <v>181</v>
      </c>
      <c r="H7" s="6" t="s">
        <v>1235</v>
      </c>
      <c r="I7">
        <v>200</v>
      </c>
      <c r="K7" s="6" t="s">
        <v>1748</v>
      </c>
      <c r="L7" s="7">
        <v>0.20382513661202187</v>
      </c>
      <c r="M7" s="4">
        <v>339.48793565683644</v>
      </c>
      <c r="O7" s="6" t="s">
        <v>1719</v>
      </c>
      <c r="P7">
        <v>1830</v>
      </c>
      <c r="R7" s="6" t="s">
        <v>1444</v>
      </c>
      <c r="S7" s="4">
        <v>14.192307692307692</v>
      </c>
      <c r="U7" s="6" t="s">
        <v>1719</v>
      </c>
      <c r="V7" s="4">
        <v>7.8120218579234972</v>
      </c>
    </row>
    <row r="8" spans="1:22" x14ac:dyDescent="0.25">
      <c r="B8" s="8">
        <v>151.951912568306</v>
      </c>
      <c r="E8" s="6" t="s">
        <v>1744</v>
      </c>
      <c r="F8">
        <v>137</v>
      </c>
      <c r="H8" s="6" t="s">
        <v>1366</v>
      </c>
      <c r="I8">
        <v>200</v>
      </c>
      <c r="K8" s="6" t="s">
        <v>1719</v>
      </c>
      <c r="L8" s="7">
        <v>1</v>
      </c>
      <c r="M8" s="4">
        <v>137.51398907103825</v>
      </c>
      <c r="R8" s="6" t="s">
        <v>1299</v>
      </c>
      <c r="S8" s="4">
        <v>15.166666666666666</v>
      </c>
    </row>
    <row r="9" spans="1:22" x14ac:dyDescent="0.25">
      <c r="E9" s="6" t="s">
        <v>1752</v>
      </c>
      <c r="F9">
        <v>110</v>
      </c>
      <c r="H9" s="6" t="s">
        <v>120</v>
      </c>
      <c r="I9">
        <v>216</v>
      </c>
      <c r="R9" s="6" t="s">
        <v>1366</v>
      </c>
      <c r="S9" s="4">
        <v>16.648148148148149</v>
      </c>
    </row>
    <row r="10" spans="1:22" x14ac:dyDescent="0.25">
      <c r="B10" t="s">
        <v>1741</v>
      </c>
      <c r="E10" s="6" t="s">
        <v>1719</v>
      </c>
      <c r="F10">
        <v>1830</v>
      </c>
      <c r="H10" s="6" t="s">
        <v>1388</v>
      </c>
      <c r="I10">
        <v>250</v>
      </c>
      <c r="R10" s="6" t="s">
        <v>1392</v>
      </c>
      <c r="S10" s="4">
        <v>16.966666666666665</v>
      </c>
    </row>
    <row r="11" spans="1:22" x14ac:dyDescent="0.25">
      <c r="B11" s="4">
        <v>7.8120218579234972</v>
      </c>
      <c r="H11" s="6" t="s">
        <v>803</v>
      </c>
      <c r="I11">
        <v>264</v>
      </c>
      <c r="R11" s="6" t="s">
        <v>1235</v>
      </c>
      <c r="S11" s="4">
        <v>20.431818181818183</v>
      </c>
    </row>
    <row r="12" spans="1:22" x14ac:dyDescent="0.25">
      <c r="B12" s="7">
        <f>B11/100</f>
        <v>7.8120218579234971E-2</v>
      </c>
      <c r="H12" s="6" t="s">
        <v>165</v>
      </c>
      <c r="I12">
        <v>324</v>
      </c>
      <c r="R12" s="6" t="s">
        <v>1191</v>
      </c>
      <c r="S12" s="4">
        <v>23.8</v>
      </c>
    </row>
    <row r="13" spans="1:22" x14ac:dyDescent="0.25">
      <c r="H13" s="6" t="s">
        <v>1381</v>
      </c>
      <c r="I13">
        <v>700</v>
      </c>
      <c r="R13" s="6" t="s">
        <v>1340</v>
      </c>
      <c r="S13" s="4">
        <v>33.799999999999997</v>
      </c>
    </row>
    <row r="14" spans="1:22" x14ac:dyDescent="0.25">
      <c r="A14" s="11" t="s">
        <v>1732</v>
      </c>
      <c r="B14">
        <f>SUM(Full_Data[Available Quantity])</f>
        <v>7353</v>
      </c>
      <c r="H14" s="6" t="s">
        <v>492</v>
      </c>
      <c r="I14">
        <v>1201</v>
      </c>
      <c r="R14" s="6" t="s">
        <v>574</v>
      </c>
      <c r="S14" s="4">
        <v>120</v>
      </c>
    </row>
    <row r="15" spans="1:22" x14ac:dyDescent="0.25">
      <c r="A15" s="11" t="s">
        <v>1733</v>
      </c>
      <c r="B15">
        <f>COUNTIF(Full_Data[Out Of Stock],TRUE)</f>
        <v>218</v>
      </c>
      <c r="H15" s="6" t="s">
        <v>1719</v>
      </c>
      <c r="I15">
        <v>3683</v>
      </c>
      <c r="R15" s="6" t="s">
        <v>1719</v>
      </c>
      <c r="S15">
        <v>28.783894068894067</v>
      </c>
    </row>
    <row r="16" spans="1:22" x14ac:dyDescent="0.25">
      <c r="A16" s="11" t="s">
        <v>1734</v>
      </c>
      <c r="B16">
        <f>SUM(Full_Data[Discount Amount])</f>
        <v>26421.4</v>
      </c>
    </row>
    <row r="18" spans="1:3" x14ac:dyDescent="0.25">
      <c r="B18" t="s">
        <v>1742</v>
      </c>
    </row>
    <row r="19" spans="1:3" x14ac:dyDescent="0.25">
      <c r="B19" s="8">
        <v>137.51398907103825</v>
      </c>
    </row>
    <row r="23" spans="1:3" x14ac:dyDescent="0.25">
      <c r="A23" s="5" t="s">
        <v>1738</v>
      </c>
      <c r="B23" s="5" t="s">
        <v>1791</v>
      </c>
    </row>
    <row r="24" spans="1:3" x14ac:dyDescent="0.25">
      <c r="A24" s="5" t="s">
        <v>1718</v>
      </c>
      <c r="B24" t="s">
        <v>1792</v>
      </c>
      <c r="C24" t="s">
        <v>1793</v>
      </c>
    </row>
    <row r="25" spans="1:3" x14ac:dyDescent="0.25">
      <c r="A25" s="6" t="s">
        <v>1749</v>
      </c>
      <c r="B25" s="7">
        <v>0.84488836662749711</v>
      </c>
      <c r="C25" s="7">
        <v>0.15511163337250294</v>
      </c>
    </row>
    <row r="26" spans="1:3" x14ac:dyDescent="0.25">
      <c r="A26" s="6" t="s">
        <v>1751</v>
      </c>
      <c r="B26" s="7">
        <v>0.93922651933701662</v>
      </c>
      <c r="C26" s="7">
        <v>6.0773480662983423E-2</v>
      </c>
    </row>
    <row r="27" spans="1:3" x14ac:dyDescent="0.25">
      <c r="A27" s="6" t="s">
        <v>1744</v>
      </c>
      <c r="B27" s="7">
        <v>0.94160583941605835</v>
      </c>
      <c r="C27" s="7">
        <v>5.8394160583941604E-2</v>
      </c>
    </row>
    <row r="28" spans="1:3" x14ac:dyDescent="0.25">
      <c r="A28" s="6" t="s">
        <v>1752</v>
      </c>
      <c r="B28" s="7">
        <v>0.91818181818181821</v>
      </c>
      <c r="C28" s="7">
        <v>8.1818181818181818E-2</v>
      </c>
    </row>
    <row r="29" spans="1:3" x14ac:dyDescent="0.25">
      <c r="A29" s="6" t="s">
        <v>1750</v>
      </c>
      <c r="B29" s="7">
        <v>0.89473684210526316</v>
      </c>
      <c r="C29" s="7">
        <v>0.10526315789473684</v>
      </c>
    </row>
    <row r="30" spans="1:3" x14ac:dyDescent="0.25">
      <c r="A30" s="6" t="s">
        <v>1719</v>
      </c>
      <c r="B30" s="7">
        <v>0.88087431693989071</v>
      </c>
      <c r="C30" s="7">
        <v>0.11912568306010929</v>
      </c>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4005-AE30-4264-B63F-E7862B114375}">
  <dimension ref="A1:J33"/>
  <sheetViews>
    <sheetView topLeftCell="A21" workbookViewId="0"/>
  </sheetViews>
  <sheetFormatPr defaultRowHeight="15" x14ac:dyDescent="0.25"/>
  <cols>
    <col min="1" max="1" width="19.42578125" bestFit="1" customWidth="1"/>
    <col min="2" max="2" width="38.28515625" bestFit="1" customWidth="1"/>
    <col min="5" max="5" width="24.85546875" bestFit="1" customWidth="1"/>
    <col min="6" max="6" width="24.5703125" bestFit="1" customWidth="1"/>
    <col min="9" max="9" width="21.85546875" bestFit="1" customWidth="1"/>
  </cols>
  <sheetData>
    <row r="1" spans="1:10" ht="15.75" x14ac:dyDescent="0.25">
      <c r="A1" s="12" t="s">
        <v>1753</v>
      </c>
      <c r="E1" t="s">
        <v>1774</v>
      </c>
      <c r="F1" t="s">
        <v>1780</v>
      </c>
      <c r="G1" t="s">
        <v>1781</v>
      </c>
      <c r="I1" t="s">
        <v>1784</v>
      </c>
    </row>
    <row r="2" spans="1:10" x14ac:dyDescent="0.25">
      <c r="E2" t="str">
        <f>IF(OR(Full_Data!H2&lt;=0,Full_Data!G2=""),"Check data",IF(ROUND(Full_Data!G2/Full_Data!H2,2)=ROUND(Full_Data!I2,2),"Match","Mismatch"))</f>
        <v>Match</v>
      </c>
      <c r="F2" t="str">
        <f>IFERROR(INDEX(Full_Data!A$2:A$1831,MATCH("Check data",Full_Data!Q$2:Q$1831,0)+COUNTIF(Full_Data!Q$2:Q$1831,"Match")+COUNTIF(Full_Data!Q$2:Q$1831,"Mismatch")),"No records found")</f>
        <v>No records found</v>
      </c>
      <c r="G2" t="str">
        <f>IF(OR(Full_Data!C2&lt;=0,Full_Data!G2=""),"Check data",IF(ROUND((Full_Data!C2-Full_Data!G2)/Full_Data!C2*100,2)=ROUND(Full_Data!D2,2),"Match","Mismatch"))</f>
        <v>Match</v>
      </c>
      <c r="I2">
        <f>SUMPRODUCT(--(MOD(Full_Data!D2:D1831,1)&lt;&gt;0))</f>
        <v>0</v>
      </c>
      <c r="J2" t="str">
        <f>INDEX(Full_Data!A$2:A$1831,MATCH("Mismatch",Full_Data!S$2:S$1831,0))</f>
        <v>Tomato Hybrid</v>
      </c>
    </row>
    <row r="3" spans="1:10" x14ac:dyDescent="0.25">
      <c r="A3" t="s">
        <v>1754</v>
      </c>
      <c r="B3" t="s">
        <v>1755</v>
      </c>
    </row>
    <row r="4" spans="1:10" x14ac:dyDescent="0.25">
      <c r="A4" t="s">
        <v>1756</v>
      </c>
      <c r="B4">
        <f>COUNTA(Full_Data!A2:A1831)</f>
        <v>1830</v>
      </c>
      <c r="G4" t="str">
        <f>INDEX(Full_Data!A$2:A$1831,MATCH("Mismatch",Full_Data!R$2:R$1831,0))</f>
        <v>Tomato Hybrid</v>
      </c>
    </row>
    <row r="5" spans="1:10" x14ac:dyDescent="0.25">
      <c r="A5" t="s">
        <v>1757</v>
      </c>
      <c r="B5">
        <f>COUNTIF(Full_Data!B2:B1831,0)</f>
        <v>1</v>
      </c>
      <c r="E5" t="s">
        <v>1782</v>
      </c>
      <c r="F5">
        <f>COUNTIF(Full_Data[Discount Validation],"Match")</f>
        <v>872</v>
      </c>
      <c r="I5" t="s">
        <v>1789</v>
      </c>
      <c r="J5">
        <f>COUNTIF(Full_Data!D2:D1831,0)</f>
        <v>539</v>
      </c>
    </row>
    <row r="6" spans="1:10" x14ac:dyDescent="0.25">
      <c r="A6" t="s">
        <v>1758</v>
      </c>
      <c r="B6">
        <f>COUNTIF(Full_Data[Weight (g)],0)</f>
        <v>2</v>
      </c>
      <c r="E6" t="s">
        <v>1776</v>
      </c>
      <c r="F6">
        <f>COUNTIF(Full_Data!R1:R1831,"Mismatch")</f>
        <v>957</v>
      </c>
      <c r="J6">
        <f>SUMPRODUCT(--(Full_Data!D2:D1831=0),--(Full_Data!C2:C1831&lt;&gt;Full_Data!G2:G1831))</f>
        <v>5</v>
      </c>
    </row>
    <row r="7" spans="1:10" x14ac:dyDescent="0.25">
      <c r="A7" t="s">
        <v>1759</v>
      </c>
      <c r="B7">
        <f>COUNTIF(Full_Data[Selling Price],0)</f>
        <v>1</v>
      </c>
      <c r="E7" t="s">
        <v>1783</v>
      </c>
      <c r="F7">
        <f>COUNTIF(Full_Data!R1:R1831,"Check data")</f>
        <v>1</v>
      </c>
    </row>
    <row r="8" spans="1:10" x14ac:dyDescent="0.25">
      <c r="A8" t="s">
        <v>1760</v>
      </c>
      <c r="B8">
        <f>COUNTBLANK(Full_Data[Weight (g)])</f>
        <v>0</v>
      </c>
    </row>
    <row r="9" spans="1:10" x14ac:dyDescent="0.25">
      <c r="A9" t="s">
        <v>1761</v>
      </c>
      <c r="B9">
        <f>COUNTIF(Full_Data[Out Of Stock],"False")</f>
        <v>1612</v>
      </c>
      <c r="E9" t="s">
        <v>1786</v>
      </c>
      <c r="F9">
        <f>COUNTIF(Full_Data[Discount Validation — Whole %],"Match")</f>
        <v>1353</v>
      </c>
    </row>
    <row r="10" spans="1:10" x14ac:dyDescent="0.25">
      <c r="A10" t="s">
        <v>1769</v>
      </c>
      <c r="B10">
        <f>COUNTIF(Full_Data!J2:J1831,TRUE)+COUNTIF(Full_Data!J2:J1831,FALSE)</f>
        <v>1830</v>
      </c>
      <c r="E10" t="s">
        <v>1787</v>
      </c>
      <c r="F10">
        <f>COUNTIF(Full_Data[Discount Validation — Whole %],"Mismatch")</f>
        <v>476</v>
      </c>
    </row>
    <row r="11" spans="1:10" x14ac:dyDescent="0.25">
      <c r="A11" t="s">
        <v>1770</v>
      </c>
      <c r="B11">
        <f>COUNTBLANK(Full_Data!A2:A1831)</f>
        <v>0</v>
      </c>
      <c r="E11" t="s">
        <v>1788</v>
      </c>
      <c r="F11">
        <f>COUNTIF(Full_Data[Discount Validation — Whole %],"Check data")</f>
        <v>1</v>
      </c>
    </row>
    <row r="12" spans="1:10" x14ac:dyDescent="0.25">
      <c r="A12" t="s">
        <v>1771</v>
      </c>
      <c r="B12">
        <f>COUNTBLANK(Full_Data!G2:G1831)</f>
        <v>0</v>
      </c>
    </row>
    <row r="14" spans="1:10" x14ac:dyDescent="0.25">
      <c r="A14" t="s">
        <v>1763</v>
      </c>
      <c r="B14" t="s">
        <v>1764</v>
      </c>
    </row>
    <row r="15" spans="1:10" x14ac:dyDescent="0.25">
      <c r="A15" t="s">
        <v>1765</v>
      </c>
      <c r="B15" t="s">
        <v>1725</v>
      </c>
    </row>
    <row r="16" spans="1:10" x14ac:dyDescent="0.25">
      <c r="A16" t="s">
        <v>1766</v>
      </c>
      <c r="B16" t="str">
        <f>Full_Data!A2</f>
        <v>Onion</v>
      </c>
    </row>
    <row r="17" spans="1:2" x14ac:dyDescent="0.25">
      <c r="A17" t="s">
        <v>1767</v>
      </c>
      <c r="B17" t="s">
        <v>1728</v>
      </c>
    </row>
    <row r="18" spans="1:2" x14ac:dyDescent="0.25">
      <c r="A18" t="s">
        <v>1768</v>
      </c>
      <c r="B18">
        <f>VLOOKUP(B16,Full_Data!$A$2:$G$1831,7,)</f>
        <v>21</v>
      </c>
    </row>
    <row r="19" spans="1:2" x14ac:dyDescent="0.25">
      <c r="A19" t="s">
        <v>126</v>
      </c>
    </row>
    <row r="20" spans="1:2" x14ac:dyDescent="0.25">
      <c r="A20" t="s">
        <v>1731</v>
      </c>
      <c r="B20">
        <f>VLOOKUP(A19,Full_Data!$A$2:$H$1831,8,FALSE)</f>
        <v>100</v>
      </c>
    </row>
    <row r="23" spans="1:2" x14ac:dyDescent="0.25">
      <c r="A23" t="s">
        <v>1775</v>
      </c>
      <c r="B23">
        <f>COUNTIF(Full_Data!Q2:Q1831,"Match")</f>
        <v>1828</v>
      </c>
    </row>
    <row r="24" spans="1:2" x14ac:dyDescent="0.25">
      <c r="A24" t="s">
        <v>1776</v>
      </c>
      <c r="B24">
        <f>COUNTIF(Full_Data!Q2:Q1831,"Mismatch")</f>
        <v>0</v>
      </c>
    </row>
    <row r="25" spans="1:2" x14ac:dyDescent="0.25">
      <c r="A25" t="s">
        <v>1777</v>
      </c>
      <c r="B25">
        <f>COUNTIF(Full_Data!Q2:Q1831,"Check data")</f>
        <v>0</v>
      </c>
    </row>
    <row r="26" spans="1:2" x14ac:dyDescent="0.25">
      <c r="A26" t="s">
        <v>1778</v>
      </c>
      <c r="B26" t="str">
        <f>IFERROR(INDEX(Full_Data!A$2:A$1831,MATCH("Check data",Full_Data!Q$2:Q$1831,0)),"No records found")</f>
        <v>No records found</v>
      </c>
    </row>
    <row r="33" spans="2:2" x14ac:dyDescent="0.25">
      <c r="B33" t="s">
        <v>1779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4DEC-35DA-46EF-90F0-3409ACDAA2ED}">
  <sheetPr codeName="Sheet17"/>
  <dimension ref="A1"/>
  <sheetViews>
    <sheetView tabSelected="1" zoomScale="25" zoomScaleNormal="25" workbookViewId="0">
      <selection activeCell="BN32" sqref="BN32"/>
    </sheetView>
  </sheetViews>
  <sheetFormatPr defaultRowHeight="15" x14ac:dyDescent="0.25"/>
  <cols>
    <col min="1" max="16384" width="9.1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515"/>
  <sheetViews>
    <sheetView topLeftCell="A509" workbookViewId="0">
      <selection activeCell="A515" sqref="A515"/>
    </sheetView>
  </sheetViews>
  <sheetFormatPr defaultRowHeight="15" x14ac:dyDescent="0.25"/>
  <cols>
    <col min="1" max="1" width="75.42578125" bestFit="1" customWidth="1"/>
    <col min="9" max="9" width="17.5703125" bestFit="1" customWidth="1"/>
  </cols>
  <sheetData>
    <row r="1" spans="1:9" x14ac:dyDescent="0.25">
      <c r="A1" s="1" t="s">
        <v>0</v>
      </c>
      <c r="B1" s="1" t="s">
        <v>1</v>
      </c>
      <c r="C1" s="1" t="s">
        <v>2</v>
      </c>
      <c r="D1" s="1" t="s">
        <v>3</v>
      </c>
      <c r="E1" s="1" t="s">
        <v>4</v>
      </c>
      <c r="F1" s="1" t="s">
        <v>5</v>
      </c>
      <c r="G1" s="1" t="s">
        <v>6</v>
      </c>
      <c r="H1" s="1" t="s">
        <v>7</v>
      </c>
    </row>
    <row r="2" spans="1:9" x14ac:dyDescent="0.25">
      <c r="A2" t="s">
        <v>97</v>
      </c>
      <c r="B2">
        <v>1200</v>
      </c>
      <c r="C2">
        <v>0</v>
      </c>
      <c r="D2">
        <v>6</v>
      </c>
      <c r="E2">
        <v>1200</v>
      </c>
      <c r="F2">
        <v>70</v>
      </c>
      <c r="G2" t="b">
        <v>0</v>
      </c>
      <c r="H2">
        <v>70</v>
      </c>
      <c r="I2" t="s">
        <v>1743</v>
      </c>
    </row>
    <row r="3" spans="1:9" x14ac:dyDescent="0.25">
      <c r="A3" t="s">
        <v>98</v>
      </c>
      <c r="B3">
        <v>8000</v>
      </c>
      <c r="C3">
        <v>15</v>
      </c>
      <c r="D3">
        <v>6</v>
      </c>
      <c r="E3">
        <v>6800</v>
      </c>
      <c r="F3">
        <v>1000</v>
      </c>
      <c r="G3" t="b">
        <v>0</v>
      </c>
      <c r="H3">
        <v>1</v>
      </c>
      <c r="I3" t="s">
        <v>1743</v>
      </c>
    </row>
    <row r="4" spans="1:9" x14ac:dyDescent="0.25">
      <c r="A4" t="s">
        <v>99</v>
      </c>
      <c r="B4">
        <v>2400</v>
      </c>
      <c r="C4">
        <v>0</v>
      </c>
      <c r="D4">
        <v>6</v>
      </c>
      <c r="E4">
        <v>2400</v>
      </c>
      <c r="F4">
        <v>1000</v>
      </c>
      <c r="G4" t="b">
        <v>0</v>
      </c>
      <c r="H4">
        <v>1</v>
      </c>
      <c r="I4" t="s">
        <v>1743</v>
      </c>
    </row>
    <row r="5" spans="1:9" x14ac:dyDescent="0.25">
      <c r="A5" t="s">
        <v>100</v>
      </c>
      <c r="B5">
        <v>9700</v>
      </c>
      <c r="C5">
        <v>0</v>
      </c>
      <c r="D5">
        <v>4</v>
      </c>
      <c r="E5">
        <v>9700</v>
      </c>
      <c r="F5">
        <v>696</v>
      </c>
      <c r="G5" t="b">
        <v>0</v>
      </c>
      <c r="H5">
        <v>12</v>
      </c>
      <c r="I5" t="s">
        <v>1743</v>
      </c>
    </row>
    <row r="6" spans="1:9" x14ac:dyDescent="0.25">
      <c r="A6" t="s">
        <v>100</v>
      </c>
      <c r="B6">
        <v>6500</v>
      </c>
      <c r="C6">
        <v>15</v>
      </c>
      <c r="D6">
        <v>4</v>
      </c>
      <c r="E6">
        <v>5500</v>
      </c>
      <c r="F6">
        <v>348</v>
      </c>
      <c r="G6" t="b">
        <v>0</v>
      </c>
      <c r="H6">
        <v>6</v>
      </c>
      <c r="I6" t="s">
        <v>1743</v>
      </c>
    </row>
    <row r="7" spans="1:9" x14ac:dyDescent="0.25">
      <c r="A7" t="s">
        <v>101</v>
      </c>
      <c r="B7">
        <v>23000</v>
      </c>
      <c r="C7">
        <v>4</v>
      </c>
      <c r="D7">
        <v>6</v>
      </c>
      <c r="E7">
        <v>21900</v>
      </c>
      <c r="F7">
        <v>1000</v>
      </c>
      <c r="G7" t="b">
        <v>0</v>
      </c>
      <c r="H7">
        <v>1</v>
      </c>
      <c r="I7" t="s">
        <v>1743</v>
      </c>
    </row>
    <row r="8" spans="1:9" x14ac:dyDescent="0.25">
      <c r="A8" t="s">
        <v>102</v>
      </c>
      <c r="B8">
        <v>25000</v>
      </c>
      <c r="C8">
        <v>2</v>
      </c>
      <c r="D8">
        <v>6</v>
      </c>
      <c r="E8">
        <v>24500</v>
      </c>
      <c r="F8">
        <v>5000</v>
      </c>
      <c r="G8" t="b">
        <v>0</v>
      </c>
      <c r="H8">
        <v>5</v>
      </c>
      <c r="I8" t="s">
        <v>1743</v>
      </c>
    </row>
    <row r="9" spans="1:9" x14ac:dyDescent="0.25">
      <c r="A9" t="s">
        <v>103</v>
      </c>
      <c r="B9">
        <v>25500</v>
      </c>
      <c r="C9">
        <v>2</v>
      </c>
      <c r="D9">
        <v>6</v>
      </c>
      <c r="E9">
        <v>24900</v>
      </c>
      <c r="F9">
        <v>500</v>
      </c>
      <c r="G9" t="b">
        <v>0</v>
      </c>
      <c r="H9">
        <v>500</v>
      </c>
      <c r="I9" t="s">
        <v>1743</v>
      </c>
    </row>
    <row r="10" spans="1:9" x14ac:dyDescent="0.25">
      <c r="A10" t="s">
        <v>104</v>
      </c>
      <c r="B10">
        <v>8500</v>
      </c>
      <c r="C10">
        <v>7</v>
      </c>
      <c r="D10">
        <v>4</v>
      </c>
      <c r="E10">
        <v>7900</v>
      </c>
      <c r="F10">
        <v>348</v>
      </c>
      <c r="G10" t="b">
        <v>0</v>
      </c>
      <c r="H10">
        <v>6</v>
      </c>
      <c r="I10" t="s">
        <v>1743</v>
      </c>
    </row>
    <row r="11" spans="1:9" x14ac:dyDescent="0.25">
      <c r="A11" t="s">
        <v>105</v>
      </c>
      <c r="B11">
        <v>4000</v>
      </c>
      <c r="C11">
        <v>10</v>
      </c>
      <c r="D11">
        <v>6</v>
      </c>
      <c r="E11">
        <v>3600</v>
      </c>
      <c r="F11">
        <v>1000</v>
      </c>
      <c r="G11" t="b">
        <v>0</v>
      </c>
      <c r="H11">
        <v>1</v>
      </c>
      <c r="I11" t="s">
        <v>1743</v>
      </c>
    </row>
    <row r="12" spans="1:9" x14ac:dyDescent="0.25">
      <c r="A12" t="s">
        <v>106</v>
      </c>
      <c r="B12">
        <v>21500</v>
      </c>
      <c r="C12">
        <v>0</v>
      </c>
      <c r="D12">
        <v>6</v>
      </c>
      <c r="E12">
        <v>21500</v>
      </c>
      <c r="F12">
        <v>1000</v>
      </c>
      <c r="G12" t="b">
        <v>0</v>
      </c>
      <c r="H12">
        <v>1</v>
      </c>
      <c r="I12" t="s">
        <v>1743</v>
      </c>
    </row>
    <row r="13" spans="1:9" x14ac:dyDescent="0.25">
      <c r="A13" t="s">
        <v>107</v>
      </c>
      <c r="B13">
        <v>92500</v>
      </c>
      <c r="C13">
        <v>0</v>
      </c>
      <c r="D13">
        <v>6</v>
      </c>
      <c r="E13">
        <v>92500</v>
      </c>
      <c r="F13">
        <v>5000</v>
      </c>
      <c r="G13" t="b">
        <v>0</v>
      </c>
      <c r="H13">
        <v>5</v>
      </c>
      <c r="I13" t="s">
        <v>1743</v>
      </c>
    </row>
    <row r="14" spans="1:9" x14ac:dyDescent="0.25">
      <c r="A14" t="s">
        <v>108</v>
      </c>
      <c r="B14">
        <v>22500</v>
      </c>
      <c r="C14">
        <v>11</v>
      </c>
      <c r="D14">
        <v>6</v>
      </c>
      <c r="E14">
        <v>19900</v>
      </c>
      <c r="F14">
        <v>1000</v>
      </c>
      <c r="G14" t="b">
        <v>0</v>
      </c>
      <c r="H14">
        <v>1</v>
      </c>
      <c r="I14" t="s">
        <v>1743</v>
      </c>
    </row>
    <row r="15" spans="1:9" x14ac:dyDescent="0.25">
      <c r="A15" t="s">
        <v>109</v>
      </c>
      <c r="B15">
        <v>21000</v>
      </c>
      <c r="C15">
        <v>0</v>
      </c>
      <c r="D15">
        <v>6</v>
      </c>
      <c r="E15">
        <v>21000</v>
      </c>
      <c r="F15">
        <v>1000</v>
      </c>
      <c r="G15" t="b">
        <v>0</v>
      </c>
      <c r="H15">
        <v>1</v>
      </c>
      <c r="I15" t="s">
        <v>1743</v>
      </c>
    </row>
    <row r="16" spans="1:9" x14ac:dyDescent="0.25">
      <c r="A16" t="s">
        <v>103</v>
      </c>
      <c r="B16">
        <v>50500</v>
      </c>
      <c r="C16">
        <v>1</v>
      </c>
      <c r="D16">
        <v>2</v>
      </c>
      <c r="E16">
        <v>49900</v>
      </c>
      <c r="F16">
        <v>1000</v>
      </c>
      <c r="G16" t="b">
        <v>0</v>
      </c>
      <c r="H16">
        <v>1</v>
      </c>
      <c r="I16" t="s">
        <v>1743</v>
      </c>
    </row>
    <row r="17" spans="1:9" x14ac:dyDescent="0.25">
      <c r="A17" t="s">
        <v>110</v>
      </c>
      <c r="B17">
        <v>46000</v>
      </c>
      <c r="C17">
        <v>13</v>
      </c>
      <c r="D17">
        <v>6</v>
      </c>
      <c r="E17">
        <v>39900</v>
      </c>
      <c r="F17">
        <v>10000</v>
      </c>
      <c r="G17" t="b">
        <v>0</v>
      </c>
      <c r="H17">
        <v>10</v>
      </c>
      <c r="I17" t="s">
        <v>1743</v>
      </c>
    </row>
    <row r="18" spans="1:9" x14ac:dyDescent="0.25">
      <c r="A18" t="s">
        <v>111</v>
      </c>
      <c r="B18">
        <v>16000</v>
      </c>
      <c r="C18">
        <v>6</v>
      </c>
      <c r="D18">
        <v>4</v>
      </c>
      <c r="E18">
        <v>14900</v>
      </c>
      <c r="F18">
        <v>1000</v>
      </c>
      <c r="G18" t="b">
        <v>0</v>
      </c>
      <c r="H18">
        <v>1</v>
      </c>
      <c r="I18" t="s">
        <v>1743</v>
      </c>
    </row>
    <row r="19" spans="1:9" x14ac:dyDescent="0.25">
      <c r="A19" t="s">
        <v>112</v>
      </c>
      <c r="B19">
        <v>52000</v>
      </c>
      <c r="C19">
        <v>2</v>
      </c>
      <c r="D19">
        <v>6</v>
      </c>
      <c r="E19">
        <v>50900</v>
      </c>
      <c r="F19">
        <v>1000</v>
      </c>
      <c r="G19" t="b">
        <v>0</v>
      </c>
      <c r="H19">
        <v>1</v>
      </c>
      <c r="I19" t="s">
        <v>1743</v>
      </c>
    </row>
    <row r="20" spans="1:9" x14ac:dyDescent="0.25">
      <c r="A20" t="s">
        <v>113</v>
      </c>
      <c r="B20">
        <v>19700</v>
      </c>
      <c r="C20">
        <v>3</v>
      </c>
      <c r="D20">
        <v>3</v>
      </c>
      <c r="E20">
        <v>19100</v>
      </c>
      <c r="F20">
        <v>1000</v>
      </c>
      <c r="G20" t="b">
        <v>0</v>
      </c>
      <c r="H20">
        <v>1</v>
      </c>
      <c r="I20" t="s">
        <v>1743</v>
      </c>
    </row>
    <row r="21" spans="1:9" x14ac:dyDescent="0.25">
      <c r="A21" t="s">
        <v>114</v>
      </c>
      <c r="B21">
        <v>5000</v>
      </c>
      <c r="C21">
        <v>2</v>
      </c>
      <c r="D21">
        <v>6</v>
      </c>
      <c r="E21">
        <v>4900</v>
      </c>
      <c r="F21">
        <v>450</v>
      </c>
      <c r="G21" t="b">
        <v>0</v>
      </c>
      <c r="H21">
        <v>450</v>
      </c>
      <c r="I21" t="s">
        <v>1743</v>
      </c>
    </row>
    <row r="22" spans="1:9" x14ac:dyDescent="0.25">
      <c r="A22" t="s">
        <v>115</v>
      </c>
      <c r="B22">
        <v>6400</v>
      </c>
      <c r="C22">
        <v>3</v>
      </c>
      <c r="D22">
        <v>2</v>
      </c>
      <c r="E22">
        <v>6200</v>
      </c>
      <c r="F22">
        <v>1000</v>
      </c>
      <c r="G22" t="b">
        <v>0</v>
      </c>
      <c r="H22">
        <v>1</v>
      </c>
      <c r="I22" t="s">
        <v>1743</v>
      </c>
    </row>
    <row r="23" spans="1:9" x14ac:dyDescent="0.25">
      <c r="A23" t="s">
        <v>116</v>
      </c>
      <c r="B23">
        <v>100500</v>
      </c>
      <c r="C23">
        <v>0</v>
      </c>
      <c r="D23">
        <v>6</v>
      </c>
      <c r="E23">
        <v>99900</v>
      </c>
      <c r="F23">
        <v>5000</v>
      </c>
      <c r="G23" t="b">
        <v>0</v>
      </c>
      <c r="H23">
        <v>5</v>
      </c>
      <c r="I23" t="s">
        <v>1743</v>
      </c>
    </row>
    <row r="24" spans="1:9" x14ac:dyDescent="0.25">
      <c r="A24" t="s">
        <v>117</v>
      </c>
      <c r="B24">
        <v>2500</v>
      </c>
      <c r="C24">
        <v>0</v>
      </c>
      <c r="D24">
        <v>6</v>
      </c>
      <c r="E24">
        <v>2500</v>
      </c>
      <c r="F24">
        <v>50</v>
      </c>
      <c r="G24" t="b">
        <v>0</v>
      </c>
      <c r="H24">
        <v>50</v>
      </c>
      <c r="I24" t="s">
        <v>1743</v>
      </c>
    </row>
    <row r="25" spans="1:9" x14ac:dyDescent="0.25">
      <c r="A25" t="s">
        <v>118</v>
      </c>
      <c r="B25">
        <v>18500</v>
      </c>
      <c r="C25">
        <v>1</v>
      </c>
      <c r="D25">
        <v>4</v>
      </c>
      <c r="E25">
        <v>18300</v>
      </c>
      <c r="F25">
        <v>1000</v>
      </c>
      <c r="G25" t="b">
        <v>0</v>
      </c>
      <c r="H25">
        <v>500</v>
      </c>
      <c r="I25" t="s">
        <v>1743</v>
      </c>
    </row>
    <row r="26" spans="1:9" x14ac:dyDescent="0.25">
      <c r="A26" t="s">
        <v>119</v>
      </c>
      <c r="B26">
        <v>23000</v>
      </c>
      <c r="C26">
        <v>11</v>
      </c>
      <c r="D26">
        <v>6</v>
      </c>
      <c r="E26">
        <v>20300</v>
      </c>
      <c r="F26">
        <v>1000</v>
      </c>
      <c r="G26" t="b">
        <v>0</v>
      </c>
      <c r="H26">
        <v>1</v>
      </c>
      <c r="I26" t="s">
        <v>1743</v>
      </c>
    </row>
    <row r="27" spans="1:9" x14ac:dyDescent="0.25">
      <c r="A27" t="s">
        <v>120</v>
      </c>
      <c r="B27">
        <v>120000</v>
      </c>
      <c r="C27">
        <v>18</v>
      </c>
      <c r="D27">
        <v>6</v>
      </c>
      <c r="E27">
        <v>98400</v>
      </c>
      <c r="F27">
        <v>5000</v>
      </c>
      <c r="G27" t="b">
        <v>0</v>
      </c>
      <c r="H27">
        <v>5</v>
      </c>
      <c r="I27" t="s">
        <v>1743</v>
      </c>
    </row>
    <row r="28" spans="1:9" x14ac:dyDescent="0.25">
      <c r="A28" t="s">
        <v>121</v>
      </c>
      <c r="B28">
        <v>8000</v>
      </c>
      <c r="C28">
        <v>15</v>
      </c>
      <c r="D28">
        <v>6</v>
      </c>
      <c r="E28">
        <v>6800</v>
      </c>
      <c r="F28">
        <v>500</v>
      </c>
      <c r="G28" t="b">
        <v>0</v>
      </c>
      <c r="H28">
        <v>500</v>
      </c>
      <c r="I28" t="s">
        <v>1743</v>
      </c>
    </row>
    <row r="29" spans="1:9" x14ac:dyDescent="0.25">
      <c r="A29" t="s">
        <v>122</v>
      </c>
      <c r="B29">
        <v>9400</v>
      </c>
      <c r="C29">
        <v>0</v>
      </c>
      <c r="D29">
        <v>1</v>
      </c>
      <c r="E29">
        <v>9400</v>
      </c>
      <c r="F29">
        <v>500</v>
      </c>
      <c r="G29" t="b">
        <v>0</v>
      </c>
      <c r="H29">
        <v>500</v>
      </c>
      <c r="I29" t="s">
        <v>1743</v>
      </c>
    </row>
    <row r="30" spans="1:9" x14ac:dyDescent="0.25">
      <c r="A30" t="s">
        <v>123</v>
      </c>
      <c r="B30">
        <v>125000</v>
      </c>
      <c r="C30">
        <v>8</v>
      </c>
      <c r="D30">
        <v>6</v>
      </c>
      <c r="E30">
        <v>114300</v>
      </c>
      <c r="F30">
        <v>5000</v>
      </c>
      <c r="G30" t="b">
        <v>0</v>
      </c>
      <c r="H30">
        <v>5</v>
      </c>
      <c r="I30" t="s">
        <v>1743</v>
      </c>
    </row>
    <row r="31" spans="1:9" x14ac:dyDescent="0.25">
      <c r="A31" t="s">
        <v>124</v>
      </c>
      <c r="B31">
        <v>5400</v>
      </c>
      <c r="C31">
        <v>5</v>
      </c>
      <c r="D31">
        <v>6</v>
      </c>
      <c r="E31">
        <v>5100</v>
      </c>
      <c r="F31">
        <v>200</v>
      </c>
      <c r="G31" t="b">
        <v>0</v>
      </c>
      <c r="H31">
        <v>200</v>
      </c>
      <c r="I31" t="s">
        <v>1743</v>
      </c>
    </row>
    <row r="32" spans="1:9" x14ac:dyDescent="0.25">
      <c r="A32" t="s">
        <v>125</v>
      </c>
      <c r="B32">
        <v>1500</v>
      </c>
      <c r="C32">
        <v>0</v>
      </c>
      <c r="D32">
        <v>3</v>
      </c>
      <c r="E32">
        <v>1500</v>
      </c>
      <c r="F32">
        <v>60</v>
      </c>
      <c r="G32" t="b">
        <v>0</v>
      </c>
      <c r="H32">
        <v>60</v>
      </c>
      <c r="I32" t="s">
        <v>1743</v>
      </c>
    </row>
    <row r="33" spans="1:9" x14ac:dyDescent="0.25">
      <c r="A33" t="s">
        <v>126</v>
      </c>
      <c r="B33">
        <v>2500</v>
      </c>
      <c r="C33">
        <v>8</v>
      </c>
      <c r="D33">
        <v>3</v>
      </c>
      <c r="E33">
        <v>2300</v>
      </c>
      <c r="F33">
        <v>100</v>
      </c>
      <c r="G33" t="b">
        <v>0</v>
      </c>
      <c r="H33">
        <v>100</v>
      </c>
      <c r="I33" t="s">
        <v>1743</v>
      </c>
    </row>
    <row r="34" spans="1:9" x14ac:dyDescent="0.25">
      <c r="A34" t="s">
        <v>127</v>
      </c>
      <c r="B34">
        <v>1500</v>
      </c>
      <c r="C34">
        <v>0</v>
      </c>
      <c r="D34">
        <v>6</v>
      </c>
      <c r="E34">
        <v>1500</v>
      </c>
      <c r="F34">
        <v>60</v>
      </c>
      <c r="G34" t="b">
        <v>0</v>
      </c>
      <c r="H34">
        <v>60</v>
      </c>
      <c r="I34" t="s">
        <v>1743</v>
      </c>
    </row>
    <row r="35" spans="1:9" x14ac:dyDescent="0.25">
      <c r="A35" t="s">
        <v>128</v>
      </c>
      <c r="B35">
        <v>31500</v>
      </c>
      <c r="C35">
        <v>1</v>
      </c>
      <c r="D35">
        <v>6</v>
      </c>
      <c r="E35">
        <v>30900</v>
      </c>
      <c r="F35">
        <v>500</v>
      </c>
      <c r="G35" t="b">
        <v>0</v>
      </c>
      <c r="H35">
        <v>500</v>
      </c>
      <c r="I35" t="s">
        <v>1743</v>
      </c>
    </row>
    <row r="36" spans="1:9" x14ac:dyDescent="0.25">
      <c r="A36" t="s">
        <v>129</v>
      </c>
      <c r="B36">
        <v>9200</v>
      </c>
      <c r="C36">
        <v>4</v>
      </c>
      <c r="D36">
        <v>4</v>
      </c>
      <c r="E36">
        <v>8800</v>
      </c>
      <c r="F36">
        <v>500</v>
      </c>
      <c r="G36" t="b">
        <v>0</v>
      </c>
      <c r="H36">
        <v>500</v>
      </c>
      <c r="I36" t="s">
        <v>1743</v>
      </c>
    </row>
    <row r="37" spans="1:9" x14ac:dyDescent="0.25">
      <c r="A37" t="s">
        <v>130</v>
      </c>
      <c r="B37">
        <v>6400</v>
      </c>
      <c r="C37">
        <v>0</v>
      </c>
      <c r="D37">
        <v>6</v>
      </c>
      <c r="E37">
        <v>6400</v>
      </c>
      <c r="F37">
        <v>1000</v>
      </c>
      <c r="G37" t="b">
        <v>0</v>
      </c>
      <c r="H37">
        <v>1</v>
      </c>
      <c r="I37" t="s">
        <v>1743</v>
      </c>
    </row>
    <row r="38" spans="1:9" x14ac:dyDescent="0.25">
      <c r="A38" t="s">
        <v>131</v>
      </c>
      <c r="B38">
        <v>1500</v>
      </c>
      <c r="C38">
        <v>0</v>
      </c>
      <c r="D38">
        <v>4</v>
      </c>
      <c r="E38">
        <v>1500</v>
      </c>
      <c r="F38">
        <v>100</v>
      </c>
      <c r="G38" t="b">
        <v>0</v>
      </c>
      <c r="H38">
        <v>100</v>
      </c>
      <c r="I38" t="s">
        <v>1743</v>
      </c>
    </row>
    <row r="39" spans="1:9" x14ac:dyDescent="0.25">
      <c r="A39" t="s">
        <v>132</v>
      </c>
      <c r="B39">
        <v>59800</v>
      </c>
      <c r="C39">
        <v>3</v>
      </c>
      <c r="D39">
        <v>6</v>
      </c>
      <c r="E39">
        <v>57900</v>
      </c>
      <c r="F39">
        <v>1000</v>
      </c>
      <c r="G39" t="b">
        <v>0</v>
      </c>
      <c r="H39">
        <v>1</v>
      </c>
      <c r="I39" t="s">
        <v>1743</v>
      </c>
    </row>
    <row r="40" spans="1:9" x14ac:dyDescent="0.25">
      <c r="A40" t="s">
        <v>133</v>
      </c>
      <c r="B40">
        <v>2000</v>
      </c>
      <c r="C40">
        <v>0</v>
      </c>
      <c r="D40">
        <v>1</v>
      </c>
      <c r="E40">
        <v>2000</v>
      </c>
      <c r="F40">
        <v>70</v>
      </c>
      <c r="G40" t="b">
        <v>0</v>
      </c>
      <c r="H40">
        <v>70</v>
      </c>
      <c r="I40" t="s">
        <v>1743</v>
      </c>
    </row>
    <row r="41" spans="1:9" x14ac:dyDescent="0.25">
      <c r="A41" t="s">
        <v>134</v>
      </c>
      <c r="B41">
        <v>6000</v>
      </c>
      <c r="C41">
        <v>0</v>
      </c>
      <c r="D41">
        <v>6</v>
      </c>
      <c r="E41">
        <v>6000</v>
      </c>
      <c r="F41">
        <v>1000</v>
      </c>
      <c r="G41" t="b">
        <v>0</v>
      </c>
      <c r="H41">
        <v>1</v>
      </c>
      <c r="I41" t="s">
        <v>1743</v>
      </c>
    </row>
    <row r="42" spans="1:9" x14ac:dyDescent="0.25">
      <c r="A42" t="s">
        <v>135</v>
      </c>
      <c r="B42">
        <v>21600</v>
      </c>
      <c r="C42">
        <v>7</v>
      </c>
      <c r="D42">
        <v>6</v>
      </c>
      <c r="E42">
        <v>19900</v>
      </c>
      <c r="F42">
        <v>1000</v>
      </c>
      <c r="G42" t="b">
        <v>0</v>
      </c>
      <c r="H42">
        <v>1</v>
      </c>
      <c r="I42" t="s">
        <v>1743</v>
      </c>
    </row>
    <row r="43" spans="1:9" x14ac:dyDescent="0.25">
      <c r="A43" t="s">
        <v>136</v>
      </c>
      <c r="B43">
        <v>1500</v>
      </c>
      <c r="C43">
        <v>0</v>
      </c>
      <c r="D43">
        <v>6</v>
      </c>
      <c r="E43">
        <v>1500</v>
      </c>
      <c r="F43">
        <v>38</v>
      </c>
      <c r="G43" t="b">
        <v>0</v>
      </c>
      <c r="H43">
        <v>38</v>
      </c>
      <c r="I43" t="s">
        <v>1743</v>
      </c>
    </row>
    <row r="44" spans="1:9" x14ac:dyDescent="0.25">
      <c r="A44" t="s">
        <v>137</v>
      </c>
      <c r="B44">
        <v>2300</v>
      </c>
      <c r="C44">
        <v>0</v>
      </c>
      <c r="D44">
        <v>6</v>
      </c>
      <c r="E44">
        <v>2300</v>
      </c>
      <c r="F44">
        <v>200</v>
      </c>
      <c r="G44" t="b">
        <v>0</v>
      </c>
      <c r="H44">
        <v>200</v>
      </c>
      <c r="I44" t="s">
        <v>1743</v>
      </c>
    </row>
    <row r="45" spans="1:9" x14ac:dyDescent="0.25">
      <c r="A45" t="s">
        <v>138</v>
      </c>
      <c r="B45">
        <v>7900</v>
      </c>
      <c r="C45">
        <v>0</v>
      </c>
      <c r="D45">
        <v>2</v>
      </c>
      <c r="E45">
        <v>7900</v>
      </c>
      <c r="F45">
        <v>400</v>
      </c>
      <c r="G45" t="b">
        <v>0</v>
      </c>
      <c r="H45">
        <v>400</v>
      </c>
      <c r="I45" t="s">
        <v>1743</v>
      </c>
    </row>
    <row r="46" spans="1:9" x14ac:dyDescent="0.25">
      <c r="A46" t="s">
        <v>139</v>
      </c>
      <c r="B46">
        <v>31500</v>
      </c>
      <c r="C46">
        <v>10</v>
      </c>
      <c r="D46">
        <v>6</v>
      </c>
      <c r="E46">
        <v>28300</v>
      </c>
      <c r="F46">
        <v>5000</v>
      </c>
      <c r="G46" t="b">
        <v>0</v>
      </c>
      <c r="H46">
        <v>5</v>
      </c>
      <c r="I46" t="s">
        <v>1743</v>
      </c>
    </row>
    <row r="47" spans="1:9" x14ac:dyDescent="0.25">
      <c r="A47" t="s">
        <v>134</v>
      </c>
      <c r="B47">
        <v>29500</v>
      </c>
      <c r="C47">
        <v>10</v>
      </c>
      <c r="D47">
        <v>6</v>
      </c>
      <c r="E47">
        <v>26500</v>
      </c>
      <c r="F47">
        <v>5000</v>
      </c>
      <c r="G47" t="b">
        <v>0</v>
      </c>
      <c r="H47">
        <v>5</v>
      </c>
      <c r="I47" t="s">
        <v>1743</v>
      </c>
    </row>
    <row r="48" spans="1:9" x14ac:dyDescent="0.25">
      <c r="A48" t="s">
        <v>140</v>
      </c>
      <c r="B48">
        <v>57900</v>
      </c>
      <c r="C48">
        <v>10</v>
      </c>
      <c r="D48">
        <v>6</v>
      </c>
      <c r="E48">
        <v>52100</v>
      </c>
      <c r="F48">
        <v>1000</v>
      </c>
      <c r="G48" t="b">
        <v>0</v>
      </c>
      <c r="H48">
        <v>1</v>
      </c>
      <c r="I48" t="s">
        <v>1743</v>
      </c>
    </row>
    <row r="49" spans="1:9" x14ac:dyDescent="0.25">
      <c r="A49" t="s">
        <v>141</v>
      </c>
      <c r="B49">
        <v>21000</v>
      </c>
      <c r="C49">
        <v>5</v>
      </c>
      <c r="D49">
        <v>6</v>
      </c>
      <c r="E49">
        <v>19900</v>
      </c>
      <c r="F49">
        <v>1000</v>
      </c>
      <c r="G49" t="b">
        <v>0</v>
      </c>
      <c r="H49">
        <v>1</v>
      </c>
      <c r="I49" t="s">
        <v>1743</v>
      </c>
    </row>
    <row r="50" spans="1:9" x14ac:dyDescent="0.25">
      <c r="A50" t="s">
        <v>142</v>
      </c>
      <c r="B50">
        <v>4000</v>
      </c>
      <c r="C50">
        <v>7</v>
      </c>
      <c r="D50">
        <v>3</v>
      </c>
      <c r="E50">
        <v>3700</v>
      </c>
      <c r="F50">
        <v>100</v>
      </c>
      <c r="G50" t="b">
        <v>0</v>
      </c>
      <c r="H50">
        <v>100</v>
      </c>
      <c r="I50" t="s">
        <v>1743</v>
      </c>
    </row>
    <row r="51" spans="1:9" x14ac:dyDescent="0.25">
      <c r="A51" t="s">
        <v>143</v>
      </c>
      <c r="B51">
        <v>1800</v>
      </c>
      <c r="C51">
        <v>0</v>
      </c>
      <c r="D51">
        <v>6</v>
      </c>
      <c r="E51">
        <v>1800</v>
      </c>
      <c r="F51">
        <v>100</v>
      </c>
      <c r="G51" t="b">
        <v>0</v>
      </c>
      <c r="H51">
        <v>100</v>
      </c>
      <c r="I51" t="s">
        <v>1743</v>
      </c>
    </row>
    <row r="52" spans="1:9" x14ac:dyDescent="0.25">
      <c r="A52" t="s">
        <v>144</v>
      </c>
      <c r="B52">
        <v>5600</v>
      </c>
      <c r="C52">
        <v>3</v>
      </c>
      <c r="D52">
        <v>4</v>
      </c>
      <c r="E52">
        <v>5400</v>
      </c>
      <c r="F52">
        <v>200</v>
      </c>
      <c r="G52" t="b">
        <v>0</v>
      </c>
      <c r="H52">
        <v>200</v>
      </c>
      <c r="I52" t="s">
        <v>1743</v>
      </c>
    </row>
    <row r="53" spans="1:9" x14ac:dyDescent="0.25">
      <c r="A53" t="s">
        <v>145</v>
      </c>
      <c r="B53">
        <v>124000</v>
      </c>
      <c r="C53">
        <v>0</v>
      </c>
      <c r="D53">
        <v>6</v>
      </c>
      <c r="E53">
        <v>124000</v>
      </c>
      <c r="F53">
        <v>5000</v>
      </c>
      <c r="G53" t="b">
        <v>0</v>
      </c>
      <c r="H53">
        <v>5</v>
      </c>
      <c r="I53" t="s">
        <v>1743</v>
      </c>
    </row>
    <row r="54" spans="1:9" x14ac:dyDescent="0.25">
      <c r="A54" t="s">
        <v>146</v>
      </c>
      <c r="B54">
        <v>12000</v>
      </c>
      <c r="C54">
        <v>1</v>
      </c>
      <c r="D54">
        <v>3</v>
      </c>
      <c r="E54">
        <v>11800</v>
      </c>
      <c r="F54">
        <v>240</v>
      </c>
      <c r="G54" t="b">
        <v>0</v>
      </c>
      <c r="H54">
        <v>240</v>
      </c>
      <c r="I54" t="s">
        <v>1743</v>
      </c>
    </row>
    <row r="55" spans="1:9" x14ac:dyDescent="0.25">
      <c r="A55" t="s">
        <v>147</v>
      </c>
      <c r="B55">
        <v>105000</v>
      </c>
      <c r="C55">
        <v>1</v>
      </c>
      <c r="D55">
        <v>6</v>
      </c>
      <c r="E55">
        <v>103900</v>
      </c>
      <c r="F55">
        <v>5000</v>
      </c>
      <c r="G55" t="b">
        <v>0</v>
      </c>
      <c r="H55">
        <v>5</v>
      </c>
      <c r="I55" t="s">
        <v>1743</v>
      </c>
    </row>
    <row r="56" spans="1:9" x14ac:dyDescent="0.25">
      <c r="A56" t="s">
        <v>148</v>
      </c>
      <c r="B56">
        <v>11000</v>
      </c>
      <c r="C56">
        <v>13</v>
      </c>
      <c r="D56">
        <v>4</v>
      </c>
      <c r="E56">
        <v>9500</v>
      </c>
      <c r="F56">
        <v>348</v>
      </c>
      <c r="G56" t="b">
        <v>0</v>
      </c>
      <c r="H56">
        <v>6</v>
      </c>
      <c r="I56" t="s">
        <v>1743</v>
      </c>
    </row>
    <row r="57" spans="1:9" x14ac:dyDescent="0.25">
      <c r="A57" t="s">
        <v>149</v>
      </c>
      <c r="B57">
        <v>58500</v>
      </c>
      <c r="C57">
        <v>21</v>
      </c>
      <c r="D57">
        <v>6</v>
      </c>
      <c r="E57">
        <v>46200</v>
      </c>
      <c r="F57">
        <v>5000</v>
      </c>
      <c r="G57" t="b">
        <v>0</v>
      </c>
      <c r="H57">
        <v>5</v>
      </c>
      <c r="I57" t="s">
        <v>1743</v>
      </c>
    </row>
    <row r="58" spans="1:9" x14ac:dyDescent="0.25">
      <c r="A58" t="s">
        <v>150</v>
      </c>
      <c r="B58">
        <v>17500</v>
      </c>
      <c r="C58">
        <v>0</v>
      </c>
      <c r="D58">
        <v>5</v>
      </c>
      <c r="E58">
        <v>17500</v>
      </c>
      <c r="F58">
        <v>1000</v>
      </c>
      <c r="G58" t="b">
        <v>0</v>
      </c>
      <c r="H58">
        <v>1</v>
      </c>
      <c r="I58" t="s">
        <v>1743</v>
      </c>
    </row>
    <row r="59" spans="1:9" x14ac:dyDescent="0.25">
      <c r="A59" t="s">
        <v>151</v>
      </c>
      <c r="B59">
        <v>7800</v>
      </c>
      <c r="C59">
        <v>7</v>
      </c>
      <c r="D59">
        <v>5</v>
      </c>
      <c r="E59">
        <v>7200</v>
      </c>
      <c r="F59">
        <v>100</v>
      </c>
      <c r="G59" t="b">
        <v>0</v>
      </c>
      <c r="H59">
        <v>100</v>
      </c>
      <c r="I59" t="s">
        <v>1743</v>
      </c>
    </row>
    <row r="60" spans="1:9" x14ac:dyDescent="0.25">
      <c r="A60" t="s">
        <v>152</v>
      </c>
      <c r="B60">
        <v>9000</v>
      </c>
      <c r="C60">
        <v>16</v>
      </c>
      <c r="D60">
        <v>6</v>
      </c>
      <c r="E60">
        <v>7500</v>
      </c>
      <c r="F60">
        <v>100</v>
      </c>
      <c r="G60" t="b">
        <v>0</v>
      </c>
      <c r="H60">
        <v>100</v>
      </c>
      <c r="I60" t="s">
        <v>1743</v>
      </c>
    </row>
    <row r="61" spans="1:9" x14ac:dyDescent="0.25">
      <c r="A61" t="s">
        <v>153</v>
      </c>
      <c r="B61">
        <v>21000</v>
      </c>
      <c r="C61">
        <v>1</v>
      </c>
      <c r="D61">
        <v>2</v>
      </c>
      <c r="E61">
        <v>20600</v>
      </c>
      <c r="F61">
        <v>1000</v>
      </c>
      <c r="G61" t="b">
        <v>0</v>
      </c>
      <c r="H61">
        <v>1</v>
      </c>
      <c r="I61" t="s">
        <v>1743</v>
      </c>
    </row>
    <row r="62" spans="1:9" x14ac:dyDescent="0.25">
      <c r="A62" t="s">
        <v>154</v>
      </c>
      <c r="B62">
        <v>29500</v>
      </c>
      <c r="C62">
        <v>4</v>
      </c>
      <c r="D62">
        <v>6</v>
      </c>
      <c r="E62">
        <v>28100</v>
      </c>
      <c r="F62">
        <v>500</v>
      </c>
      <c r="G62" t="b">
        <v>0</v>
      </c>
      <c r="H62">
        <v>500</v>
      </c>
      <c r="I62" t="s">
        <v>1743</v>
      </c>
    </row>
    <row r="63" spans="1:9" x14ac:dyDescent="0.25">
      <c r="A63" t="s">
        <v>155</v>
      </c>
      <c r="B63">
        <v>4000</v>
      </c>
      <c r="C63">
        <v>5</v>
      </c>
      <c r="D63">
        <v>3</v>
      </c>
      <c r="E63">
        <v>3800</v>
      </c>
      <c r="F63">
        <v>100</v>
      </c>
      <c r="G63" t="b">
        <v>0</v>
      </c>
      <c r="H63">
        <v>100</v>
      </c>
      <c r="I63" t="s">
        <v>1743</v>
      </c>
    </row>
    <row r="64" spans="1:9" x14ac:dyDescent="0.25">
      <c r="A64" t="s">
        <v>156</v>
      </c>
      <c r="B64">
        <v>3000</v>
      </c>
      <c r="C64">
        <v>3</v>
      </c>
      <c r="D64">
        <v>6</v>
      </c>
      <c r="E64">
        <v>2900</v>
      </c>
      <c r="F64">
        <v>100</v>
      </c>
      <c r="G64" t="b">
        <v>0</v>
      </c>
      <c r="H64">
        <v>100</v>
      </c>
      <c r="I64" t="s">
        <v>1743</v>
      </c>
    </row>
    <row r="65" spans="1:9" x14ac:dyDescent="0.25">
      <c r="A65" t="s">
        <v>157</v>
      </c>
      <c r="B65">
        <v>3700</v>
      </c>
      <c r="C65">
        <v>10</v>
      </c>
      <c r="D65">
        <v>4</v>
      </c>
      <c r="E65">
        <v>3300</v>
      </c>
      <c r="F65">
        <v>50</v>
      </c>
      <c r="G65" t="b">
        <v>0</v>
      </c>
      <c r="H65">
        <v>50</v>
      </c>
      <c r="I65" t="s">
        <v>1743</v>
      </c>
    </row>
    <row r="66" spans="1:9" x14ac:dyDescent="0.25">
      <c r="A66" t="s">
        <v>158</v>
      </c>
      <c r="B66">
        <v>9500</v>
      </c>
      <c r="C66">
        <v>6</v>
      </c>
      <c r="D66">
        <v>2</v>
      </c>
      <c r="E66">
        <v>8900</v>
      </c>
      <c r="F66">
        <v>1000</v>
      </c>
      <c r="G66" t="b">
        <v>0</v>
      </c>
      <c r="H66">
        <v>500</v>
      </c>
      <c r="I66" t="s">
        <v>1743</v>
      </c>
    </row>
    <row r="67" spans="1:9" x14ac:dyDescent="0.25">
      <c r="A67" t="s">
        <v>159</v>
      </c>
      <c r="B67">
        <v>11200</v>
      </c>
      <c r="C67">
        <v>2</v>
      </c>
      <c r="D67">
        <v>6</v>
      </c>
      <c r="E67">
        <v>10900</v>
      </c>
      <c r="F67">
        <v>400</v>
      </c>
      <c r="G67" t="b">
        <v>0</v>
      </c>
      <c r="H67">
        <v>400</v>
      </c>
      <c r="I67" t="s">
        <v>1743</v>
      </c>
    </row>
    <row r="68" spans="1:9" x14ac:dyDescent="0.25">
      <c r="A68" t="s">
        <v>160</v>
      </c>
      <c r="B68">
        <v>45000</v>
      </c>
      <c r="C68">
        <v>16</v>
      </c>
      <c r="D68">
        <v>6</v>
      </c>
      <c r="E68">
        <v>37500</v>
      </c>
      <c r="F68">
        <v>10000</v>
      </c>
      <c r="G68" t="b">
        <v>0</v>
      </c>
      <c r="H68">
        <v>10</v>
      </c>
      <c r="I68" t="s">
        <v>1743</v>
      </c>
    </row>
    <row r="69" spans="1:9" x14ac:dyDescent="0.25">
      <c r="A69" t="s">
        <v>161</v>
      </c>
      <c r="B69">
        <v>3900</v>
      </c>
      <c r="C69">
        <v>2</v>
      </c>
      <c r="D69">
        <v>1</v>
      </c>
      <c r="E69">
        <v>3800</v>
      </c>
      <c r="F69">
        <v>50</v>
      </c>
      <c r="G69" t="b">
        <v>0</v>
      </c>
      <c r="H69">
        <v>50</v>
      </c>
      <c r="I69" t="s">
        <v>1743</v>
      </c>
    </row>
    <row r="70" spans="1:9" x14ac:dyDescent="0.25">
      <c r="A70" t="s">
        <v>162</v>
      </c>
      <c r="B70">
        <v>20500</v>
      </c>
      <c r="C70">
        <v>7</v>
      </c>
      <c r="D70">
        <v>6</v>
      </c>
      <c r="E70">
        <v>19000</v>
      </c>
      <c r="F70">
        <v>1000</v>
      </c>
      <c r="G70" t="b">
        <v>0</v>
      </c>
      <c r="H70">
        <v>1</v>
      </c>
      <c r="I70" t="s">
        <v>1743</v>
      </c>
    </row>
    <row r="71" spans="1:9" x14ac:dyDescent="0.25">
      <c r="A71" t="s">
        <v>163</v>
      </c>
      <c r="B71">
        <v>40000</v>
      </c>
      <c r="C71">
        <v>25</v>
      </c>
      <c r="D71">
        <v>1</v>
      </c>
      <c r="E71">
        <v>29900</v>
      </c>
      <c r="F71">
        <v>250</v>
      </c>
      <c r="G71" t="b">
        <v>0</v>
      </c>
      <c r="H71">
        <v>250</v>
      </c>
      <c r="I71" t="s">
        <v>1743</v>
      </c>
    </row>
    <row r="72" spans="1:9" x14ac:dyDescent="0.25">
      <c r="A72" t="s">
        <v>164</v>
      </c>
      <c r="B72">
        <v>7000</v>
      </c>
      <c r="C72">
        <v>14</v>
      </c>
      <c r="D72">
        <v>6</v>
      </c>
      <c r="E72">
        <v>6000</v>
      </c>
      <c r="F72">
        <v>50</v>
      </c>
      <c r="G72" t="b">
        <v>0</v>
      </c>
      <c r="H72">
        <v>50</v>
      </c>
      <c r="I72" t="s">
        <v>1743</v>
      </c>
    </row>
    <row r="73" spans="1:9" x14ac:dyDescent="0.25">
      <c r="A73" t="s">
        <v>165</v>
      </c>
      <c r="B73">
        <v>35000</v>
      </c>
      <c r="C73">
        <v>28</v>
      </c>
      <c r="D73">
        <v>6</v>
      </c>
      <c r="E73">
        <v>25100</v>
      </c>
      <c r="F73">
        <v>250</v>
      </c>
      <c r="G73" t="b">
        <v>0</v>
      </c>
      <c r="H73">
        <v>250</v>
      </c>
      <c r="I73" t="s">
        <v>1743</v>
      </c>
    </row>
    <row r="74" spans="1:9" x14ac:dyDescent="0.25">
      <c r="A74" t="s">
        <v>166</v>
      </c>
      <c r="B74">
        <v>2500</v>
      </c>
      <c r="C74">
        <v>0</v>
      </c>
      <c r="D74">
        <v>4</v>
      </c>
      <c r="E74">
        <v>2500</v>
      </c>
      <c r="F74">
        <v>50</v>
      </c>
      <c r="G74" t="b">
        <v>0</v>
      </c>
      <c r="H74">
        <v>50</v>
      </c>
      <c r="I74" t="s">
        <v>1743</v>
      </c>
    </row>
    <row r="75" spans="1:9" x14ac:dyDescent="0.25">
      <c r="A75" t="s">
        <v>167</v>
      </c>
      <c r="B75">
        <v>23500</v>
      </c>
      <c r="C75">
        <v>9</v>
      </c>
      <c r="D75">
        <v>6</v>
      </c>
      <c r="E75">
        <v>21200</v>
      </c>
      <c r="F75">
        <v>500</v>
      </c>
      <c r="G75" t="b">
        <v>0</v>
      </c>
      <c r="H75">
        <v>500</v>
      </c>
      <c r="I75" t="s">
        <v>1743</v>
      </c>
    </row>
    <row r="76" spans="1:9" x14ac:dyDescent="0.25">
      <c r="A76" t="s">
        <v>168</v>
      </c>
      <c r="B76">
        <v>8500</v>
      </c>
      <c r="C76">
        <v>9</v>
      </c>
      <c r="D76">
        <v>6</v>
      </c>
      <c r="E76">
        <v>7700</v>
      </c>
      <c r="F76">
        <v>500</v>
      </c>
      <c r="G76" t="b">
        <v>0</v>
      </c>
      <c r="H76">
        <v>500</v>
      </c>
      <c r="I76" t="s">
        <v>1743</v>
      </c>
    </row>
    <row r="77" spans="1:9" x14ac:dyDescent="0.25">
      <c r="A77" t="s">
        <v>160</v>
      </c>
      <c r="B77">
        <v>5200</v>
      </c>
      <c r="C77">
        <v>0</v>
      </c>
      <c r="D77">
        <v>4</v>
      </c>
      <c r="E77">
        <v>5200</v>
      </c>
      <c r="F77">
        <v>1000</v>
      </c>
      <c r="G77" t="b">
        <v>0</v>
      </c>
      <c r="H77">
        <v>1</v>
      </c>
      <c r="I77" t="s">
        <v>1743</v>
      </c>
    </row>
    <row r="78" spans="1:9" x14ac:dyDescent="0.25">
      <c r="A78" t="s">
        <v>169</v>
      </c>
      <c r="B78">
        <v>4500</v>
      </c>
      <c r="C78">
        <v>2</v>
      </c>
      <c r="D78">
        <v>6</v>
      </c>
      <c r="E78">
        <v>4400</v>
      </c>
      <c r="F78">
        <v>100</v>
      </c>
      <c r="G78" t="b">
        <v>0</v>
      </c>
      <c r="H78">
        <v>100</v>
      </c>
      <c r="I78" t="s">
        <v>1743</v>
      </c>
    </row>
    <row r="79" spans="1:9" x14ac:dyDescent="0.25">
      <c r="A79" t="s">
        <v>170</v>
      </c>
      <c r="B79">
        <v>3500</v>
      </c>
      <c r="C79">
        <v>2</v>
      </c>
      <c r="D79">
        <v>3</v>
      </c>
      <c r="E79">
        <v>3400</v>
      </c>
      <c r="F79">
        <v>500</v>
      </c>
      <c r="G79" t="b">
        <v>0</v>
      </c>
      <c r="H79">
        <v>500</v>
      </c>
      <c r="I79" t="s">
        <v>1743</v>
      </c>
    </row>
    <row r="80" spans="1:9" x14ac:dyDescent="0.25">
      <c r="A80" t="s">
        <v>171</v>
      </c>
      <c r="B80">
        <v>24500</v>
      </c>
      <c r="C80">
        <v>29</v>
      </c>
      <c r="D80">
        <v>6</v>
      </c>
      <c r="E80">
        <v>17200</v>
      </c>
      <c r="F80">
        <v>200</v>
      </c>
      <c r="G80" t="b">
        <v>0</v>
      </c>
      <c r="H80">
        <v>200</v>
      </c>
      <c r="I80" t="s">
        <v>1743</v>
      </c>
    </row>
    <row r="81" spans="1:9" x14ac:dyDescent="0.25">
      <c r="A81" t="s">
        <v>172</v>
      </c>
      <c r="B81">
        <v>10100</v>
      </c>
      <c r="C81">
        <v>6</v>
      </c>
      <c r="D81">
        <v>4</v>
      </c>
      <c r="E81">
        <v>9400</v>
      </c>
      <c r="F81">
        <v>500</v>
      </c>
      <c r="G81" t="b">
        <v>0</v>
      </c>
      <c r="H81">
        <v>500</v>
      </c>
      <c r="I81" t="s">
        <v>1743</v>
      </c>
    </row>
    <row r="82" spans="1:9" x14ac:dyDescent="0.25">
      <c r="A82" t="s">
        <v>173</v>
      </c>
      <c r="B82">
        <v>32500</v>
      </c>
      <c r="C82">
        <v>12</v>
      </c>
      <c r="D82">
        <v>6</v>
      </c>
      <c r="E82">
        <v>28300</v>
      </c>
      <c r="F82">
        <v>250</v>
      </c>
      <c r="G82" t="b">
        <v>0</v>
      </c>
      <c r="H82">
        <v>250</v>
      </c>
      <c r="I82" t="s">
        <v>1743</v>
      </c>
    </row>
    <row r="83" spans="1:9" x14ac:dyDescent="0.25">
      <c r="A83" t="s">
        <v>174</v>
      </c>
      <c r="B83">
        <v>6000</v>
      </c>
      <c r="C83">
        <v>10</v>
      </c>
      <c r="D83">
        <v>6</v>
      </c>
      <c r="E83">
        <v>5400</v>
      </c>
      <c r="F83">
        <v>500</v>
      </c>
      <c r="G83" t="b">
        <v>0</v>
      </c>
      <c r="H83">
        <v>500</v>
      </c>
      <c r="I83" t="s">
        <v>1743</v>
      </c>
    </row>
    <row r="84" spans="1:9" x14ac:dyDescent="0.25">
      <c r="A84" t="s">
        <v>175</v>
      </c>
      <c r="B84">
        <v>13400</v>
      </c>
      <c r="C84">
        <v>6</v>
      </c>
      <c r="D84">
        <v>6</v>
      </c>
      <c r="E84">
        <v>12500</v>
      </c>
      <c r="F84">
        <v>500</v>
      </c>
      <c r="G84" t="b">
        <v>0</v>
      </c>
      <c r="H84">
        <v>500</v>
      </c>
      <c r="I84" t="s">
        <v>1743</v>
      </c>
    </row>
    <row r="85" spans="1:9" x14ac:dyDescent="0.25">
      <c r="A85" t="s">
        <v>151</v>
      </c>
      <c r="B85">
        <v>4200</v>
      </c>
      <c r="C85">
        <v>2</v>
      </c>
      <c r="D85">
        <v>2</v>
      </c>
      <c r="E85">
        <v>4100</v>
      </c>
      <c r="F85">
        <v>50</v>
      </c>
      <c r="G85" t="b">
        <v>0</v>
      </c>
      <c r="H85">
        <v>50</v>
      </c>
      <c r="I85" t="s">
        <v>1743</v>
      </c>
    </row>
    <row r="86" spans="1:9" x14ac:dyDescent="0.25">
      <c r="A86" t="s">
        <v>176</v>
      </c>
      <c r="B86">
        <v>7000</v>
      </c>
      <c r="C86">
        <v>14</v>
      </c>
      <c r="D86">
        <v>2</v>
      </c>
      <c r="E86">
        <v>6000</v>
      </c>
      <c r="F86">
        <v>100</v>
      </c>
      <c r="G86" t="b">
        <v>0</v>
      </c>
      <c r="H86">
        <v>100</v>
      </c>
      <c r="I86" t="s">
        <v>1743</v>
      </c>
    </row>
    <row r="87" spans="1:9" x14ac:dyDescent="0.25">
      <c r="A87" t="s">
        <v>177</v>
      </c>
      <c r="B87">
        <v>7000</v>
      </c>
      <c r="C87">
        <v>7</v>
      </c>
      <c r="D87">
        <v>2</v>
      </c>
      <c r="E87">
        <v>6500</v>
      </c>
      <c r="F87">
        <v>100</v>
      </c>
      <c r="G87" t="b">
        <v>0</v>
      </c>
      <c r="H87">
        <v>100</v>
      </c>
      <c r="I87" t="s">
        <v>1743</v>
      </c>
    </row>
    <row r="88" spans="1:9" x14ac:dyDescent="0.25">
      <c r="A88" t="s">
        <v>178</v>
      </c>
      <c r="B88">
        <v>13200</v>
      </c>
      <c r="C88">
        <v>3</v>
      </c>
      <c r="D88">
        <v>6</v>
      </c>
      <c r="E88">
        <v>12800</v>
      </c>
      <c r="F88">
        <v>400</v>
      </c>
      <c r="G88" t="b">
        <v>0</v>
      </c>
      <c r="H88">
        <v>400</v>
      </c>
      <c r="I88" t="s">
        <v>1743</v>
      </c>
    </row>
    <row r="89" spans="1:9" x14ac:dyDescent="0.25">
      <c r="A89" t="s">
        <v>179</v>
      </c>
      <c r="B89">
        <v>6500</v>
      </c>
      <c r="C89">
        <v>9</v>
      </c>
      <c r="D89">
        <v>6</v>
      </c>
      <c r="E89">
        <v>5900</v>
      </c>
      <c r="F89">
        <v>1000</v>
      </c>
      <c r="G89" t="b">
        <v>0</v>
      </c>
      <c r="H89">
        <v>1</v>
      </c>
      <c r="I89" t="s">
        <v>1743</v>
      </c>
    </row>
    <row r="90" spans="1:9" x14ac:dyDescent="0.25">
      <c r="A90" t="s">
        <v>180</v>
      </c>
      <c r="B90">
        <v>26000</v>
      </c>
      <c r="C90">
        <v>20</v>
      </c>
      <c r="D90">
        <v>6</v>
      </c>
      <c r="E90">
        <v>20800</v>
      </c>
      <c r="F90">
        <v>1000</v>
      </c>
      <c r="G90" t="b">
        <v>0</v>
      </c>
      <c r="H90">
        <v>1</v>
      </c>
      <c r="I90" t="s">
        <v>1743</v>
      </c>
    </row>
    <row r="91" spans="1:9" x14ac:dyDescent="0.25">
      <c r="A91" t="s">
        <v>181</v>
      </c>
      <c r="B91">
        <v>9900</v>
      </c>
      <c r="C91">
        <v>10</v>
      </c>
      <c r="D91">
        <v>6</v>
      </c>
      <c r="E91">
        <v>8900</v>
      </c>
      <c r="F91">
        <v>200</v>
      </c>
      <c r="G91" t="b">
        <v>0</v>
      </c>
      <c r="H91">
        <v>200</v>
      </c>
      <c r="I91" t="s">
        <v>1743</v>
      </c>
    </row>
    <row r="92" spans="1:9" x14ac:dyDescent="0.25">
      <c r="A92" t="s">
        <v>182</v>
      </c>
      <c r="B92">
        <v>6500</v>
      </c>
      <c r="C92">
        <v>10</v>
      </c>
      <c r="D92">
        <v>3</v>
      </c>
      <c r="E92">
        <v>5800</v>
      </c>
      <c r="F92">
        <v>500</v>
      </c>
      <c r="G92" t="b">
        <v>0</v>
      </c>
      <c r="H92">
        <v>500</v>
      </c>
      <c r="I92" t="s">
        <v>1743</v>
      </c>
    </row>
    <row r="93" spans="1:9" x14ac:dyDescent="0.25">
      <c r="A93" t="s">
        <v>183</v>
      </c>
      <c r="B93">
        <v>13500</v>
      </c>
      <c r="C93">
        <v>7</v>
      </c>
      <c r="D93">
        <v>1</v>
      </c>
      <c r="E93">
        <v>12500</v>
      </c>
      <c r="F93">
        <v>500</v>
      </c>
      <c r="G93" t="b">
        <v>0</v>
      </c>
      <c r="H93">
        <v>500</v>
      </c>
      <c r="I93" t="s">
        <v>1743</v>
      </c>
    </row>
    <row r="94" spans="1:9" x14ac:dyDescent="0.25">
      <c r="A94" t="s">
        <v>184</v>
      </c>
      <c r="B94">
        <v>9000</v>
      </c>
      <c r="C94">
        <v>10</v>
      </c>
      <c r="D94">
        <v>2</v>
      </c>
      <c r="E94">
        <v>8100</v>
      </c>
      <c r="F94">
        <v>50</v>
      </c>
      <c r="G94" t="b">
        <v>0</v>
      </c>
      <c r="H94">
        <v>50</v>
      </c>
      <c r="I94" t="s">
        <v>1743</v>
      </c>
    </row>
    <row r="95" spans="1:9" x14ac:dyDescent="0.25">
      <c r="A95" t="s">
        <v>185</v>
      </c>
      <c r="B95">
        <v>13500</v>
      </c>
      <c r="C95">
        <v>14</v>
      </c>
      <c r="D95">
        <v>6</v>
      </c>
      <c r="E95">
        <v>11500</v>
      </c>
      <c r="F95">
        <v>100</v>
      </c>
      <c r="G95" t="b">
        <v>0</v>
      </c>
      <c r="H95">
        <v>100</v>
      </c>
      <c r="I95" t="s">
        <v>1743</v>
      </c>
    </row>
    <row r="96" spans="1:9" x14ac:dyDescent="0.25">
      <c r="A96" t="s">
        <v>186</v>
      </c>
      <c r="B96">
        <v>15000</v>
      </c>
      <c r="C96">
        <v>10</v>
      </c>
      <c r="D96">
        <v>4</v>
      </c>
      <c r="E96">
        <v>13400</v>
      </c>
      <c r="F96">
        <v>1000</v>
      </c>
      <c r="G96" t="b">
        <v>0</v>
      </c>
      <c r="H96">
        <v>1</v>
      </c>
      <c r="I96" t="s">
        <v>1743</v>
      </c>
    </row>
    <row r="97" spans="1:9" x14ac:dyDescent="0.25">
      <c r="A97" t="s">
        <v>187</v>
      </c>
      <c r="B97">
        <v>9500</v>
      </c>
      <c r="C97">
        <v>7</v>
      </c>
      <c r="D97">
        <v>5</v>
      </c>
      <c r="E97">
        <v>8800</v>
      </c>
      <c r="F97">
        <v>500</v>
      </c>
      <c r="G97" t="b">
        <v>0</v>
      </c>
      <c r="H97">
        <v>500</v>
      </c>
      <c r="I97" t="s">
        <v>1743</v>
      </c>
    </row>
    <row r="98" spans="1:9" x14ac:dyDescent="0.25">
      <c r="A98" t="s">
        <v>138</v>
      </c>
      <c r="B98">
        <v>19900</v>
      </c>
      <c r="C98">
        <v>7</v>
      </c>
      <c r="D98">
        <v>6</v>
      </c>
      <c r="E98">
        <v>18400</v>
      </c>
      <c r="F98">
        <v>1000</v>
      </c>
      <c r="G98" t="b">
        <v>0</v>
      </c>
      <c r="H98">
        <v>1</v>
      </c>
      <c r="I98" t="s">
        <v>1743</v>
      </c>
    </row>
    <row r="99" spans="1:9" x14ac:dyDescent="0.25">
      <c r="A99" t="s">
        <v>188</v>
      </c>
      <c r="B99">
        <v>48500</v>
      </c>
      <c r="C99">
        <v>7</v>
      </c>
      <c r="D99">
        <v>6</v>
      </c>
      <c r="E99">
        <v>44900</v>
      </c>
      <c r="F99">
        <v>2000</v>
      </c>
      <c r="G99" t="b">
        <v>0</v>
      </c>
      <c r="H99">
        <v>2</v>
      </c>
      <c r="I99" t="s">
        <v>1743</v>
      </c>
    </row>
    <row r="100" spans="1:9" x14ac:dyDescent="0.25">
      <c r="A100" t="s">
        <v>189</v>
      </c>
      <c r="B100">
        <v>21000</v>
      </c>
      <c r="C100">
        <v>0</v>
      </c>
      <c r="D100">
        <v>4</v>
      </c>
      <c r="E100">
        <v>21000</v>
      </c>
      <c r="F100">
        <v>400</v>
      </c>
      <c r="G100" t="b">
        <v>0</v>
      </c>
      <c r="H100">
        <v>400</v>
      </c>
      <c r="I100" t="s">
        <v>1743</v>
      </c>
    </row>
    <row r="101" spans="1:9" x14ac:dyDescent="0.25">
      <c r="A101" t="s">
        <v>190</v>
      </c>
      <c r="B101">
        <v>7500</v>
      </c>
      <c r="C101">
        <v>8</v>
      </c>
      <c r="D101">
        <v>1</v>
      </c>
      <c r="E101">
        <v>6900</v>
      </c>
      <c r="F101">
        <v>500</v>
      </c>
      <c r="G101" t="b">
        <v>0</v>
      </c>
      <c r="H101">
        <v>500</v>
      </c>
      <c r="I101" t="s">
        <v>1743</v>
      </c>
    </row>
    <row r="102" spans="1:9" x14ac:dyDescent="0.25">
      <c r="A102" t="s">
        <v>191</v>
      </c>
      <c r="B102">
        <v>9800</v>
      </c>
      <c r="C102">
        <v>9</v>
      </c>
      <c r="D102">
        <v>5</v>
      </c>
      <c r="E102">
        <v>8900</v>
      </c>
      <c r="F102">
        <v>100</v>
      </c>
      <c r="G102" t="b">
        <v>0</v>
      </c>
      <c r="H102">
        <v>100</v>
      </c>
      <c r="I102" t="s">
        <v>1743</v>
      </c>
    </row>
    <row r="103" spans="1:9" x14ac:dyDescent="0.25">
      <c r="A103" t="s">
        <v>192</v>
      </c>
      <c r="B103">
        <v>9400</v>
      </c>
      <c r="C103">
        <v>4</v>
      </c>
      <c r="D103">
        <v>6</v>
      </c>
      <c r="E103">
        <v>9000</v>
      </c>
      <c r="F103">
        <v>500</v>
      </c>
      <c r="G103" t="b">
        <v>0</v>
      </c>
      <c r="H103">
        <v>500</v>
      </c>
      <c r="I103" t="s">
        <v>1743</v>
      </c>
    </row>
    <row r="104" spans="1:9" x14ac:dyDescent="0.25">
      <c r="A104" t="s">
        <v>193</v>
      </c>
      <c r="B104">
        <v>3000</v>
      </c>
      <c r="C104">
        <v>6</v>
      </c>
      <c r="D104">
        <v>6</v>
      </c>
      <c r="E104">
        <v>2800</v>
      </c>
      <c r="F104">
        <v>500</v>
      </c>
      <c r="G104" t="b">
        <v>0</v>
      </c>
      <c r="H104">
        <v>500</v>
      </c>
      <c r="I104" t="s">
        <v>1743</v>
      </c>
    </row>
    <row r="105" spans="1:9" x14ac:dyDescent="0.25">
      <c r="A105" t="s">
        <v>194</v>
      </c>
      <c r="B105">
        <v>9500</v>
      </c>
      <c r="C105">
        <v>9</v>
      </c>
      <c r="D105">
        <v>6</v>
      </c>
      <c r="E105">
        <v>8600</v>
      </c>
      <c r="F105">
        <v>200</v>
      </c>
      <c r="G105" t="b">
        <v>0</v>
      </c>
      <c r="H105">
        <v>200</v>
      </c>
      <c r="I105" t="s">
        <v>1743</v>
      </c>
    </row>
    <row r="106" spans="1:9" x14ac:dyDescent="0.25">
      <c r="A106" t="s">
        <v>195</v>
      </c>
      <c r="B106">
        <v>6000</v>
      </c>
      <c r="C106">
        <v>28</v>
      </c>
      <c r="D106">
        <v>3</v>
      </c>
      <c r="E106">
        <v>4300</v>
      </c>
      <c r="F106">
        <v>260</v>
      </c>
      <c r="G106" t="b">
        <v>0</v>
      </c>
      <c r="H106">
        <v>260</v>
      </c>
      <c r="I106" t="s">
        <v>1743</v>
      </c>
    </row>
    <row r="107" spans="1:9" x14ac:dyDescent="0.25">
      <c r="A107" t="s">
        <v>196</v>
      </c>
      <c r="B107">
        <v>16000</v>
      </c>
      <c r="C107">
        <v>50</v>
      </c>
      <c r="D107">
        <v>6</v>
      </c>
      <c r="E107">
        <v>8000</v>
      </c>
      <c r="F107">
        <v>500</v>
      </c>
      <c r="G107" t="b">
        <v>0</v>
      </c>
      <c r="H107">
        <v>500</v>
      </c>
      <c r="I107" t="s">
        <v>1743</v>
      </c>
    </row>
    <row r="108" spans="1:9" x14ac:dyDescent="0.25">
      <c r="A108" t="s">
        <v>197</v>
      </c>
      <c r="B108">
        <v>2500</v>
      </c>
      <c r="C108">
        <v>20</v>
      </c>
      <c r="D108">
        <v>6</v>
      </c>
      <c r="E108">
        <v>2000</v>
      </c>
      <c r="F108">
        <v>60</v>
      </c>
      <c r="G108" t="b">
        <v>0</v>
      </c>
      <c r="H108">
        <v>60</v>
      </c>
      <c r="I108" t="s">
        <v>1743</v>
      </c>
    </row>
    <row r="109" spans="1:9" x14ac:dyDescent="0.25">
      <c r="A109" t="s">
        <v>198</v>
      </c>
      <c r="B109">
        <v>11300</v>
      </c>
      <c r="C109">
        <v>10</v>
      </c>
      <c r="D109">
        <v>5</v>
      </c>
      <c r="E109">
        <v>10100</v>
      </c>
      <c r="F109">
        <v>200</v>
      </c>
      <c r="G109" t="b">
        <v>0</v>
      </c>
      <c r="H109">
        <v>200</v>
      </c>
      <c r="I109" t="s">
        <v>1743</v>
      </c>
    </row>
    <row r="110" spans="1:9" x14ac:dyDescent="0.25">
      <c r="A110" t="s">
        <v>199</v>
      </c>
      <c r="B110">
        <v>11000</v>
      </c>
      <c r="C110">
        <v>4</v>
      </c>
      <c r="D110">
        <v>6</v>
      </c>
      <c r="E110">
        <v>10500</v>
      </c>
      <c r="F110">
        <v>250</v>
      </c>
      <c r="G110" t="b">
        <v>0</v>
      </c>
      <c r="H110">
        <v>500</v>
      </c>
      <c r="I110" t="s">
        <v>1743</v>
      </c>
    </row>
    <row r="111" spans="1:9" x14ac:dyDescent="0.25">
      <c r="A111" t="s">
        <v>200</v>
      </c>
      <c r="B111">
        <v>25000</v>
      </c>
      <c r="C111">
        <v>0</v>
      </c>
      <c r="D111">
        <v>3</v>
      </c>
      <c r="E111">
        <v>25000</v>
      </c>
      <c r="F111">
        <v>500</v>
      </c>
      <c r="G111" t="b">
        <v>0</v>
      </c>
      <c r="H111">
        <v>500</v>
      </c>
      <c r="I111" t="s">
        <v>1743</v>
      </c>
    </row>
    <row r="112" spans="1:9" x14ac:dyDescent="0.25">
      <c r="A112" t="s">
        <v>201</v>
      </c>
      <c r="B112">
        <v>13500</v>
      </c>
      <c r="C112">
        <v>0</v>
      </c>
      <c r="D112">
        <v>2</v>
      </c>
      <c r="E112">
        <v>13500</v>
      </c>
      <c r="F112">
        <v>500</v>
      </c>
      <c r="G112" t="b">
        <v>0</v>
      </c>
      <c r="H112">
        <v>500</v>
      </c>
      <c r="I112" t="s">
        <v>1743</v>
      </c>
    </row>
    <row r="113" spans="1:9" x14ac:dyDescent="0.25">
      <c r="A113" t="s">
        <v>202</v>
      </c>
      <c r="B113">
        <v>3700</v>
      </c>
      <c r="C113">
        <v>0</v>
      </c>
      <c r="D113">
        <v>6</v>
      </c>
      <c r="E113">
        <v>3700</v>
      </c>
      <c r="F113">
        <v>100</v>
      </c>
      <c r="G113" t="b">
        <v>0</v>
      </c>
      <c r="H113">
        <v>100</v>
      </c>
      <c r="I113" t="s">
        <v>1743</v>
      </c>
    </row>
    <row r="114" spans="1:9" x14ac:dyDescent="0.25">
      <c r="A114" t="s">
        <v>203</v>
      </c>
      <c r="B114">
        <v>18000</v>
      </c>
      <c r="C114">
        <v>1</v>
      </c>
      <c r="D114">
        <v>5</v>
      </c>
      <c r="E114">
        <v>17800</v>
      </c>
      <c r="F114">
        <v>1000</v>
      </c>
      <c r="G114" t="b">
        <v>0</v>
      </c>
      <c r="H114">
        <v>200</v>
      </c>
      <c r="I114" t="s">
        <v>1743</v>
      </c>
    </row>
    <row r="115" spans="1:9" x14ac:dyDescent="0.25">
      <c r="A115" t="s">
        <v>204</v>
      </c>
      <c r="B115">
        <v>6400</v>
      </c>
      <c r="C115">
        <v>0</v>
      </c>
      <c r="D115">
        <v>5</v>
      </c>
      <c r="E115">
        <v>6400</v>
      </c>
      <c r="F115">
        <v>500</v>
      </c>
      <c r="G115" t="b">
        <v>0</v>
      </c>
      <c r="H115">
        <v>500</v>
      </c>
      <c r="I115" t="s">
        <v>1743</v>
      </c>
    </row>
    <row r="116" spans="1:9" x14ac:dyDescent="0.25">
      <c r="A116" t="s">
        <v>205</v>
      </c>
      <c r="B116">
        <v>5000</v>
      </c>
      <c r="C116">
        <v>0</v>
      </c>
      <c r="D116">
        <v>2</v>
      </c>
      <c r="E116">
        <v>5000</v>
      </c>
      <c r="F116">
        <v>200</v>
      </c>
      <c r="G116" t="b">
        <v>0</v>
      </c>
      <c r="H116">
        <v>200</v>
      </c>
      <c r="I116" t="s">
        <v>1743</v>
      </c>
    </row>
    <row r="117" spans="1:9" x14ac:dyDescent="0.25">
      <c r="A117" t="s">
        <v>206</v>
      </c>
      <c r="B117">
        <v>8000</v>
      </c>
      <c r="C117">
        <v>10</v>
      </c>
      <c r="D117">
        <v>6</v>
      </c>
      <c r="E117">
        <v>7200</v>
      </c>
      <c r="F117">
        <v>500</v>
      </c>
      <c r="G117" t="b">
        <v>0</v>
      </c>
      <c r="H117">
        <v>500</v>
      </c>
      <c r="I117" t="s">
        <v>1743</v>
      </c>
    </row>
    <row r="118" spans="1:9" x14ac:dyDescent="0.25">
      <c r="A118" t="s">
        <v>207</v>
      </c>
      <c r="B118">
        <v>20000</v>
      </c>
      <c r="C118">
        <v>1</v>
      </c>
      <c r="D118">
        <v>6</v>
      </c>
      <c r="E118">
        <v>19800</v>
      </c>
      <c r="F118">
        <v>50</v>
      </c>
      <c r="G118" t="b">
        <v>0</v>
      </c>
      <c r="H118">
        <v>50</v>
      </c>
      <c r="I118" t="s">
        <v>1743</v>
      </c>
    </row>
    <row r="119" spans="1:9" x14ac:dyDescent="0.25">
      <c r="A119" t="s">
        <v>208</v>
      </c>
      <c r="B119">
        <v>9500</v>
      </c>
      <c r="C119">
        <v>0</v>
      </c>
      <c r="D119">
        <v>1</v>
      </c>
      <c r="E119">
        <v>9500</v>
      </c>
      <c r="F119">
        <v>200</v>
      </c>
      <c r="G119" t="b">
        <v>0</v>
      </c>
      <c r="H119">
        <v>200</v>
      </c>
      <c r="I119" t="s">
        <v>1743</v>
      </c>
    </row>
    <row r="120" spans="1:9" x14ac:dyDescent="0.25">
      <c r="A120" t="s">
        <v>209</v>
      </c>
      <c r="B120">
        <v>19000</v>
      </c>
      <c r="C120">
        <v>11</v>
      </c>
      <c r="D120">
        <v>4</v>
      </c>
      <c r="E120">
        <v>16900</v>
      </c>
      <c r="F120">
        <v>100</v>
      </c>
      <c r="G120" t="b">
        <v>0</v>
      </c>
      <c r="H120">
        <v>100</v>
      </c>
      <c r="I120" t="s">
        <v>1743</v>
      </c>
    </row>
    <row r="121" spans="1:9" x14ac:dyDescent="0.25">
      <c r="A121" t="s">
        <v>210</v>
      </c>
      <c r="B121">
        <v>2000</v>
      </c>
      <c r="C121">
        <v>0</v>
      </c>
      <c r="D121">
        <v>2</v>
      </c>
      <c r="E121">
        <v>2000</v>
      </c>
      <c r="F121">
        <v>100</v>
      </c>
      <c r="G121" t="b">
        <v>0</v>
      </c>
      <c r="H121">
        <v>100</v>
      </c>
      <c r="I121" t="s">
        <v>1743</v>
      </c>
    </row>
    <row r="122" spans="1:9" x14ac:dyDescent="0.25">
      <c r="A122" t="s">
        <v>211</v>
      </c>
      <c r="B122">
        <v>3300</v>
      </c>
      <c r="C122">
        <v>3</v>
      </c>
      <c r="D122">
        <v>6</v>
      </c>
      <c r="E122">
        <v>3200</v>
      </c>
      <c r="F122">
        <v>100</v>
      </c>
      <c r="G122" t="b">
        <v>0</v>
      </c>
      <c r="H122">
        <v>100</v>
      </c>
      <c r="I122" t="s">
        <v>1743</v>
      </c>
    </row>
    <row r="123" spans="1:9" x14ac:dyDescent="0.25">
      <c r="A123" t="s">
        <v>212</v>
      </c>
      <c r="B123">
        <v>18500</v>
      </c>
      <c r="C123">
        <v>9</v>
      </c>
      <c r="D123">
        <v>6</v>
      </c>
      <c r="E123">
        <v>16700</v>
      </c>
      <c r="F123">
        <v>225</v>
      </c>
      <c r="G123" t="b">
        <v>0</v>
      </c>
      <c r="H123">
        <v>225</v>
      </c>
      <c r="I123" t="s">
        <v>1743</v>
      </c>
    </row>
    <row r="124" spans="1:9" x14ac:dyDescent="0.25">
      <c r="A124" t="s">
        <v>213</v>
      </c>
      <c r="B124">
        <v>9100</v>
      </c>
      <c r="C124">
        <v>14</v>
      </c>
      <c r="D124">
        <v>6</v>
      </c>
      <c r="E124">
        <v>7800</v>
      </c>
      <c r="F124">
        <v>500</v>
      </c>
      <c r="G124" t="b">
        <v>0</v>
      </c>
      <c r="H124">
        <v>500</v>
      </c>
      <c r="I124" t="s">
        <v>1743</v>
      </c>
    </row>
    <row r="125" spans="1:9" x14ac:dyDescent="0.25">
      <c r="A125" t="s">
        <v>176</v>
      </c>
      <c r="B125">
        <v>3700</v>
      </c>
      <c r="C125">
        <v>2</v>
      </c>
      <c r="D125">
        <v>6</v>
      </c>
      <c r="E125">
        <v>3600</v>
      </c>
      <c r="F125">
        <v>50</v>
      </c>
      <c r="G125" t="b">
        <v>0</v>
      </c>
      <c r="H125">
        <v>50</v>
      </c>
      <c r="I125" t="s">
        <v>1743</v>
      </c>
    </row>
    <row r="126" spans="1:9" x14ac:dyDescent="0.25">
      <c r="A126" t="s">
        <v>214</v>
      </c>
      <c r="B126">
        <v>16000</v>
      </c>
      <c r="C126">
        <v>50</v>
      </c>
      <c r="D126">
        <v>6</v>
      </c>
      <c r="E126">
        <v>8000</v>
      </c>
      <c r="F126">
        <v>500</v>
      </c>
      <c r="G126" t="b">
        <v>0</v>
      </c>
      <c r="H126">
        <v>500</v>
      </c>
      <c r="I126" t="s">
        <v>1743</v>
      </c>
    </row>
    <row r="127" spans="1:9" x14ac:dyDescent="0.25">
      <c r="A127" t="s">
        <v>215</v>
      </c>
      <c r="B127">
        <v>18000</v>
      </c>
      <c r="C127">
        <v>10</v>
      </c>
      <c r="D127">
        <v>2</v>
      </c>
      <c r="E127">
        <v>16200</v>
      </c>
      <c r="F127">
        <v>500</v>
      </c>
      <c r="G127" t="b">
        <v>0</v>
      </c>
      <c r="H127">
        <v>500</v>
      </c>
      <c r="I127" t="s">
        <v>1743</v>
      </c>
    </row>
    <row r="128" spans="1:9" x14ac:dyDescent="0.25">
      <c r="A128" t="s">
        <v>216</v>
      </c>
      <c r="B128">
        <v>6000</v>
      </c>
      <c r="C128">
        <v>10</v>
      </c>
      <c r="D128">
        <v>1</v>
      </c>
      <c r="E128">
        <v>5400</v>
      </c>
      <c r="F128">
        <v>280</v>
      </c>
      <c r="G128" t="b">
        <v>0</v>
      </c>
      <c r="H128">
        <v>280</v>
      </c>
      <c r="I128" t="s">
        <v>1743</v>
      </c>
    </row>
    <row r="129" spans="1:9" x14ac:dyDescent="0.25">
      <c r="A129" t="s">
        <v>217</v>
      </c>
      <c r="B129">
        <v>3500</v>
      </c>
      <c r="C129">
        <v>2</v>
      </c>
      <c r="D129">
        <v>1</v>
      </c>
      <c r="E129">
        <v>3400</v>
      </c>
      <c r="F129">
        <v>50</v>
      </c>
      <c r="G129" t="b">
        <v>0</v>
      </c>
      <c r="H129">
        <v>50</v>
      </c>
      <c r="I129" t="s">
        <v>1743</v>
      </c>
    </row>
    <row r="130" spans="1:9" x14ac:dyDescent="0.25">
      <c r="A130" t="s">
        <v>218</v>
      </c>
      <c r="B130">
        <v>8900</v>
      </c>
      <c r="C130">
        <v>10</v>
      </c>
      <c r="D130">
        <v>2</v>
      </c>
      <c r="E130">
        <v>8000</v>
      </c>
      <c r="F130">
        <v>40</v>
      </c>
      <c r="G130" t="b">
        <v>0</v>
      </c>
      <c r="H130">
        <v>40</v>
      </c>
      <c r="I130" t="s">
        <v>1743</v>
      </c>
    </row>
    <row r="131" spans="1:9" x14ac:dyDescent="0.25">
      <c r="A131" t="s">
        <v>219</v>
      </c>
      <c r="B131">
        <v>8000</v>
      </c>
      <c r="C131">
        <v>10</v>
      </c>
      <c r="D131">
        <v>5</v>
      </c>
      <c r="E131">
        <v>7200</v>
      </c>
      <c r="F131">
        <v>500</v>
      </c>
      <c r="G131" t="b">
        <v>0</v>
      </c>
      <c r="H131">
        <v>500</v>
      </c>
      <c r="I131" t="s">
        <v>1743</v>
      </c>
    </row>
    <row r="132" spans="1:9" x14ac:dyDescent="0.25">
      <c r="A132" t="s">
        <v>220</v>
      </c>
      <c r="B132">
        <v>4400</v>
      </c>
      <c r="C132">
        <v>0</v>
      </c>
      <c r="D132">
        <v>2</v>
      </c>
      <c r="E132">
        <v>4400</v>
      </c>
      <c r="F132">
        <v>60</v>
      </c>
      <c r="G132" t="b">
        <v>0</v>
      </c>
      <c r="H132">
        <v>60</v>
      </c>
      <c r="I132" t="s">
        <v>1743</v>
      </c>
    </row>
    <row r="133" spans="1:9" x14ac:dyDescent="0.25">
      <c r="A133" t="s">
        <v>221</v>
      </c>
      <c r="B133">
        <v>105000</v>
      </c>
      <c r="C133">
        <v>1</v>
      </c>
      <c r="D133">
        <v>6</v>
      </c>
      <c r="E133">
        <v>103500</v>
      </c>
      <c r="F133">
        <v>5000</v>
      </c>
      <c r="G133" t="b">
        <v>0</v>
      </c>
      <c r="H133">
        <v>5</v>
      </c>
      <c r="I133" t="s">
        <v>1743</v>
      </c>
    </row>
    <row r="134" spans="1:9" x14ac:dyDescent="0.25">
      <c r="A134" t="s">
        <v>222</v>
      </c>
      <c r="B134">
        <v>9900</v>
      </c>
      <c r="C134">
        <v>5</v>
      </c>
      <c r="D134">
        <v>6</v>
      </c>
      <c r="E134">
        <v>9400</v>
      </c>
      <c r="F134">
        <v>165</v>
      </c>
      <c r="G134" t="b">
        <v>0</v>
      </c>
      <c r="H134">
        <v>165</v>
      </c>
      <c r="I134" t="s">
        <v>1743</v>
      </c>
    </row>
    <row r="135" spans="1:9" x14ac:dyDescent="0.25">
      <c r="A135" t="s">
        <v>223</v>
      </c>
      <c r="B135">
        <v>23000</v>
      </c>
      <c r="C135">
        <v>0</v>
      </c>
      <c r="D135">
        <v>1</v>
      </c>
      <c r="E135">
        <v>23000</v>
      </c>
      <c r="F135">
        <v>623</v>
      </c>
      <c r="G135" t="b">
        <v>0</v>
      </c>
      <c r="H135">
        <v>623</v>
      </c>
      <c r="I135" t="s">
        <v>1743</v>
      </c>
    </row>
    <row r="136" spans="1:9" x14ac:dyDescent="0.25">
      <c r="A136" t="s">
        <v>224</v>
      </c>
      <c r="B136">
        <v>6000</v>
      </c>
      <c r="C136">
        <v>6</v>
      </c>
      <c r="D136">
        <v>3</v>
      </c>
      <c r="E136">
        <v>5600</v>
      </c>
      <c r="F136">
        <v>1000</v>
      </c>
      <c r="G136" t="b">
        <v>0</v>
      </c>
      <c r="H136">
        <v>1</v>
      </c>
      <c r="I136" t="s">
        <v>1743</v>
      </c>
    </row>
    <row r="137" spans="1:9" x14ac:dyDescent="0.25">
      <c r="A137" t="s">
        <v>225</v>
      </c>
      <c r="B137">
        <v>12000</v>
      </c>
      <c r="C137">
        <v>1</v>
      </c>
      <c r="D137">
        <v>2</v>
      </c>
      <c r="E137">
        <v>11800</v>
      </c>
      <c r="F137">
        <v>240</v>
      </c>
      <c r="G137" t="b">
        <v>0</v>
      </c>
      <c r="H137">
        <v>240</v>
      </c>
      <c r="I137" t="s">
        <v>1743</v>
      </c>
    </row>
    <row r="138" spans="1:9" x14ac:dyDescent="0.25">
      <c r="A138" t="s">
        <v>226</v>
      </c>
      <c r="B138">
        <v>4300</v>
      </c>
      <c r="C138">
        <v>0</v>
      </c>
      <c r="D138">
        <v>6</v>
      </c>
      <c r="E138">
        <v>4300</v>
      </c>
      <c r="F138">
        <v>200</v>
      </c>
      <c r="G138" t="b">
        <v>0</v>
      </c>
      <c r="H138">
        <v>200</v>
      </c>
      <c r="I138" t="s">
        <v>1743</v>
      </c>
    </row>
    <row r="139" spans="1:9" x14ac:dyDescent="0.25">
      <c r="A139" t="s">
        <v>227</v>
      </c>
      <c r="B139">
        <v>2500</v>
      </c>
      <c r="C139">
        <v>0</v>
      </c>
      <c r="D139">
        <v>6</v>
      </c>
      <c r="E139">
        <v>2500</v>
      </c>
      <c r="F139">
        <v>60</v>
      </c>
      <c r="G139" t="b">
        <v>0</v>
      </c>
      <c r="H139">
        <v>60</v>
      </c>
      <c r="I139" t="s">
        <v>1743</v>
      </c>
    </row>
    <row r="140" spans="1:9" x14ac:dyDescent="0.25">
      <c r="A140" t="s">
        <v>228</v>
      </c>
      <c r="B140">
        <v>1500</v>
      </c>
      <c r="C140">
        <v>0</v>
      </c>
      <c r="D140">
        <v>5</v>
      </c>
      <c r="E140">
        <v>1500</v>
      </c>
      <c r="F140">
        <v>60</v>
      </c>
      <c r="G140" t="b">
        <v>0</v>
      </c>
      <c r="H140">
        <v>60</v>
      </c>
      <c r="I140" t="s">
        <v>1743</v>
      </c>
    </row>
    <row r="141" spans="1:9" x14ac:dyDescent="0.25">
      <c r="A141" t="s">
        <v>157</v>
      </c>
      <c r="B141">
        <v>7000</v>
      </c>
      <c r="C141">
        <v>0</v>
      </c>
      <c r="D141">
        <v>2</v>
      </c>
      <c r="E141">
        <v>7000</v>
      </c>
      <c r="F141">
        <v>100</v>
      </c>
      <c r="G141" t="b">
        <v>0</v>
      </c>
      <c r="H141">
        <v>100</v>
      </c>
      <c r="I141" t="s">
        <v>1743</v>
      </c>
    </row>
    <row r="142" spans="1:9" x14ac:dyDescent="0.25">
      <c r="A142" t="s">
        <v>229</v>
      </c>
      <c r="B142">
        <v>22000</v>
      </c>
      <c r="C142">
        <v>6</v>
      </c>
      <c r="D142">
        <v>6</v>
      </c>
      <c r="E142">
        <v>20500</v>
      </c>
      <c r="F142">
        <v>623</v>
      </c>
      <c r="G142" t="b">
        <v>0</v>
      </c>
      <c r="H142">
        <v>680</v>
      </c>
      <c r="I142" t="s">
        <v>1743</v>
      </c>
    </row>
    <row r="143" spans="1:9" x14ac:dyDescent="0.25">
      <c r="A143" t="s">
        <v>230</v>
      </c>
      <c r="B143">
        <v>5500</v>
      </c>
      <c r="C143">
        <v>16</v>
      </c>
      <c r="D143">
        <v>4</v>
      </c>
      <c r="E143">
        <v>4600</v>
      </c>
      <c r="F143">
        <v>200</v>
      </c>
      <c r="G143" t="b">
        <v>0</v>
      </c>
      <c r="H143">
        <v>200</v>
      </c>
      <c r="I143" t="s">
        <v>1743</v>
      </c>
    </row>
    <row r="144" spans="1:9" x14ac:dyDescent="0.25">
      <c r="A144" t="s">
        <v>231</v>
      </c>
      <c r="B144">
        <v>7000</v>
      </c>
      <c r="C144">
        <v>7</v>
      </c>
      <c r="D144">
        <v>1</v>
      </c>
      <c r="E144">
        <v>6500</v>
      </c>
      <c r="F144">
        <v>100</v>
      </c>
      <c r="G144" t="b">
        <v>0</v>
      </c>
      <c r="H144">
        <v>100</v>
      </c>
      <c r="I144" t="s">
        <v>1743</v>
      </c>
    </row>
    <row r="145" spans="1:9" x14ac:dyDescent="0.25">
      <c r="A145" t="s">
        <v>232</v>
      </c>
      <c r="B145">
        <v>12000</v>
      </c>
      <c r="C145">
        <v>0</v>
      </c>
      <c r="D145">
        <v>6</v>
      </c>
      <c r="E145">
        <v>12000</v>
      </c>
      <c r="F145">
        <v>250</v>
      </c>
      <c r="G145" t="b">
        <v>0</v>
      </c>
      <c r="H145">
        <v>250</v>
      </c>
      <c r="I145" t="s">
        <v>1743</v>
      </c>
    </row>
    <row r="146" spans="1:9" x14ac:dyDescent="0.25">
      <c r="A146" t="s">
        <v>233</v>
      </c>
      <c r="B146">
        <v>4000</v>
      </c>
      <c r="C146">
        <v>2</v>
      </c>
      <c r="D146">
        <v>6</v>
      </c>
      <c r="E146">
        <v>3900</v>
      </c>
      <c r="F146">
        <v>200</v>
      </c>
      <c r="G146" t="b">
        <v>0</v>
      </c>
      <c r="H146">
        <v>200</v>
      </c>
      <c r="I146" t="s">
        <v>1743</v>
      </c>
    </row>
    <row r="147" spans="1:9" x14ac:dyDescent="0.25">
      <c r="A147" t="s">
        <v>234</v>
      </c>
      <c r="B147">
        <v>4800</v>
      </c>
      <c r="C147">
        <v>2</v>
      </c>
      <c r="D147">
        <v>2</v>
      </c>
      <c r="E147">
        <v>4700</v>
      </c>
      <c r="F147">
        <v>500</v>
      </c>
      <c r="G147" t="b">
        <v>0</v>
      </c>
      <c r="H147">
        <v>500</v>
      </c>
      <c r="I147" t="s">
        <v>1743</v>
      </c>
    </row>
    <row r="148" spans="1:9" x14ac:dyDescent="0.25">
      <c r="A148" t="s">
        <v>235</v>
      </c>
      <c r="B148">
        <v>6500</v>
      </c>
      <c r="C148">
        <v>20</v>
      </c>
      <c r="D148">
        <v>4</v>
      </c>
      <c r="E148">
        <v>5200</v>
      </c>
      <c r="F148">
        <v>500</v>
      </c>
      <c r="G148" t="b">
        <v>0</v>
      </c>
      <c r="H148">
        <v>500</v>
      </c>
      <c r="I148" t="s">
        <v>1743</v>
      </c>
    </row>
    <row r="149" spans="1:9" x14ac:dyDescent="0.25">
      <c r="A149" t="s">
        <v>236</v>
      </c>
      <c r="B149">
        <v>3500</v>
      </c>
      <c r="C149">
        <v>5</v>
      </c>
      <c r="D149">
        <v>6</v>
      </c>
      <c r="E149">
        <v>3300</v>
      </c>
      <c r="F149">
        <v>25</v>
      </c>
      <c r="G149" t="b">
        <v>0</v>
      </c>
      <c r="H149">
        <v>25</v>
      </c>
      <c r="I149" t="s">
        <v>1743</v>
      </c>
    </row>
    <row r="150" spans="1:9" x14ac:dyDescent="0.25">
      <c r="A150" t="s">
        <v>237</v>
      </c>
      <c r="B150">
        <v>21500</v>
      </c>
      <c r="C150">
        <v>0</v>
      </c>
      <c r="D150">
        <v>4</v>
      </c>
      <c r="E150">
        <v>21500</v>
      </c>
      <c r="F150">
        <v>1000</v>
      </c>
      <c r="G150" t="b">
        <v>0</v>
      </c>
      <c r="H150">
        <v>1</v>
      </c>
      <c r="I150" t="s">
        <v>1743</v>
      </c>
    </row>
    <row r="151" spans="1:9" x14ac:dyDescent="0.25">
      <c r="A151" t="s">
        <v>238</v>
      </c>
      <c r="B151">
        <v>10200</v>
      </c>
      <c r="C151">
        <v>7</v>
      </c>
      <c r="D151">
        <v>4</v>
      </c>
      <c r="E151">
        <v>9400</v>
      </c>
      <c r="F151">
        <v>2000</v>
      </c>
      <c r="G151" t="b">
        <v>0</v>
      </c>
      <c r="H151">
        <v>2</v>
      </c>
      <c r="I151" t="s">
        <v>1743</v>
      </c>
    </row>
    <row r="152" spans="1:9" x14ac:dyDescent="0.25">
      <c r="A152" t="s">
        <v>239</v>
      </c>
      <c r="B152">
        <v>8500</v>
      </c>
      <c r="C152">
        <v>7</v>
      </c>
      <c r="D152">
        <v>5</v>
      </c>
      <c r="E152">
        <v>7900</v>
      </c>
      <c r="F152">
        <v>500</v>
      </c>
      <c r="G152" t="b">
        <v>0</v>
      </c>
      <c r="H152">
        <v>500</v>
      </c>
      <c r="I152" t="s">
        <v>1743</v>
      </c>
    </row>
    <row r="153" spans="1:9" x14ac:dyDescent="0.25">
      <c r="A153" t="s">
        <v>240</v>
      </c>
      <c r="B153">
        <v>7500</v>
      </c>
      <c r="C153">
        <v>0</v>
      </c>
      <c r="D153">
        <v>3</v>
      </c>
      <c r="E153">
        <v>7500</v>
      </c>
      <c r="F153">
        <v>1000</v>
      </c>
      <c r="G153" t="b">
        <v>0</v>
      </c>
      <c r="H153">
        <v>1</v>
      </c>
      <c r="I153" t="s">
        <v>1743</v>
      </c>
    </row>
    <row r="154" spans="1:9" x14ac:dyDescent="0.25">
      <c r="A154" t="s">
        <v>241</v>
      </c>
      <c r="B154">
        <v>8000</v>
      </c>
      <c r="C154">
        <v>10</v>
      </c>
      <c r="D154">
        <v>4</v>
      </c>
      <c r="E154">
        <v>7200</v>
      </c>
      <c r="F154">
        <v>500</v>
      </c>
      <c r="G154" t="b">
        <v>0</v>
      </c>
      <c r="H154">
        <v>500</v>
      </c>
      <c r="I154" t="s">
        <v>1743</v>
      </c>
    </row>
    <row r="155" spans="1:9" x14ac:dyDescent="0.25">
      <c r="A155" t="s">
        <v>242</v>
      </c>
      <c r="B155">
        <v>10900</v>
      </c>
      <c r="C155">
        <v>10</v>
      </c>
      <c r="D155">
        <v>5</v>
      </c>
      <c r="E155">
        <v>9800</v>
      </c>
      <c r="F155">
        <v>9</v>
      </c>
      <c r="G155" t="b">
        <v>0</v>
      </c>
      <c r="H155">
        <v>9</v>
      </c>
      <c r="I155" t="s">
        <v>1743</v>
      </c>
    </row>
    <row r="156" spans="1:9" x14ac:dyDescent="0.25">
      <c r="A156" t="s">
        <v>243</v>
      </c>
      <c r="B156">
        <v>10000</v>
      </c>
      <c r="C156">
        <v>10</v>
      </c>
      <c r="D156">
        <v>6</v>
      </c>
      <c r="E156">
        <v>9000</v>
      </c>
      <c r="F156">
        <v>500</v>
      </c>
      <c r="G156" t="b">
        <v>0</v>
      </c>
      <c r="H156">
        <v>500</v>
      </c>
      <c r="I156" t="s">
        <v>1743</v>
      </c>
    </row>
    <row r="157" spans="1:9" x14ac:dyDescent="0.25">
      <c r="A157" t="s">
        <v>161</v>
      </c>
      <c r="B157">
        <v>7400</v>
      </c>
      <c r="C157">
        <v>2</v>
      </c>
      <c r="D157">
        <v>6</v>
      </c>
      <c r="E157">
        <v>7200</v>
      </c>
      <c r="F157">
        <v>100</v>
      </c>
      <c r="G157" t="b">
        <v>0</v>
      </c>
      <c r="H157">
        <v>100</v>
      </c>
      <c r="I157" t="s">
        <v>1743</v>
      </c>
    </row>
    <row r="158" spans="1:9" x14ac:dyDescent="0.25">
      <c r="A158" t="s">
        <v>240</v>
      </c>
      <c r="B158">
        <v>37000</v>
      </c>
      <c r="C158">
        <v>10</v>
      </c>
      <c r="D158">
        <v>6</v>
      </c>
      <c r="E158">
        <v>33300</v>
      </c>
      <c r="F158">
        <v>5000</v>
      </c>
      <c r="G158" t="b">
        <v>0</v>
      </c>
      <c r="H158">
        <v>5</v>
      </c>
      <c r="I158" t="s">
        <v>1743</v>
      </c>
    </row>
    <row r="159" spans="1:9" x14ac:dyDescent="0.25">
      <c r="A159" t="s">
        <v>244</v>
      </c>
      <c r="B159">
        <v>4200</v>
      </c>
      <c r="C159">
        <v>4</v>
      </c>
      <c r="D159">
        <v>5</v>
      </c>
      <c r="E159">
        <v>4000</v>
      </c>
      <c r="F159">
        <v>50</v>
      </c>
      <c r="G159" t="b">
        <v>0</v>
      </c>
      <c r="H159">
        <v>50</v>
      </c>
      <c r="I159" t="s">
        <v>1743</v>
      </c>
    </row>
    <row r="160" spans="1:9" x14ac:dyDescent="0.25">
      <c r="A160" t="s">
        <v>245</v>
      </c>
      <c r="B160">
        <v>32500</v>
      </c>
      <c r="C160">
        <v>9</v>
      </c>
      <c r="D160">
        <v>1</v>
      </c>
      <c r="E160">
        <v>29300</v>
      </c>
      <c r="F160">
        <v>500</v>
      </c>
      <c r="G160" t="b">
        <v>0</v>
      </c>
      <c r="H160">
        <v>500</v>
      </c>
      <c r="I160" t="s">
        <v>1743</v>
      </c>
    </row>
    <row r="161" spans="1:9" x14ac:dyDescent="0.25">
      <c r="A161" t="s">
        <v>246</v>
      </c>
      <c r="B161">
        <v>3500</v>
      </c>
      <c r="C161">
        <v>2</v>
      </c>
      <c r="D161">
        <v>6</v>
      </c>
      <c r="E161">
        <v>3400</v>
      </c>
      <c r="F161">
        <v>20</v>
      </c>
      <c r="G161" t="b">
        <v>0</v>
      </c>
      <c r="H161">
        <v>20</v>
      </c>
      <c r="I161" t="s">
        <v>1743</v>
      </c>
    </row>
    <row r="162" spans="1:9" x14ac:dyDescent="0.25">
      <c r="A162" t="s">
        <v>247</v>
      </c>
      <c r="B162">
        <v>3000</v>
      </c>
      <c r="C162">
        <v>3</v>
      </c>
      <c r="D162">
        <v>6</v>
      </c>
      <c r="E162">
        <v>2900</v>
      </c>
      <c r="F162">
        <v>50</v>
      </c>
      <c r="G162" t="b">
        <v>0</v>
      </c>
      <c r="H162">
        <v>50</v>
      </c>
      <c r="I162" t="s">
        <v>1743</v>
      </c>
    </row>
    <row r="163" spans="1:9" x14ac:dyDescent="0.25">
      <c r="A163" t="s">
        <v>165</v>
      </c>
      <c r="B163">
        <v>69500</v>
      </c>
      <c r="C163">
        <v>32</v>
      </c>
      <c r="D163">
        <v>6</v>
      </c>
      <c r="E163">
        <v>47000</v>
      </c>
      <c r="F163">
        <v>500</v>
      </c>
      <c r="G163" t="b">
        <v>0</v>
      </c>
      <c r="H163">
        <v>500</v>
      </c>
      <c r="I163" t="s">
        <v>1743</v>
      </c>
    </row>
    <row r="164" spans="1:9" x14ac:dyDescent="0.25">
      <c r="A164" t="s">
        <v>248</v>
      </c>
      <c r="B164">
        <v>11000</v>
      </c>
      <c r="C164">
        <v>20</v>
      </c>
      <c r="D164">
        <v>6</v>
      </c>
      <c r="E164">
        <v>8800</v>
      </c>
      <c r="F164">
        <v>80</v>
      </c>
      <c r="G164" t="b">
        <v>0</v>
      </c>
      <c r="H164">
        <v>80</v>
      </c>
      <c r="I164" t="s">
        <v>1743</v>
      </c>
    </row>
    <row r="165" spans="1:9" x14ac:dyDescent="0.25">
      <c r="A165" t="s">
        <v>249</v>
      </c>
      <c r="B165">
        <v>3300</v>
      </c>
      <c r="C165">
        <v>3</v>
      </c>
      <c r="D165">
        <v>5</v>
      </c>
      <c r="E165">
        <v>3200</v>
      </c>
      <c r="F165">
        <v>50</v>
      </c>
      <c r="G165" t="b">
        <v>0</v>
      </c>
      <c r="H165">
        <v>50</v>
      </c>
      <c r="I165" t="s">
        <v>1743</v>
      </c>
    </row>
    <row r="166" spans="1:9" x14ac:dyDescent="0.25">
      <c r="A166" t="s">
        <v>250</v>
      </c>
      <c r="B166">
        <v>4000</v>
      </c>
      <c r="C166">
        <v>5</v>
      </c>
      <c r="D166">
        <v>1</v>
      </c>
      <c r="E166">
        <v>3800</v>
      </c>
      <c r="F166">
        <v>100</v>
      </c>
      <c r="G166" t="b">
        <v>0</v>
      </c>
      <c r="H166">
        <v>100</v>
      </c>
      <c r="I166" t="s">
        <v>1743</v>
      </c>
    </row>
    <row r="167" spans="1:9" x14ac:dyDescent="0.25">
      <c r="A167" t="s">
        <v>251</v>
      </c>
      <c r="B167">
        <v>12500</v>
      </c>
      <c r="C167">
        <v>2</v>
      </c>
      <c r="D167">
        <v>6</v>
      </c>
      <c r="E167">
        <v>12200</v>
      </c>
      <c r="F167">
        <v>500</v>
      </c>
      <c r="G167" t="b">
        <v>0</v>
      </c>
      <c r="H167">
        <v>500</v>
      </c>
      <c r="I167" t="s">
        <v>1743</v>
      </c>
    </row>
    <row r="168" spans="1:9" x14ac:dyDescent="0.25">
      <c r="A168" t="s">
        <v>252</v>
      </c>
      <c r="B168">
        <v>7900</v>
      </c>
      <c r="C168">
        <v>10</v>
      </c>
      <c r="D168">
        <v>6</v>
      </c>
      <c r="E168">
        <v>7100</v>
      </c>
      <c r="F168">
        <v>200</v>
      </c>
      <c r="G168" t="b">
        <v>0</v>
      </c>
      <c r="H168">
        <v>200</v>
      </c>
      <c r="I168" t="s">
        <v>1743</v>
      </c>
    </row>
    <row r="169" spans="1:9" x14ac:dyDescent="0.25">
      <c r="A169" t="s">
        <v>253</v>
      </c>
      <c r="B169">
        <v>6000</v>
      </c>
      <c r="C169">
        <v>0</v>
      </c>
      <c r="D169">
        <v>1</v>
      </c>
      <c r="E169">
        <v>6000</v>
      </c>
      <c r="F169">
        <v>240</v>
      </c>
      <c r="G169" t="b">
        <v>0</v>
      </c>
      <c r="H169">
        <v>240</v>
      </c>
      <c r="I169" t="s">
        <v>1743</v>
      </c>
    </row>
    <row r="170" spans="1:9" x14ac:dyDescent="0.25">
      <c r="A170" t="s">
        <v>254</v>
      </c>
      <c r="B170">
        <v>11000</v>
      </c>
      <c r="C170">
        <v>2</v>
      </c>
      <c r="D170">
        <v>6</v>
      </c>
      <c r="E170">
        <v>10700</v>
      </c>
      <c r="F170">
        <v>500</v>
      </c>
      <c r="G170" t="b">
        <v>0</v>
      </c>
      <c r="H170">
        <v>500</v>
      </c>
      <c r="I170" t="s">
        <v>1743</v>
      </c>
    </row>
    <row r="171" spans="1:9" x14ac:dyDescent="0.25">
      <c r="A171" t="s">
        <v>255</v>
      </c>
      <c r="B171">
        <v>7000</v>
      </c>
      <c r="C171">
        <v>7</v>
      </c>
      <c r="D171">
        <v>3</v>
      </c>
      <c r="E171">
        <v>6500</v>
      </c>
      <c r="F171">
        <v>100</v>
      </c>
      <c r="G171" t="b">
        <v>0</v>
      </c>
      <c r="H171">
        <v>100</v>
      </c>
      <c r="I171" t="s">
        <v>1743</v>
      </c>
    </row>
    <row r="172" spans="1:9" x14ac:dyDescent="0.25">
      <c r="A172" t="s">
        <v>256</v>
      </c>
      <c r="B172">
        <v>2500</v>
      </c>
      <c r="C172">
        <v>0</v>
      </c>
      <c r="D172">
        <v>5</v>
      </c>
      <c r="E172">
        <v>2500</v>
      </c>
      <c r="F172">
        <v>100</v>
      </c>
      <c r="G172" t="b">
        <v>0</v>
      </c>
      <c r="H172">
        <v>100</v>
      </c>
      <c r="I172" t="s">
        <v>1743</v>
      </c>
    </row>
    <row r="173" spans="1:9" x14ac:dyDescent="0.25">
      <c r="A173" t="s">
        <v>257</v>
      </c>
      <c r="B173">
        <v>2000</v>
      </c>
      <c r="C173">
        <v>0</v>
      </c>
      <c r="D173">
        <v>2</v>
      </c>
      <c r="E173">
        <v>2000</v>
      </c>
      <c r="F173">
        <v>46</v>
      </c>
      <c r="G173" t="b">
        <v>0</v>
      </c>
      <c r="H173">
        <v>46</v>
      </c>
      <c r="I173" t="s">
        <v>1743</v>
      </c>
    </row>
    <row r="174" spans="1:9" x14ac:dyDescent="0.25">
      <c r="A174" t="s">
        <v>258</v>
      </c>
      <c r="B174">
        <v>17500</v>
      </c>
      <c r="C174">
        <v>5</v>
      </c>
      <c r="D174">
        <v>6</v>
      </c>
      <c r="E174">
        <v>16600</v>
      </c>
      <c r="F174">
        <v>200</v>
      </c>
      <c r="G174" t="b">
        <v>0</v>
      </c>
      <c r="H174">
        <v>200</v>
      </c>
      <c r="I174" t="s">
        <v>1743</v>
      </c>
    </row>
    <row r="175" spans="1:9" x14ac:dyDescent="0.25">
      <c r="A175" t="s">
        <v>259</v>
      </c>
      <c r="B175">
        <v>1000</v>
      </c>
      <c r="C175">
        <v>0</v>
      </c>
      <c r="D175">
        <v>6</v>
      </c>
      <c r="E175">
        <v>1000</v>
      </c>
      <c r="F175">
        <v>20</v>
      </c>
      <c r="G175" t="b">
        <v>0</v>
      </c>
      <c r="H175">
        <v>20</v>
      </c>
      <c r="I175" t="s">
        <v>1743</v>
      </c>
    </row>
    <row r="176" spans="1:9" x14ac:dyDescent="0.25">
      <c r="A176" t="s">
        <v>260</v>
      </c>
      <c r="B176">
        <v>6200</v>
      </c>
      <c r="C176">
        <v>6</v>
      </c>
      <c r="D176">
        <v>6</v>
      </c>
      <c r="E176">
        <v>5800</v>
      </c>
      <c r="F176">
        <v>250</v>
      </c>
      <c r="G176" t="b">
        <v>0</v>
      </c>
      <c r="H176">
        <v>250</v>
      </c>
      <c r="I176" t="s">
        <v>1743</v>
      </c>
    </row>
    <row r="177" spans="1:9" x14ac:dyDescent="0.25">
      <c r="A177" t="s">
        <v>261</v>
      </c>
      <c r="B177">
        <v>10000</v>
      </c>
      <c r="C177">
        <v>10</v>
      </c>
      <c r="D177">
        <v>6</v>
      </c>
      <c r="E177">
        <v>9000</v>
      </c>
      <c r="F177">
        <v>50</v>
      </c>
      <c r="G177" t="b">
        <v>0</v>
      </c>
      <c r="H177">
        <v>50</v>
      </c>
      <c r="I177" t="s">
        <v>1743</v>
      </c>
    </row>
    <row r="178" spans="1:9" x14ac:dyDescent="0.25">
      <c r="A178" t="s">
        <v>262</v>
      </c>
      <c r="B178">
        <v>6000</v>
      </c>
      <c r="C178">
        <v>10</v>
      </c>
      <c r="D178">
        <v>4</v>
      </c>
      <c r="E178">
        <v>5400</v>
      </c>
      <c r="F178">
        <v>1000</v>
      </c>
      <c r="G178" t="b">
        <v>0</v>
      </c>
      <c r="H178">
        <v>1</v>
      </c>
      <c r="I178" t="s">
        <v>1743</v>
      </c>
    </row>
    <row r="179" spans="1:9" x14ac:dyDescent="0.25">
      <c r="A179" t="s">
        <v>263</v>
      </c>
      <c r="B179">
        <v>3300</v>
      </c>
      <c r="C179">
        <v>3</v>
      </c>
      <c r="D179">
        <v>1</v>
      </c>
      <c r="E179">
        <v>3200</v>
      </c>
      <c r="F179">
        <v>50</v>
      </c>
      <c r="G179" t="b">
        <v>0</v>
      </c>
      <c r="H179">
        <v>50</v>
      </c>
      <c r="I179" t="s">
        <v>1743</v>
      </c>
    </row>
    <row r="180" spans="1:9" x14ac:dyDescent="0.25">
      <c r="A180" t="s">
        <v>264</v>
      </c>
      <c r="B180">
        <v>4800</v>
      </c>
      <c r="C180">
        <v>6</v>
      </c>
      <c r="D180">
        <v>6</v>
      </c>
      <c r="E180">
        <v>4500</v>
      </c>
      <c r="F180">
        <v>200</v>
      </c>
      <c r="G180" t="b">
        <v>0</v>
      </c>
      <c r="H180">
        <v>200</v>
      </c>
      <c r="I180" t="s">
        <v>1743</v>
      </c>
    </row>
    <row r="181" spans="1:9" x14ac:dyDescent="0.25">
      <c r="A181" t="s">
        <v>265</v>
      </c>
      <c r="B181">
        <v>3500</v>
      </c>
      <c r="C181">
        <v>2</v>
      </c>
      <c r="D181">
        <v>6</v>
      </c>
      <c r="E181">
        <v>3400</v>
      </c>
      <c r="F181">
        <v>48</v>
      </c>
      <c r="G181" t="b">
        <v>0</v>
      </c>
      <c r="H181">
        <v>48</v>
      </c>
      <c r="I181" t="s">
        <v>1743</v>
      </c>
    </row>
    <row r="182" spans="1:9" x14ac:dyDescent="0.25">
      <c r="A182" t="s">
        <v>266</v>
      </c>
      <c r="B182">
        <v>3000</v>
      </c>
      <c r="C182">
        <v>10</v>
      </c>
      <c r="D182">
        <v>6</v>
      </c>
      <c r="E182">
        <v>2700</v>
      </c>
      <c r="F182">
        <v>200</v>
      </c>
      <c r="G182" t="b">
        <v>0</v>
      </c>
      <c r="H182">
        <v>200</v>
      </c>
      <c r="I182" t="s">
        <v>1743</v>
      </c>
    </row>
    <row r="183" spans="1:9" x14ac:dyDescent="0.25">
      <c r="A183" t="s">
        <v>267</v>
      </c>
      <c r="B183">
        <v>25500</v>
      </c>
      <c r="C183">
        <v>6</v>
      </c>
      <c r="D183">
        <v>2</v>
      </c>
      <c r="E183">
        <v>23900</v>
      </c>
      <c r="F183">
        <v>1000</v>
      </c>
      <c r="G183" t="b">
        <v>0</v>
      </c>
      <c r="H183">
        <v>1</v>
      </c>
      <c r="I183" t="s">
        <v>1743</v>
      </c>
    </row>
    <row r="184" spans="1:9" x14ac:dyDescent="0.25">
      <c r="A184" t="s">
        <v>268</v>
      </c>
      <c r="B184">
        <v>3100</v>
      </c>
      <c r="C184">
        <v>3</v>
      </c>
      <c r="D184">
        <v>6</v>
      </c>
      <c r="E184">
        <v>3000</v>
      </c>
      <c r="F184">
        <v>50</v>
      </c>
      <c r="G184" t="b">
        <v>0</v>
      </c>
      <c r="H184">
        <v>50</v>
      </c>
      <c r="I184" t="s">
        <v>1743</v>
      </c>
    </row>
    <row r="185" spans="1:9" x14ac:dyDescent="0.25">
      <c r="A185" t="s">
        <v>269</v>
      </c>
      <c r="B185">
        <v>5000</v>
      </c>
      <c r="C185">
        <v>10</v>
      </c>
      <c r="D185">
        <v>2</v>
      </c>
      <c r="E185">
        <v>4500</v>
      </c>
      <c r="F185">
        <v>70</v>
      </c>
      <c r="G185" t="b">
        <v>0</v>
      </c>
      <c r="H185">
        <v>70</v>
      </c>
      <c r="I185" t="s">
        <v>1743</v>
      </c>
    </row>
    <row r="186" spans="1:9" x14ac:dyDescent="0.25">
      <c r="A186" t="s">
        <v>270</v>
      </c>
      <c r="B186">
        <v>1000</v>
      </c>
      <c r="C186">
        <v>0</v>
      </c>
      <c r="D186">
        <v>2</v>
      </c>
      <c r="E186">
        <v>1000</v>
      </c>
      <c r="F186">
        <v>20</v>
      </c>
      <c r="G186" t="b">
        <v>0</v>
      </c>
      <c r="H186">
        <v>20</v>
      </c>
      <c r="I186" t="s">
        <v>1743</v>
      </c>
    </row>
    <row r="187" spans="1:9" x14ac:dyDescent="0.25">
      <c r="A187" t="s">
        <v>271</v>
      </c>
      <c r="B187">
        <v>22000</v>
      </c>
      <c r="C187">
        <v>50</v>
      </c>
      <c r="D187">
        <v>6</v>
      </c>
      <c r="E187">
        <v>11000</v>
      </c>
      <c r="F187">
        <v>200</v>
      </c>
      <c r="G187" t="b">
        <v>0</v>
      </c>
      <c r="H187">
        <v>200</v>
      </c>
      <c r="I187" t="s">
        <v>1743</v>
      </c>
    </row>
    <row r="188" spans="1:9" x14ac:dyDescent="0.25">
      <c r="A188" t="s">
        <v>151</v>
      </c>
      <c r="B188">
        <v>15800</v>
      </c>
      <c r="C188">
        <v>10</v>
      </c>
      <c r="D188">
        <v>6</v>
      </c>
      <c r="E188">
        <v>14200</v>
      </c>
      <c r="F188">
        <v>200</v>
      </c>
      <c r="G188" t="b">
        <v>0</v>
      </c>
      <c r="H188">
        <v>200</v>
      </c>
      <c r="I188" t="s">
        <v>1743</v>
      </c>
    </row>
    <row r="189" spans="1:9" x14ac:dyDescent="0.25">
      <c r="A189" t="s">
        <v>272</v>
      </c>
      <c r="B189">
        <v>7000</v>
      </c>
      <c r="C189">
        <v>7</v>
      </c>
      <c r="D189">
        <v>6</v>
      </c>
      <c r="E189">
        <v>6500</v>
      </c>
      <c r="F189">
        <v>500</v>
      </c>
      <c r="G189" t="b">
        <v>0</v>
      </c>
      <c r="H189">
        <v>500</v>
      </c>
      <c r="I189" t="s">
        <v>1743</v>
      </c>
    </row>
    <row r="190" spans="1:9" x14ac:dyDescent="0.25">
      <c r="A190" t="s">
        <v>273</v>
      </c>
      <c r="B190">
        <v>10000</v>
      </c>
      <c r="C190">
        <v>0</v>
      </c>
      <c r="D190">
        <v>6</v>
      </c>
      <c r="E190">
        <v>10000</v>
      </c>
      <c r="F190">
        <v>100</v>
      </c>
      <c r="G190" t="b">
        <v>0</v>
      </c>
      <c r="H190">
        <v>100</v>
      </c>
      <c r="I190" t="s">
        <v>1743</v>
      </c>
    </row>
    <row r="191" spans="1:9" x14ac:dyDescent="0.25">
      <c r="A191" t="s">
        <v>274</v>
      </c>
      <c r="B191">
        <v>15900</v>
      </c>
      <c r="C191">
        <v>9</v>
      </c>
      <c r="D191">
        <v>1</v>
      </c>
      <c r="E191">
        <v>14400</v>
      </c>
      <c r="F191">
        <v>50</v>
      </c>
      <c r="G191" t="b">
        <v>0</v>
      </c>
      <c r="H191">
        <v>50</v>
      </c>
      <c r="I191" t="s">
        <v>1743</v>
      </c>
    </row>
    <row r="192" spans="1:9" x14ac:dyDescent="0.25">
      <c r="A192" t="s">
        <v>275</v>
      </c>
      <c r="B192">
        <v>6000</v>
      </c>
      <c r="C192">
        <v>0</v>
      </c>
      <c r="D192">
        <v>3</v>
      </c>
      <c r="E192">
        <v>6000</v>
      </c>
      <c r="F192">
        <v>1000</v>
      </c>
      <c r="G192" t="b">
        <v>0</v>
      </c>
      <c r="H192">
        <v>1</v>
      </c>
      <c r="I192" t="s">
        <v>1743</v>
      </c>
    </row>
    <row r="193" spans="1:9" x14ac:dyDescent="0.25">
      <c r="A193" t="s">
        <v>276</v>
      </c>
      <c r="B193">
        <v>2800</v>
      </c>
      <c r="C193">
        <v>10</v>
      </c>
      <c r="D193">
        <v>1</v>
      </c>
      <c r="E193">
        <v>2500</v>
      </c>
      <c r="F193">
        <v>65</v>
      </c>
      <c r="G193" t="b">
        <v>0</v>
      </c>
      <c r="H193">
        <v>65</v>
      </c>
      <c r="I193" t="s">
        <v>1743</v>
      </c>
    </row>
    <row r="194" spans="1:9" x14ac:dyDescent="0.25">
      <c r="A194" t="s">
        <v>277</v>
      </c>
      <c r="B194">
        <v>9500</v>
      </c>
      <c r="C194">
        <v>0</v>
      </c>
      <c r="D194">
        <v>6</v>
      </c>
      <c r="E194">
        <v>9500</v>
      </c>
      <c r="F194">
        <v>1000</v>
      </c>
      <c r="G194" t="b">
        <v>0</v>
      </c>
      <c r="H194">
        <v>1</v>
      </c>
      <c r="I194" t="s">
        <v>1743</v>
      </c>
    </row>
    <row r="195" spans="1:9" x14ac:dyDescent="0.25">
      <c r="A195" t="s">
        <v>278</v>
      </c>
      <c r="B195">
        <v>36500</v>
      </c>
      <c r="C195">
        <v>29</v>
      </c>
      <c r="D195">
        <v>2</v>
      </c>
      <c r="E195">
        <v>25600</v>
      </c>
      <c r="F195">
        <v>200</v>
      </c>
      <c r="G195" t="b">
        <v>0</v>
      </c>
      <c r="H195">
        <v>200</v>
      </c>
      <c r="I195" t="s">
        <v>1743</v>
      </c>
    </row>
    <row r="196" spans="1:9" x14ac:dyDescent="0.25">
      <c r="A196" t="s">
        <v>279</v>
      </c>
      <c r="B196">
        <v>3500</v>
      </c>
      <c r="C196">
        <v>2</v>
      </c>
      <c r="D196">
        <v>6</v>
      </c>
      <c r="E196">
        <v>3400</v>
      </c>
      <c r="F196">
        <v>500</v>
      </c>
      <c r="G196" t="b">
        <v>0</v>
      </c>
      <c r="H196">
        <v>500</v>
      </c>
      <c r="I196" t="s">
        <v>1743</v>
      </c>
    </row>
    <row r="197" spans="1:9" x14ac:dyDescent="0.25">
      <c r="A197" t="s">
        <v>280</v>
      </c>
      <c r="B197">
        <v>33000</v>
      </c>
      <c r="C197">
        <v>10</v>
      </c>
      <c r="D197">
        <v>5</v>
      </c>
      <c r="E197">
        <v>29400</v>
      </c>
      <c r="F197">
        <v>1000</v>
      </c>
      <c r="G197" t="b">
        <v>0</v>
      </c>
      <c r="H197">
        <v>1</v>
      </c>
      <c r="I197" t="s">
        <v>1743</v>
      </c>
    </row>
    <row r="198" spans="1:9" x14ac:dyDescent="0.25">
      <c r="A198" t="s">
        <v>281</v>
      </c>
      <c r="B198">
        <v>9000</v>
      </c>
      <c r="C198">
        <v>10</v>
      </c>
      <c r="D198">
        <v>6</v>
      </c>
      <c r="E198">
        <v>8100</v>
      </c>
      <c r="F198">
        <v>500</v>
      </c>
      <c r="G198" t="b">
        <v>0</v>
      </c>
      <c r="H198">
        <v>500</v>
      </c>
      <c r="I198" t="s">
        <v>1743</v>
      </c>
    </row>
    <row r="199" spans="1:9" x14ac:dyDescent="0.25">
      <c r="A199" t="s">
        <v>282</v>
      </c>
      <c r="B199">
        <v>12000</v>
      </c>
      <c r="C199">
        <v>10</v>
      </c>
      <c r="D199">
        <v>6</v>
      </c>
      <c r="E199">
        <v>10800</v>
      </c>
      <c r="F199">
        <v>150</v>
      </c>
      <c r="G199" t="b">
        <v>0</v>
      </c>
      <c r="H199">
        <v>150</v>
      </c>
      <c r="I199" t="s">
        <v>1743</v>
      </c>
    </row>
    <row r="200" spans="1:9" x14ac:dyDescent="0.25">
      <c r="A200" t="s">
        <v>283</v>
      </c>
      <c r="B200">
        <v>10000</v>
      </c>
      <c r="C200">
        <v>10</v>
      </c>
      <c r="D200">
        <v>5</v>
      </c>
      <c r="E200">
        <v>9000</v>
      </c>
      <c r="F200">
        <v>100</v>
      </c>
      <c r="G200" t="b">
        <v>0</v>
      </c>
      <c r="H200">
        <v>100</v>
      </c>
      <c r="I200" t="s">
        <v>1743</v>
      </c>
    </row>
    <row r="201" spans="1:9" x14ac:dyDescent="0.25">
      <c r="A201" t="s">
        <v>284</v>
      </c>
      <c r="B201">
        <v>13000</v>
      </c>
      <c r="C201">
        <v>7</v>
      </c>
      <c r="D201">
        <v>6</v>
      </c>
      <c r="E201">
        <v>12000</v>
      </c>
      <c r="F201">
        <v>500</v>
      </c>
      <c r="G201" t="b">
        <v>0</v>
      </c>
      <c r="H201">
        <v>500</v>
      </c>
      <c r="I201" t="s">
        <v>1743</v>
      </c>
    </row>
    <row r="202" spans="1:9" x14ac:dyDescent="0.25">
      <c r="A202" t="s">
        <v>285</v>
      </c>
      <c r="B202">
        <v>6500</v>
      </c>
      <c r="C202">
        <v>6</v>
      </c>
      <c r="D202">
        <v>3</v>
      </c>
      <c r="E202">
        <v>6100</v>
      </c>
      <c r="F202">
        <v>110</v>
      </c>
      <c r="G202" t="b">
        <v>0</v>
      </c>
      <c r="H202">
        <v>100</v>
      </c>
      <c r="I202" t="s">
        <v>1743</v>
      </c>
    </row>
    <row r="203" spans="1:9" x14ac:dyDescent="0.25">
      <c r="A203" t="s">
        <v>286</v>
      </c>
      <c r="B203">
        <v>1000</v>
      </c>
      <c r="C203">
        <v>0</v>
      </c>
      <c r="D203">
        <v>2</v>
      </c>
      <c r="E203">
        <v>1000</v>
      </c>
      <c r="F203">
        <v>20</v>
      </c>
      <c r="G203" t="b">
        <v>0</v>
      </c>
      <c r="H203">
        <v>20</v>
      </c>
      <c r="I203" t="s">
        <v>1743</v>
      </c>
    </row>
    <row r="204" spans="1:9" x14ac:dyDescent="0.25">
      <c r="A204" t="s">
        <v>287</v>
      </c>
      <c r="B204">
        <v>22000</v>
      </c>
      <c r="C204">
        <v>7</v>
      </c>
      <c r="D204">
        <v>3</v>
      </c>
      <c r="E204">
        <v>20400</v>
      </c>
      <c r="F204">
        <v>500</v>
      </c>
      <c r="G204" t="b">
        <v>0</v>
      </c>
      <c r="H204">
        <v>500</v>
      </c>
      <c r="I204" t="s">
        <v>1743</v>
      </c>
    </row>
    <row r="205" spans="1:9" x14ac:dyDescent="0.25">
      <c r="A205" t="s">
        <v>276</v>
      </c>
      <c r="B205">
        <v>2800</v>
      </c>
      <c r="C205">
        <v>17</v>
      </c>
      <c r="D205">
        <v>3</v>
      </c>
      <c r="E205">
        <v>2300</v>
      </c>
      <c r="F205">
        <v>65</v>
      </c>
      <c r="G205" t="b">
        <v>0</v>
      </c>
      <c r="H205">
        <v>65</v>
      </c>
      <c r="I205" t="s">
        <v>1743</v>
      </c>
    </row>
    <row r="206" spans="1:9" x14ac:dyDescent="0.25">
      <c r="A206" t="s">
        <v>288</v>
      </c>
      <c r="B206">
        <v>5500</v>
      </c>
      <c r="C206">
        <v>9</v>
      </c>
      <c r="D206">
        <v>2</v>
      </c>
      <c r="E206">
        <v>5000</v>
      </c>
      <c r="F206">
        <v>50</v>
      </c>
      <c r="G206" t="b">
        <v>0</v>
      </c>
      <c r="H206">
        <v>50</v>
      </c>
      <c r="I206" t="s">
        <v>1743</v>
      </c>
    </row>
    <row r="207" spans="1:9" x14ac:dyDescent="0.25">
      <c r="A207" t="s">
        <v>289</v>
      </c>
      <c r="B207">
        <v>4400</v>
      </c>
      <c r="C207">
        <v>0</v>
      </c>
      <c r="D207">
        <v>4</v>
      </c>
      <c r="E207">
        <v>4400</v>
      </c>
      <c r="F207">
        <v>60</v>
      </c>
      <c r="G207" t="b">
        <v>0</v>
      </c>
      <c r="H207">
        <v>60</v>
      </c>
      <c r="I207" t="s">
        <v>1743</v>
      </c>
    </row>
    <row r="208" spans="1:9" x14ac:dyDescent="0.25">
      <c r="A208" t="s">
        <v>290</v>
      </c>
      <c r="B208">
        <v>7000</v>
      </c>
      <c r="C208">
        <v>10</v>
      </c>
      <c r="D208">
        <v>3</v>
      </c>
      <c r="E208">
        <v>6300</v>
      </c>
      <c r="F208">
        <v>405</v>
      </c>
      <c r="G208" t="b">
        <v>0</v>
      </c>
      <c r="H208">
        <v>405</v>
      </c>
      <c r="I208" t="s">
        <v>1743</v>
      </c>
    </row>
    <row r="209" spans="1:9" x14ac:dyDescent="0.25">
      <c r="A209" t="s">
        <v>291</v>
      </c>
      <c r="B209">
        <v>7400</v>
      </c>
      <c r="C209">
        <v>9</v>
      </c>
      <c r="D209">
        <v>3</v>
      </c>
      <c r="E209">
        <v>6700</v>
      </c>
      <c r="F209">
        <v>100</v>
      </c>
      <c r="G209" t="b">
        <v>0</v>
      </c>
      <c r="H209">
        <v>100</v>
      </c>
      <c r="I209" t="s">
        <v>1743</v>
      </c>
    </row>
    <row r="210" spans="1:9" x14ac:dyDescent="0.25">
      <c r="A210" t="s">
        <v>292</v>
      </c>
      <c r="B210">
        <v>29500</v>
      </c>
      <c r="C210">
        <v>16</v>
      </c>
      <c r="D210">
        <v>6</v>
      </c>
      <c r="E210">
        <v>24500</v>
      </c>
      <c r="F210">
        <v>5000</v>
      </c>
      <c r="G210" t="b">
        <v>0</v>
      </c>
      <c r="H210">
        <v>5</v>
      </c>
      <c r="I210" t="s">
        <v>1743</v>
      </c>
    </row>
    <row r="211" spans="1:9" x14ac:dyDescent="0.25">
      <c r="A211" t="s">
        <v>293</v>
      </c>
      <c r="B211">
        <v>5000</v>
      </c>
      <c r="C211">
        <v>2</v>
      </c>
      <c r="D211">
        <v>6</v>
      </c>
      <c r="E211">
        <v>4900</v>
      </c>
      <c r="F211">
        <v>200</v>
      </c>
      <c r="G211" t="b">
        <v>0</v>
      </c>
      <c r="H211">
        <v>200</v>
      </c>
      <c r="I211" t="s">
        <v>1743</v>
      </c>
    </row>
    <row r="212" spans="1:9" x14ac:dyDescent="0.25">
      <c r="A212" t="s">
        <v>294</v>
      </c>
      <c r="B212">
        <v>4900</v>
      </c>
      <c r="C212">
        <v>8</v>
      </c>
      <c r="D212">
        <v>6</v>
      </c>
      <c r="E212">
        <v>4500</v>
      </c>
      <c r="F212">
        <v>200</v>
      </c>
      <c r="G212" t="b">
        <v>0</v>
      </c>
      <c r="H212">
        <v>200</v>
      </c>
      <c r="I212" t="s">
        <v>1743</v>
      </c>
    </row>
    <row r="213" spans="1:9" x14ac:dyDescent="0.25">
      <c r="A213" t="s">
        <v>295</v>
      </c>
      <c r="B213">
        <v>7500</v>
      </c>
      <c r="C213">
        <v>17</v>
      </c>
      <c r="D213">
        <v>6</v>
      </c>
      <c r="E213">
        <v>6200</v>
      </c>
      <c r="F213">
        <v>50</v>
      </c>
      <c r="G213" t="b">
        <v>0</v>
      </c>
      <c r="H213">
        <v>50</v>
      </c>
      <c r="I213" t="s">
        <v>1743</v>
      </c>
    </row>
    <row r="214" spans="1:9" x14ac:dyDescent="0.25">
      <c r="A214" t="s">
        <v>296</v>
      </c>
      <c r="B214">
        <v>9600</v>
      </c>
      <c r="C214">
        <v>15</v>
      </c>
      <c r="D214">
        <v>6</v>
      </c>
      <c r="E214">
        <v>8100</v>
      </c>
      <c r="F214">
        <v>280</v>
      </c>
      <c r="G214" t="b">
        <v>0</v>
      </c>
      <c r="H214">
        <v>280</v>
      </c>
      <c r="I214" t="s">
        <v>1743</v>
      </c>
    </row>
    <row r="215" spans="1:9" x14ac:dyDescent="0.25">
      <c r="A215" t="s">
        <v>297</v>
      </c>
      <c r="B215">
        <v>4000</v>
      </c>
      <c r="C215">
        <v>5</v>
      </c>
      <c r="D215">
        <v>6</v>
      </c>
      <c r="E215">
        <v>3800</v>
      </c>
      <c r="F215">
        <v>50</v>
      </c>
      <c r="G215" t="b">
        <v>0</v>
      </c>
      <c r="H215">
        <v>50</v>
      </c>
      <c r="I215" t="s">
        <v>1743</v>
      </c>
    </row>
    <row r="216" spans="1:9" x14ac:dyDescent="0.25">
      <c r="A216" t="s">
        <v>298</v>
      </c>
      <c r="B216">
        <v>3500</v>
      </c>
      <c r="C216">
        <v>2</v>
      </c>
      <c r="D216">
        <v>6</v>
      </c>
      <c r="E216">
        <v>3400</v>
      </c>
      <c r="F216">
        <v>100</v>
      </c>
      <c r="G216" t="b">
        <v>0</v>
      </c>
      <c r="H216">
        <v>100</v>
      </c>
      <c r="I216" t="s">
        <v>1743</v>
      </c>
    </row>
    <row r="217" spans="1:9" x14ac:dyDescent="0.25">
      <c r="A217" t="s">
        <v>299</v>
      </c>
      <c r="B217">
        <v>19000</v>
      </c>
      <c r="C217">
        <v>0</v>
      </c>
      <c r="D217">
        <v>4</v>
      </c>
      <c r="E217">
        <v>19000</v>
      </c>
      <c r="F217">
        <v>500</v>
      </c>
      <c r="G217" t="b">
        <v>0</v>
      </c>
      <c r="H217">
        <v>500</v>
      </c>
      <c r="I217" t="s">
        <v>1743</v>
      </c>
    </row>
    <row r="218" spans="1:9" x14ac:dyDescent="0.25">
      <c r="A218" t="s">
        <v>300</v>
      </c>
      <c r="B218">
        <v>4000</v>
      </c>
      <c r="C218">
        <v>2</v>
      </c>
      <c r="D218">
        <v>6</v>
      </c>
      <c r="E218">
        <v>3900</v>
      </c>
      <c r="F218">
        <v>50</v>
      </c>
      <c r="G218" t="b">
        <v>0</v>
      </c>
      <c r="H218">
        <v>50</v>
      </c>
      <c r="I218" t="s">
        <v>1743</v>
      </c>
    </row>
    <row r="219" spans="1:9" x14ac:dyDescent="0.25">
      <c r="A219" t="s">
        <v>301</v>
      </c>
      <c r="B219">
        <v>6000</v>
      </c>
      <c r="C219">
        <v>15</v>
      </c>
      <c r="D219">
        <v>6</v>
      </c>
      <c r="E219">
        <v>5100</v>
      </c>
      <c r="F219">
        <v>50</v>
      </c>
      <c r="G219" t="b">
        <v>0</v>
      </c>
      <c r="H219">
        <v>50</v>
      </c>
      <c r="I219" t="s">
        <v>1743</v>
      </c>
    </row>
    <row r="220" spans="1:9" x14ac:dyDescent="0.25">
      <c r="A220" t="s">
        <v>302</v>
      </c>
      <c r="B220">
        <v>9500</v>
      </c>
      <c r="C220">
        <v>0</v>
      </c>
      <c r="D220">
        <v>6</v>
      </c>
      <c r="E220">
        <v>9500</v>
      </c>
      <c r="F220">
        <v>500</v>
      </c>
      <c r="G220" t="b">
        <v>0</v>
      </c>
      <c r="H220">
        <v>500</v>
      </c>
      <c r="I220" t="s">
        <v>1743</v>
      </c>
    </row>
    <row r="221" spans="1:9" x14ac:dyDescent="0.25">
      <c r="A221" t="s">
        <v>303</v>
      </c>
      <c r="B221">
        <v>4600</v>
      </c>
      <c r="C221">
        <v>0</v>
      </c>
      <c r="D221">
        <v>6</v>
      </c>
      <c r="E221">
        <v>4600</v>
      </c>
      <c r="F221">
        <v>54</v>
      </c>
      <c r="G221" t="b">
        <v>0</v>
      </c>
      <c r="H221">
        <v>54</v>
      </c>
      <c r="I221" t="s">
        <v>1743</v>
      </c>
    </row>
    <row r="222" spans="1:9" x14ac:dyDescent="0.25">
      <c r="A222" t="s">
        <v>304</v>
      </c>
      <c r="B222">
        <v>14200</v>
      </c>
      <c r="C222">
        <v>9</v>
      </c>
      <c r="D222">
        <v>3</v>
      </c>
      <c r="E222">
        <v>12800</v>
      </c>
      <c r="F222">
        <v>500</v>
      </c>
      <c r="G222" t="b">
        <v>0</v>
      </c>
      <c r="H222">
        <v>500</v>
      </c>
      <c r="I222" t="s">
        <v>1743</v>
      </c>
    </row>
    <row r="223" spans="1:9" x14ac:dyDescent="0.25">
      <c r="A223" t="s">
        <v>305</v>
      </c>
      <c r="B223">
        <v>30000</v>
      </c>
      <c r="C223">
        <v>10</v>
      </c>
      <c r="D223">
        <v>3</v>
      </c>
      <c r="E223">
        <v>27000</v>
      </c>
      <c r="F223">
        <v>42</v>
      </c>
      <c r="G223" t="b">
        <v>0</v>
      </c>
      <c r="H223">
        <v>42</v>
      </c>
      <c r="I223" t="s">
        <v>1743</v>
      </c>
    </row>
    <row r="224" spans="1:9" x14ac:dyDescent="0.25">
      <c r="A224" t="s">
        <v>306</v>
      </c>
      <c r="B224">
        <v>3700</v>
      </c>
      <c r="C224">
        <v>2</v>
      </c>
      <c r="D224">
        <v>6</v>
      </c>
      <c r="E224">
        <v>3600</v>
      </c>
      <c r="F224">
        <v>100</v>
      </c>
      <c r="G224" t="b">
        <v>0</v>
      </c>
      <c r="H224">
        <v>100</v>
      </c>
      <c r="I224" t="s">
        <v>1743</v>
      </c>
    </row>
    <row r="225" spans="1:9" x14ac:dyDescent="0.25">
      <c r="A225" t="s">
        <v>307</v>
      </c>
      <c r="B225">
        <v>14500</v>
      </c>
      <c r="C225">
        <v>0</v>
      </c>
      <c r="D225">
        <v>6</v>
      </c>
      <c r="E225">
        <v>14500</v>
      </c>
      <c r="F225">
        <v>500</v>
      </c>
      <c r="G225" t="b">
        <v>0</v>
      </c>
      <c r="H225">
        <v>500</v>
      </c>
      <c r="I225" t="s">
        <v>1743</v>
      </c>
    </row>
    <row r="226" spans="1:9" x14ac:dyDescent="0.25">
      <c r="A226" t="s">
        <v>308</v>
      </c>
      <c r="B226">
        <v>3500</v>
      </c>
      <c r="C226">
        <v>2</v>
      </c>
      <c r="D226">
        <v>6</v>
      </c>
      <c r="E226">
        <v>3400</v>
      </c>
      <c r="F226">
        <v>500</v>
      </c>
      <c r="G226" t="b">
        <v>0</v>
      </c>
      <c r="H226">
        <v>500</v>
      </c>
      <c r="I226" t="s">
        <v>1743</v>
      </c>
    </row>
    <row r="227" spans="1:9" x14ac:dyDescent="0.25">
      <c r="A227" t="s">
        <v>309</v>
      </c>
      <c r="B227">
        <v>20500</v>
      </c>
      <c r="C227">
        <v>5</v>
      </c>
      <c r="D227">
        <v>1</v>
      </c>
      <c r="E227">
        <v>19400</v>
      </c>
      <c r="F227">
        <v>250</v>
      </c>
      <c r="G227" t="b">
        <v>0</v>
      </c>
      <c r="H227">
        <v>250</v>
      </c>
      <c r="I227" t="s">
        <v>1743</v>
      </c>
    </row>
    <row r="228" spans="1:9" x14ac:dyDescent="0.25">
      <c r="A228" t="s">
        <v>310</v>
      </c>
      <c r="B228">
        <v>9900</v>
      </c>
      <c r="C228">
        <v>0</v>
      </c>
      <c r="D228">
        <v>6</v>
      </c>
      <c r="E228">
        <v>9900</v>
      </c>
      <c r="F228">
        <v>75</v>
      </c>
      <c r="G228" t="b">
        <v>0</v>
      </c>
      <c r="H228">
        <v>75</v>
      </c>
      <c r="I228" t="s">
        <v>1743</v>
      </c>
    </row>
    <row r="229" spans="1:9" x14ac:dyDescent="0.25">
      <c r="A229" t="s">
        <v>136</v>
      </c>
      <c r="B229">
        <v>19500</v>
      </c>
      <c r="C229">
        <v>12</v>
      </c>
      <c r="D229">
        <v>2</v>
      </c>
      <c r="E229">
        <v>17100</v>
      </c>
      <c r="F229">
        <v>500</v>
      </c>
      <c r="G229" t="b">
        <v>0</v>
      </c>
      <c r="H229">
        <v>500</v>
      </c>
      <c r="I229" t="s">
        <v>1743</v>
      </c>
    </row>
    <row r="230" spans="1:9" x14ac:dyDescent="0.25">
      <c r="A230" t="s">
        <v>311</v>
      </c>
      <c r="B230">
        <v>8500</v>
      </c>
      <c r="C230">
        <v>9</v>
      </c>
      <c r="D230">
        <v>5</v>
      </c>
      <c r="E230">
        <v>7700</v>
      </c>
      <c r="F230">
        <v>500</v>
      </c>
      <c r="G230" t="b">
        <v>0</v>
      </c>
      <c r="H230">
        <v>500</v>
      </c>
      <c r="I230" t="s">
        <v>1743</v>
      </c>
    </row>
    <row r="231" spans="1:9" x14ac:dyDescent="0.25">
      <c r="A231" t="s">
        <v>211</v>
      </c>
      <c r="B231">
        <v>2200</v>
      </c>
      <c r="C231">
        <v>0</v>
      </c>
      <c r="D231">
        <v>6</v>
      </c>
      <c r="E231">
        <v>2200</v>
      </c>
      <c r="F231">
        <v>50</v>
      </c>
      <c r="G231" t="b">
        <v>0</v>
      </c>
      <c r="H231">
        <v>50</v>
      </c>
      <c r="I231" t="s">
        <v>1743</v>
      </c>
    </row>
    <row r="232" spans="1:9" x14ac:dyDescent="0.25">
      <c r="A232" t="s">
        <v>312</v>
      </c>
      <c r="B232">
        <v>6500</v>
      </c>
      <c r="C232">
        <v>13</v>
      </c>
      <c r="D232">
        <v>6</v>
      </c>
      <c r="E232">
        <v>5600</v>
      </c>
      <c r="F232">
        <v>1000</v>
      </c>
      <c r="G232" t="b">
        <v>0</v>
      </c>
      <c r="H232">
        <v>1</v>
      </c>
      <c r="I232" t="s">
        <v>1743</v>
      </c>
    </row>
    <row r="233" spans="1:9" x14ac:dyDescent="0.25">
      <c r="A233" t="s">
        <v>313</v>
      </c>
      <c r="B233">
        <v>4500</v>
      </c>
      <c r="C233">
        <v>2</v>
      </c>
      <c r="D233">
        <v>6</v>
      </c>
      <c r="E233">
        <v>4400</v>
      </c>
      <c r="F233">
        <v>90</v>
      </c>
      <c r="G233" t="b">
        <v>0</v>
      </c>
      <c r="H233">
        <v>90</v>
      </c>
      <c r="I233" t="s">
        <v>1743</v>
      </c>
    </row>
    <row r="234" spans="1:9" x14ac:dyDescent="0.25">
      <c r="A234" t="s">
        <v>314</v>
      </c>
      <c r="B234">
        <v>4500</v>
      </c>
      <c r="C234">
        <v>2</v>
      </c>
      <c r="D234">
        <v>6</v>
      </c>
      <c r="E234">
        <v>4400</v>
      </c>
      <c r="F234">
        <v>90</v>
      </c>
      <c r="G234" t="b">
        <v>0</v>
      </c>
      <c r="H234">
        <v>90</v>
      </c>
      <c r="I234" t="s">
        <v>1743</v>
      </c>
    </row>
    <row r="235" spans="1:9" x14ac:dyDescent="0.25">
      <c r="A235" t="s">
        <v>315</v>
      </c>
      <c r="B235">
        <v>7000</v>
      </c>
      <c r="C235">
        <v>10</v>
      </c>
      <c r="D235">
        <v>4</v>
      </c>
      <c r="E235">
        <v>6300</v>
      </c>
      <c r="F235">
        <v>500</v>
      </c>
      <c r="G235" t="b">
        <v>0</v>
      </c>
      <c r="H235">
        <v>500</v>
      </c>
      <c r="I235" t="s">
        <v>1743</v>
      </c>
    </row>
    <row r="236" spans="1:9" x14ac:dyDescent="0.25">
      <c r="A236" t="s">
        <v>166</v>
      </c>
      <c r="B236">
        <v>5000</v>
      </c>
      <c r="C236">
        <v>12</v>
      </c>
      <c r="D236">
        <v>2</v>
      </c>
      <c r="E236">
        <v>4400</v>
      </c>
      <c r="F236">
        <v>100</v>
      </c>
      <c r="G236" t="b">
        <v>0</v>
      </c>
      <c r="H236">
        <v>100</v>
      </c>
      <c r="I236" t="s">
        <v>1743</v>
      </c>
    </row>
    <row r="237" spans="1:9" x14ac:dyDescent="0.25">
      <c r="A237" t="s">
        <v>316</v>
      </c>
      <c r="B237">
        <v>47000</v>
      </c>
      <c r="C237">
        <v>21</v>
      </c>
      <c r="D237">
        <v>5</v>
      </c>
      <c r="E237">
        <v>37100</v>
      </c>
      <c r="F237">
        <v>250</v>
      </c>
      <c r="G237" t="b">
        <v>0</v>
      </c>
      <c r="H237">
        <v>250</v>
      </c>
      <c r="I237" t="s">
        <v>1743</v>
      </c>
    </row>
    <row r="238" spans="1:9" x14ac:dyDescent="0.25">
      <c r="A238" t="s">
        <v>317</v>
      </c>
      <c r="B238">
        <v>5000</v>
      </c>
      <c r="C238">
        <v>6</v>
      </c>
      <c r="D238">
        <v>3</v>
      </c>
      <c r="E238">
        <v>4700</v>
      </c>
      <c r="F238">
        <v>400</v>
      </c>
      <c r="G238" t="b">
        <v>0</v>
      </c>
      <c r="H238">
        <v>400</v>
      </c>
      <c r="I238" t="s">
        <v>1743</v>
      </c>
    </row>
    <row r="239" spans="1:9" x14ac:dyDescent="0.25">
      <c r="A239" t="s">
        <v>318</v>
      </c>
      <c r="B239">
        <v>4000</v>
      </c>
      <c r="C239">
        <v>10</v>
      </c>
      <c r="D239">
        <v>4</v>
      </c>
      <c r="E239">
        <v>3600</v>
      </c>
      <c r="F239">
        <v>500</v>
      </c>
      <c r="G239" t="b">
        <v>0</v>
      </c>
      <c r="H239">
        <v>500</v>
      </c>
      <c r="I239" t="s">
        <v>1743</v>
      </c>
    </row>
    <row r="240" spans="1:9" x14ac:dyDescent="0.25">
      <c r="A240" t="s">
        <v>319</v>
      </c>
      <c r="B240">
        <v>9500</v>
      </c>
      <c r="C240">
        <v>0</v>
      </c>
      <c r="D240">
        <v>4</v>
      </c>
      <c r="E240">
        <v>9500</v>
      </c>
      <c r="F240">
        <v>200</v>
      </c>
      <c r="G240" t="b">
        <v>0</v>
      </c>
      <c r="H240">
        <v>200</v>
      </c>
      <c r="I240" t="s">
        <v>1743</v>
      </c>
    </row>
    <row r="241" spans="1:9" x14ac:dyDescent="0.25">
      <c r="A241" t="s">
        <v>320</v>
      </c>
      <c r="B241">
        <v>16000</v>
      </c>
      <c r="C241">
        <v>10</v>
      </c>
      <c r="D241">
        <v>3</v>
      </c>
      <c r="E241">
        <v>14400</v>
      </c>
      <c r="F241">
        <v>250</v>
      </c>
      <c r="G241" t="b">
        <v>0</v>
      </c>
      <c r="H241">
        <v>250</v>
      </c>
      <c r="I241" t="s">
        <v>1743</v>
      </c>
    </row>
    <row r="242" spans="1:9" x14ac:dyDescent="0.25">
      <c r="A242" t="s">
        <v>321</v>
      </c>
      <c r="B242">
        <v>2500</v>
      </c>
      <c r="C242">
        <v>0</v>
      </c>
      <c r="D242">
        <v>6</v>
      </c>
      <c r="E242">
        <v>2500</v>
      </c>
      <c r="F242">
        <v>25</v>
      </c>
      <c r="G242" t="b">
        <v>0</v>
      </c>
      <c r="H242">
        <v>25</v>
      </c>
      <c r="I242" t="s">
        <v>1743</v>
      </c>
    </row>
    <row r="243" spans="1:9" x14ac:dyDescent="0.25">
      <c r="A243" t="s">
        <v>322</v>
      </c>
      <c r="B243">
        <v>20800</v>
      </c>
      <c r="C243">
        <v>0</v>
      </c>
      <c r="D243">
        <v>6</v>
      </c>
      <c r="E243">
        <v>20800</v>
      </c>
      <c r="F243">
        <v>100</v>
      </c>
      <c r="G243" t="b">
        <v>0</v>
      </c>
      <c r="H243">
        <v>100</v>
      </c>
      <c r="I243" t="s">
        <v>1743</v>
      </c>
    </row>
    <row r="244" spans="1:9" x14ac:dyDescent="0.25">
      <c r="A244" t="s">
        <v>323</v>
      </c>
      <c r="B244">
        <v>3900</v>
      </c>
      <c r="C244">
        <v>2</v>
      </c>
      <c r="D244">
        <v>5</v>
      </c>
      <c r="E244">
        <v>3800</v>
      </c>
      <c r="F244">
        <v>50</v>
      </c>
      <c r="G244" t="b">
        <v>0</v>
      </c>
      <c r="H244">
        <v>50</v>
      </c>
      <c r="I244" t="s">
        <v>1743</v>
      </c>
    </row>
    <row r="245" spans="1:9" x14ac:dyDescent="0.25">
      <c r="A245" t="s">
        <v>324</v>
      </c>
      <c r="B245">
        <v>4900</v>
      </c>
      <c r="C245">
        <v>2</v>
      </c>
      <c r="D245">
        <v>3</v>
      </c>
      <c r="E245">
        <v>4800</v>
      </c>
      <c r="F245">
        <v>200</v>
      </c>
      <c r="G245" t="b">
        <v>0</v>
      </c>
      <c r="H245">
        <v>200</v>
      </c>
      <c r="I245" t="s">
        <v>1743</v>
      </c>
    </row>
    <row r="246" spans="1:9" x14ac:dyDescent="0.25">
      <c r="A246" t="s">
        <v>325</v>
      </c>
      <c r="B246">
        <v>7000</v>
      </c>
      <c r="C246">
        <v>7</v>
      </c>
      <c r="D246">
        <v>6</v>
      </c>
      <c r="E246">
        <v>6500</v>
      </c>
      <c r="F246">
        <v>50</v>
      </c>
      <c r="G246" t="b">
        <v>0</v>
      </c>
      <c r="H246">
        <v>50</v>
      </c>
      <c r="I246" t="s">
        <v>1743</v>
      </c>
    </row>
    <row r="247" spans="1:9" x14ac:dyDescent="0.25">
      <c r="A247" t="s">
        <v>326</v>
      </c>
      <c r="B247">
        <v>15000</v>
      </c>
      <c r="C247">
        <v>4</v>
      </c>
      <c r="D247">
        <v>4</v>
      </c>
      <c r="E247">
        <v>14300</v>
      </c>
      <c r="F247">
        <v>400</v>
      </c>
      <c r="G247" t="b">
        <v>0</v>
      </c>
      <c r="H247">
        <v>400</v>
      </c>
      <c r="I247" t="s">
        <v>1743</v>
      </c>
    </row>
    <row r="248" spans="1:9" x14ac:dyDescent="0.25">
      <c r="A248" t="s">
        <v>327</v>
      </c>
      <c r="B248">
        <v>1500</v>
      </c>
      <c r="C248">
        <v>0</v>
      </c>
      <c r="D248">
        <v>5</v>
      </c>
      <c r="E248">
        <v>1500</v>
      </c>
      <c r="F248">
        <v>50</v>
      </c>
      <c r="G248" t="b">
        <v>0</v>
      </c>
      <c r="H248">
        <v>50</v>
      </c>
      <c r="I248" t="s">
        <v>1743</v>
      </c>
    </row>
    <row r="249" spans="1:9" x14ac:dyDescent="0.25">
      <c r="A249" t="s">
        <v>328</v>
      </c>
      <c r="B249">
        <v>6000</v>
      </c>
      <c r="C249">
        <v>0</v>
      </c>
      <c r="D249">
        <v>4</v>
      </c>
      <c r="E249">
        <v>6000</v>
      </c>
      <c r="F249">
        <v>240</v>
      </c>
      <c r="G249" t="b">
        <v>0</v>
      </c>
      <c r="H249">
        <v>240</v>
      </c>
      <c r="I249" t="s">
        <v>1743</v>
      </c>
    </row>
    <row r="250" spans="1:9" x14ac:dyDescent="0.25">
      <c r="A250" t="s">
        <v>329</v>
      </c>
      <c r="B250">
        <v>4800</v>
      </c>
      <c r="C250">
        <v>2</v>
      </c>
      <c r="D250">
        <v>5</v>
      </c>
      <c r="E250">
        <v>4700</v>
      </c>
      <c r="F250">
        <v>100</v>
      </c>
      <c r="G250" t="b">
        <v>0</v>
      </c>
      <c r="H250">
        <v>100</v>
      </c>
      <c r="I250" t="s">
        <v>1743</v>
      </c>
    </row>
    <row r="251" spans="1:9" x14ac:dyDescent="0.25">
      <c r="A251" t="s">
        <v>238</v>
      </c>
      <c r="B251">
        <v>27500</v>
      </c>
      <c r="C251">
        <v>0</v>
      </c>
      <c r="D251">
        <v>6</v>
      </c>
      <c r="E251">
        <v>27500</v>
      </c>
      <c r="F251">
        <v>5000</v>
      </c>
      <c r="G251" t="b">
        <v>0</v>
      </c>
      <c r="H251">
        <v>5</v>
      </c>
      <c r="I251" t="s">
        <v>1743</v>
      </c>
    </row>
    <row r="252" spans="1:9" x14ac:dyDescent="0.25">
      <c r="A252" t="s">
        <v>330</v>
      </c>
      <c r="B252">
        <v>21500</v>
      </c>
      <c r="C252">
        <v>9</v>
      </c>
      <c r="D252">
        <v>4</v>
      </c>
      <c r="E252">
        <v>19400</v>
      </c>
      <c r="F252">
        <v>1000</v>
      </c>
      <c r="G252" t="b">
        <v>0</v>
      </c>
      <c r="H252">
        <v>1</v>
      </c>
      <c r="I252" t="s">
        <v>1743</v>
      </c>
    </row>
    <row r="253" spans="1:9" x14ac:dyDescent="0.25">
      <c r="A253" t="s">
        <v>331</v>
      </c>
      <c r="B253">
        <v>7500</v>
      </c>
      <c r="C253">
        <v>9</v>
      </c>
      <c r="D253">
        <v>4</v>
      </c>
      <c r="E253">
        <v>6800</v>
      </c>
      <c r="F253">
        <v>100</v>
      </c>
      <c r="G253" t="b">
        <v>0</v>
      </c>
      <c r="H253">
        <v>100</v>
      </c>
      <c r="I253" t="s">
        <v>1743</v>
      </c>
    </row>
    <row r="254" spans="1:9" x14ac:dyDescent="0.25">
      <c r="A254" t="s">
        <v>332</v>
      </c>
      <c r="B254">
        <v>10000</v>
      </c>
      <c r="C254">
        <v>11</v>
      </c>
      <c r="D254">
        <v>6</v>
      </c>
      <c r="E254">
        <v>8900</v>
      </c>
      <c r="F254">
        <v>159</v>
      </c>
      <c r="G254" t="b">
        <v>0</v>
      </c>
      <c r="H254">
        <v>159</v>
      </c>
      <c r="I254" t="s">
        <v>1743</v>
      </c>
    </row>
    <row r="255" spans="1:9" x14ac:dyDescent="0.25">
      <c r="A255" t="s">
        <v>333</v>
      </c>
      <c r="B255">
        <v>20000</v>
      </c>
      <c r="C255">
        <v>0</v>
      </c>
      <c r="D255">
        <v>2</v>
      </c>
      <c r="E255">
        <v>20000</v>
      </c>
      <c r="F255">
        <v>450</v>
      </c>
      <c r="G255" t="b">
        <v>0</v>
      </c>
      <c r="H255">
        <v>450</v>
      </c>
      <c r="I255" t="s">
        <v>1743</v>
      </c>
    </row>
    <row r="256" spans="1:9" x14ac:dyDescent="0.25">
      <c r="A256" t="s">
        <v>334</v>
      </c>
      <c r="B256">
        <v>5600</v>
      </c>
      <c r="C256">
        <v>7</v>
      </c>
      <c r="D256">
        <v>5</v>
      </c>
      <c r="E256">
        <v>5200</v>
      </c>
      <c r="F256">
        <v>100</v>
      </c>
      <c r="G256" t="b">
        <v>0</v>
      </c>
      <c r="H256">
        <v>100</v>
      </c>
      <c r="I256" t="s">
        <v>1743</v>
      </c>
    </row>
    <row r="257" spans="1:9" x14ac:dyDescent="0.25">
      <c r="A257" t="s">
        <v>335</v>
      </c>
      <c r="B257">
        <v>19000</v>
      </c>
      <c r="C257">
        <v>10</v>
      </c>
      <c r="D257">
        <v>6</v>
      </c>
      <c r="E257">
        <v>17100</v>
      </c>
      <c r="F257">
        <v>100</v>
      </c>
      <c r="G257" t="b">
        <v>0</v>
      </c>
      <c r="H257">
        <v>100</v>
      </c>
      <c r="I257" t="s">
        <v>1743</v>
      </c>
    </row>
    <row r="258" spans="1:9" x14ac:dyDescent="0.25">
      <c r="A258" t="s">
        <v>336</v>
      </c>
      <c r="B258">
        <v>29500</v>
      </c>
      <c r="C258">
        <v>9</v>
      </c>
      <c r="D258">
        <v>6</v>
      </c>
      <c r="E258">
        <v>26600</v>
      </c>
      <c r="F258">
        <v>360</v>
      </c>
      <c r="G258" t="b">
        <v>0</v>
      </c>
      <c r="H258">
        <v>360</v>
      </c>
      <c r="I258" t="s">
        <v>1743</v>
      </c>
    </row>
    <row r="259" spans="1:9" x14ac:dyDescent="0.25">
      <c r="A259" t="s">
        <v>337</v>
      </c>
      <c r="B259">
        <v>35000</v>
      </c>
      <c r="C259">
        <v>10</v>
      </c>
      <c r="D259">
        <v>5</v>
      </c>
      <c r="E259">
        <v>31200</v>
      </c>
      <c r="F259">
        <v>5000</v>
      </c>
      <c r="G259" t="b">
        <v>0</v>
      </c>
      <c r="H259">
        <v>5</v>
      </c>
      <c r="I259" t="s">
        <v>1743</v>
      </c>
    </row>
    <row r="260" spans="1:9" x14ac:dyDescent="0.25">
      <c r="A260" t="s">
        <v>338</v>
      </c>
      <c r="B260">
        <v>35000</v>
      </c>
      <c r="C260">
        <v>10</v>
      </c>
      <c r="D260">
        <v>6</v>
      </c>
      <c r="E260">
        <v>31200</v>
      </c>
      <c r="F260">
        <v>1000</v>
      </c>
      <c r="G260" t="b">
        <v>0</v>
      </c>
      <c r="H260">
        <v>1</v>
      </c>
      <c r="I260" t="s">
        <v>1743</v>
      </c>
    </row>
    <row r="261" spans="1:9" x14ac:dyDescent="0.25">
      <c r="A261" t="s">
        <v>339</v>
      </c>
      <c r="B261">
        <v>17000</v>
      </c>
      <c r="C261">
        <v>7</v>
      </c>
      <c r="D261">
        <v>6</v>
      </c>
      <c r="E261">
        <v>15700</v>
      </c>
      <c r="F261">
        <v>100</v>
      </c>
      <c r="G261" t="b">
        <v>0</v>
      </c>
      <c r="H261">
        <v>100</v>
      </c>
      <c r="I261" t="s">
        <v>1743</v>
      </c>
    </row>
    <row r="262" spans="1:9" x14ac:dyDescent="0.25">
      <c r="A262" t="s">
        <v>340</v>
      </c>
      <c r="B262">
        <v>9000</v>
      </c>
      <c r="C262">
        <v>16</v>
      </c>
      <c r="D262">
        <v>3</v>
      </c>
      <c r="E262">
        <v>7500</v>
      </c>
      <c r="F262">
        <v>500</v>
      </c>
      <c r="G262" t="b">
        <v>0</v>
      </c>
      <c r="H262">
        <v>500</v>
      </c>
      <c r="I262" t="s">
        <v>1743</v>
      </c>
    </row>
    <row r="263" spans="1:9" x14ac:dyDescent="0.25">
      <c r="A263" t="s">
        <v>341</v>
      </c>
      <c r="B263">
        <v>9500</v>
      </c>
      <c r="C263">
        <v>7</v>
      </c>
      <c r="D263">
        <v>6</v>
      </c>
      <c r="E263">
        <v>8800</v>
      </c>
      <c r="F263">
        <v>500</v>
      </c>
      <c r="G263" t="b">
        <v>0</v>
      </c>
      <c r="H263">
        <v>500</v>
      </c>
      <c r="I263" t="s">
        <v>1743</v>
      </c>
    </row>
    <row r="264" spans="1:9" x14ac:dyDescent="0.25">
      <c r="A264" t="s">
        <v>342</v>
      </c>
      <c r="B264">
        <v>6000</v>
      </c>
      <c r="C264">
        <v>6</v>
      </c>
      <c r="D264">
        <v>3</v>
      </c>
      <c r="E264">
        <v>5600</v>
      </c>
      <c r="F264">
        <v>500</v>
      </c>
      <c r="G264" t="b">
        <v>0</v>
      </c>
      <c r="H264">
        <v>500</v>
      </c>
      <c r="I264" t="s">
        <v>1743</v>
      </c>
    </row>
    <row r="265" spans="1:9" x14ac:dyDescent="0.25">
      <c r="A265" t="s">
        <v>343</v>
      </c>
      <c r="B265">
        <v>39000</v>
      </c>
      <c r="C265">
        <v>11</v>
      </c>
      <c r="D265">
        <v>5</v>
      </c>
      <c r="E265">
        <v>34700</v>
      </c>
      <c r="F265">
        <v>1000</v>
      </c>
      <c r="G265" t="b">
        <v>0</v>
      </c>
      <c r="H265">
        <v>1</v>
      </c>
      <c r="I265" t="s">
        <v>1743</v>
      </c>
    </row>
    <row r="266" spans="1:9" x14ac:dyDescent="0.25">
      <c r="A266" t="s">
        <v>344</v>
      </c>
      <c r="B266">
        <v>6000</v>
      </c>
      <c r="C266">
        <v>0</v>
      </c>
      <c r="D266">
        <v>4</v>
      </c>
      <c r="E266">
        <v>6000</v>
      </c>
      <c r="F266">
        <v>240</v>
      </c>
      <c r="G266" t="b">
        <v>0</v>
      </c>
      <c r="H266">
        <v>240</v>
      </c>
      <c r="I266" t="s">
        <v>1743</v>
      </c>
    </row>
    <row r="267" spans="1:9" x14ac:dyDescent="0.25">
      <c r="A267" t="s">
        <v>345</v>
      </c>
      <c r="B267">
        <v>19500</v>
      </c>
      <c r="C267">
        <v>12</v>
      </c>
      <c r="D267">
        <v>6</v>
      </c>
      <c r="E267">
        <v>17100</v>
      </c>
      <c r="F267">
        <v>500</v>
      </c>
      <c r="G267" t="b">
        <v>0</v>
      </c>
      <c r="H267">
        <v>500</v>
      </c>
      <c r="I267" t="s">
        <v>1743</v>
      </c>
    </row>
    <row r="268" spans="1:9" x14ac:dyDescent="0.25">
      <c r="A268" t="s">
        <v>346</v>
      </c>
      <c r="B268">
        <v>43000</v>
      </c>
      <c r="C268">
        <v>10</v>
      </c>
      <c r="D268">
        <v>6</v>
      </c>
      <c r="E268">
        <v>38700</v>
      </c>
      <c r="F268">
        <v>1000</v>
      </c>
      <c r="G268" t="b">
        <v>0</v>
      </c>
      <c r="H268">
        <v>1</v>
      </c>
      <c r="I268" t="s">
        <v>1743</v>
      </c>
    </row>
    <row r="269" spans="1:9" x14ac:dyDescent="0.25">
      <c r="A269" t="s">
        <v>347</v>
      </c>
      <c r="B269">
        <v>7000</v>
      </c>
      <c r="C269">
        <v>10</v>
      </c>
      <c r="D269">
        <v>5</v>
      </c>
      <c r="E269">
        <v>6300</v>
      </c>
      <c r="F269">
        <v>25</v>
      </c>
      <c r="G269" t="b">
        <v>0</v>
      </c>
      <c r="H269">
        <v>25</v>
      </c>
      <c r="I269" t="s">
        <v>1743</v>
      </c>
    </row>
    <row r="270" spans="1:9" x14ac:dyDescent="0.25">
      <c r="A270" t="s">
        <v>348</v>
      </c>
      <c r="B270">
        <v>1000</v>
      </c>
      <c r="C270">
        <v>0</v>
      </c>
      <c r="D270">
        <v>5</v>
      </c>
      <c r="E270">
        <v>1000</v>
      </c>
      <c r="F270">
        <v>20</v>
      </c>
      <c r="G270" t="b">
        <v>0</v>
      </c>
      <c r="H270">
        <v>20</v>
      </c>
      <c r="I270" t="s">
        <v>1743</v>
      </c>
    </row>
    <row r="271" spans="1:9" x14ac:dyDescent="0.25">
      <c r="A271" t="s">
        <v>349</v>
      </c>
      <c r="B271">
        <v>22300</v>
      </c>
      <c r="C271">
        <v>5</v>
      </c>
      <c r="D271">
        <v>6</v>
      </c>
      <c r="E271">
        <v>21100</v>
      </c>
      <c r="F271">
        <v>150</v>
      </c>
      <c r="G271" t="b">
        <v>0</v>
      </c>
      <c r="H271">
        <v>150</v>
      </c>
      <c r="I271" t="s">
        <v>1743</v>
      </c>
    </row>
    <row r="272" spans="1:9" x14ac:dyDescent="0.25">
      <c r="A272" t="s">
        <v>350</v>
      </c>
      <c r="B272">
        <v>145000</v>
      </c>
      <c r="C272">
        <v>10</v>
      </c>
      <c r="D272">
        <v>6</v>
      </c>
      <c r="E272">
        <v>130500</v>
      </c>
      <c r="F272">
        <v>540</v>
      </c>
      <c r="G272" t="b">
        <v>0</v>
      </c>
      <c r="H272">
        <v>540</v>
      </c>
      <c r="I272" t="s">
        <v>1743</v>
      </c>
    </row>
    <row r="273" spans="1:9" x14ac:dyDescent="0.25">
      <c r="A273" t="s">
        <v>351</v>
      </c>
      <c r="B273">
        <v>12000</v>
      </c>
      <c r="C273">
        <v>6</v>
      </c>
      <c r="D273">
        <v>5</v>
      </c>
      <c r="E273">
        <v>11200</v>
      </c>
      <c r="F273">
        <v>500</v>
      </c>
      <c r="G273" t="b">
        <v>0</v>
      </c>
      <c r="H273">
        <v>500</v>
      </c>
      <c r="I273" t="s">
        <v>1743</v>
      </c>
    </row>
    <row r="274" spans="1:9" x14ac:dyDescent="0.25">
      <c r="A274" t="s">
        <v>352</v>
      </c>
      <c r="B274">
        <v>16000</v>
      </c>
      <c r="C274">
        <v>6</v>
      </c>
      <c r="D274">
        <v>4</v>
      </c>
      <c r="E274">
        <v>15000</v>
      </c>
      <c r="F274">
        <v>200</v>
      </c>
      <c r="G274" t="b">
        <v>0</v>
      </c>
      <c r="H274">
        <v>200</v>
      </c>
      <c r="I274" t="s">
        <v>1743</v>
      </c>
    </row>
    <row r="275" spans="1:9" x14ac:dyDescent="0.25">
      <c r="A275" t="s">
        <v>353</v>
      </c>
      <c r="B275">
        <v>14000</v>
      </c>
      <c r="C275">
        <v>15</v>
      </c>
      <c r="D275">
        <v>6</v>
      </c>
      <c r="E275">
        <v>11800</v>
      </c>
      <c r="F275">
        <v>250</v>
      </c>
      <c r="G275" t="b">
        <v>0</v>
      </c>
      <c r="H275">
        <v>250</v>
      </c>
      <c r="I275" t="s">
        <v>1743</v>
      </c>
    </row>
    <row r="276" spans="1:9" x14ac:dyDescent="0.25">
      <c r="A276" t="s">
        <v>354</v>
      </c>
      <c r="B276">
        <v>9500</v>
      </c>
      <c r="C276">
        <v>6</v>
      </c>
      <c r="D276">
        <v>4</v>
      </c>
      <c r="E276">
        <v>8900</v>
      </c>
      <c r="F276">
        <v>500</v>
      </c>
      <c r="G276" t="b">
        <v>0</v>
      </c>
      <c r="H276">
        <v>500</v>
      </c>
      <c r="I276" t="s">
        <v>1743</v>
      </c>
    </row>
    <row r="277" spans="1:9" x14ac:dyDescent="0.25">
      <c r="A277" t="s">
        <v>355</v>
      </c>
      <c r="B277">
        <v>5000</v>
      </c>
      <c r="C277">
        <v>6</v>
      </c>
      <c r="D277">
        <v>6</v>
      </c>
      <c r="E277">
        <v>4700</v>
      </c>
      <c r="F277">
        <v>200</v>
      </c>
      <c r="G277" t="b">
        <v>0</v>
      </c>
      <c r="H277">
        <v>200</v>
      </c>
      <c r="I277" t="s">
        <v>1743</v>
      </c>
    </row>
    <row r="278" spans="1:9" x14ac:dyDescent="0.25">
      <c r="A278" t="s">
        <v>356</v>
      </c>
      <c r="B278">
        <v>33000</v>
      </c>
      <c r="C278">
        <v>10</v>
      </c>
      <c r="D278">
        <v>1</v>
      </c>
      <c r="E278">
        <v>29700</v>
      </c>
      <c r="F278">
        <v>400</v>
      </c>
      <c r="G278" t="b">
        <v>0</v>
      </c>
      <c r="H278">
        <v>400</v>
      </c>
      <c r="I278" t="s">
        <v>1743</v>
      </c>
    </row>
    <row r="279" spans="1:9" x14ac:dyDescent="0.25">
      <c r="A279" t="s">
        <v>357</v>
      </c>
      <c r="B279">
        <v>4400</v>
      </c>
      <c r="C279">
        <v>0</v>
      </c>
      <c r="D279">
        <v>5</v>
      </c>
      <c r="E279">
        <v>4400</v>
      </c>
      <c r="F279">
        <v>60</v>
      </c>
      <c r="G279" t="b">
        <v>0</v>
      </c>
      <c r="H279">
        <v>60</v>
      </c>
      <c r="I279" t="s">
        <v>1743</v>
      </c>
    </row>
    <row r="280" spans="1:9" x14ac:dyDescent="0.25">
      <c r="A280" t="s">
        <v>358</v>
      </c>
      <c r="B280">
        <v>3500</v>
      </c>
      <c r="C280">
        <v>2</v>
      </c>
      <c r="D280">
        <v>1</v>
      </c>
      <c r="E280">
        <v>3400</v>
      </c>
      <c r="F280">
        <v>40</v>
      </c>
      <c r="G280" t="b">
        <v>0</v>
      </c>
      <c r="H280">
        <v>40</v>
      </c>
      <c r="I280" t="s">
        <v>1743</v>
      </c>
    </row>
    <row r="281" spans="1:9" x14ac:dyDescent="0.25">
      <c r="A281" t="s">
        <v>323</v>
      </c>
      <c r="B281">
        <v>7400</v>
      </c>
      <c r="C281">
        <v>9</v>
      </c>
      <c r="D281">
        <v>3</v>
      </c>
      <c r="E281">
        <v>6700</v>
      </c>
      <c r="F281">
        <v>100</v>
      </c>
      <c r="G281" t="b">
        <v>0</v>
      </c>
      <c r="H281">
        <v>100</v>
      </c>
      <c r="I281" t="s">
        <v>1743</v>
      </c>
    </row>
    <row r="282" spans="1:9" x14ac:dyDescent="0.25">
      <c r="A282" t="s">
        <v>359</v>
      </c>
      <c r="B282">
        <v>4500</v>
      </c>
      <c r="C282">
        <v>4</v>
      </c>
      <c r="D282">
        <v>6</v>
      </c>
      <c r="E282">
        <v>4300</v>
      </c>
      <c r="F282">
        <v>500</v>
      </c>
      <c r="G282" t="b">
        <v>0</v>
      </c>
      <c r="H282">
        <v>500</v>
      </c>
      <c r="I282" t="s">
        <v>1743</v>
      </c>
    </row>
    <row r="283" spans="1:9" x14ac:dyDescent="0.25">
      <c r="A283" t="s">
        <v>176</v>
      </c>
      <c r="B283">
        <v>14200</v>
      </c>
      <c r="C283">
        <v>9</v>
      </c>
      <c r="D283">
        <v>6</v>
      </c>
      <c r="E283">
        <v>12800</v>
      </c>
      <c r="F283">
        <v>200</v>
      </c>
      <c r="G283" t="b">
        <v>0</v>
      </c>
      <c r="H283">
        <v>200</v>
      </c>
      <c r="I283" t="s">
        <v>1743</v>
      </c>
    </row>
    <row r="284" spans="1:9" x14ac:dyDescent="0.25">
      <c r="A284" t="s">
        <v>360</v>
      </c>
      <c r="B284">
        <v>16500</v>
      </c>
      <c r="C284">
        <v>10</v>
      </c>
      <c r="D284">
        <v>5</v>
      </c>
      <c r="E284">
        <v>14700</v>
      </c>
      <c r="F284">
        <v>285</v>
      </c>
      <c r="G284" t="b">
        <v>0</v>
      </c>
      <c r="H284">
        <v>285</v>
      </c>
      <c r="I284" t="s">
        <v>1743</v>
      </c>
    </row>
    <row r="285" spans="1:9" x14ac:dyDescent="0.25">
      <c r="A285" t="s">
        <v>361</v>
      </c>
      <c r="B285">
        <v>7400</v>
      </c>
      <c r="C285">
        <v>6</v>
      </c>
      <c r="D285">
        <v>2</v>
      </c>
      <c r="E285">
        <v>6900</v>
      </c>
      <c r="F285">
        <v>200</v>
      </c>
      <c r="G285" t="b">
        <v>0</v>
      </c>
      <c r="H285">
        <v>200</v>
      </c>
      <c r="I285" t="s">
        <v>1743</v>
      </c>
    </row>
    <row r="286" spans="1:9" x14ac:dyDescent="0.25">
      <c r="A286" t="s">
        <v>362</v>
      </c>
      <c r="B286">
        <v>4000</v>
      </c>
      <c r="C286">
        <v>2</v>
      </c>
      <c r="D286">
        <v>6</v>
      </c>
      <c r="E286">
        <v>3900</v>
      </c>
      <c r="F286">
        <v>48</v>
      </c>
      <c r="G286" t="b">
        <v>0</v>
      </c>
      <c r="H286">
        <v>48</v>
      </c>
      <c r="I286" t="s">
        <v>1743</v>
      </c>
    </row>
    <row r="287" spans="1:9" x14ac:dyDescent="0.25">
      <c r="A287" t="s">
        <v>363</v>
      </c>
      <c r="B287">
        <v>10200</v>
      </c>
      <c r="C287">
        <v>6</v>
      </c>
      <c r="D287">
        <v>6</v>
      </c>
      <c r="E287">
        <v>9500</v>
      </c>
      <c r="F287">
        <v>100</v>
      </c>
      <c r="G287" t="b">
        <v>0</v>
      </c>
      <c r="H287">
        <v>100</v>
      </c>
      <c r="I287" t="s">
        <v>1743</v>
      </c>
    </row>
    <row r="288" spans="1:9" x14ac:dyDescent="0.25">
      <c r="A288" t="s">
        <v>364</v>
      </c>
      <c r="B288">
        <v>4900</v>
      </c>
      <c r="C288">
        <v>2</v>
      </c>
      <c r="D288">
        <v>6</v>
      </c>
      <c r="E288">
        <v>4800</v>
      </c>
      <c r="F288">
        <v>100</v>
      </c>
      <c r="G288" t="b">
        <v>0</v>
      </c>
      <c r="H288">
        <v>100</v>
      </c>
      <c r="I288" t="s">
        <v>1743</v>
      </c>
    </row>
    <row r="289" spans="1:9" x14ac:dyDescent="0.25">
      <c r="A289" t="s">
        <v>365</v>
      </c>
      <c r="B289">
        <v>9000</v>
      </c>
      <c r="C289">
        <v>10</v>
      </c>
      <c r="D289">
        <v>6</v>
      </c>
      <c r="E289">
        <v>8100</v>
      </c>
      <c r="F289">
        <v>500</v>
      </c>
      <c r="G289" t="b">
        <v>0</v>
      </c>
      <c r="H289">
        <v>500</v>
      </c>
      <c r="I289" t="s">
        <v>1743</v>
      </c>
    </row>
    <row r="290" spans="1:9" x14ac:dyDescent="0.25">
      <c r="A290" t="s">
        <v>366</v>
      </c>
      <c r="B290">
        <v>9500</v>
      </c>
      <c r="C290">
        <v>6</v>
      </c>
      <c r="D290">
        <v>5</v>
      </c>
      <c r="E290">
        <v>8900</v>
      </c>
      <c r="F290">
        <v>500</v>
      </c>
      <c r="G290" t="b">
        <v>0</v>
      </c>
      <c r="H290">
        <v>500</v>
      </c>
      <c r="I290" t="s">
        <v>1743</v>
      </c>
    </row>
    <row r="291" spans="1:9" x14ac:dyDescent="0.25">
      <c r="A291" t="s">
        <v>367</v>
      </c>
      <c r="B291">
        <v>42500</v>
      </c>
      <c r="C291">
        <v>20</v>
      </c>
      <c r="D291">
        <v>6</v>
      </c>
      <c r="E291">
        <v>34000</v>
      </c>
      <c r="F291">
        <v>200</v>
      </c>
      <c r="G291" t="b">
        <v>0</v>
      </c>
      <c r="H291">
        <v>200</v>
      </c>
      <c r="I291" t="s">
        <v>1743</v>
      </c>
    </row>
    <row r="292" spans="1:9" x14ac:dyDescent="0.25">
      <c r="A292" t="s">
        <v>368</v>
      </c>
      <c r="B292">
        <v>9000</v>
      </c>
      <c r="C292">
        <v>10</v>
      </c>
      <c r="D292">
        <v>3</v>
      </c>
      <c r="E292">
        <v>8100</v>
      </c>
      <c r="F292">
        <v>20</v>
      </c>
      <c r="G292" t="b">
        <v>0</v>
      </c>
      <c r="H292">
        <v>20</v>
      </c>
      <c r="I292" t="s">
        <v>1743</v>
      </c>
    </row>
    <row r="293" spans="1:9" x14ac:dyDescent="0.25">
      <c r="A293" t="s">
        <v>369</v>
      </c>
      <c r="B293">
        <v>23500</v>
      </c>
      <c r="C293">
        <v>27</v>
      </c>
      <c r="D293">
        <v>5</v>
      </c>
      <c r="E293">
        <v>17100</v>
      </c>
      <c r="F293">
        <v>1000</v>
      </c>
      <c r="G293" t="b">
        <v>0</v>
      </c>
      <c r="H293">
        <v>1</v>
      </c>
      <c r="I293" t="s">
        <v>1743</v>
      </c>
    </row>
    <row r="294" spans="1:9" x14ac:dyDescent="0.25">
      <c r="A294" t="s">
        <v>370</v>
      </c>
      <c r="B294">
        <v>7600</v>
      </c>
      <c r="C294">
        <v>10</v>
      </c>
      <c r="D294">
        <v>4</v>
      </c>
      <c r="E294">
        <v>6800</v>
      </c>
      <c r="F294">
        <v>300</v>
      </c>
      <c r="G294" t="b">
        <v>0</v>
      </c>
      <c r="H294">
        <v>300</v>
      </c>
      <c r="I294" t="s">
        <v>1743</v>
      </c>
    </row>
    <row r="295" spans="1:9" x14ac:dyDescent="0.25">
      <c r="A295" t="s">
        <v>371</v>
      </c>
      <c r="B295">
        <v>41000</v>
      </c>
      <c r="C295">
        <v>10</v>
      </c>
      <c r="D295">
        <v>6</v>
      </c>
      <c r="E295">
        <v>36900</v>
      </c>
      <c r="F295">
        <v>1000</v>
      </c>
      <c r="G295" t="b">
        <v>0</v>
      </c>
      <c r="H295">
        <v>1</v>
      </c>
      <c r="I295" t="s">
        <v>1743</v>
      </c>
    </row>
    <row r="296" spans="1:9" x14ac:dyDescent="0.25">
      <c r="A296" t="s">
        <v>372</v>
      </c>
      <c r="B296">
        <v>8700</v>
      </c>
      <c r="C296">
        <v>6</v>
      </c>
      <c r="D296">
        <v>6</v>
      </c>
      <c r="E296">
        <v>8100</v>
      </c>
      <c r="F296">
        <v>500</v>
      </c>
      <c r="G296" t="b">
        <v>0</v>
      </c>
      <c r="H296">
        <v>500</v>
      </c>
      <c r="I296" t="s">
        <v>1743</v>
      </c>
    </row>
    <row r="297" spans="1:9" x14ac:dyDescent="0.25">
      <c r="A297" t="s">
        <v>373</v>
      </c>
      <c r="B297">
        <v>42500</v>
      </c>
      <c r="C297">
        <v>20</v>
      </c>
      <c r="D297">
        <v>6</v>
      </c>
      <c r="E297">
        <v>34000</v>
      </c>
      <c r="F297">
        <v>200</v>
      </c>
      <c r="G297" t="b">
        <v>0</v>
      </c>
      <c r="H297">
        <v>200</v>
      </c>
      <c r="I297" t="s">
        <v>1743</v>
      </c>
    </row>
    <row r="298" spans="1:9" x14ac:dyDescent="0.25">
      <c r="A298" t="s">
        <v>374</v>
      </c>
      <c r="B298">
        <v>8000</v>
      </c>
      <c r="C298">
        <v>0</v>
      </c>
      <c r="D298">
        <v>1</v>
      </c>
      <c r="E298">
        <v>8000</v>
      </c>
      <c r="F298">
        <v>280</v>
      </c>
      <c r="G298" t="b">
        <v>0</v>
      </c>
      <c r="H298">
        <v>280</v>
      </c>
      <c r="I298" t="s">
        <v>1743</v>
      </c>
    </row>
    <row r="299" spans="1:9" x14ac:dyDescent="0.25">
      <c r="A299" t="s">
        <v>375</v>
      </c>
      <c r="B299">
        <v>9500</v>
      </c>
      <c r="C299">
        <v>0</v>
      </c>
      <c r="D299">
        <v>5</v>
      </c>
      <c r="E299">
        <v>9500</v>
      </c>
      <c r="F299">
        <v>70</v>
      </c>
      <c r="G299" t="b">
        <v>0</v>
      </c>
      <c r="H299">
        <v>70</v>
      </c>
      <c r="I299" t="s">
        <v>1743</v>
      </c>
    </row>
    <row r="300" spans="1:9" x14ac:dyDescent="0.25">
      <c r="A300" t="s">
        <v>376</v>
      </c>
      <c r="B300">
        <v>24000</v>
      </c>
      <c r="C300">
        <v>6</v>
      </c>
      <c r="D300">
        <v>4</v>
      </c>
      <c r="E300">
        <v>22500</v>
      </c>
      <c r="F300">
        <v>500</v>
      </c>
      <c r="G300" t="b">
        <v>0</v>
      </c>
      <c r="H300">
        <v>500</v>
      </c>
      <c r="I300" t="s">
        <v>1743</v>
      </c>
    </row>
    <row r="301" spans="1:9" x14ac:dyDescent="0.25">
      <c r="A301" t="s">
        <v>377</v>
      </c>
      <c r="B301">
        <v>11000</v>
      </c>
      <c r="C301">
        <v>10</v>
      </c>
      <c r="D301">
        <v>6</v>
      </c>
      <c r="E301">
        <v>9900</v>
      </c>
      <c r="F301">
        <v>265</v>
      </c>
      <c r="G301" t="b">
        <v>0</v>
      </c>
      <c r="H301">
        <v>265</v>
      </c>
      <c r="I301" t="s">
        <v>1743</v>
      </c>
    </row>
    <row r="302" spans="1:9" x14ac:dyDescent="0.25">
      <c r="A302" t="s">
        <v>378</v>
      </c>
      <c r="B302">
        <v>29900</v>
      </c>
      <c r="C302">
        <v>20</v>
      </c>
      <c r="D302">
        <v>6</v>
      </c>
      <c r="E302">
        <v>23900</v>
      </c>
      <c r="F302">
        <v>200</v>
      </c>
      <c r="G302" t="b">
        <v>0</v>
      </c>
      <c r="H302">
        <v>200</v>
      </c>
      <c r="I302" t="s">
        <v>1743</v>
      </c>
    </row>
    <row r="303" spans="1:9" x14ac:dyDescent="0.25">
      <c r="A303" t="s">
        <v>379</v>
      </c>
      <c r="B303">
        <v>25000</v>
      </c>
      <c r="C303">
        <v>40</v>
      </c>
      <c r="D303">
        <v>6</v>
      </c>
      <c r="E303">
        <v>14900</v>
      </c>
      <c r="F303">
        <v>500</v>
      </c>
      <c r="G303" t="b">
        <v>0</v>
      </c>
      <c r="H303">
        <v>500</v>
      </c>
      <c r="I303" t="s">
        <v>1743</v>
      </c>
    </row>
    <row r="304" spans="1:9" x14ac:dyDescent="0.25">
      <c r="A304" t="s">
        <v>380</v>
      </c>
      <c r="B304">
        <v>22000</v>
      </c>
      <c r="C304">
        <v>50</v>
      </c>
      <c r="D304">
        <v>5</v>
      </c>
      <c r="E304">
        <v>11000</v>
      </c>
      <c r="F304">
        <v>200</v>
      </c>
      <c r="G304" t="b">
        <v>0</v>
      </c>
      <c r="H304">
        <v>200</v>
      </c>
      <c r="I304" t="s">
        <v>1743</v>
      </c>
    </row>
    <row r="305" spans="1:9" x14ac:dyDescent="0.25">
      <c r="A305" t="s">
        <v>381</v>
      </c>
      <c r="B305">
        <v>9000</v>
      </c>
      <c r="C305">
        <v>12</v>
      </c>
      <c r="D305">
        <v>3</v>
      </c>
      <c r="E305">
        <v>7900</v>
      </c>
      <c r="F305">
        <v>500</v>
      </c>
      <c r="G305" t="b">
        <v>0</v>
      </c>
      <c r="H305">
        <v>500</v>
      </c>
      <c r="I305" t="s">
        <v>1743</v>
      </c>
    </row>
    <row r="306" spans="1:9" x14ac:dyDescent="0.25">
      <c r="A306" t="s">
        <v>382</v>
      </c>
      <c r="B306">
        <v>2500</v>
      </c>
      <c r="C306">
        <v>0</v>
      </c>
      <c r="D306">
        <v>5</v>
      </c>
      <c r="E306">
        <v>2500</v>
      </c>
      <c r="F306">
        <v>100</v>
      </c>
      <c r="G306" t="b">
        <v>0</v>
      </c>
      <c r="H306">
        <v>100</v>
      </c>
      <c r="I306" t="s">
        <v>1743</v>
      </c>
    </row>
    <row r="307" spans="1:9" x14ac:dyDescent="0.25">
      <c r="A307" t="s">
        <v>383</v>
      </c>
      <c r="B307">
        <v>15000</v>
      </c>
      <c r="C307">
        <v>10</v>
      </c>
      <c r="D307">
        <v>5</v>
      </c>
      <c r="E307">
        <v>13400</v>
      </c>
      <c r="F307">
        <v>100</v>
      </c>
      <c r="G307" t="b">
        <v>0</v>
      </c>
      <c r="H307">
        <v>100</v>
      </c>
      <c r="I307" t="s">
        <v>1743</v>
      </c>
    </row>
    <row r="308" spans="1:9" x14ac:dyDescent="0.25">
      <c r="A308" t="s">
        <v>384</v>
      </c>
      <c r="B308">
        <v>11000</v>
      </c>
      <c r="C308">
        <v>1</v>
      </c>
      <c r="D308">
        <v>5</v>
      </c>
      <c r="E308">
        <v>10800</v>
      </c>
      <c r="F308">
        <v>100</v>
      </c>
      <c r="G308" t="b">
        <v>0</v>
      </c>
      <c r="H308">
        <v>100</v>
      </c>
      <c r="I308" t="s">
        <v>1743</v>
      </c>
    </row>
    <row r="309" spans="1:9" x14ac:dyDescent="0.25">
      <c r="A309" t="s">
        <v>385</v>
      </c>
      <c r="B309">
        <v>12500</v>
      </c>
      <c r="C309">
        <v>5</v>
      </c>
      <c r="D309">
        <v>6</v>
      </c>
      <c r="E309">
        <v>11800</v>
      </c>
      <c r="F309">
        <v>100</v>
      </c>
      <c r="G309" t="b">
        <v>0</v>
      </c>
      <c r="H309">
        <v>100</v>
      </c>
      <c r="I309" t="s">
        <v>1743</v>
      </c>
    </row>
    <row r="310" spans="1:9" x14ac:dyDescent="0.25">
      <c r="A310" t="s">
        <v>386</v>
      </c>
      <c r="B310">
        <v>7500</v>
      </c>
      <c r="C310">
        <v>30</v>
      </c>
      <c r="D310">
        <v>6</v>
      </c>
      <c r="E310">
        <v>5200</v>
      </c>
      <c r="F310">
        <v>200</v>
      </c>
      <c r="G310" t="b">
        <v>0</v>
      </c>
      <c r="H310">
        <v>200</v>
      </c>
      <c r="I310" t="s">
        <v>1743</v>
      </c>
    </row>
    <row r="311" spans="1:9" x14ac:dyDescent="0.25">
      <c r="A311" t="s">
        <v>387</v>
      </c>
      <c r="B311">
        <v>13000</v>
      </c>
      <c r="C311">
        <v>4</v>
      </c>
      <c r="D311">
        <v>6</v>
      </c>
      <c r="E311">
        <v>12400</v>
      </c>
      <c r="F311">
        <v>285</v>
      </c>
      <c r="G311" t="b">
        <v>0</v>
      </c>
      <c r="H311">
        <v>285</v>
      </c>
      <c r="I311" t="s">
        <v>1743</v>
      </c>
    </row>
    <row r="312" spans="1:9" x14ac:dyDescent="0.25">
      <c r="A312" t="s">
        <v>388</v>
      </c>
      <c r="B312">
        <v>4400</v>
      </c>
      <c r="C312">
        <v>0</v>
      </c>
      <c r="D312">
        <v>6</v>
      </c>
      <c r="E312">
        <v>4400</v>
      </c>
      <c r="F312">
        <v>60</v>
      </c>
      <c r="G312" t="b">
        <v>0</v>
      </c>
      <c r="H312">
        <v>60</v>
      </c>
      <c r="I312" t="s">
        <v>1743</v>
      </c>
    </row>
    <row r="313" spans="1:9" x14ac:dyDescent="0.25">
      <c r="A313" t="s">
        <v>389</v>
      </c>
      <c r="B313">
        <v>5000</v>
      </c>
      <c r="C313">
        <v>2</v>
      </c>
      <c r="D313">
        <v>5</v>
      </c>
      <c r="E313">
        <v>4900</v>
      </c>
      <c r="F313">
        <v>500</v>
      </c>
      <c r="G313" t="b">
        <v>0</v>
      </c>
      <c r="H313">
        <v>500</v>
      </c>
      <c r="I313" t="s">
        <v>1743</v>
      </c>
    </row>
    <row r="314" spans="1:9" x14ac:dyDescent="0.25">
      <c r="A314" t="s">
        <v>164</v>
      </c>
      <c r="B314">
        <v>24500</v>
      </c>
      <c r="C314">
        <v>0</v>
      </c>
      <c r="D314">
        <v>6</v>
      </c>
      <c r="E314">
        <v>24500</v>
      </c>
      <c r="F314">
        <v>200</v>
      </c>
      <c r="G314" t="b">
        <v>0</v>
      </c>
      <c r="H314">
        <v>200</v>
      </c>
      <c r="I314" t="s">
        <v>1743</v>
      </c>
    </row>
    <row r="315" spans="1:9" x14ac:dyDescent="0.25">
      <c r="A315" t="s">
        <v>390</v>
      </c>
      <c r="B315">
        <v>5000</v>
      </c>
      <c r="C315">
        <v>6</v>
      </c>
      <c r="D315">
        <v>4</v>
      </c>
      <c r="E315">
        <v>4700</v>
      </c>
      <c r="F315">
        <v>100</v>
      </c>
      <c r="G315" t="b">
        <v>0</v>
      </c>
      <c r="H315">
        <v>100</v>
      </c>
      <c r="I315" t="s">
        <v>1743</v>
      </c>
    </row>
    <row r="316" spans="1:9" x14ac:dyDescent="0.25">
      <c r="A316" t="s">
        <v>391</v>
      </c>
      <c r="B316">
        <v>8000</v>
      </c>
      <c r="C316">
        <v>10</v>
      </c>
      <c r="D316">
        <v>6</v>
      </c>
      <c r="E316">
        <v>7200</v>
      </c>
      <c r="F316">
        <v>500</v>
      </c>
      <c r="G316" t="b">
        <v>0</v>
      </c>
      <c r="H316">
        <v>500</v>
      </c>
      <c r="I316" t="s">
        <v>1743</v>
      </c>
    </row>
    <row r="317" spans="1:9" x14ac:dyDescent="0.25">
      <c r="A317" t="s">
        <v>392</v>
      </c>
      <c r="B317">
        <v>47500</v>
      </c>
      <c r="C317">
        <v>8</v>
      </c>
      <c r="D317">
        <v>2</v>
      </c>
      <c r="E317">
        <v>43700</v>
      </c>
      <c r="F317">
        <v>1000</v>
      </c>
      <c r="G317" t="b">
        <v>0</v>
      </c>
      <c r="H317">
        <v>750</v>
      </c>
      <c r="I317" t="s">
        <v>1743</v>
      </c>
    </row>
    <row r="318" spans="1:9" x14ac:dyDescent="0.25">
      <c r="A318" t="s">
        <v>393</v>
      </c>
      <c r="B318">
        <v>15000</v>
      </c>
      <c r="C318">
        <v>14</v>
      </c>
      <c r="D318">
        <v>6</v>
      </c>
      <c r="E318">
        <v>12800</v>
      </c>
      <c r="F318">
        <v>500</v>
      </c>
      <c r="G318" t="b">
        <v>0</v>
      </c>
      <c r="H318">
        <v>500</v>
      </c>
      <c r="I318" t="s">
        <v>1743</v>
      </c>
    </row>
    <row r="319" spans="1:9" x14ac:dyDescent="0.25">
      <c r="A319" t="s">
        <v>394</v>
      </c>
      <c r="B319">
        <v>6000</v>
      </c>
      <c r="C319">
        <v>5</v>
      </c>
      <c r="D319">
        <v>5</v>
      </c>
      <c r="E319">
        <v>5700</v>
      </c>
      <c r="F319">
        <v>200</v>
      </c>
      <c r="G319" t="b">
        <v>0</v>
      </c>
      <c r="H319">
        <v>200</v>
      </c>
      <c r="I319" t="s">
        <v>1743</v>
      </c>
    </row>
    <row r="320" spans="1:9" x14ac:dyDescent="0.25">
      <c r="A320" t="s">
        <v>395</v>
      </c>
      <c r="B320">
        <v>28000</v>
      </c>
      <c r="C320">
        <v>7</v>
      </c>
      <c r="D320">
        <v>6</v>
      </c>
      <c r="E320">
        <v>26000</v>
      </c>
      <c r="F320">
        <v>100</v>
      </c>
      <c r="G320" t="b">
        <v>0</v>
      </c>
      <c r="H320">
        <v>100</v>
      </c>
      <c r="I320" t="s">
        <v>1743</v>
      </c>
    </row>
    <row r="321" spans="1:9" x14ac:dyDescent="0.25">
      <c r="A321" t="s">
        <v>396</v>
      </c>
      <c r="B321">
        <v>21000</v>
      </c>
      <c r="C321">
        <v>0</v>
      </c>
      <c r="D321">
        <v>4</v>
      </c>
      <c r="E321">
        <v>21000</v>
      </c>
      <c r="F321">
        <v>250</v>
      </c>
      <c r="G321" t="b">
        <v>0</v>
      </c>
      <c r="H321">
        <v>250</v>
      </c>
      <c r="I321" t="s">
        <v>1743</v>
      </c>
    </row>
    <row r="322" spans="1:9" x14ac:dyDescent="0.25">
      <c r="A322" t="s">
        <v>397</v>
      </c>
      <c r="B322">
        <v>25000</v>
      </c>
      <c r="C322">
        <v>0</v>
      </c>
      <c r="D322">
        <v>5</v>
      </c>
      <c r="E322">
        <v>25000</v>
      </c>
      <c r="F322">
        <v>500</v>
      </c>
      <c r="G322" t="b">
        <v>0</v>
      </c>
      <c r="H322">
        <v>500</v>
      </c>
      <c r="I322" t="s">
        <v>1743</v>
      </c>
    </row>
    <row r="323" spans="1:9" x14ac:dyDescent="0.25">
      <c r="A323" t="s">
        <v>398</v>
      </c>
      <c r="B323">
        <v>8200</v>
      </c>
      <c r="C323">
        <v>10</v>
      </c>
      <c r="D323">
        <v>5</v>
      </c>
      <c r="E323">
        <v>7300</v>
      </c>
      <c r="F323">
        <v>100</v>
      </c>
      <c r="G323" t="b">
        <v>0</v>
      </c>
      <c r="H323">
        <v>100</v>
      </c>
      <c r="I323" t="s">
        <v>1743</v>
      </c>
    </row>
    <row r="324" spans="1:9" x14ac:dyDescent="0.25">
      <c r="A324" t="s">
        <v>399</v>
      </c>
      <c r="B324">
        <v>7500</v>
      </c>
      <c r="C324">
        <v>30</v>
      </c>
      <c r="D324">
        <v>6</v>
      </c>
      <c r="E324">
        <v>5200</v>
      </c>
      <c r="F324">
        <v>200</v>
      </c>
      <c r="G324" t="b">
        <v>0</v>
      </c>
      <c r="H324">
        <v>200</v>
      </c>
      <c r="I324" t="s">
        <v>1743</v>
      </c>
    </row>
    <row r="325" spans="1:9" x14ac:dyDescent="0.25">
      <c r="A325" t="s">
        <v>400</v>
      </c>
      <c r="B325">
        <v>27000</v>
      </c>
      <c r="C325">
        <v>10</v>
      </c>
      <c r="D325">
        <v>4</v>
      </c>
      <c r="E325">
        <v>24300</v>
      </c>
      <c r="F325">
        <v>225</v>
      </c>
      <c r="G325" t="b">
        <v>0</v>
      </c>
      <c r="H325">
        <v>225</v>
      </c>
      <c r="I325" t="s">
        <v>1743</v>
      </c>
    </row>
    <row r="326" spans="1:9" x14ac:dyDescent="0.25">
      <c r="A326" t="s">
        <v>401</v>
      </c>
      <c r="B326">
        <v>4500</v>
      </c>
      <c r="C326">
        <v>2</v>
      </c>
      <c r="D326">
        <v>6</v>
      </c>
      <c r="E326">
        <v>4400</v>
      </c>
      <c r="F326">
        <v>90</v>
      </c>
      <c r="G326" t="b">
        <v>0</v>
      </c>
      <c r="H326">
        <v>90</v>
      </c>
      <c r="I326" t="s">
        <v>1743</v>
      </c>
    </row>
    <row r="327" spans="1:9" x14ac:dyDescent="0.25">
      <c r="A327" t="s">
        <v>402</v>
      </c>
      <c r="B327">
        <v>13000</v>
      </c>
      <c r="C327">
        <v>10</v>
      </c>
      <c r="D327">
        <v>5</v>
      </c>
      <c r="E327">
        <v>11700</v>
      </c>
      <c r="F327">
        <v>100</v>
      </c>
      <c r="G327" t="b">
        <v>0</v>
      </c>
      <c r="H327">
        <v>100</v>
      </c>
      <c r="I327" t="s">
        <v>1743</v>
      </c>
    </row>
    <row r="328" spans="1:9" x14ac:dyDescent="0.25">
      <c r="A328" t="s">
        <v>403</v>
      </c>
      <c r="B328">
        <v>38000</v>
      </c>
      <c r="C328">
        <v>2</v>
      </c>
      <c r="D328">
        <v>4</v>
      </c>
      <c r="E328">
        <v>37200</v>
      </c>
      <c r="F328">
        <v>1000</v>
      </c>
      <c r="G328" t="b">
        <v>0</v>
      </c>
      <c r="H328">
        <v>1</v>
      </c>
      <c r="I328" t="s">
        <v>1743</v>
      </c>
    </row>
    <row r="329" spans="1:9" x14ac:dyDescent="0.25">
      <c r="A329" t="s">
        <v>404</v>
      </c>
      <c r="B329">
        <v>7500</v>
      </c>
      <c r="C329">
        <v>30</v>
      </c>
      <c r="D329">
        <v>5</v>
      </c>
      <c r="E329">
        <v>5200</v>
      </c>
      <c r="F329">
        <v>80</v>
      </c>
      <c r="G329" t="b">
        <v>0</v>
      </c>
      <c r="H329">
        <v>80</v>
      </c>
      <c r="I329" t="s">
        <v>1743</v>
      </c>
    </row>
    <row r="330" spans="1:9" x14ac:dyDescent="0.25">
      <c r="A330" t="s">
        <v>405</v>
      </c>
      <c r="B330">
        <v>5000</v>
      </c>
      <c r="C330">
        <v>2</v>
      </c>
      <c r="D330">
        <v>6</v>
      </c>
      <c r="E330">
        <v>4900</v>
      </c>
      <c r="F330">
        <v>20</v>
      </c>
      <c r="G330" t="b">
        <v>0</v>
      </c>
      <c r="H330">
        <v>20</v>
      </c>
      <c r="I330" t="s">
        <v>1743</v>
      </c>
    </row>
    <row r="331" spans="1:9" x14ac:dyDescent="0.25">
      <c r="A331" t="s">
        <v>406</v>
      </c>
      <c r="B331">
        <v>5000</v>
      </c>
      <c r="C331">
        <v>6</v>
      </c>
      <c r="D331">
        <v>6</v>
      </c>
      <c r="E331">
        <v>4700</v>
      </c>
      <c r="F331">
        <v>200</v>
      </c>
      <c r="G331" t="b">
        <v>0</v>
      </c>
      <c r="H331">
        <v>200</v>
      </c>
      <c r="I331" t="s">
        <v>1743</v>
      </c>
    </row>
    <row r="332" spans="1:9" x14ac:dyDescent="0.25">
      <c r="A332" t="s">
        <v>407</v>
      </c>
      <c r="B332">
        <v>12000</v>
      </c>
      <c r="C332">
        <v>10</v>
      </c>
      <c r="D332">
        <v>5</v>
      </c>
      <c r="E332">
        <v>10800</v>
      </c>
      <c r="F332">
        <v>500</v>
      </c>
      <c r="G332" t="b">
        <v>0</v>
      </c>
      <c r="H332">
        <v>500</v>
      </c>
      <c r="I332" t="s">
        <v>1743</v>
      </c>
    </row>
    <row r="333" spans="1:9" x14ac:dyDescent="0.25">
      <c r="A333" t="s">
        <v>408</v>
      </c>
      <c r="B333">
        <v>27600</v>
      </c>
      <c r="C333">
        <v>10</v>
      </c>
      <c r="D333">
        <v>6</v>
      </c>
      <c r="E333">
        <v>24800</v>
      </c>
      <c r="F333">
        <v>1500</v>
      </c>
      <c r="G333" t="b">
        <v>0</v>
      </c>
      <c r="H333">
        <v>1</v>
      </c>
      <c r="I333" t="s">
        <v>1743</v>
      </c>
    </row>
    <row r="334" spans="1:9" x14ac:dyDescent="0.25">
      <c r="A334" t="s">
        <v>409</v>
      </c>
      <c r="B334">
        <v>14500</v>
      </c>
      <c r="C334">
        <v>15</v>
      </c>
      <c r="D334">
        <v>4</v>
      </c>
      <c r="E334">
        <v>12200</v>
      </c>
      <c r="F334">
        <v>500</v>
      </c>
      <c r="G334" t="b">
        <v>0</v>
      </c>
      <c r="H334">
        <v>500</v>
      </c>
      <c r="I334" t="s">
        <v>1743</v>
      </c>
    </row>
    <row r="335" spans="1:9" x14ac:dyDescent="0.25">
      <c r="A335" t="s">
        <v>410</v>
      </c>
      <c r="B335">
        <v>4000</v>
      </c>
      <c r="C335">
        <v>2</v>
      </c>
      <c r="D335">
        <v>2</v>
      </c>
      <c r="E335">
        <v>3900</v>
      </c>
      <c r="F335">
        <v>100</v>
      </c>
      <c r="G335" t="b">
        <v>0</v>
      </c>
      <c r="H335">
        <v>100</v>
      </c>
      <c r="I335" t="s">
        <v>1743</v>
      </c>
    </row>
    <row r="336" spans="1:9" x14ac:dyDescent="0.25">
      <c r="A336" t="s">
        <v>411</v>
      </c>
      <c r="B336">
        <v>9000</v>
      </c>
      <c r="C336">
        <v>10</v>
      </c>
      <c r="D336">
        <v>6</v>
      </c>
      <c r="E336">
        <v>8100</v>
      </c>
      <c r="F336">
        <v>500</v>
      </c>
      <c r="G336" t="b">
        <v>0</v>
      </c>
      <c r="H336">
        <v>500</v>
      </c>
      <c r="I336" t="s">
        <v>1743</v>
      </c>
    </row>
    <row r="337" spans="1:9" x14ac:dyDescent="0.25">
      <c r="A337" t="s">
        <v>412</v>
      </c>
      <c r="B337">
        <v>10900</v>
      </c>
      <c r="C337">
        <v>17</v>
      </c>
      <c r="D337">
        <v>6</v>
      </c>
      <c r="E337">
        <v>9000</v>
      </c>
      <c r="F337">
        <v>45</v>
      </c>
      <c r="G337" t="b">
        <v>0</v>
      </c>
      <c r="H337">
        <v>45</v>
      </c>
      <c r="I337" t="s">
        <v>1743</v>
      </c>
    </row>
    <row r="338" spans="1:9" x14ac:dyDescent="0.25">
      <c r="A338" t="s">
        <v>413</v>
      </c>
      <c r="B338">
        <v>10900</v>
      </c>
      <c r="C338">
        <v>20</v>
      </c>
      <c r="D338">
        <v>6</v>
      </c>
      <c r="E338">
        <v>8700</v>
      </c>
      <c r="F338">
        <v>80</v>
      </c>
      <c r="G338" t="b">
        <v>0</v>
      </c>
      <c r="H338">
        <v>80</v>
      </c>
      <c r="I338" t="s">
        <v>1743</v>
      </c>
    </row>
    <row r="339" spans="1:9" x14ac:dyDescent="0.25">
      <c r="A339" t="s">
        <v>414</v>
      </c>
      <c r="B339">
        <v>13500</v>
      </c>
      <c r="C339">
        <v>7</v>
      </c>
      <c r="D339">
        <v>6</v>
      </c>
      <c r="E339">
        <v>12500</v>
      </c>
      <c r="F339">
        <v>500</v>
      </c>
      <c r="G339" t="b">
        <v>0</v>
      </c>
      <c r="H339">
        <v>500</v>
      </c>
      <c r="I339" t="s">
        <v>1743</v>
      </c>
    </row>
    <row r="340" spans="1:9" x14ac:dyDescent="0.25">
      <c r="A340" t="s">
        <v>415</v>
      </c>
      <c r="B340">
        <v>31000</v>
      </c>
      <c r="C340">
        <v>10</v>
      </c>
      <c r="D340">
        <v>6</v>
      </c>
      <c r="E340">
        <v>27600</v>
      </c>
      <c r="F340">
        <v>520</v>
      </c>
      <c r="G340" t="b">
        <v>0</v>
      </c>
      <c r="H340">
        <v>520</v>
      </c>
      <c r="I340" t="s">
        <v>1743</v>
      </c>
    </row>
    <row r="341" spans="1:9" x14ac:dyDescent="0.25">
      <c r="A341" t="s">
        <v>416</v>
      </c>
      <c r="B341">
        <v>34000</v>
      </c>
      <c r="C341">
        <v>20</v>
      </c>
      <c r="D341">
        <v>6</v>
      </c>
      <c r="E341">
        <v>27200</v>
      </c>
      <c r="F341">
        <v>200</v>
      </c>
      <c r="G341" t="b">
        <v>0</v>
      </c>
      <c r="H341">
        <v>200</v>
      </c>
      <c r="I341" t="s">
        <v>1743</v>
      </c>
    </row>
    <row r="342" spans="1:9" x14ac:dyDescent="0.25">
      <c r="A342" t="s">
        <v>417</v>
      </c>
      <c r="B342">
        <v>20500</v>
      </c>
      <c r="C342">
        <v>0</v>
      </c>
      <c r="D342">
        <v>2</v>
      </c>
      <c r="E342">
        <v>20500</v>
      </c>
      <c r="F342">
        <v>50</v>
      </c>
      <c r="G342" t="b">
        <v>0</v>
      </c>
      <c r="H342">
        <v>50</v>
      </c>
      <c r="I342" t="s">
        <v>1743</v>
      </c>
    </row>
    <row r="343" spans="1:9" x14ac:dyDescent="0.25">
      <c r="A343" t="s">
        <v>418</v>
      </c>
      <c r="B343">
        <v>29500</v>
      </c>
      <c r="C343">
        <v>9</v>
      </c>
      <c r="D343">
        <v>5</v>
      </c>
      <c r="E343">
        <v>26600</v>
      </c>
      <c r="F343">
        <v>160</v>
      </c>
      <c r="G343" t="b">
        <v>0</v>
      </c>
      <c r="H343">
        <v>160</v>
      </c>
      <c r="I343" t="s">
        <v>1743</v>
      </c>
    </row>
    <row r="344" spans="1:9" x14ac:dyDescent="0.25">
      <c r="A344" t="s">
        <v>419</v>
      </c>
      <c r="B344">
        <v>16500</v>
      </c>
      <c r="C344">
        <v>5</v>
      </c>
      <c r="D344">
        <v>6</v>
      </c>
      <c r="E344">
        <v>15600</v>
      </c>
      <c r="F344">
        <v>500</v>
      </c>
      <c r="G344" t="b">
        <v>0</v>
      </c>
      <c r="H344">
        <v>500</v>
      </c>
      <c r="I344" t="s">
        <v>1743</v>
      </c>
    </row>
    <row r="345" spans="1:9" x14ac:dyDescent="0.25">
      <c r="A345" t="s">
        <v>420</v>
      </c>
      <c r="B345">
        <v>6500</v>
      </c>
      <c r="C345">
        <v>6</v>
      </c>
      <c r="D345">
        <v>6</v>
      </c>
      <c r="E345">
        <v>6100</v>
      </c>
      <c r="F345">
        <v>180</v>
      </c>
      <c r="G345" t="b">
        <v>0</v>
      </c>
      <c r="H345">
        <v>180</v>
      </c>
      <c r="I345" t="s">
        <v>1743</v>
      </c>
    </row>
    <row r="346" spans="1:9" x14ac:dyDescent="0.25">
      <c r="A346" t="s">
        <v>421</v>
      </c>
      <c r="B346">
        <v>33500</v>
      </c>
      <c r="C346">
        <v>29</v>
      </c>
      <c r="D346">
        <v>6</v>
      </c>
      <c r="E346">
        <v>23500</v>
      </c>
      <c r="F346">
        <v>200</v>
      </c>
      <c r="G346" t="b">
        <v>0</v>
      </c>
      <c r="H346">
        <v>200</v>
      </c>
      <c r="I346" t="s">
        <v>1743</v>
      </c>
    </row>
    <row r="347" spans="1:9" x14ac:dyDescent="0.25">
      <c r="A347" t="s">
        <v>422</v>
      </c>
      <c r="B347">
        <v>8000</v>
      </c>
      <c r="C347">
        <v>0</v>
      </c>
      <c r="D347">
        <v>5</v>
      </c>
      <c r="E347">
        <v>8000</v>
      </c>
      <c r="F347">
        <v>100</v>
      </c>
      <c r="G347" t="b">
        <v>0</v>
      </c>
      <c r="H347">
        <v>100</v>
      </c>
      <c r="I347" t="s">
        <v>1743</v>
      </c>
    </row>
    <row r="348" spans="1:9" x14ac:dyDescent="0.25">
      <c r="A348" t="s">
        <v>423</v>
      </c>
      <c r="B348">
        <v>11000</v>
      </c>
      <c r="C348">
        <v>5</v>
      </c>
      <c r="D348">
        <v>6</v>
      </c>
      <c r="E348">
        <v>10400</v>
      </c>
      <c r="F348">
        <v>400</v>
      </c>
      <c r="G348" t="b">
        <v>0</v>
      </c>
      <c r="H348">
        <v>400</v>
      </c>
      <c r="I348" t="s">
        <v>1743</v>
      </c>
    </row>
    <row r="349" spans="1:9" x14ac:dyDescent="0.25">
      <c r="A349" t="s">
        <v>161</v>
      </c>
      <c r="B349">
        <v>14700</v>
      </c>
      <c r="C349">
        <v>10</v>
      </c>
      <c r="D349">
        <v>6</v>
      </c>
      <c r="E349">
        <v>13200</v>
      </c>
      <c r="F349">
        <v>200</v>
      </c>
      <c r="G349" t="b">
        <v>0</v>
      </c>
      <c r="H349">
        <v>200</v>
      </c>
      <c r="I349" t="s">
        <v>1743</v>
      </c>
    </row>
    <row r="350" spans="1:9" x14ac:dyDescent="0.25">
      <c r="A350" t="s">
        <v>424</v>
      </c>
      <c r="B350">
        <v>9000</v>
      </c>
      <c r="C350">
        <v>4</v>
      </c>
      <c r="D350">
        <v>6</v>
      </c>
      <c r="E350">
        <v>8600</v>
      </c>
      <c r="F350">
        <v>200</v>
      </c>
      <c r="G350" t="b">
        <v>0</v>
      </c>
      <c r="H350">
        <v>200</v>
      </c>
      <c r="I350" t="s">
        <v>1743</v>
      </c>
    </row>
    <row r="351" spans="1:9" x14ac:dyDescent="0.25">
      <c r="A351" t="s">
        <v>425</v>
      </c>
      <c r="B351">
        <v>6500</v>
      </c>
      <c r="C351">
        <v>10</v>
      </c>
      <c r="D351">
        <v>6</v>
      </c>
      <c r="E351">
        <v>5800</v>
      </c>
      <c r="F351">
        <v>100</v>
      </c>
      <c r="G351" t="b">
        <v>0</v>
      </c>
      <c r="H351">
        <v>100</v>
      </c>
      <c r="I351" t="s">
        <v>1743</v>
      </c>
    </row>
    <row r="352" spans="1:9" x14ac:dyDescent="0.25">
      <c r="A352" t="s">
        <v>426</v>
      </c>
      <c r="B352">
        <v>7000</v>
      </c>
      <c r="C352">
        <v>10</v>
      </c>
      <c r="D352">
        <v>6</v>
      </c>
      <c r="E352">
        <v>6300</v>
      </c>
      <c r="F352">
        <v>500</v>
      </c>
      <c r="G352" t="b">
        <v>0</v>
      </c>
      <c r="H352">
        <v>500</v>
      </c>
      <c r="I352" t="s">
        <v>1743</v>
      </c>
    </row>
    <row r="353" spans="1:9" x14ac:dyDescent="0.25">
      <c r="A353" t="s">
        <v>427</v>
      </c>
      <c r="B353">
        <v>13500</v>
      </c>
      <c r="C353">
        <v>7</v>
      </c>
      <c r="D353">
        <v>6</v>
      </c>
      <c r="E353">
        <v>12500</v>
      </c>
      <c r="F353">
        <v>1000</v>
      </c>
      <c r="G353" t="b">
        <v>0</v>
      </c>
      <c r="H353">
        <v>1</v>
      </c>
      <c r="I353" t="s">
        <v>1743</v>
      </c>
    </row>
    <row r="354" spans="1:9" x14ac:dyDescent="0.25">
      <c r="A354" t="s">
        <v>428</v>
      </c>
      <c r="B354">
        <v>14000</v>
      </c>
      <c r="C354">
        <v>0</v>
      </c>
      <c r="D354">
        <v>5</v>
      </c>
      <c r="E354">
        <v>14000</v>
      </c>
      <c r="F354">
        <v>1000</v>
      </c>
      <c r="G354" t="b">
        <v>0</v>
      </c>
      <c r="H354">
        <v>1</v>
      </c>
      <c r="I354" t="s">
        <v>1743</v>
      </c>
    </row>
    <row r="355" spans="1:9" x14ac:dyDescent="0.25">
      <c r="A355" t="s">
        <v>429</v>
      </c>
      <c r="B355">
        <v>4400</v>
      </c>
      <c r="C355">
        <v>0</v>
      </c>
      <c r="D355">
        <v>6</v>
      </c>
      <c r="E355">
        <v>4400</v>
      </c>
      <c r="F355">
        <v>60</v>
      </c>
      <c r="G355" t="b">
        <v>0</v>
      </c>
      <c r="H355">
        <v>60</v>
      </c>
      <c r="I355" t="s">
        <v>1743</v>
      </c>
    </row>
    <row r="356" spans="1:9" x14ac:dyDescent="0.25">
      <c r="A356" t="s">
        <v>430</v>
      </c>
      <c r="B356">
        <v>20000</v>
      </c>
      <c r="C356">
        <v>11</v>
      </c>
      <c r="D356">
        <v>6</v>
      </c>
      <c r="E356">
        <v>17800</v>
      </c>
      <c r="F356">
        <v>264</v>
      </c>
      <c r="G356" t="b">
        <v>0</v>
      </c>
      <c r="H356">
        <v>264</v>
      </c>
      <c r="I356" t="s">
        <v>1743</v>
      </c>
    </row>
    <row r="357" spans="1:9" x14ac:dyDescent="0.25">
      <c r="A357" t="s">
        <v>303</v>
      </c>
      <c r="B357">
        <v>6000</v>
      </c>
      <c r="C357">
        <v>10</v>
      </c>
      <c r="D357">
        <v>5</v>
      </c>
      <c r="E357">
        <v>5400</v>
      </c>
      <c r="F357">
        <v>108</v>
      </c>
      <c r="G357" t="b">
        <v>0</v>
      </c>
      <c r="H357">
        <v>108</v>
      </c>
      <c r="I357" t="s">
        <v>1743</v>
      </c>
    </row>
    <row r="358" spans="1:9" x14ac:dyDescent="0.25">
      <c r="A358" t="s">
        <v>431</v>
      </c>
      <c r="B358">
        <v>10000</v>
      </c>
      <c r="C358">
        <v>0</v>
      </c>
      <c r="D358">
        <v>1</v>
      </c>
      <c r="E358">
        <v>10000</v>
      </c>
      <c r="F358">
        <v>50</v>
      </c>
      <c r="G358" t="b">
        <v>0</v>
      </c>
      <c r="H358">
        <v>50</v>
      </c>
      <c r="I358" t="s">
        <v>1743</v>
      </c>
    </row>
    <row r="359" spans="1:9" x14ac:dyDescent="0.25">
      <c r="A359" t="s">
        <v>432</v>
      </c>
      <c r="B359">
        <v>9500</v>
      </c>
      <c r="C359">
        <v>6</v>
      </c>
      <c r="D359">
        <v>6</v>
      </c>
      <c r="E359">
        <v>8900</v>
      </c>
      <c r="F359">
        <v>150</v>
      </c>
      <c r="G359" t="b">
        <v>0</v>
      </c>
      <c r="H359">
        <v>150</v>
      </c>
      <c r="I359" t="s">
        <v>1743</v>
      </c>
    </row>
    <row r="360" spans="1:9" x14ac:dyDescent="0.25">
      <c r="A360" t="s">
        <v>433</v>
      </c>
      <c r="B360">
        <v>7500</v>
      </c>
      <c r="C360">
        <v>30</v>
      </c>
      <c r="D360">
        <v>6</v>
      </c>
      <c r="E360">
        <v>5200</v>
      </c>
      <c r="F360">
        <v>80</v>
      </c>
      <c r="G360" t="b">
        <v>0</v>
      </c>
      <c r="H360">
        <v>80</v>
      </c>
      <c r="I360" t="s">
        <v>1743</v>
      </c>
    </row>
    <row r="361" spans="1:9" x14ac:dyDescent="0.25">
      <c r="A361" t="s">
        <v>434</v>
      </c>
      <c r="B361">
        <v>19500</v>
      </c>
      <c r="C361">
        <v>9</v>
      </c>
      <c r="D361">
        <v>5</v>
      </c>
      <c r="E361">
        <v>17600</v>
      </c>
      <c r="F361">
        <v>500</v>
      </c>
      <c r="G361" t="b">
        <v>0</v>
      </c>
      <c r="H361">
        <v>500</v>
      </c>
      <c r="I361" t="s">
        <v>1743</v>
      </c>
    </row>
    <row r="362" spans="1:9" x14ac:dyDescent="0.25">
      <c r="A362" t="s">
        <v>435</v>
      </c>
      <c r="B362">
        <v>4200</v>
      </c>
      <c r="C362">
        <v>0</v>
      </c>
      <c r="D362">
        <v>6</v>
      </c>
      <c r="E362">
        <v>4200</v>
      </c>
      <c r="F362">
        <v>60</v>
      </c>
      <c r="G362" t="b">
        <v>0</v>
      </c>
      <c r="H362">
        <v>60</v>
      </c>
      <c r="I362" t="s">
        <v>1743</v>
      </c>
    </row>
    <row r="363" spans="1:9" x14ac:dyDescent="0.25">
      <c r="A363" t="s">
        <v>436</v>
      </c>
      <c r="B363">
        <v>11000</v>
      </c>
      <c r="C363">
        <v>30</v>
      </c>
      <c r="D363">
        <v>6</v>
      </c>
      <c r="E363">
        <v>7700</v>
      </c>
      <c r="F363">
        <v>285</v>
      </c>
      <c r="G363" t="b">
        <v>0</v>
      </c>
      <c r="H363">
        <v>285</v>
      </c>
      <c r="I363" t="s">
        <v>1743</v>
      </c>
    </row>
    <row r="364" spans="1:9" x14ac:dyDescent="0.25">
      <c r="A364" t="s">
        <v>437</v>
      </c>
      <c r="B364">
        <v>7000</v>
      </c>
      <c r="C364">
        <v>10</v>
      </c>
      <c r="D364">
        <v>6</v>
      </c>
      <c r="E364">
        <v>6300</v>
      </c>
      <c r="F364">
        <v>500</v>
      </c>
      <c r="G364" t="b">
        <v>0</v>
      </c>
      <c r="H364">
        <v>500</v>
      </c>
      <c r="I364" t="s">
        <v>1743</v>
      </c>
    </row>
    <row r="365" spans="1:9" x14ac:dyDescent="0.25">
      <c r="A365" t="s">
        <v>438</v>
      </c>
      <c r="B365">
        <v>7500</v>
      </c>
      <c r="C365">
        <v>16</v>
      </c>
      <c r="D365">
        <v>6</v>
      </c>
      <c r="E365">
        <v>6300</v>
      </c>
      <c r="F365">
        <v>100</v>
      </c>
      <c r="G365" t="b">
        <v>0</v>
      </c>
      <c r="H365">
        <v>100</v>
      </c>
      <c r="I365" t="s">
        <v>1743</v>
      </c>
    </row>
    <row r="366" spans="1:9" x14ac:dyDescent="0.25">
      <c r="A366" t="s">
        <v>439</v>
      </c>
      <c r="B366">
        <v>8000</v>
      </c>
      <c r="C366">
        <v>6</v>
      </c>
      <c r="D366">
        <v>6</v>
      </c>
      <c r="E366">
        <v>7500</v>
      </c>
      <c r="F366">
        <v>500</v>
      </c>
      <c r="G366" t="b">
        <v>0</v>
      </c>
      <c r="H366">
        <v>500</v>
      </c>
      <c r="I366" t="s">
        <v>1743</v>
      </c>
    </row>
    <row r="367" spans="1:9" x14ac:dyDescent="0.25">
      <c r="A367" t="s">
        <v>440</v>
      </c>
      <c r="B367">
        <v>10500</v>
      </c>
      <c r="C367">
        <v>7</v>
      </c>
      <c r="D367">
        <v>6</v>
      </c>
      <c r="E367">
        <v>9700</v>
      </c>
      <c r="F367">
        <v>500</v>
      </c>
      <c r="G367" t="b">
        <v>0</v>
      </c>
      <c r="H367">
        <v>500</v>
      </c>
      <c r="I367" t="s">
        <v>1743</v>
      </c>
    </row>
    <row r="368" spans="1:9" x14ac:dyDescent="0.25">
      <c r="A368" t="s">
        <v>441</v>
      </c>
      <c r="B368">
        <v>10900</v>
      </c>
      <c r="C368">
        <v>10</v>
      </c>
      <c r="D368">
        <v>6</v>
      </c>
      <c r="E368">
        <v>9800</v>
      </c>
      <c r="F368">
        <v>35</v>
      </c>
      <c r="G368" t="b">
        <v>0</v>
      </c>
      <c r="H368">
        <v>35</v>
      </c>
      <c r="I368" t="s">
        <v>1743</v>
      </c>
    </row>
    <row r="369" spans="1:9" x14ac:dyDescent="0.25">
      <c r="A369" t="s">
        <v>442</v>
      </c>
      <c r="B369">
        <v>11500</v>
      </c>
      <c r="C369">
        <v>0</v>
      </c>
      <c r="D369">
        <v>3</v>
      </c>
      <c r="E369">
        <v>11500</v>
      </c>
      <c r="F369">
        <v>200</v>
      </c>
      <c r="G369" t="b">
        <v>0</v>
      </c>
      <c r="H369">
        <v>200</v>
      </c>
      <c r="I369" t="s">
        <v>1743</v>
      </c>
    </row>
    <row r="370" spans="1:9" x14ac:dyDescent="0.25">
      <c r="A370" t="s">
        <v>443</v>
      </c>
      <c r="B370">
        <v>39900</v>
      </c>
      <c r="C370">
        <v>25</v>
      </c>
      <c r="D370">
        <v>6</v>
      </c>
      <c r="E370">
        <v>29900</v>
      </c>
      <c r="F370">
        <v>200</v>
      </c>
      <c r="G370" t="b">
        <v>0</v>
      </c>
      <c r="H370">
        <v>200</v>
      </c>
      <c r="I370" t="s">
        <v>1743</v>
      </c>
    </row>
    <row r="371" spans="1:9" x14ac:dyDescent="0.25">
      <c r="A371" t="s">
        <v>444</v>
      </c>
      <c r="B371">
        <v>12000</v>
      </c>
      <c r="C371">
        <v>10</v>
      </c>
      <c r="D371">
        <v>6</v>
      </c>
      <c r="E371">
        <v>10800</v>
      </c>
      <c r="F371">
        <v>500</v>
      </c>
      <c r="G371" t="b">
        <v>0</v>
      </c>
      <c r="H371">
        <v>500</v>
      </c>
      <c r="I371" t="s">
        <v>1743</v>
      </c>
    </row>
    <row r="372" spans="1:9" x14ac:dyDescent="0.25">
      <c r="A372" t="s">
        <v>445</v>
      </c>
      <c r="B372">
        <v>9900</v>
      </c>
      <c r="C372">
        <v>0</v>
      </c>
      <c r="D372">
        <v>6</v>
      </c>
      <c r="E372">
        <v>9900</v>
      </c>
      <c r="F372">
        <v>75</v>
      </c>
      <c r="G372" t="b">
        <v>0</v>
      </c>
      <c r="H372">
        <v>75</v>
      </c>
      <c r="I372" t="s">
        <v>1743</v>
      </c>
    </row>
    <row r="373" spans="1:9" x14ac:dyDescent="0.25">
      <c r="A373" t="s">
        <v>446</v>
      </c>
      <c r="B373">
        <v>6300</v>
      </c>
      <c r="C373">
        <v>0</v>
      </c>
      <c r="D373">
        <v>6</v>
      </c>
      <c r="E373">
        <v>6300</v>
      </c>
      <c r="F373">
        <v>200</v>
      </c>
      <c r="G373" t="b">
        <v>0</v>
      </c>
      <c r="H373">
        <v>200</v>
      </c>
      <c r="I373" t="s">
        <v>1743</v>
      </c>
    </row>
    <row r="374" spans="1:9" x14ac:dyDescent="0.25">
      <c r="A374" t="s">
        <v>447</v>
      </c>
      <c r="B374">
        <v>20000</v>
      </c>
      <c r="C374">
        <v>11</v>
      </c>
      <c r="D374">
        <v>6</v>
      </c>
      <c r="E374">
        <v>17800</v>
      </c>
      <c r="F374">
        <v>180</v>
      </c>
      <c r="G374" t="b">
        <v>0</v>
      </c>
      <c r="H374">
        <v>180</v>
      </c>
      <c r="I374" t="s">
        <v>1743</v>
      </c>
    </row>
    <row r="375" spans="1:9" x14ac:dyDescent="0.25">
      <c r="A375" t="s">
        <v>448</v>
      </c>
      <c r="B375">
        <v>5000</v>
      </c>
      <c r="C375">
        <v>2</v>
      </c>
      <c r="D375">
        <v>6</v>
      </c>
      <c r="E375">
        <v>4900</v>
      </c>
      <c r="F375">
        <v>20</v>
      </c>
      <c r="G375" t="b">
        <v>0</v>
      </c>
      <c r="H375">
        <v>20</v>
      </c>
      <c r="I375" t="s">
        <v>1743</v>
      </c>
    </row>
    <row r="376" spans="1:9" x14ac:dyDescent="0.25">
      <c r="A376" t="s">
        <v>293</v>
      </c>
      <c r="B376">
        <v>5000</v>
      </c>
      <c r="C376">
        <v>2</v>
      </c>
      <c r="D376">
        <v>2</v>
      </c>
      <c r="E376">
        <v>4900</v>
      </c>
      <c r="F376">
        <v>200</v>
      </c>
      <c r="G376" t="b">
        <v>0</v>
      </c>
      <c r="H376">
        <v>200</v>
      </c>
      <c r="I376" t="s">
        <v>1743</v>
      </c>
    </row>
    <row r="377" spans="1:9" x14ac:dyDescent="0.25">
      <c r="A377" t="s">
        <v>449</v>
      </c>
      <c r="B377">
        <v>29500</v>
      </c>
      <c r="C377">
        <v>9</v>
      </c>
      <c r="D377">
        <v>6</v>
      </c>
      <c r="E377">
        <v>26600</v>
      </c>
      <c r="F377">
        <v>250</v>
      </c>
      <c r="G377" t="b">
        <v>0</v>
      </c>
      <c r="H377">
        <v>250</v>
      </c>
      <c r="I377" t="s">
        <v>1743</v>
      </c>
    </row>
    <row r="378" spans="1:9" x14ac:dyDescent="0.25">
      <c r="A378" t="s">
        <v>450</v>
      </c>
      <c r="B378">
        <v>15000</v>
      </c>
      <c r="C378">
        <v>0</v>
      </c>
      <c r="D378">
        <v>4</v>
      </c>
      <c r="E378">
        <v>15000</v>
      </c>
      <c r="F378">
        <v>400</v>
      </c>
      <c r="G378" t="b">
        <v>0</v>
      </c>
      <c r="H378">
        <v>400</v>
      </c>
      <c r="I378" t="s">
        <v>1743</v>
      </c>
    </row>
    <row r="379" spans="1:9" x14ac:dyDescent="0.25">
      <c r="A379" t="s">
        <v>451</v>
      </c>
      <c r="B379">
        <v>13000</v>
      </c>
      <c r="C379">
        <v>10</v>
      </c>
      <c r="D379">
        <v>6</v>
      </c>
      <c r="E379">
        <v>11600</v>
      </c>
      <c r="F379">
        <v>500</v>
      </c>
      <c r="G379" t="b">
        <v>0</v>
      </c>
      <c r="H379">
        <v>500</v>
      </c>
      <c r="I379" t="s">
        <v>1743</v>
      </c>
    </row>
    <row r="380" spans="1:9" x14ac:dyDescent="0.25">
      <c r="A380" t="s">
        <v>452</v>
      </c>
      <c r="B380">
        <v>43000</v>
      </c>
      <c r="C380">
        <v>10</v>
      </c>
      <c r="D380">
        <v>6</v>
      </c>
      <c r="E380">
        <v>38700</v>
      </c>
      <c r="F380">
        <v>5000</v>
      </c>
      <c r="G380" t="b">
        <v>0</v>
      </c>
      <c r="H380">
        <v>5</v>
      </c>
      <c r="I380" t="s">
        <v>1743</v>
      </c>
    </row>
    <row r="381" spans="1:9" x14ac:dyDescent="0.25">
      <c r="A381" t="s">
        <v>453</v>
      </c>
      <c r="B381">
        <v>7000</v>
      </c>
      <c r="C381">
        <v>18</v>
      </c>
      <c r="D381">
        <v>6</v>
      </c>
      <c r="E381">
        <v>5700</v>
      </c>
      <c r="F381">
        <v>400</v>
      </c>
      <c r="G381" t="b">
        <v>0</v>
      </c>
      <c r="H381">
        <v>400</v>
      </c>
      <c r="I381" t="s">
        <v>1743</v>
      </c>
    </row>
    <row r="382" spans="1:9" x14ac:dyDescent="0.25">
      <c r="A382" t="s">
        <v>454</v>
      </c>
      <c r="B382">
        <v>26500</v>
      </c>
      <c r="C382">
        <v>9</v>
      </c>
      <c r="D382">
        <v>6</v>
      </c>
      <c r="E382">
        <v>23900</v>
      </c>
      <c r="F382">
        <v>1000</v>
      </c>
      <c r="G382" t="b">
        <v>0</v>
      </c>
      <c r="H382">
        <v>1</v>
      </c>
      <c r="I382" t="s">
        <v>1743</v>
      </c>
    </row>
    <row r="383" spans="1:9" x14ac:dyDescent="0.25">
      <c r="A383" t="s">
        <v>455</v>
      </c>
      <c r="B383">
        <v>54000</v>
      </c>
      <c r="C383">
        <v>20</v>
      </c>
      <c r="D383">
        <v>6</v>
      </c>
      <c r="E383">
        <v>43200</v>
      </c>
      <c r="F383">
        <v>150</v>
      </c>
      <c r="G383" t="b">
        <v>0</v>
      </c>
      <c r="H383">
        <v>150</v>
      </c>
      <c r="I383" t="s">
        <v>1743</v>
      </c>
    </row>
    <row r="384" spans="1:9" x14ac:dyDescent="0.25">
      <c r="A384" t="s">
        <v>456</v>
      </c>
      <c r="B384">
        <v>6000</v>
      </c>
      <c r="C384">
        <v>10</v>
      </c>
      <c r="D384">
        <v>6</v>
      </c>
      <c r="E384">
        <v>5400</v>
      </c>
      <c r="F384">
        <v>250</v>
      </c>
      <c r="G384" t="b">
        <v>0</v>
      </c>
      <c r="H384">
        <v>250</v>
      </c>
      <c r="I384" t="s">
        <v>1743</v>
      </c>
    </row>
    <row r="385" spans="1:9" x14ac:dyDescent="0.25">
      <c r="A385" t="s">
        <v>457</v>
      </c>
      <c r="B385">
        <v>34900</v>
      </c>
      <c r="C385">
        <v>20</v>
      </c>
      <c r="D385">
        <v>6</v>
      </c>
      <c r="E385">
        <v>27900</v>
      </c>
      <c r="F385">
        <v>200</v>
      </c>
      <c r="G385" t="b">
        <v>0</v>
      </c>
      <c r="H385">
        <v>200</v>
      </c>
      <c r="I385" t="s">
        <v>1743</v>
      </c>
    </row>
    <row r="386" spans="1:9" x14ac:dyDescent="0.25">
      <c r="A386" t="s">
        <v>458</v>
      </c>
      <c r="B386">
        <v>16000</v>
      </c>
      <c r="C386">
        <v>6</v>
      </c>
      <c r="D386">
        <v>6</v>
      </c>
      <c r="E386">
        <v>15000</v>
      </c>
      <c r="F386">
        <v>900</v>
      </c>
      <c r="G386" t="b">
        <v>0</v>
      </c>
      <c r="H386">
        <v>900</v>
      </c>
      <c r="I386" t="s">
        <v>1743</v>
      </c>
    </row>
    <row r="387" spans="1:9" x14ac:dyDescent="0.25">
      <c r="A387" t="s">
        <v>459</v>
      </c>
      <c r="B387">
        <v>9000</v>
      </c>
      <c r="C387">
        <v>6</v>
      </c>
      <c r="D387">
        <v>6</v>
      </c>
      <c r="E387">
        <v>8400</v>
      </c>
      <c r="F387">
        <v>500</v>
      </c>
      <c r="G387" t="b">
        <v>0</v>
      </c>
      <c r="H387">
        <v>500</v>
      </c>
      <c r="I387" t="s">
        <v>1743</v>
      </c>
    </row>
    <row r="388" spans="1:9" x14ac:dyDescent="0.25">
      <c r="A388" t="s">
        <v>460</v>
      </c>
      <c r="B388">
        <v>11500</v>
      </c>
      <c r="C388">
        <v>0</v>
      </c>
      <c r="D388">
        <v>4</v>
      </c>
      <c r="E388">
        <v>11500</v>
      </c>
      <c r="F388">
        <v>200</v>
      </c>
      <c r="G388" t="b">
        <v>0</v>
      </c>
      <c r="H388">
        <v>200</v>
      </c>
      <c r="I388" t="s">
        <v>1743</v>
      </c>
    </row>
    <row r="389" spans="1:9" x14ac:dyDescent="0.25">
      <c r="A389" t="s">
        <v>280</v>
      </c>
      <c r="B389">
        <v>17300</v>
      </c>
      <c r="C389">
        <v>6</v>
      </c>
      <c r="D389">
        <v>6</v>
      </c>
      <c r="E389">
        <v>16200</v>
      </c>
      <c r="F389">
        <v>500</v>
      </c>
      <c r="G389" t="b">
        <v>0</v>
      </c>
      <c r="H389">
        <v>500</v>
      </c>
      <c r="I389" t="s">
        <v>1743</v>
      </c>
    </row>
    <row r="390" spans="1:9" x14ac:dyDescent="0.25">
      <c r="A390" t="s">
        <v>461</v>
      </c>
      <c r="B390">
        <v>7500</v>
      </c>
      <c r="C390">
        <v>30</v>
      </c>
      <c r="D390">
        <v>5</v>
      </c>
      <c r="E390">
        <v>5200</v>
      </c>
      <c r="F390">
        <v>80</v>
      </c>
      <c r="G390" t="b">
        <v>0</v>
      </c>
      <c r="H390">
        <v>80</v>
      </c>
      <c r="I390" t="s">
        <v>1743</v>
      </c>
    </row>
    <row r="391" spans="1:9" x14ac:dyDescent="0.25">
      <c r="A391" t="s">
        <v>462</v>
      </c>
      <c r="B391">
        <v>10000</v>
      </c>
      <c r="C391">
        <v>0</v>
      </c>
      <c r="D391">
        <v>2</v>
      </c>
      <c r="E391">
        <v>10000</v>
      </c>
      <c r="F391">
        <v>950</v>
      </c>
      <c r="G391" t="b">
        <v>0</v>
      </c>
      <c r="H391">
        <v>950</v>
      </c>
      <c r="I391" t="s">
        <v>1743</v>
      </c>
    </row>
    <row r="392" spans="1:9" x14ac:dyDescent="0.25">
      <c r="A392" t="s">
        <v>463</v>
      </c>
      <c r="B392">
        <v>17000</v>
      </c>
      <c r="C392">
        <v>6</v>
      </c>
      <c r="D392">
        <v>6</v>
      </c>
      <c r="E392">
        <v>15900</v>
      </c>
      <c r="F392">
        <v>500</v>
      </c>
      <c r="G392" t="b">
        <v>0</v>
      </c>
      <c r="H392">
        <v>500</v>
      </c>
      <c r="I392" t="s">
        <v>1743</v>
      </c>
    </row>
    <row r="393" spans="1:9" x14ac:dyDescent="0.25">
      <c r="A393" t="s">
        <v>464</v>
      </c>
      <c r="B393">
        <v>19500</v>
      </c>
      <c r="C393">
        <v>9</v>
      </c>
      <c r="D393">
        <v>6</v>
      </c>
      <c r="E393">
        <v>17600</v>
      </c>
      <c r="F393">
        <v>500</v>
      </c>
      <c r="G393" t="b">
        <v>0</v>
      </c>
      <c r="H393">
        <v>500</v>
      </c>
      <c r="I393" t="s">
        <v>1743</v>
      </c>
    </row>
    <row r="394" spans="1:9" x14ac:dyDescent="0.25">
      <c r="A394" t="s">
        <v>362</v>
      </c>
      <c r="B394">
        <v>19900</v>
      </c>
      <c r="C394">
        <v>0</v>
      </c>
      <c r="D394">
        <v>2</v>
      </c>
      <c r="E394">
        <v>19900</v>
      </c>
      <c r="F394">
        <v>240</v>
      </c>
      <c r="G394" t="b">
        <v>0</v>
      </c>
      <c r="H394">
        <v>240</v>
      </c>
      <c r="I394" t="s">
        <v>1743</v>
      </c>
    </row>
    <row r="395" spans="1:9" x14ac:dyDescent="0.25">
      <c r="A395" t="s">
        <v>465</v>
      </c>
      <c r="B395">
        <v>9900</v>
      </c>
      <c r="C395">
        <v>0</v>
      </c>
      <c r="D395">
        <v>6</v>
      </c>
      <c r="E395">
        <v>9900</v>
      </c>
      <c r="F395">
        <v>14</v>
      </c>
      <c r="G395" t="b">
        <v>0</v>
      </c>
      <c r="H395">
        <v>14</v>
      </c>
      <c r="I395" t="s">
        <v>1743</v>
      </c>
    </row>
    <row r="396" spans="1:9" x14ac:dyDescent="0.25">
      <c r="A396" t="s">
        <v>466</v>
      </c>
      <c r="B396">
        <v>8000</v>
      </c>
      <c r="C396">
        <v>10</v>
      </c>
      <c r="D396">
        <v>6</v>
      </c>
      <c r="E396">
        <v>7200</v>
      </c>
      <c r="F396">
        <v>500</v>
      </c>
      <c r="G396" t="b">
        <v>0</v>
      </c>
      <c r="H396">
        <v>500</v>
      </c>
      <c r="I396" t="s">
        <v>1743</v>
      </c>
    </row>
    <row r="397" spans="1:9" x14ac:dyDescent="0.25">
      <c r="A397" t="s">
        <v>467</v>
      </c>
      <c r="B397">
        <v>5500</v>
      </c>
      <c r="C397">
        <v>0</v>
      </c>
      <c r="D397">
        <v>4</v>
      </c>
      <c r="E397">
        <v>5500</v>
      </c>
      <c r="F397">
        <v>80</v>
      </c>
      <c r="G397" t="b">
        <v>0</v>
      </c>
      <c r="H397">
        <v>80</v>
      </c>
      <c r="I397" t="s">
        <v>1743</v>
      </c>
    </row>
    <row r="398" spans="1:9" x14ac:dyDescent="0.25">
      <c r="A398" t="s">
        <v>468</v>
      </c>
      <c r="B398">
        <v>17000</v>
      </c>
      <c r="C398">
        <v>0</v>
      </c>
      <c r="D398">
        <v>5</v>
      </c>
      <c r="E398">
        <v>17000</v>
      </c>
      <c r="F398">
        <v>500</v>
      </c>
      <c r="G398" t="b">
        <v>0</v>
      </c>
      <c r="H398">
        <v>500</v>
      </c>
      <c r="I398" t="s">
        <v>1743</v>
      </c>
    </row>
    <row r="399" spans="1:9" x14ac:dyDescent="0.25">
      <c r="A399" t="s">
        <v>469</v>
      </c>
      <c r="B399">
        <v>22000</v>
      </c>
      <c r="C399">
        <v>50</v>
      </c>
      <c r="D399">
        <v>6</v>
      </c>
      <c r="E399">
        <v>11000</v>
      </c>
      <c r="F399">
        <v>200</v>
      </c>
      <c r="G399" t="b">
        <v>0</v>
      </c>
      <c r="H399">
        <v>200</v>
      </c>
      <c r="I399" t="s">
        <v>1743</v>
      </c>
    </row>
    <row r="400" spans="1:9" x14ac:dyDescent="0.25">
      <c r="A400" t="s">
        <v>470</v>
      </c>
      <c r="B400">
        <v>39900</v>
      </c>
      <c r="C400">
        <v>0</v>
      </c>
      <c r="D400">
        <v>6</v>
      </c>
      <c r="E400">
        <v>39900</v>
      </c>
      <c r="F400">
        <v>1000</v>
      </c>
      <c r="G400" t="b">
        <v>0</v>
      </c>
      <c r="H400">
        <v>1</v>
      </c>
      <c r="I400" t="s">
        <v>1743</v>
      </c>
    </row>
    <row r="401" spans="1:9" x14ac:dyDescent="0.25">
      <c r="A401" t="s">
        <v>471</v>
      </c>
      <c r="B401">
        <v>6600</v>
      </c>
      <c r="C401">
        <v>0</v>
      </c>
      <c r="D401">
        <v>6</v>
      </c>
      <c r="E401">
        <v>6600</v>
      </c>
      <c r="F401">
        <v>50</v>
      </c>
      <c r="G401" t="b">
        <v>0</v>
      </c>
      <c r="H401">
        <v>50</v>
      </c>
      <c r="I401" t="s">
        <v>1743</v>
      </c>
    </row>
    <row r="402" spans="1:9" x14ac:dyDescent="0.25">
      <c r="A402" t="s">
        <v>472</v>
      </c>
      <c r="B402">
        <v>9900</v>
      </c>
      <c r="C402">
        <v>0</v>
      </c>
      <c r="D402">
        <v>6</v>
      </c>
      <c r="E402">
        <v>9900</v>
      </c>
      <c r="F402">
        <v>100</v>
      </c>
      <c r="G402" t="b">
        <v>0</v>
      </c>
      <c r="H402">
        <v>100</v>
      </c>
      <c r="I402" t="s">
        <v>1743</v>
      </c>
    </row>
    <row r="403" spans="1:9" x14ac:dyDescent="0.25">
      <c r="A403" t="s">
        <v>473</v>
      </c>
      <c r="B403">
        <v>4000</v>
      </c>
      <c r="C403">
        <v>2</v>
      </c>
      <c r="D403">
        <v>6</v>
      </c>
      <c r="E403">
        <v>3900</v>
      </c>
      <c r="F403">
        <v>100</v>
      </c>
      <c r="G403" t="b">
        <v>0</v>
      </c>
      <c r="H403">
        <v>100</v>
      </c>
      <c r="I403" t="s">
        <v>1743</v>
      </c>
    </row>
    <row r="404" spans="1:9" x14ac:dyDescent="0.25">
      <c r="A404" t="s">
        <v>474</v>
      </c>
      <c r="B404">
        <v>17000</v>
      </c>
      <c r="C404">
        <v>6</v>
      </c>
      <c r="D404">
        <v>6</v>
      </c>
      <c r="E404">
        <v>15900</v>
      </c>
      <c r="F404">
        <v>270</v>
      </c>
      <c r="G404" t="b">
        <v>0</v>
      </c>
      <c r="H404">
        <v>270</v>
      </c>
      <c r="I404" t="s">
        <v>1743</v>
      </c>
    </row>
    <row r="405" spans="1:9" x14ac:dyDescent="0.25">
      <c r="A405" t="s">
        <v>475</v>
      </c>
      <c r="B405">
        <v>2500</v>
      </c>
      <c r="C405">
        <v>0</v>
      </c>
      <c r="D405">
        <v>1</v>
      </c>
      <c r="E405">
        <v>2500</v>
      </c>
      <c r="F405">
        <v>77</v>
      </c>
      <c r="G405" t="b">
        <v>0</v>
      </c>
      <c r="H405">
        <v>77</v>
      </c>
      <c r="I405" t="s">
        <v>1743</v>
      </c>
    </row>
    <row r="406" spans="1:9" x14ac:dyDescent="0.25">
      <c r="A406" t="s">
        <v>476</v>
      </c>
      <c r="B406">
        <v>11000</v>
      </c>
      <c r="C406">
        <v>6</v>
      </c>
      <c r="D406">
        <v>6</v>
      </c>
      <c r="E406">
        <v>10300</v>
      </c>
      <c r="F406">
        <v>500</v>
      </c>
      <c r="G406" t="b">
        <v>0</v>
      </c>
      <c r="H406">
        <v>500</v>
      </c>
      <c r="I406" t="s">
        <v>1743</v>
      </c>
    </row>
    <row r="407" spans="1:9" x14ac:dyDescent="0.25">
      <c r="A407" t="s">
        <v>385</v>
      </c>
      <c r="B407">
        <v>27000</v>
      </c>
      <c r="C407">
        <v>7</v>
      </c>
      <c r="D407">
        <v>6</v>
      </c>
      <c r="E407">
        <v>25100</v>
      </c>
      <c r="F407">
        <v>50</v>
      </c>
      <c r="G407" t="b">
        <v>0</v>
      </c>
      <c r="H407">
        <v>50</v>
      </c>
      <c r="I407" t="s">
        <v>1743</v>
      </c>
    </row>
    <row r="408" spans="1:9" x14ac:dyDescent="0.25">
      <c r="A408" t="s">
        <v>477</v>
      </c>
      <c r="B408">
        <v>29500</v>
      </c>
      <c r="C408">
        <v>0</v>
      </c>
      <c r="D408">
        <v>4</v>
      </c>
      <c r="E408">
        <v>29500</v>
      </c>
      <c r="F408">
        <v>500</v>
      </c>
      <c r="G408" t="b">
        <v>0</v>
      </c>
      <c r="H408">
        <v>500</v>
      </c>
      <c r="I408" t="s">
        <v>1743</v>
      </c>
    </row>
    <row r="409" spans="1:9" x14ac:dyDescent="0.25">
      <c r="A409" t="s">
        <v>478</v>
      </c>
      <c r="B409">
        <v>25000</v>
      </c>
      <c r="C409">
        <v>0</v>
      </c>
      <c r="D409">
        <v>5</v>
      </c>
      <c r="E409">
        <v>25000</v>
      </c>
      <c r="F409">
        <v>400</v>
      </c>
      <c r="G409" t="b">
        <v>0</v>
      </c>
      <c r="H409">
        <v>400</v>
      </c>
      <c r="I409" t="s">
        <v>1743</v>
      </c>
    </row>
    <row r="410" spans="1:9" x14ac:dyDescent="0.25">
      <c r="A410" t="s">
        <v>479</v>
      </c>
      <c r="B410">
        <v>49000</v>
      </c>
      <c r="C410">
        <v>11</v>
      </c>
      <c r="D410">
        <v>6</v>
      </c>
      <c r="E410">
        <v>43600</v>
      </c>
      <c r="F410">
        <v>2000</v>
      </c>
      <c r="G410" t="b">
        <v>0</v>
      </c>
      <c r="H410">
        <v>2</v>
      </c>
      <c r="I410" t="s">
        <v>1743</v>
      </c>
    </row>
    <row r="411" spans="1:9" x14ac:dyDescent="0.25">
      <c r="A411" t="s">
        <v>480</v>
      </c>
      <c r="B411">
        <v>14000</v>
      </c>
      <c r="C411">
        <v>0</v>
      </c>
      <c r="D411">
        <v>6</v>
      </c>
      <c r="E411">
        <v>14000</v>
      </c>
      <c r="F411">
        <v>500</v>
      </c>
      <c r="G411" t="b">
        <v>0</v>
      </c>
      <c r="H411">
        <v>500</v>
      </c>
      <c r="I411" t="s">
        <v>1743</v>
      </c>
    </row>
    <row r="412" spans="1:9" x14ac:dyDescent="0.25">
      <c r="A412" t="s">
        <v>285</v>
      </c>
      <c r="B412">
        <v>18500</v>
      </c>
      <c r="C412">
        <v>5</v>
      </c>
      <c r="D412">
        <v>3</v>
      </c>
      <c r="E412">
        <v>17500</v>
      </c>
      <c r="F412">
        <v>300</v>
      </c>
      <c r="G412" t="b">
        <v>0</v>
      </c>
      <c r="H412">
        <v>300</v>
      </c>
      <c r="I412" t="s">
        <v>1743</v>
      </c>
    </row>
    <row r="413" spans="1:9" x14ac:dyDescent="0.25">
      <c r="A413" t="s">
        <v>481</v>
      </c>
      <c r="B413">
        <v>25000</v>
      </c>
      <c r="C413">
        <v>14</v>
      </c>
      <c r="D413">
        <v>6</v>
      </c>
      <c r="E413">
        <v>21300</v>
      </c>
      <c r="F413">
        <v>410</v>
      </c>
      <c r="G413" t="b">
        <v>0</v>
      </c>
      <c r="H413">
        <v>410</v>
      </c>
      <c r="I413" t="s">
        <v>1743</v>
      </c>
    </row>
    <row r="414" spans="1:9" x14ac:dyDescent="0.25">
      <c r="A414" t="s">
        <v>482</v>
      </c>
      <c r="B414">
        <v>17500</v>
      </c>
      <c r="C414">
        <v>10</v>
      </c>
      <c r="D414">
        <v>6</v>
      </c>
      <c r="E414">
        <v>15600</v>
      </c>
      <c r="F414">
        <v>225</v>
      </c>
      <c r="G414" t="b">
        <v>0</v>
      </c>
      <c r="H414">
        <v>225</v>
      </c>
      <c r="I414" t="s">
        <v>1743</v>
      </c>
    </row>
    <row r="415" spans="1:9" x14ac:dyDescent="0.25">
      <c r="A415" t="s">
        <v>483</v>
      </c>
      <c r="B415">
        <v>20000</v>
      </c>
      <c r="C415">
        <v>0</v>
      </c>
      <c r="D415">
        <v>6</v>
      </c>
      <c r="E415">
        <v>20000</v>
      </c>
      <c r="F415">
        <v>450</v>
      </c>
      <c r="G415" t="b">
        <v>0</v>
      </c>
      <c r="H415">
        <v>450</v>
      </c>
      <c r="I415" t="s">
        <v>1743</v>
      </c>
    </row>
    <row r="416" spans="1:9" x14ac:dyDescent="0.25">
      <c r="A416" t="s">
        <v>484</v>
      </c>
      <c r="B416">
        <v>8000</v>
      </c>
      <c r="C416">
        <v>0</v>
      </c>
      <c r="D416">
        <v>6</v>
      </c>
      <c r="E416">
        <v>8000</v>
      </c>
      <c r="F416">
        <v>100</v>
      </c>
      <c r="G416" t="b">
        <v>0</v>
      </c>
      <c r="H416">
        <v>100</v>
      </c>
      <c r="I416" t="s">
        <v>1743</v>
      </c>
    </row>
    <row r="417" spans="1:9" x14ac:dyDescent="0.25">
      <c r="A417" t="s">
        <v>485</v>
      </c>
      <c r="B417">
        <v>6600</v>
      </c>
      <c r="C417">
        <v>0</v>
      </c>
      <c r="D417">
        <v>6</v>
      </c>
      <c r="E417">
        <v>6600</v>
      </c>
      <c r="F417">
        <v>50</v>
      </c>
      <c r="G417" t="b">
        <v>0</v>
      </c>
      <c r="H417">
        <v>50</v>
      </c>
      <c r="I417" t="s">
        <v>1743</v>
      </c>
    </row>
    <row r="418" spans="1:9" x14ac:dyDescent="0.25">
      <c r="A418" t="s">
        <v>486</v>
      </c>
      <c r="B418">
        <v>13500</v>
      </c>
      <c r="C418">
        <v>0</v>
      </c>
      <c r="D418">
        <v>6</v>
      </c>
      <c r="E418">
        <v>13500</v>
      </c>
      <c r="F418">
        <v>500</v>
      </c>
      <c r="G418" t="b">
        <v>0</v>
      </c>
      <c r="H418">
        <v>500</v>
      </c>
      <c r="I418" t="s">
        <v>1743</v>
      </c>
    </row>
    <row r="419" spans="1:9" x14ac:dyDescent="0.25">
      <c r="A419" t="s">
        <v>362</v>
      </c>
      <c r="B419">
        <v>19900</v>
      </c>
      <c r="C419">
        <v>10</v>
      </c>
      <c r="D419">
        <v>6</v>
      </c>
      <c r="E419">
        <v>17900</v>
      </c>
      <c r="F419">
        <v>240</v>
      </c>
      <c r="G419" t="b">
        <v>0</v>
      </c>
      <c r="H419">
        <v>240</v>
      </c>
      <c r="I419" t="s">
        <v>1743</v>
      </c>
    </row>
    <row r="420" spans="1:9" x14ac:dyDescent="0.25">
      <c r="A420" t="s">
        <v>221</v>
      </c>
      <c r="B420">
        <v>105000</v>
      </c>
      <c r="C420">
        <v>0</v>
      </c>
      <c r="D420">
        <v>2</v>
      </c>
      <c r="E420">
        <v>105000</v>
      </c>
      <c r="F420">
        <v>5000</v>
      </c>
      <c r="G420" t="b">
        <v>0</v>
      </c>
      <c r="H420">
        <v>5</v>
      </c>
      <c r="I420" t="s">
        <v>1743</v>
      </c>
    </row>
    <row r="421" spans="1:9" x14ac:dyDescent="0.25">
      <c r="A421" t="s">
        <v>487</v>
      </c>
      <c r="B421">
        <v>47500</v>
      </c>
      <c r="C421">
        <v>10</v>
      </c>
      <c r="D421">
        <v>6</v>
      </c>
      <c r="E421">
        <v>42300</v>
      </c>
      <c r="F421">
        <v>5000</v>
      </c>
      <c r="G421" t="b">
        <v>0</v>
      </c>
      <c r="H421">
        <v>5</v>
      </c>
      <c r="I421" t="s">
        <v>1743</v>
      </c>
    </row>
    <row r="422" spans="1:9" x14ac:dyDescent="0.25">
      <c r="A422" t="s">
        <v>488</v>
      </c>
      <c r="B422">
        <v>13000</v>
      </c>
      <c r="C422">
        <v>7</v>
      </c>
      <c r="D422">
        <v>6</v>
      </c>
      <c r="E422">
        <v>12000</v>
      </c>
      <c r="F422">
        <v>500</v>
      </c>
      <c r="G422" t="b">
        <v>0</v>
      </c>
      <c r="H422">
        <v>500</v>
      </c>
      <c r="I422" t="s">
        <v>1743</v>
      </c>
    </row>
    <row r="423" spans="1:9" x14ac:dyDescent="0.25">
      <c r="A423" t="s">
        <v>489</v>
      </c>
      <c r="B423">
        <v>7000</v>
      </c>
      <c r="C423">
        <v>0</v>
      </c>
      <c r="D423">
        <v>6</v>
      </c>
      <c r="E423">
        <v>7000</v>
      </c>
      <c r="F423">
        <v>100</v>
      </c>
      <c r="G423" t="b">
        <v>0</v>
      </c>
      <c r="H423">
        <v>100</v>
      </c>
      <c r="I423" t="s">
        <v>1743</v>
      </c>
    </row>
    <row r="424" spans="1:9" x14ac:dyDescent="0.25">
      <c r="A424" t="s">
        <v>490</v>
      </c>
      <c r="B424">
        <v>10000</v>
      </c>
      <c r="C424">
        <v>11</v>
      </c>
      <c r="D424">
        <v>6</v>
      </c>
      <c r="E424">
        <v>8900</v>
      </c>
      <c r="F424">
        <v>500</v>
      </c>
      <c r="G424" t="b">
        <v>0</v>
      </c>
      <c r="H424">
        <v>500</v>
      </c>
      <c r="I424" t="s">
        <v>1743</v>
      </c>
    </row>
    <row r="425" spans="1:9" x14ac:dyDescent="0.25">
      <c r="A425" t="s">
        <v>491</v>
      </c>
      <c r="B425">
        <v>29500</v>
      </c>
      <c r="C425">
        <v>0</v>
      </c>
      <c r="D425">
        <v>6</v>
      </c>
      <c r="E425">
        <v>29500</v>
      </c>
      <c r="F425">
        <v>475</v>
      </c>
      <c r="G425" t="b">
        <v>0</v>
      </c>
      <c r="H425">
        <v>475</v>
      </c>
      <c r="I425" t="s">
        <v>1743</v>
      </c>
    </row>
    <row r="426" spans="1:9" x14ac:dyDescent="0.25">
      <c r="A426" t="s">
        <v>492</v>
      </c>
      <c r="B426">
        <v>260000</v>
      </c>
      <c r="C426">
        <v>46</v>
      </c>
      <c r="D426">
        <v>6</v>
      </c>
      <c r="E426">
        <v>139900</v>
      </c>
      <c r="F426">
        <v>2000</v>
      </c>
      <c r="G426" t="b">
        <v>0</v>
      </c>
      <c r="H426">
        <v>2</v>
      </c>
      <c r="I426" t="s">
        <v>1743</v>
      </c>
    </row>
    <row r="427" spans="1:9" x14ac:dyDescent="0.25">
      <c r="A427" t="s">
        <v>493</v>
      </c>
      <c r="B427">
        <v>6000</v>
      </c>
      <c r="C427">
        <v>0</v>
      </c>
      <c r="D427">
        <v>6</v>
      </c>
      <c r="E427">
        <v>6000</v>
      </c>
      <c r="F427">
        <v>20</v>
      </c>
      <c r="G427" t="b">
        <v>0</v>
      </c>
      <c r="H427">
        <v>20</v>
      </c>
      <c r="I427" t="s">
        <v>1743</v>
      </c>
    </row>
    <row r="428" spans="1:9" x14ac:dyDescent="0.25">
      <c r="A428" t="s">
        <v>494</v>
      </c>
      <c r="B428">
        <v>9500</v>
      </c>
      <c r="C428">
        <v>0</v>
      </c>
      <c r="D428">
        <v>6</v>
      </c>
      <c r="E428">
        <v>9500</v>
      </c>
      <c r="F428">
        <v>100</v>
      </c>
      <c r="G428" t="b">
        <v>0</v>
      </c>
      <c r="H428">
        <v>100</v>
      </c>
      <c r="I428" t="s">
        <v>1743</v>
      </c>
    </row>
    <row r="429" spans="1:9" x14ac:dyDescent="0.25">
      <c r="A429" t="s">
        <v>495</v>
      </c>
      <c r="B429">
        <v>70000</v>
      </c>
      <c r="C429">
        <v>10</v>
      </c>
      <c r="D429">
        <v>3</v>
      </c>
      <c r="E429">
        <v>63000</v>
      </c>
      <c r="F429">
        <v>5000</v>
      </c>
      <c r="G429" t="b">
        <v>0</v>
      </c>
      <c r="H429">
        <v>5</v>
      </c>
      <c r="I429" t="s">
        <v>1743</v>
      </c>
    </row>
    <row r="430" spans="1:9" x14ac:dyDescent="0.25">
      <c r="A430" t="s">
        <v>496</v>
      </c>
      <c r="B430">
        <v>5000</v>
      </c>
      <c r="C430">
        <v>0</v>
      </c>
      <c r="D430">
        <v>6</v>
      </c>
      <c r="E430">
        <v>5000</v>
      </c>
      <c r="F430">
        <v>20</v>
      </c>
      <c r="G430" t="b">
        <v>0</v>
      </c>
      <c r="H430">
        <v>20</v>
      </c>
      <c r="I430" t="s">
        <v>1743</v>
      </c>
    </row>
    <row r="431" spans="1:9" x14ac:dyDescent="0.25">
      <c r="A431" t="s">
        <v>497</v>
      </c>
      <c r="B431">
        <v>20000</v>
      </c>
      <c r="C431">
        <v>0</v>
      </c>
      <c r="D431">
        <v>1</v>
      </c>
      <c r="E431">
        <v>20000</v>
      </c>
      <c r="F431">
        <v>500</v>
      </c>
      <c r="G431" t="b">
        <v>0</v>
      </c>
      <c r="H431">
        <v>500</v>
      </c>
      <c r="I431" t="s">
        <v>1743</v>
      </c>
    </row>
    <row r="432" spans="1:9" x14ac:dyDescent="0.25">
      <c r="A432" t="s">
        <v>498</v>
      </c>
      <c r="B432">
        <v>9900</v>
      </c>
      <c r="C432">
        <v>0</v>
      </c>
      <c r="D432">
        <v>6</v>
      </c>
      <c r="E432">
        <v>9900</v>
      </c>
      <c r="F432">
        <v>30</v>
      </c>
      <c r="G432" t="b">
        <v>0</v>
      </c>
      <c r="H432">
        <v>30</v>
      </c>
      <c r="I432" t="s">
        <v>1743</v>
      </c>
    </row>
    <row r="433" spans="1:9" x14ac:dyDescent="0.25">
      <c r="A433" t="s">
        <v>499</v>
      </c>
      <c r="B433">
        <v>7000</v>
      </c>
      <c r="C433">
        <v>0</v>
      </c>
      <c r="D433">
        <v>6</v>
      </c>
      <c r="E433">
        <v>7000</v>
      </c>
      <c r="F433">
        <v>500</v>
      </c>
      <c r="G433" t="b">
        <v>0</v>
      </c>
      <c r="H433">
        <v>500</v>
      </c>
      <c r="I433" t="s">
        <v>1743</v>
      </c>
    </row>
    <row r="434" spans="1:9" x14ac:dyDescent="0.25">
      <c r="A434" t="s">
        <v>500</v>
      </c>
      <c r="B434">
        <v>9900</v>
      </c>
      <c r="C434">
        <v>0</v>
      </c>
      <c r="D434">
        <v>6</v>
      </c>
      <c r="E434">
        <v>9900</v>
      </c>
      <c r="F434">
        <v>28</v>
      </c>
      <c r="G434" t="b">
        <v>0</v>
      </c>
      <c r="H434">
        <v>28</v>
      </c>
      <c r="I434" t="s">
        <v>1743</v>
      </c>
    </row>
    <row r="435" spans="1:9" x14ac:dyDescent="0.25">
      <c r="A435" t="s">
        <v>501</v>
      </c>
      <c r="B435">
        <v>12000</v>
      </c>
      <c r="C435">
        <v>30</v>
      </c>
      <c r="D435">
        <v>4</v>
      </c>
      <c r="E435">
        <v>8400</v>
      </c>
      <c r="F435">
        <v>285</v>
      </c>
      <c r="G435" t="b">
        <v>0</v>
      </c>
      <c r="H435">
        <v>285</v>
      </c>
      <c r="I435" t="s">
        <v>1743</v>
      </c>
    </row>
    <row r="436" spans="1:9" x14ac:dyDescent="0.25">
      <c r="A436" t="s">
        <v>502</v>
      </c>
      <c r="B436">
        <v>29500</v>
      </c>
      <c r="C436">
        <v>0</v>
      </c>
      <c r="D436">
        <v>6</v>
      </c>
      <c r="E436">
        <v>29500</v>
      </c>
      <c r="F436">
        <v>500</v>
      </c>
      <c r="G436" t="b">
        <v>0</v>
      </c>
      <c r="H436">
        <v>500</v>
      </c>
      <c r="I436" t="s">
        <v>1743</v>
      </c>
    </row>
    <row r="437" spans="1:9" x14ac:dyDescent="0.25">
      <c r="A437" t="s">
        <v>503</v>
      </c>
      <c r="B437">
        <v>9500</v>
      </c>
      <c r="C437">
        <v>0</v>
      </c>
      <c r="D437">
        <v>6</v>
      </c>
      <c r="E437">
        <v>9500</v>
      </c>
      <c r="F437">
        <v>150</v>
      </c>
      <c r="G437" t="b">
        <v>0</v>
      </c>
      <c r="H437">
        <v>150</v>
      </c>
      <c r="I437" t="s">
        <v>1743</v>
      </c>
    </row>
    <row r="438" spans="1:9" x14ac:dyDescent="0.25">
      <c r="A438" t="s">
        <v>504</v>
      </c>
      <c r="B438">
        <v>16500</v>
      </c>
      <c r="C438">
        <v>10</v>
      </c>
      <c r="D438">
        <v>6</v>
      </c>
      <c r="E438">
        <v>14700</v>
      </c>
      <c r="F438">
        <v>1000</v>
      </c>
      <c r="G438" t="b">
        <v>0</v>
      </c>
      <c r="H438">
        <v>1</v>
      </c>
      <c r="I438" t="s">
        <v>1743</v>
      </c>
    </row>
    <row r="439" spans="1:9" x14ac:dyDescent="0.25">
      <c r="A439" t="s">
        <v>505</v>
      </c>
      <c r="B439">
        <v>29500</v>
      </c>
      <c r="C439">
        <v>0</v>
      </c>
      <c r="D439">
        <v>6</v>
      </c>
      <c r="E439">
        <v>29500</v>
      </c>
      <c r="F439">
        <v>500</v>
      </c>
      <c r="G439" t="b">
        <v>0</v>
      </c>
      <c r="H439">
        <v>500</v>
      </c>
      <c r="I439" t="s">
        <v>1743</v>
      </c>
    </row>
    <row r="440" spans="1:9" x14ac:dyDescent="0.25">
      <c r="A440" t="s">
        <v>506</v>
      </c>
      <c r="B440">
        <v>7500</v>
      </c>
      <c r="C440">
        <v>0</v>
      </c>
      <c r="D440">
        <v>2</v>
      </c>
      <c r="E440">
        <v>7500</v>
      </c>
      <c r="F440">
        <v>100</v>
      </c>
      <c r="G440" t="b">
        <v>0</v>
      </c>
      <c r="H440">
        <v>100</v>
      </c>
      <c r="I440" t="s">
        <v>1743</v>
      </c>
    </row>
    <row r="441" spans="1:9" x14ac:dyDescent="0.25">
      <c r="A441" t="s">
        <v>507</v>
      </c>
      <c r="B441">
        <v>9900</v>
      </c>
      <c r="C441">
        <v>0</v>
      </c>
      <c r="D441">
        <v>6</v>
      </c>
      <c r="E441">
        <v>9900</v>
      </c>
      <c r="F441">
        <v>75</v>
      </c>
      <c r="G441" t="b">
        <v>0</v>
      </c>
      <c r="H441">
        <v>75</v>
      </c>
      <c r="I441" t="s">
        <v>1743</v>
      </c>
    </row>
    <row r="442" spans="1:9" x14ac:dyDescent="0.25">
      <c r="A442" t="s">
        <v>508</v>
      </c>
      <c r="B442">
        <v>8900</v>
      </c>
      <c r="C442">
        <v>10</v>
      </c>
      <c r="D442">
        <v>6</v>
      </c>
      <c r="E442">
        <v>8000</v>
      </c>
      <c r="F442">
        <v>100</v>
      </c>
      <c r="G442" t="b">
        <v>0</v>
      </c>
      <c r="H442">
        <v>100</v>
      </c>
      <c r="I442" t="s">
        <v>1743</v>
      </c>
    </row>
    <row r="443" spans="1:9" x14ac:dyDescent="0.25">
      <c r="A443" t="s">
        <v>509</v>
      </c>
      <c r="B443">
        <v>4500</v>
      </c>
      <c r="C443">
        <v>2</v>
      </c>
      <c r="D443">
        <v>6</v>
      </c>
      <c r="E443">
        <v>4400</v>
      </c>
      <c r="F443">
        <v>90</v>
      </c>
      <c r="G443" t="b">
        <v>0</v>
      </c>
      <c r="H443">
        <v>90</v>
      </c>
      <c r="I443" t="s">
        <v>1743</v>
      </c>
    </row>
    <row r="444" spans="1:9" x14ac:dyDescent="0.25">
      <c r="A444" t="s">
        <v>510</v>
      </c>
      <c r="B444">
        <v>19000</v>
      </c>
      <c r="C444">
        <v>11</v>
      </c>
      <c r="D444">
        <v>6</v>
      </c>
      <c r="E444">
        <v>16900</v>
      </c>
      <c r="F444">
        <v>500</v>
      </c>
      <c r="G444" t="b">
        <v>0</v>
      </c>
      <c r="H444">
        <v>500</v>
      </c>
      <c r="I444" t="s">
        <v>1743</v>
      </c>
    </row>
    <row r="445" spans="1:9" x14ac:dyDescent="0.25">
      <c r="A445" t="s">
        <v>511</v>
      </c>
      <c r="B445">
        <v>8900</v>
      </c>
      <c r="C445">
        <v>0</v>
      </c>
      <c r="D445">
        <v>6</v>
      </c>
      <c r="E445">
        <v>8900</v>
      </c>
      <c r="F445">
        <v>100</v>
      </c>
      <c r="G445" t="b">
        <v>0</v>
      </c>
      <c r="H445">
        <v>100</v>
      </c>
      <c r="I445" t="s">
        <v>1743</v>
      </c>
    </row>
    <row r="446" spans="1:9" x14ac:dyDescent="0.25">
      <c r="A446" t="s">
        <v>512</v>
      </c>
      <c r="B446">
        <v>39900</v>
      </c>
      <c r="C446">
        <v>20</v>
      </c>
      <c r="D446">
        <v>6</v>
      </c>
      <c r="E446">
        <v>31900</v>
      </c>
      <c r="F446">
        <v>200</v>
      </c>
      <c r="G446" t="b">
        <v>0</v>
      </c>
      <c r="H446">
        <v>200</v>
      </c>
      <c r="I446" t="s">
        <v>1743</v>
      </c>
    </row>
    <row r="447" spans="1:9" x14ac:dyDescent="0.25">
      <c r="A447" t="s">
        <v>417</v>
      </c>
      <c r="B447">
        <v>20500</v>
      </c>
      <c r="C447">
        <v>0</v>
      </c>
      <c r="D447">
        <v>6</v>
      </c>
      <c r="E447">
        <v>20500</v>
      </c>
      <c r="F447">
        <v>50</v>
      </c>
      <c r="G447" t="b">
        <v>0</v>
      </c>
      <c r="H447">
        <v>20</v>
      </c>
      <c r="I447" t="s">
        <v>1743</v>
      </c>
    </row>
    <row r="448" spans="1:9" x14ac:dyDescent="0.25">
      <c r="A448" t="s">
        <v>513</v>
      </c>
      <c r="B448">
        <v>13900</v>
      </c>
      <c r="C448">
        <v>10</v>
      </c>
      <c r="D448">
        <v>6</v>
      </c>
      <c r="E448">
        <v>12500</v>
      </c>
      <c r="F448">
        <v>100</v>
      </c>
      <c r="G448" t="b">
        <v>0</v>
      </c>
      <c r="H448">
        <v>100</v>
      </c>
      <c r="I448" t="s">
        <v>1743</v>
      </c>
    </row>
    <row r="449" spans="1:9" x14ac:dyDescent="0.25">
      <c r="A449" t="s">
        <v>514</v>
      </c>
      <c r="B449">
        <v>4500</v>
      </c>
      <c r="C449">
        <v>0</v>
      </c>
      <c r="D449">
        <v>4</v>
      </c>
      <c r="E449">
        <v>4500</v>
      </c>
      <c r="F449">
        <v>80</v>
      </c>
      <c r="G449" t="b">
        <v>0</v>
      </c>
      <c r="H449">
        <v>80</v>
      </c>
      <c r="I449" t="s">
        <v>1743</v>
      </c>
    </row>
    <row r="450" spans="1:9" x14ac:dyDescent="0.25">
      <c r="A450" t="s">
        <v>515</v>
      </c>
      <c r="B450">
        <v>13900</v>
      </c>
      <c r="C450">
        <v>0</v>
      </c>
      <c r="D450">
        <v>6</v>
      </c>
      <c r="E450">
        <v>13900</v>
      </c>
      <c r="F450">
        <v>45</v>
      </c>
      <c r="G450" t="b">
        <v>0</v>
      </c>
      <c r="H450">
        <v>45</v>
      </c>
      <c r="I450" t="s">
        <v>1743</v>
      </c>
    </row>
    <row r="451" spans="1:9" x14ac:dyDescent="0.25">
      <c r="A451" t="s">
        <v>516</v>
      </c>
      <c r="B451">
        <v>32500</v>
      </c>
      <c r="C451">
        <v>8</v>
      </c>
      <c r="D451">
        <v>1</v>
      </c>
      <c r="E451">
        <v>29900</v>
      </c>
      <c r="F451">
        <v>200</v>
      </c>
      <c r="G451" t="b">
        <v>0</v>
      </c>
      <c r="H451">
        <v>200</v>
      </c>
      <c r="I451" t="s">
        <v>1743</v>
      </c>
    </row>
    <row r="452" spans="1:9" x14ac:dyDescent="0.25">
      <c r="A452" t="s">
        <v>517</v>
      </c>
      <c r="B452">
        <v>6000</v>
      </c>
      <c r="C452">
        <v>6</v>
      </c>
      <c r="D452">
        <v>0</v>
      </c>
      <c r="E452">
        <v>5600</v>
      </c>
      <c r="F452">
        <v>1000</v>
      </c>
      <c r="G452" t="b">
        <v>1</v>
      </c>
      <c r="H452">
        <v>1</v>
      </c>
      <c r="I452" t="s">
        <v>1743</v>
      </c>
    </row>
    <row r="453" spans="1:9" x14ac:dyDescent="0.25">
      <c r="A453" t="s">
        <v>113</v>
      </c>
      <c r="B453">
        <v>6300</v>
      </c>
      <c r="C453">
        <v>0</v>
      </c>
      <c r="D453">
        <v>0</v>
      </c>
      <c r="E453">
        <v>6300</v>
      </c>
      <c r="F453">
        <v>250</v>
      </c>
      <c r="G453" t="b">
        <v>1</v>
      </c>
      <c r="H453">
        <v>250</v>
      </c>
      <c r="I453" t="s">
        <v>1743</v>
      </c>
    </row>
    <row r="454" spans="1:9" x14ac:dyDescent="0.25">
      <c r="A454" t="s">
        <v>518</v>
      </c>
      <c r="B454">
        <v>29500</v>
      </c>
      <c r="C454">
        <v>9</v>
      </c>
      <c r="D454">
        <v>0</v>
      </c>
      <c r="E454">
        <v>26600</v>
      </c>
      <c r="F454">
        <v>5000</v>
      </c>
      <c r="G454" t="b">
        <v>1</v>
      </c>
      <c r="H454">
        <v>5</v>
      </c>
      <c r="I454" t="s">
        <v>1743</v>
      </c>
    </row>
    <row r="455" spans="1:9" x14ac:dyDescent="0.25">
      <c r="A455" t="s">
        <v>519</v>
      </c>
      <c r="B455">
        <v>3500</v>
      </c>
      <c r="C455">
        <v>8</v>
      </c>
      <c r="D455">
        <v>0</v>
      </c>
      <c r="E455">
        <v>3200</v>
      </c>
      <c r="F455">
        <v>500</v>
      </c>
      <c r="G455" t="b">
        <v>1</v>
      </c>
      <c r="H455">
        <v>500</v>
      </c>
      <c r="I455" t="s">
        <v>1743</v>
      </c>
    </row>
    <row r="456" spans="1:9" x14ac:dyDescent="0.25">
      <c r="A456" t="s">
        <v>520</v>
      </c>
      <c r="B456">
        <v>5300</v>
      </c>
      <c r="C456">
        <v>1</v>
      </c>
      <c r="D456">
        <v>0</v>
      </c>
      <c r="E456">
        <v>5200</v>
      </c>
      <c r="F456">
        <v>1000</v>
      </c>
      <c r="G456" t="b">
        <v>1</v>
      </c>
      <c r="H456">
        <v>1</v>
      </c>
      <c r="I456" t="s">
        <v>1743</v>
      </c>
    </row>
    <row r="457" spans="1:9" x14ac:dyDescent="0.25">
      <c r="A457" t="s">
        <v>116</v>
      </c>
      <c r="B457">
        <v>21000</v>
      </c>
      <c r="C457">
        <v>13</v>
      </c>
      <c r="D457">
        <v>0</v>
      </c>
      <c r="E457">
        <v>18100</v>
      </c>
      <c r="F457">
        <v>1000</v>
      </c>
      <c r="G457" t="b">
        <v>1</v>
      </c>
      <c r="H457">
        <v>1</v>
      </c>
      <c r="I457" t="s">
        <v>1743</v>
      </c>
    </row>
    <row r="458" spans="1:9" x14ac:dyDescent="0.25">
      <c r="A458" t="s">
        <v>521</v>
      </c>
      <c r="B458">
        <v>5800</v>
      </c>
      <c r="C458">
        <v>6</v>
      </c>
      <c r="D458">
        <v>0</v>
      </c>
      <c r="E458">
        <v>5400</v>
      </c>
      <c r="F458">
        <v>72</v>
      </c>
      <c r="G458" t="b">
        <v>1</v>
      </c>
      <c r="H458">
        <v>72</v>
      </c>
      <c r="I458" t="s">
        <v>1743</v>
      </c>
    </row>
    <row r="459" spans="1:9" x14ac:dyDescent="0.25">
      <c r="A459" t="s">
        <v>522</v>
      </c>
      <c r="B459">
        <v>2200</v>
      </c>
      <c r="C459">
        <v>13</v>
      </c>
      <c r="D459">
        <v>0</v>
      </c>
      <c r="E459">
        <v>1900</v>
      </c>
      <c r="F459">
        <v>1000</v>
      </c>
      <c r="G459" t="b">
        <v>1</v>
      </c>
      <c r="H459">
        <v>1</v>
      </c>
      <c r="I459" t="s">
        <v>1743</v>
      </c>
    </row>
    <row r="460" spans="1:9" x14ac:dyDescent="0.25">
      <c r="A460" t="s">
        <v>523</v>
      </c>
      <c r="B460">
        <v>4400</v>
      </c>
      <c r="C460">
        <v>0</v>
      </c>
      <c r="D460">
        <v>0</v>
      </c>
      <c r="E460">
        <v>4400</v>
      </c>
      <c r="F460">
        <v>280</v>
      </c>
      <c r="G460" t="b">
        <v>1</v>
      </c>
      <c r="H460">
        <v>280</v>
      </c>
      <c r="I460" t="s">
        <v>1743</v>
      </c>
    </row>
    <row r="461" spans="1:9" x14ac:dyDescent="0.25">
      <c r="A461" t="s">
        <v>524</v>
      </c>
      <c r="B461">
        <v>15000</v>
      </c>
      <c r="C461">
        <v>14</v>
      </c>
      <c r="D461">
        <v>0</v>
      </c>
      <c r="E461">
        <v>12800</v>
      </c>
      <c r="F461">
        <v>100</v>
      </c>
      <c r="G461" t="b">
        <v>1</v>
      </c>
      <c r="H461">
        <v>100</v>
      </c>
      <c r="I461" t="s">
        <v>1743</v>
      </c>
    </row>
    <row r="462" spans="1:9" x14ac:dyDescent="0.25">
      <c r="A462" t="s">
        <v>525</v>
      </c>
      <c r="B462">
        <v>31500</v>
      </c>
      <c r="C462">
        <v>8</v>
      </c>
      <c r="D462">
        <v>0</v>
      </c>
      <c r="E462">
        <v>28700</v>
      </c>
      <c r="F462">
        <v>5000</v>
      </c>
      <c r="G462" t="b">
        <v>1</v>
      </c>
      <c r="H462">
        <v>5</v>
      </c>
      <c r="I462" t="s">
        <v>1743</v>
      </c>
    </row>
    <row r="463" spans="1:9" x14ac:dyDescent="0.25">
      <c r="A463" t="s">
        <v>526</v>
      </c>
      <c r="B463">
        <v>4400</v>
      </c>
      <c r="C463">
        <v>6</v>
      </c>
      <c r="D463">
        <v>0</v>
      </c>
      <c r="E463">
        <v>4100</v>
      </c>
      <c r="F463">
        <v>500</v>
      </c>
      <c r="G463" t="b">
        <v>1</v>
      </c>
      <c r="H463">
        <v>500</v>
      </c>
      <c r="I463" t="s">
        <v>1743</v>
      </c>
    </row>
    <row r="464" spans="1:9" x14ac:dyDescent="0.25">
      <c r="A464" t="s">
        <v>527</v>
      </c>
      <c r="B464">
        <v>12000</v>
      </c>
      <c r="C464">
        <v>0</v>
      </c>
      <c r="D464">
        <v>0</v>
      </c>
      <c r="E464">
        <v>12000</v>
      </c>
      <c r="F464">
        <v>1000</v>
      </c>
      <c r="G464" t="b">
        <v>1</v>
      </c>
      <c r="H464">
        <v>1</v>
      </c>
      <c r="I464" t="s">
        <v>1743</v>
      </c>
    </row>
    <row r="465" spans="1:9" x14ac:dyDescent="0.25">
      <c r="A465" t="s">
        <v>111</v>
      </c>
      <c r="B465">
        <v>8000</v>
      </c>
      <c r="C465">
        <v>7</v>
      </c>
      <c r="D465">
        <v>0</v>
      </c>
      <c r="E465">
        <v>7400</v>
      </c>
      <c r="F465">
        <v>500</v>
      </c>
      <c r="G465" t="b">
        <v>1</v>
      </c>
      <c r="H465">
        <v>500</v>
      </c>
      <c r="I465" t="s">
        <v>1743</v>
      </c>
    </row>
    <row r="466" spans="1:9" x14ac:dyDescent="0.25">
      <c r="A466" t="s">
        <v>528</v>
      </c>
      <c r="B466">
        <v>4700</v>
      </c>
      <c r="C466">
        <v>2</v>
      </c>
      <c r="D466">
        <v>0</v>
      </c>
      <c r="E466">
        <v>4600</v>
      </c>
      <c r="F466">
        <v>100</v>
      </c>
      <c r="G466" t="b">
        <v>1</v>
      </c>
      <c r="H466">
        <v>100</v>
      </c>
      <c r="I466" t="s">
        <v>1743</v>
      </c>
    </row>
    <row r="467" spans="1:9" x14ac:dyDescent="0.25">
      <c r="A467" t="s">
        <v>529</v>
      </c>
      <c r="B467">
        <v>5000</v>
      </c>
      <c r="C467">
        <v>2</v>
      </c>
      <c r="D467">
        <v>0</v>
      </c>
      <c r="E467">
        <v>4900</v>
      </c>
      <c r="F467">
        <v>100</v>
      </c>
      <c r="G467" t="b">
        <v>1</v>
      </c>
      <c r="H467">
        <v>100</v>
      </c>
      <c r="I467" t="s">
        <v>1743</v>
      </c>
    </row>
    <row r="468" spans="1:9" x14ac:dyDescent="0.25">
      <c r="A468" t="s">
        <v>530</v>
      </c>
      <c r="B468">
        <v>17900</v>
      </c>
      <c r="C468">
        <v>1</v>
      </c>
      <c r="D468">
        <v>0</v>
      </c>
      <c r="E468">
        <v>17700</v>
      </c>
      <c r="F468">
        <v>1000</v>
      </c>
      <c r="G468" t="b">
        <v>1</v>
      </c>
      <c r="H468">
        <v>200</v>
      </c>
      <c r="I468" t="s">
        <v>1743</v>
      </c>
    </row>
    <row r="469" spans="1:9" x14ac:dyDescent="0.25">
      <c r="A469" t="s">
        <v>531</v>
      </c>
      <c r="B469">
        <v>3200</v>
      </c>
      <c r="C469">
        <v>3</v>
      </c>
      <c r="D469">
        <v>0</v>
      </c>
      <c r="E469">
        <v>3100</v>
      </c>
      <c r="F469">
        <v>100</v>
      </c>
      <c r="G469" t="b">
        <v>1</v>
      </c>
      <c r="H469">
        <v>100</v>
      </c>
      <c r="I469" t="s">
        <v>1743</v>
      </c>
    </row>
    <row r="470" spans="1:9" x14ac:dyDescent="0.25">
      <c r="A470" t="s">
        <v>532</v>
      </c>
      <c r="B470">
        <v>3800</v>
      </c>
      <c r="C470">
        <v>7</v>
      </c>
      <c r="D470">
        <v>0</v>
      </c>
      <c r="E470">
        <v>3500</v>
      </c>
      <c r="F470">
        <v>500</v>
      </c>
      <c r="G470" t="b">
        <v>1</v>
      </c>
      <c r="H470">
        <v>500</v>
      </c>
      <c r="I470" t="s">
        <v>1743</v>
      </c>
    </row>
    <row r="471" spans="1:9" x14ac:dyDescent="0.25">
      <c r="A471" t="s">
        <v>533</v>
      </c>
      <c r="B471">
        <v>7500</v>
      </c>
      <c r="C471">
        <v>0</v>
      </c>
      <c r="D471">
        <v>0</v>
      </c>
      <c r="E471">
        <v>7500</v>
      </c>
      <c r="F471">
        <v>1000</v>
      </c>
      <c r="G471" t="b">
        <v>1</v>
      </c>
      <c r="H471">
        <v>1</v>
      </c>
      <c r="I471" t="s">
        <v>1743</v>
      </c>
    </row>
    <row r="472" spans="1:9" x14ac:dyDescent="0.25">
      <c r="A472" t="s">
        <v>534</v>
      </c>
      <c r="B472">
        <v>6400</v>
      </c>
      <c r="C472">
        <v>0</v>
      </c>
      <c r="D472">
        <v>0</v>
      </c>
      <c r="E472">
        <v>6400</v>
      </c>
      <c r="F472">
        <v>500</v>
      </c>
      <c r="G472" t="b">
        <v>1</v>
      </c>
      <c r="H472">
        <v>500</v>
      </c>
      <c r="I472" t="s">
        <v>1743</v>
      </c>
    </row>
    <row r="473" spans="1:9" x14ac:dyDescent="0.25">
      <c r="A473" t="s">
        <v>535</v>
      </c>
      <c r="B473">
        <v>11900</v>
      </c>
      <c r="C473">
        <v>6</v>
      </c>
      <c r="D473">
        <v>0</v>
      </c>
      <c r="E473">
        <v>11100</v>
      </c>
      <c r="F473">
        <v>500</v>
      </c>
      <c r="G473" t="b">
        <v>1</v>
      </c>
      <c r="H473">
        <v>500</v>
      </c>
      <c r="I473" t="s">
        <v>1743</v>
      </c>
    </row>
    <row r="474" spans="1:9" x14ac:dyDescent="0.25">
      <c r="A474" t="s">
        <v>536</v>
      </c>
      <c r="B474">
        <v>8800</v>
      </c>
      <c r="C474">
        <v>6</v>
      </c>
      <c r="D474">
        <v>0</v>
      </c>
      <c r="E474">
        <v>8200</v>
      </c>
      <c r="F474">
        <v>500</v>
      </c>
      <c r="G474" t="b">
        <v>1</v>
      </c>
      <c r="H474">
        <v>500</v>
      </c>
      <c r="I474" t="s">
        <v>1743</v>
      </c>
    </row>
    <row r="475" spans="1:9" x14ac:dyDescent="0.25">
      <c r="A475" t="s">
        <v>537</v>
      </c>
      <c r="B475">
        <v>9100</v>
      </c>
      <c r="C475">
        <v>2</v>
      </c>
      <c r="D475">
        <v>0</v>
      </c>
      <c r="E475">
        <v>8900</v>
      </c>
      <c r="F475">
        <v>500</v>
      </c>
      <c r="G475" t="b">
        <v>1</v>
      </c>
      <c r="H475">
        <v>500</v>
      </c>
      <c r="I475" t="s">
        <v>1743</v>
      </c>
    </row>
    <row r="476" spans="1:9" x14ac:dyDescent="0.25">
      <c r="A476" t="s">
        <v>538</v>
      </c>
      <c r="B476">
        <v>1000</v>
      </c>
      <c r="C476">
        <v>0</v>
      </c>
      <c r="D476">
        <v>0</v>
      </c>
      <c r="E476">
        <v>1000</v>
      </c>
      <c r="F476">
        <v>20</v>
      </c>
      <c r="G476" t="b">
        <v>1</v>
      </c>
      <c r="H476">
        <v>20</v>
      </c>
      <c r="I476" t="s">
        <v>1743</v>
      </c>
    </row>
    <row r="477" spans="1:9" x14ac:dyDescent="0.25">
      <c r="A477" t="s">
        <v>539</v>
      </c>
      <c r="B477">
        <v>6500</v>
      </c>
      <c r="C477">
        <v>9</v>
      </c>
      <c r="D477">
        <v>0</v>
      </c>
      <c r="E477">
        <v>5900</v>
      </c>
      <c r="F477">
        <v>100</v>
      </c>
      <c r="G477" t="b">
        <v>1</v>
      </c>
      <c r="H477">
        <v>100</v>
      </c>
      <c r="I477" t="s">
        <v>1743</v>
      </c>
    </row>
    <row r="478" spans="1:9" x14ac:dyDescent="0.25">
      <c r="A478" t="s">
        <v>540</v>
      </c>
      <c r="B478">
        <v>5500</v>
      </c>
      <c r="C478">
        <v>9</v>
      </c>
      <c r="D478">
        <v>0</v>
      </c>
      <c r="E478">
        <v>5000</v>
      </c>
      <c r="F478">
        <v>500</v>
      </c>
      <c r="G478" t="b">
        <v>1</v>
      </c>
      <c r="H478">
        <v>500</v>
      </c>
      <c r="I478" t="s">
        <v>1743</v>
      </c>
    </row>
    <row r="479" spans="1:9" x14ac:dyDescent="0.25">
      <c r="A479" t="s">
        <v>126</v>
      </c>
      <c r="B479">
        <v>5000</v>
      </c>
      <c r="C479">
        <v>6</v>
      </c>
      <c r="D479">
        <v>0</v>
      </c>
      <c r="E479">
        <v>4700</v>
      </c>
      <c r="F479">
        <v>200</v>
      </c>
      <c r="G479" t="b">
        <v>1</v>
      </c>
      <c r="H479">
        <v>200</v>
      </c>
      <c r="I479" t="s">
        <v>1743</v>
      </c>
    </row>
    <row r="480" spans="1:9" x14ac:dyDescent="0.25">
      <c r="A480" t="s">
        <v>541</v>
      </c>
      <c r="B480">
        <v>10700</v>
      </c>
      <c r="C480">
        <v>0</v>
      </c>
      <c r="D480">
        <v>0</v>
      </c>
      <c r="E480">
        <v>10700</v>
      </c>
      <c r="F480">
        <v>600</v>
      </c>
      <c r="G480" t="b">
        <v>1</v>
      </c>
      <c r="H480">
        <v>600</v>
      </c>
      <c r="I480" t="s">
        <v>1743</v>
      </c>
    </row>
    <row r="481" spans="1:9" x14ac:dyDescent="0.25">
      <c r="A481" t="s">
        <v>542</v>
      </c>
      <c r="B481">
        <v>1500</v>
      </c>
      <c r="C481">
        <v>0</v>
      </c>
      <c r="D481">
        <v>0</v>
      </c>
      <c r="E481">
        <v>1500</v>
      </c>
      <c r="F481">
        <v>38</v>
      </c>
      <c r="G481" t="b">
        <v>1</v>
      </c>
      <c r="H481">
        <v>38</v>
      </c>
      <c r="I481" t="s">
        <v>1743</v>
      </c>
    </row>
    <row r="482" spans="1:9" x14ac:dyDescent="0.25">
      <c r="A482" t="s">
        <v>543</v>
      </c>
      <c r="B482">
        <v>31000</v>
      </c>
      <c r="C482">
        <v>10</v>
      </c>
      <c r="D482">
        <v>0</v>
      </c>
      <c r="E482">
        <v>27900</v>
      </c>
      <c r="F482">
        <v>500</v>
      </c>
      <c r="G482" t="b">
        <v>1</v>
      </c>
      <c r="H482">
        <v>500</v>
      </c>
      <c r="I482" t="s">
        <v>1743</v>
      </c>
    </row>
    <row r="483" spans="1:9" x14ac:dyDescent="0.25">
      <c r="A483" t="s">
        <v>544</v>
      </c>
      <c r="B483">
        <v>6000</v>
      </c>
      <c r="C483">
        <v>10</v>
      </c>
      <c r="D483">
        <v>0</v>
      </c>
      <c r="E483">
        <v>5400</v>
      </c>
      <c r="F483">
        <v>100</v>
      </c>
      <c r="G483" t="b">
        <v>1</v>
      </c>
      <c r="H483">
        <v>100</v>
      </c>
      <c r="I483" t="s">
        <v>1743</v>
      </c>
    </row>
    <row r="484" spans="1:9" x14ac:dyDescent="0.25">
      <c r="A484" t="s">
        <v>545</v>
      </c>
      <c r="B484">
        <v>7900</v>
      </c>
      <c r="C484">
        <v>0</v>
      </c>
      <c r="D484">
        <v>0</v>
      </c>
      <c r="E484">
        <v>7900</v>
      </c>
      <c r="F484">
        <v>1000</v>
      </c>
      <c r="G484" t="b">
        <v>1</v>
      </c>
      <c r="H484">
        <v>1</v>
      </c>
      <c r="I484" t="s">
        <v>1743</v>
      </c>
    </row>
    <row r="485" spans="1:9" x14ac:dyDescent="0.25">
      <c r="A485" t="s">
        <v>546</v>
      </c>
      <c r="B485">
        <v>3000</v>
      </c>
      <c r="C485">
        <v>3</v>
      </c>
      <c r="D485">
        <v>0</v>
      </c>
      <c r="E485">
        <v>2900</v>
      </c>
      <c r="F485">
        <v>50</v>
      </c>
      <c r="G485" t="b">
        <v>1</v>
      </c>
      <c r="H485">
        <v>50</v>
      </c>
      <c r="I485" t="s">
        <v>1743</v>
      </c>
    </row>
    <row r="486" spans="1:9" x14ac:dyDescent="0.25">
      <c r="A486" t="s">
        <v>547</v>
      </c>
      <c r="B486">
        <v>3400</v>
      </c>
      <c r="C486">
        <v>2</v>
      </c>
      <c r="D486">
        <v>0</v>
      </c>
      <c r="E486">
        <v>3300</v>
      </c>
      <c r="F486">
        <v>50</v>
      </c>
      <c r="G486" t="b">
        <v>1</v>
      </c>
      <c r="H486">
        <v>50</v>
      </c>
      <c r="I486" t="s">
        <v>1743</v>
      </c>
    </row>
    <row r="487" spans="1:9" x14ac:dyDescent="0.25">
      <c r="A487" t="s">
        <v>548</v>
      </c>
      <c r="B487">
        <v>5000</v>
      </c>
      <c r="C487">
        <v>0</v>
      </c>
      <c r="D487">
        <v>0</v>
      </c>
      <c r="E487">
        <v>5000</v>
      </c>
      <c r="F487">
        <v>70</v>
      </c>
      <c r="G487" t="b">
        <v>1</v>
      </c>
      <c r="H487">
        <v>70</v>
      </c>
      <c r="I487" t="s">
        <v>1743</v>
      </c>
    </row>
    <row r="488" spans="1:9" x14ac:dyDescent="0.25">
      <c r="A488" t="s">
        <v>549</v>
      </c>
      <c r="B488">
        <v>2000</v>
      </c>
      <c r="C488">
        <v>0</v>
      </c>
      <c r="D488">
        <v>0</v>
      </c>
      <c r="E488">
        <v>2000</v>
      </c>
      <c r="F488">
        <v>100</v>
      </c>
      <c r="G488" t="b">
        <v>1</v>
      </c>
      <c r="H488">
        <v>100</v>
      </c>
      <c r="I488" t="s">
        <v>1743</v>
      </c>
    </row>
    <row r="489" spans="1:9" x14ac:dyDescent="0.25">
      <c r="A489" t="s">
        <v>550</v>
      </c>
      <c r="B489">
        <v>56500</v>
      </c>
      <c r="C489">
        <v>0</v>
      </c>
      <c r="D489">
        <v>0</v>
      </c>
      <c r="E489">
        <v>56500</v>
      </c>
      <c r="F489">
        <v>1000</v>
      </c>
      <c r="G489" t="b">
        <v>1</v>
      </c>
      <c r="H489">
        <v>1</v>
      </c>
      <c r="I489" t="s">
        <v>1743</v>
      </c>
    </row>
    <row r="490" spans="1:9" x14ac:dyDescent="0.25">
      <c r="A490" t="s">
        <v>551</v>
      </c>
      <c r="B490">
        <v>4200</v>
      </c>
      <c r="C490">
        <v>2</v>
      </c>
      <c r="D490">
        <v>0</v>
      </c>
      <c r="E490">
        <v>4100</v>
      </c>
      <c r="F490">
        <v>50</v>
      </c>
      <c r="G490" t="b">
        <v>1</v>
      </c>
      <c r="H490">
        <v>50</v>
      </c>
      <c r="I490" t="s">
        <v>1743</v>
      </c>
    </row>
    <row r="491" spans="1:9" x14ac:dyDescent="0.25">
      <c r="A491" t="s">
        <v>552</v>
      </c>
      <c r="B491">
        <v>18500</v>
      </c>
      <c r="C491">
        <v>8</v>
      </c>
      <c r="D491">
        <v>0</v>
      </c>
      <c r="E491">
        <v>16900</v>
      </c>
      <c r="F491">
        <v>1000</v>
      </c>
      <c r="G491" t="b">
        <v>1</v>
      </c>
      <c r="H491">
        <v>1</v>
      </c>
      <c r="I491" t="s">
        <v>1743</v>
      </c>
    </row>
    <row r="492" spans="1:9" x14ac:dyDescent="0.25">
      <c r="A492" t="s">
        <v>553</v>
      </c>
      <c r="B492">
        <v>6000</v>
      </c>
      <c r="C492">
        <v>10</v>
      </c>
      <c r="D492">
        <v>0</v>
      </c>
      <c r="E492">
        <v>5400</v>
      </c>
      <c r="F492">
        <v>500</v>
      </c>
      <c r="G492" t="b">
        <v>1</v>
      </c>
      <c r="H492">
        <v>500</v>
      </c>
      <c r="I492" t="s">
        <v>1743</v>
      </c>
    </row>
    <row r="493" spans="1:9" x14ac:dyDescent="0.25">
      <c r="A493" t="s">
        <v>554</v>
      </c>
      <c r="B493">
        <v>4000</v>
      </c>
      <c r="C493">
        <v>0</v>
      </c>
      <c r="D493">
        <v>0</v>
      </c>
      <c r="E493">
        <v>4000</v>
      </c>
      <c r="F493">
        <v>500</v>
      </c>
      <c r="G493" t="b">
        <v>1</v>
      </c>
      <c r="H493">
        <v>500</v>
      </c>
      <c r="I493" t="s">
        <v>1743</v>
      </c>
    </row>
    <row r="494" spans="1:9" x14ac:dyDescent="0.25">
      <c r="A494" t="s">
        <v>531</v>
      </c>
      <c r="B494">
        <v>7000</v>
      </c>
      <c r="C494">
        <v>10</v>
      </c>
      <c r="D494">
        <v>0</v>
      </c>
      <c r="E494">
        <v>6300</v>
      </c>
      <c r="F494">
        <v>200</v>
      </c>
      <c r="G494" t="b">
        <v>1</v>
      </c>
      <c r="H494">
        <v>200</v>
      </c>
      <c r="I494" t="s">
        <v>1743</v>
      </c>
    </row>
    <row r="495" spans="1:9" x14ac:dyDescent="0.25">
      <c r="A495" t="s">
        <v>555</v>
      </c>
      <c r="B495">
        <v>4800</v>
      </c>
      <c r="C495">
        <v>6</v>
      </c>
      <c r="D495">
        <v>0</v>
      </c>
      <c r="E495">
        <v>4500</v>
      </c>
      <c r="F495">
        <v>240</v>
      </c>
      <c r="G495" t="b">
        <v>1</v>
      </c>
      <c r="H495">
        <v>240</v>
      </c>
      <c r="I495" t="s">
        <v>1743</v>
      </c>
    </row>
    <row r="496" spans="1:9" x14ac:dyDescent="0.25">
      <c r="A496" t="s">
        <v>556</v>
      </c>
      <c r="B496">
        <v>3500</v>
      </c>
      <c r="C496">
        <v>0</v>
      </c>
      <c r="D496">
        <v>0</v>
      </c>
      <c r="E496">
        <v>3500</v>
      </c>
      <c r="F496">
        <v>100</v>
      </c>
      <c r="G496" t="b">
        <v>1</v>
      </c>
      <c r="H496">
        <v>200</v>
      </c>
      <c r="I496" t="s">
        <v>1743</v>
      </c>
    </row>
    <row r="497" spans="1:9" x14ac:dyDescent="0.25">
      <c r="A497" t="s">
        <v>557</v>
      </c>
      <c r="B497">
        <v>9000</v>
      </c>
      <c r="C497">
        <v>1</v>
      </c>
      <c r="D497">
        <v>0</v>
      </c>
      <c r="E497">
        <v>8900</v>
      </c>
      <c r="F497">
        <v>1000</v>
      </c>
      <c r="G497" t="b">
        <v>1</v>
      </c>
      <c r="H497">
        <v>1</v>
      </c>
      <c r="I497" t="s">
        <v>1743</v>
      </c>
    </row>
    <row r="498" spans="1:9" x14ac:dyDescent="0.25">
      <c r="A498" t="s">
        <v>558</v>
      </c>
      <c r="B498">
        <v>9100</v>
      </c>
      <c r="C498">
        <v>9</v>
      </c>
      <c r="D498">
        <v>0</v>
      </c>
      <c r="E498">
        <v>8200</v>
      </c>
      <c r="F498">
        <v>560</v>
      </c>
      <c r="G498" t="b">
        <v>1</v>
      </c>
      <c r="H498">
        <v>560</v>
      </c>
      <c r="I498" t="s">
        <v>1743</v>
      </c>
    </row>
    <row r="499" spans="1:9" x14ac:dyDescent="0.25">
      <c r="A499" t="s">
        <v>559</v>
      </c>
      <c r="B499">
        <v>6700</v>
      </c>
      <c r="C499">
        <v>10</v>
      </c>
      <c r="D499">
        <v>0</v>
      </c>
      <c r="E499">
        <v>6000</v>
      </c>
      <c r="F499">
        <v>200</v>
      </c>
      <c r="G499" t="b">
        <v>1</v>
      </c>
      <c r="H499">
        <v>200</v>
      </c>
      <c r="I499" t="s">
        <v>1743</v>
      </c>
    </row>
    <row r="500" spans="1:9" x14ac:dyDescent="0.25">
      <c r="A500" t="s">
        <v>560</v>
      </c>
      <c r="B500">
        <v>12500</v>
      </c>
      <c r="C500">
        <v>9</v>
      </c>
      <c r="D500">
        <v>0</v>
      </c>
      <c r="E500">
        <v>11300</v>
      </c>
      <c r="F500">
        <v>500</v>
      </c>
      <c r="G500" t="b">
        <v>1</v>
      </c>
      <c r="H500">
        <v>500</v>
      </c>
      <c r="I500" t="s">
        <v>1743</v>
      </c>
    </row>
    <row r="501" spans="1:9" x14ac:dyDescent="0.25">
      <c r="A501" t="s">
        <v>561</v>
      </c>
      <c r="B501">
        <v>10900</v>
      </c>
      <c r="C501">
        <v>11</v>
      </c>
      <c r="D501">
        <v>0</v>
      </c>
      <c r="E501">
        <v>9700</v>
      </c>
      <c r="F501">
        <v>80</v>
      </c>
      <c r="G501" t="b">
        <v>1</v>
      </c>
      <c r="H501">
        <v>80</v>
      </c>
      <c r="I501" t="s">
        <v>1743</v>
      </c>
    </row>
    <row r="502" spans="1:9" x14ac:dyDescent="0.25">
      <c r="A502" t="s">
        <v>562</v>
      </c>
      <c r="B502">
        <v>16000</v>
      </c>
      <c r="C502">
        <v>50</v>
      </c>
      <c r="D502">
        <v>0</v>
      </c>
      <c r="E502">
        <v>8000</v>
      </c>
      <c r="F502">
        <v>500</v>
      </c>
      <c r="G502" t="b">
        <v>1</v>
      </c>
      <c r="H502">
        <v>500</v>
      </c>
      <c r="I502" t="s">
        <v>1743</v>
      </c>
    </row>
    <row r="503" spans="1:9" x14ac:dyDescent="0.25">
      <c r="A503" t="s">
        <v>204</v>
      </c>
      <c r="B503">
        <v>12500</v>
      </c>
      <c r="C503">
        <v>0</v>
      </c>
      <c r="D503">
        <v>0</v>
      </c>
      <c r="E503">
        <v>12500</v>
      </c>
      <c r="F503">
        <v>1000</v>
      </c>
      <c r="G503" t="b">
        <v>1</v>
      </c>
      <c r="H503">
        <v>1</v>
      </c>
      <c r="I503" t="s">
        <v>1743</v>
      </c>
    </row>
    <row r="504" spans="1:9" x14ac:dyDescent="0.25">
      <c r="A504" t="s">
        <v>563</v>
      </c>
      <c r="B504">
        <v>21000</v>
      </c>
      <c r="C504">
        <v>0</v>
      </c>
      <c r="D504">
        <v>0</v>
      </c>
      <c r="E504">
        <v>21000</v>
      </c>
      <c r="F504">
        <v>1000</v>
      </c>
      <c r="G504" t="b">
        <v>1</v>
      </c>
      <c r="H504">
        <v>1</v>
      </c>
      <c r="I504" t="s">
        <v>1743</v>
      </c>
    </row>
    <row r="505" spans="1:9" x14ac:dyDescent="0.25">
      <c r="A505" t="s">
        <v>564</v>
      </c>
      <c r="B505">
        <v>6400</v>
      </c>
      <c r="C505">
        <v>7</v>
      </c>
      <c r="D505">
        <v>0</v>
      </c>
      <c r="E505">
        <v>5900</v>
      </c>
      <c r="F505">
        <v>1000</v>
      </c>
      <c r="G505" t="b">
        <v>1</v>
      </c>
      <c r="H505">
        <v>1</v>
      </c>
      <c r="I505" t="s">
        <v>1743</v>
      </c>
    </row>
    <row r="506" spans="1:9" x14ac:dyDescent="0.25">
      <c r="A506" t="s">
        <v>565</v>
      </c>
      <c r="B506">
        <v>19000</v>
      </c>
      <c r="C506">
        <v>0</v>
      </c>
      <c r="D506">
        <v>0</v>
      </c>
      <c r="E506">
        <v>19000</v>
      </c>
      <c r="F506">
        <v>300</v>
      </c>
      <c r="G506" t="b">
        <v>1</v>
      </c>
      <c r="H506">
        <v>300</v>
      </c>
      <c r="I506" t="s">
        <v>1743</v>
      </c>
    </row>
    <row r="507" spans="1:9" x14ac:dyDescent="0.25">
      <c r="A507" t="s">
        <v>566</v>
      </c>
      <c r="B507">
        <v>2800</v>
      </c>
      <c r="C507">
        <v>17</v>
      </c>
      <c r="D507">
        <v>0</v>
      </c>
      <c r="E507">
        <v>2300</v>
      </c>
      <c r="F507">
        <v>65</v>
      </c>
      <c r="G507" t="b">
        <v>1</v>
      </c>
      <c r="H507">
        <v>65</v>
      </c>
      <c r="I507" t="s">
        <v>1743</v>
      </c>
    </row>
    <row r="508" spans="1:9" x14ac:dyDescent="0.25">
      <c r="A508" t="s">
        <v>567</v>
      </c>
      <c r="B508">
        <v>9900</v>
      </c>
      <c r="C508">
        <v>40</v>
      </c>
      <c r="D508">
        <v>0</v>
      </c>
      <c r="E508">
        <v>5900</v>
      </c>
      <c r="F508">
        <v>500</v>
      </c>
      <c r="G508" t="b">
        <v>1</v>
      </c>
      <c r="H508">
        <v>500</v>
      </c>
      <c r="I508" t="s">
        <v>1743</v>
      </c>
    </row>
    <row r="509" spans="1:9" x14ac:dyDescent="0.25">
      <c r="A509" t="s">
        <v>568</v>
      </c>
      <c r="B509">
        <v>6000</v>
      </c>
      <c r="C509">
        <v>15</v>
      </c>
      <c r="D509">
        <v>0</v>
      </c>
      <c r="E509">
        <v>5100</v>
      </c>
      <c r="F509">
        <v>100</v>
      </c>
      <c r="G509" t="b">
        <v>1</v>
      </c>
      <c r="H509">
        <v>100</v>
      </c>
      <c r="I509" t="s">
        <v>1743</v>
      </c>
    </row>
    <row r="510" spans="1:9" x14ac:dyDescent="0.25">
      <c r="A510" t="s">
        <v>569</v>
      </c>
      <c r="B510">
        <v>9500</v>
      </c>
      <c r="C510">
        <v>0</v>
      </c>
      <c r="D510">
        <v>0</v>
      </c>
      <c r="E510">
        <v>9500</v>
      </c>
      <c r="F510">
        <v>250</v>
      </c>
      <c r="G510" t="b">
        <v>1</v>
      </c>
      <c r="H510">
        <v>250</v>
      </c>
      <c r="I510" t="s">
        <v>1743</v>
      </c>
    </row>
    <row r="511" spans="1:9" x14ac:dyDescent="0.25">
      <c r="A511" t="s">
        <v>570</v>
      </c>
      <c r="B511">
        <v>4900</v>
      </c>
      <c r="C511">
        <v>2</v>
      </c>
      <c r="D511">
        <v>0</v>
      </c>
      <c r="E511">
        <v>4800</v>
      </c>
      <c r="F511">
        <v>200</v>
      </c>
      <c r="G511" t="b">
        <v>1</v>
      </c>
      <c r="H511">
        <v>200</v>
      </c>
      <c r="I511" t="s">
        <v>1743</v>
      </c>
    </row>
    <row r="512" spans="1:9" x14ac:dyDescent="0.25">
      <c r="A512" t="s">
        <v>571</v>
      </c>
      <c r="B512">
        <v>10200</v>
      </c>
      <c r="C512">
        <v>7</v>
      </c>
      <c r="D512">
        <v>0</v>
      </c>
      <c r="E512">
        <v>9400</v>
      </c>
      <c r="F512">
        <v>1000</v>
      </c>
      <c r="G512" t="b">
        <v>1</v>
      </c>
      <c r="H512">
        <v>1</v>
      </c>
      <c r="I512" t="s">
        <v>1743</v>
      </c>
    </row>
    <row r="513" spans="1:9" x14ac:dyDescent="0.25">
      <c r="A513" t="s">
        <v>572</v>
      </c>
      <c r="B513">
        <v>7200</v>
      </c>
      <c r="C513">
        <v>0</v>
      </c>
      <c r="D513">
        <v>0</v>
      </c>
      <c r="E513">
        <v>7200</v>
      </c>
      <c r="F513">
        <v>280</v>
      </c>
      <c r="G513" t="b">
        <v>1</v>
      </c>
      <c r="H513">
        <v>280</v>
      </c>
      <c r="I513" t="s">
        <v>1743</v>
      </c>
    </row>
    <row r="514" spans="1:9" x14ac:dyDescent="0.25">
      <c r="A514" t="s">
        <v>573</v>
      </c>
      <c r="B514">
        <v>15000</v>
      </c>
      <c r="C514">
        <v>4</v>
      </c>
      <c r="D514">
        <v>0</v>
      </c>
      <c r="E514">
        <v>14300</v>
      </c>
      <c r="F514">
        <v>250</v>
      </c>
      <c r="G514" t="b">
        <v>1</v>
      </c>
      <c r="H514">
        <v>250</v>
      </c>
      <c r="I514" t="s">
        <v>1743</v>
      </c>
    </row>
    <row r="515" spans="1:9" x14ac:dyDescent="0.25">
      <c r="A515" t="s">
        <v>574</v>
      </c>
      <c r="B515">
        <v>12000</v>
      </c>
      <c r="C515">
        <v>0</v>
      </c>
      <c r="D515">
        <v>0</v>
      </c>
      <c r="E515">
        <v>12000</v>
      </c>
      <c r="F515">
        <v>1</v>
      </c>
      <c r="G515" t="b">
        <v>1</v>
      </c>
      <c r="H515">
        <v>0</v>
      </c>
      <c r="I515" t="s">
        <v>1743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515"/>
  <sheetViews>
    <sheetView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97</v>
      </c>
      <c r="B2">
        <v>1200</v>
      </c>
      <c r="C2">
        <v>0</v>
      </c>
      <c r="D2">
        <v>6</v>
      </c>
      <c r="E2">
        <v>1200</v>
      </c>
      <c r="F2">
        <v>70</v>
      </c>
      <c r="G2" t="b">
        <v>0</v>
      </c>
      <c r="H2">
        <v>70</v>
      </c>
    </row>
    <row r="3" spans="1:8" x14ac:dyDescent="0.25">
      <c r="A3" t="s">
        <v>98</v>
      </c>
      <c r="B3">
        <v>8000</v>
      </c>
      <c r="C3">
        <v>15</v>
      </c>
      <c r="D3">
        <v>6</v>
      </c>
      <c r="E3">
        <v>6800</v>
      </c>
      <c r="F3">
        <v>1000</v>
      </c>
      <c r="G3" t="b">
        <v>0</v>
      </c>
      <c r="H3">
        <v>1</v>
      </c>
    </row>
    <row r="4" spans="1:8" x14ac:dyDescent="0.25">
      <c r="A4" t="s">
        <v>99</v>
      </c>
      <c r="B4">
        <v>2400</v>
      </c>
      <c r="C4">
        <v>0</v>
      </c>
      <c r="D4">
        <v>6</v>
      </c>
      <c r="E4">
        <v>2400</v>
      </c>
      <c r="F4">
        <v>1000</v>
      </c>
      <c r="G4" t="b">
        <v>0</v>
      </c>
      <c r="H4">
        <v>1</v>
      </c>
    </row>
    <row r="5" spans="1:8" x14ac:dyDescent="0.25">
      <c r="A5" t="s">
        <v>100</v>
      </c>
      <c r="B5">
        <v>9700</v>
      </c>
      <c r="C5">
        <v>0</v>
      </c>
      <c r="D5">
        <v>4</v>
      </c>
      <c r="E5">
        <v>9700</v>
      </c>
      <c r="F5">
        <v>696</v>
      </c>
      <c r="G5" t="b">
        <v>0</v>
      </c>
      <c r="H5">
        <v>12</v>
      </c>
    </row>
    <row r="6" spans="1:8" x14ac:dyDescent="0.25">
      <c r="A6" t="s">
        <v>100</v>
      </c>
      <c r="B6">
        <v>6500</v>
      </c>
      <c r="C6">
        <v>15</v>
      </c>
      <c r="D6">
        <v>4</v>
      </c>
      <c r="E6">
        <v>5500</v>
      </c>
      <c r="F6">
        <v>348</v>
      </c>
      <c r="G6" t="b">
        <v>0</v>
      </c>
      <c r="H6">
        <v>6</v>
      </c>
    </row>
    <row r="7" spans="1:8" x14ac:dyDescent="0.25">
      <c r="A7" t="s">
        <v>101</v>
      </c>
      <c r="B7">
        <v>23000</v>
      </c>
      <c r="C7">
        <v>4</v>
      </c>
      <c r="D7">
        <v>6</v>
      </c>
      <c r="E7">
        <v>21900</v>
      </c>
      <c r="F7">
        <v>1000</v>
      </c>
      <c r="G7" t="b">
        <v>0</v>
      </c>
      <c r="H7">
        <v>1</v>
      </c>
    </row>
    <row r="8" spans="1:8" x14ac:dyDescent="0.25">
      <c r="A8" t="s">
        <v>102</v>
      </c>
      <c r="B8">
        <v>25000</v>
      </c>
      <c r="C8">
        <v>2</v>
      </c>
      <c r="D8">
        <v>6</v>
      </c>
      <c r="E8">
        <v>24500</v>
      </c>
      <c r="F8">
        <v>5000</v>
      </c>
      <c r="G8" t="b">
        <v>0</v>
      </c>
      <c r="H8">
        <v>5</v>
      </c>
    </row>
    <row r="9" spans="1:8" x14ac:dyDescent="0.25">
      <c r="A9" t="s">
        <v>103</v>
      </c>
      <c r="B9">
        <v>25500</v>
      </c>
      <c r="C9">
        <v>2</v>
      </c>
      <c r="D9">
        <v>6</v>
      </c>
      <c r="E9">
        <v>24900</v>
      </c>
      <c r="F9">
        <v>500</v>
      </c>
      <c r="G9" t="b">
        <v>0</v>
      </c>
      <c r="H9">
        <v>500</v>
      </c>
    </row>
    <row r="10" spans="1:8" x14ac:dyDescent="0.25">
      <c r="A10" t="s">
        <v>104</v>
      </c>
      <c r="B10">
        <v>8500</v>
      </c>
      <c r="C10">
        <v>7</v>
      </c>
      <c r="D10">
        <v>4</v>
      </c>
      <c r="E10">
        <v>7900</v>
      </c>
      <c r="F10">
        <v>348</v>
      </c>
      <c r="G10" t="b">
        <v>0</v>
      </c>
      <c r="H10">
        <v>6</v>
      </c>
    </row>
    <row r="11" spans="1:8" x14ac:dyDescent="0.25">
      <c r="A11" t="s">
        <v>105</v>
      </c>
      <c r="B11">
        <v>4000</v>
      </c>
      <c r="C11">
        <v>10</v>
      </c>
      <c r="D11">
        <v>6</v>
      </c>
      <c r="E11">
        <v>3600</v>
      </c>
      <c r="F11">
        <v>1000</v>
      </c>
      <c r="G11" t="b">
        <v>0</v>
      </c>
      <c r="H11">
        <v>1</v>
      </c>
    </row>
    <row r="12" spans="1:8" x14ac:dyDescent="0.25">
      <c r="A12" t="s">
        <v>106</v>
      </c>
      <c r="B12">
        <v>21500</v>
      </c>
      <c r="C12">
        <v>0</v>
      </c>
      <c r="D12">
        <v>6</v>
      </c>
      <c r="E12">
        <v>21500</v>
      </c>
      <c r="F12">
        <v>1000</v>
      </c>
      <c r="G12" t="b">
        <v>0</v>
      </c>
      <c r="H12">
        <v>1</v>
      </c>
    </row>
    <row r="13" spans="1:8" x14ac:dyDescent="0.25">
      <c r="A13" t="s">
        <v>107</v>
      </c>
      <c r="B13">
        <v>92500</v>
      </c>
      <c r="C13">
        <v>0</v>
      </c>
      <c r="D13">
        <v>6</v>
      </c>
      <c r="E13">
        <v>92500</v>
      </c>
      <c r="F13">
        <v>5000</v>
      </c>
      <c r="G13" t="b">
        <v>0</v>
      </c>
      <c r="H13">
        <v>5</v>
      </c>
    </row>
    <row r="14" spans="1:8" x14ac:dyDescent="0.25">
      <c r="A14" t="s">
        <v>108</v>
      </c>
      <c r="B14">
        <v>22500</v>
      </c>
      <c r="C14">
        <v>11</v>
      </c>
      <c r="D14">
        <v>6</v>
      </c>
      <c r="E14">
        <v>19900</v>
      </c>
      <c r="F14">
        <v>1000</v>
      </c>
      <c r="G14" t="b">
        <v>0</v>
      </c>
      <c r="H14">
        <v>1</v>
      </c>
    </row>
    <row r="15" spans="1:8" x14ac:dyDescent="0.25">
      <c r="A15" t="s">
        <v>109</v>
      </c>
      <c r="B15">
        <v>21000</v>
      </c>
      <c r="C15">
        <v>0</v>
      </c>
      <c r="D15">
        <v>6</v>
      </c>
      <c r="E15">
        <v>21000</v>
      </c>
      <c r="F15">
        <v>1000</v>
      </c>
      <c r="G15" t="b">
        <v>0</v>
      </c>
      <c r="H15">
        <v>1</v>
      </c>
    </row>
    <row r="16" spans="1:8" x14ac:dyDescent="0.25">
      <c r="A16" t="s">
        <v>103</v>
      </c>
      <c r="B16">
        <v>50500</v>
      </c>
      <c r="C16">
        <v>1</v>
      </c>
      <c r="D16">
        <v>2</v>
      </c>
      <c r="E16">
        <v>49900</v>
      </c>
      <c r="F16">
        <v>1000</v>
      </c>
      <c r="G16" t="b">
        <v>0</v>
      </c>
      <c r="H16">
        <v>1</v>
      </c>
    </row>
    <row r="17" spans="1:8" x14ac:dyDescent="0.25">
      <c r="A17" t="s">
        <v>110</v>
      </c>
      <c r="B17">
        <v>46000</v>
      </c>
      <c r="C17">
        <v>13</v>
      </c>
      <c r="D17">
        <v>6</v>
      </c>
      <c r="E17">
        <v>39900</v>
      </c>
      <c r="F17">
        <v>10000</v>
      </c>
      <c r="G17" t="b">
        <v>0</v>
      </c>
      <c r="H17">
        <v>10</v>
      </c>
    </row>
    <row r="18" spans="1:8" x14ac:dyDescent="0.25">
      <c r="A18" t="s">
        <v>111</v>
      </c>
      <c r="B18">
        <v>16000</v>
      </c>
      <c r="C18">
        <v>6</v>
      </c>
      <c r="D18">
        <v>4</v>
      </c>
      <c r="E18">
        <v>14900</v>
      </c>
      <c r="F18">
        <v>1000</v>
      </c>
      <c r="G18" t="b">
        <v>0</v>
      </c>
      <c r="H18">
        <v>1</v>
      </c>
    </row>
    <row r="19" spans="1:8" x14ac:dyDescent="0.25">
      <c r="A19" t="s">
        <v>112</v>
      </c>
      <c r="B19">
        <v>52000</v>
      </c>
      <c r="C19">
        <v>2</v>
      </c>
      <c r="D19">
        <v>6</v>
      </c>
      <c r="E19">
        <v>50900</v>
      </c>
      <c r="F19">
        <v>1000</v>
      </c>
      <c r="G19" t="b">
        <v>0</v>
      </c>
      <c r="H19">
        <v>1</v>
      </c>
    </row>
    <row r="20" spans="1:8" x14ac:dyDescent="0.25">
      <c r="A20" t="s">
        <v>113</v>
      </c>
      <c r="B20">
        <v>19700</v>
      </c>
      <c r="C20">
        <v>3</v>
      </c>
      <c r="D20">
        <v>3</v>
      </c>
      <c r="E20">
        <v>19100</v>
      </c>
      <c r="F20">
        <v>1000</v>
      </c>
      <c r="G20" t="b">
        <v>0</v>
      </c>
      <c r="H20">
        <v>1</v>
      </c>
    </row>
    <row r="21" spans="1:8" x14ac:dyDescent="0.25">
      <c r="A21" t="s">
        <v>114</v>
      </c>
      <c r="B21">
        <v>5000</v>
      </c>
      <c r="C21">
        <v>2</v>
      </c>
      <c r="D21">
        <v>6</v>
      </c>
      <c r="E21">
        <v>4900</v>
      </c>
      <c r="F21">
        <v>450</v>
      </c>
      <c r="G21" t="b">
        <v>0</v>
      </c>
      <c r="H21">
        <v>450</v>
      </c>
    </row>
    <row r="22" spans="1:8" x14ac:dyDescent="0.25">
      <c r="A22" t="s">
        <v>115</v>
      </c>
      <c r="B22">
        <v>6400</v>
      </c>
      <c r="C22">
        <v>3</v>
      </c>
      <c r="D22">
        <v>2</v>
      </c>
      <c r="E22">
        <v>6200</v>
      </c>
      <c r="F22">
        <v>1000</v>
      </c>
      <c r="G22" t="b">
        <v>0</v>
      </c>
      <c r="H22">
        <v>1</v>
      </c>
    </row>
    <row r="23" spans="1:8" x14ac:dyDescent="0.25">
      <c r="A23" t="s">
        <v>116</v>
      </c>
      <c r="B23">
        <v>100500</v>
      </c>
      <c r="C23">
        <v>0</v>
      </c>
      <c r="D23">
        <v>6</v>
      </c>
      <c r="E23">
        <v>99900</v>
      </c>
      <c r="F23">
        <v>5000</v>
      </c>
      <c r="G23" t="b">
        <v>0</v>
      </c>
      <c r="H23">
        <v>5</v>
      </c>
    </row>
    <row r="24" spans="1:8" x14ac:dyDescent="0.25">
      <c r="A24" t="s">
        <v>117</v>
      </c>
      <c r="B24">
        <v>2500</v>
      </c>
      <c r="C24">
        <v>0</v>
      </c>
      <c r="D24">
        <v>6</v>
      </c>
      <c r="E24">
        <v>2500</v>
      </c>
      <c r="F24">
        <v>50</v>
      </c>
      <c r="G24" t="b">
        <v>0</v>
      </c>
      <c r="H24">
        <v>50</v>
      </c>
    </row>
    <row r="25" spans="1:8" x14ac:dyDescent="0.25">
      <c r="A25" t="s">
        <v>118</v>
      </c>
      <c r="B25">
        <v>18500</v>
      </c>
      <c r="C25">
        <v>1</v>
      </c>
      <c r="D25">
        <v>4</v>
      </c>
      <c r="E25">
        <v>18300</v>
      </c>
      <c r="F25">
        <v>1000</v>
      </c>
      <c r="G25" t="b">
        <v>0</v>
      </c>
      <c r="H25">
        <v>500</v>
      </c>
    </row>
    <row r="26" spans="1:8" x14ac:dyDescent="0.25">
      <c r="A26" t="s">
        <v>119</v>
      </c>
      <c r="B26">
        <v>23000</v>
      </c>
      <c r="C26">
        <v>11</v>
      </c>
      <c r="D26">
        <v>6</v>
      </c>
      <c r="E26">
        <v>20300</v>
      </c>
      <c r="F26">
        <v>1000</v>
      </c>
      <c r="G26" t="b">
        <v>0</v>
      </c>
      <c r="H26">
        <v>1</v>
      </c>
    </row>
    <row r="27" spans="1:8" x14ac:dyDescent="0.25">
      <c r="A27" t="s">
        <v>120</v>
      </c>
      <c r="B27">
        <v>120000</v>
      </c>
      <c r="C27">
        <v>18</v>
      </c>
      <c r="D27">
        <v>6</v>
      </c>
      <c r="E27">
        <v>98400</v>
      </c>
      <c r="F27">
        <v>5000</v>
      </c>
      <c r="G27" t="b">
        <v>0</v>
      </c>
      <c r="H27">
        <v>5</v>
      </c>
    </row>
    <row r="28" spans="1:8" x14ac:dyDescent="0.25">
      <c r="A28" t="s">
        <v>121</v>
      </c>
      <c r="B28">
        <v>8000</v>
      </c>
      <c r="C28">
        <v>15</v>
      </c>
      <c r="D28">
        <v>6</v>
      </c>
      <c r="E28">
        <v>6800</v>
      </c>
      <c r="F28">
        <v>500</v>
      </c>
      <c r="G28" t="b">
        <v>0</v>
      </c>
      <c r="H28">
        <v>500</v>
      </c>
    </row>
    <row r="29" spans="1:8" x14ac:dyDescent="0.25">
      <c r="A29" t="s">
        <v>122</v>
      </c>
      <c r="B29">
        <v>9400</v>
      </c>
      <c r="C29">
        <v>0</v>
      </c>
      <c r="D29">
        <v>1</v>
      </c>
      <c r="E29">
        <v>9400</v>
      </c>
      <c r="F29">
        <v>500</v>
      </c>
      <c r="G29" t="b">
        <v>0</v>
      </c>
      <c r="H29">
        <v>500</v>
      </c>
    </row>
    <row r="30" spans="1:8" x14ac:dyDescent="0.25">
      <c r="A30" t="s">
        <v>123</v>
      </c>
      <c r="B30">
        <v>125000</v>
      </c>
      <c r="C30">
        <v>8</v>
      </c>
      <c r="D30">
        <v>6</v>
      </c>
      <c r="E30">
        <v>114300</v>
      </c>
      <c r="F30">
        <v>5000</v>
      </c>
      <c r="G30" t="b">
        <v>0</v>
      </c>
      <c r="H30">
        <v>5</v>
      </c>
    </row>
    <row r="31" spans="1:8" x14ac:dyDescent="0.25">
      <c r="A31" t="s">
        <v>124</v>
      </c>
      <c r="B31">
        <v>5400</v>
      </c>
      <c r="C31">
        <v>5</v>
      </c>
      <c r="D31">
        <v>6</v>
      </c>
      <c r="E31">
        <v>5100</v>
      </c>
      <c r="F31">
        <v>200</v>
      </c>
      <c r="G31" t="b">
        <v>0</v>
      </c>
      <c r="H31">
        <v>200</v>
      </c>
    </row>
    <row r="32" spans="1:8" x14ac:dyDescent="0.25">
      <c r="A32" t="s">
        <v>125</v>
      </c>
      <c r="B32">
        <v>1500</v>
      </c>
      <c r="C32">
        <v>0</v>
      </c>
      <c r="D32">
        <v>3</v>
      </c>
      <c r="E32">
        <v>1500</v>
      </c>
      <c r="F32">
        <v>60</v>
      </c>
      <c r="G32" t="b">
        <v>0</v>
      </c>
      <c r="H32">
        <v>60</v>
      </c>
    </row>
    <row r="33" spans="1:8" x14ac:dyDescent="0.25">
      <c r="A33" t="s">
        <v>126</v>
      </c>
      <c r="B33">
        <v>2500</v>
      </c>
      <c r="C33">
        <v>8</v>
      </c>
      <c r="D33">
        <v>3</v>
      </c>
      <c r="E33">
        <v>2300</v>
      </c>
      <c r="F33">
        <v>100</v>
      </c>
      <c r="G33" t="b">
        <v>0</v>
      </c>
      <c r="H33">
        <v>100</v>
      </c>
    </row>
    <row r="34" spans="1:8" x14ac:dyDescent="0.25">
      <c r="A34" t="s">
        <v>127</v>
      </c>
      <c r="B34">
        <v>1500</v>
      </c>
      <c r="C34">
        <v>0</v>
      </c>
      <c r="D34">
        <v>6</v>
      </c>
      <c r="E34">
        <v>1500</v>
      </c>
      <c r="F34">
        <v>60</v>
      </c>
      <c r="G34" t="b">
        <v>0</v>
      </c>
      <c r="H34">
        <v>60</v>
      </c>
    </row>
    <row r="35" spans="1:8" x14ac:dyDescent="0.25">
      <c r="A35" t="s">
        <v>128</v>
      </c>
      <c r="B35">
        <v>31500</v>
      </c>
      <c r="C35">
        <v>1</v>
      </c>
      <c r="D35">
        <v>6</v>
      </c>
      <c r="E35">
        <v>30900</v>
      </c>
      <c r="F35">
        <v>500</v>
      </c>
      <c r="G35" t="b">
        <v>0</v>
      </c>
      <c r="H35">
        <v>500</v>
      </c>
    </row>
    <row r="36" spans="1:8" x14ac:dyDescent="0.25">
      <c r="A36" t="s">
        <v>129</v>
      </c>
      <c r="B36">
        <v>9200</v>
      </c>
      <c r="C36">
        <v>4</v>
      </c>
      <c r="D36">
        <v>4</v>
      </c>
      <c r="E36">
        <v>8800</v>
      </c>
      <c r="F36">
        <v>500</v>
      </c>
      <c r="G36" t="b">
        <v>0</v>
      </c>
      <c r="H36">
        <v>500</v>
      </c>
    </row>
    <row r="37" spans="1:8" x14ac:dyDescent="0.25">
      <c r="A37" t="s">
        <v>130</v>
      </c>
      <c r="B37">
        <v>6400</v>
      </c>
      <c r="C37">
        <v>0</v>
      </c>
      <c r="D37">
        <v>6</v>
      </c>
      <c r="E37">
        <v>6400</v>
      </c>
      <c r="F37">
        <v>1000</v>
      </c>
      <c r="G37" t="b">
        <v>0</v>
      </c>
      <c r="H37">
        <v>1</v>
      </c>
    </row>
    <row r="38" spans="1:8" x14ac:dyDescent="0.25">
      <c r="A38" t="s">
        <v>131</v>
      </c>
      <c r="B38">
        <v>1500</v>
      </c>
      <c r="C38">
        <v>0</v>
      </c>
      <c r="D38">
        <v>4</v>
      </c>
      <c r="E38">
        <v>1500</v>
      </c>
      <c r="F38">
        <v>100</v>
      </c>
      <c r="G38" t="b">
        <v>0</v>
      </c>
      <c r="H38">
        <v>100</v>
      </c>
    </row>
    <row r="39" spans="1:8" x14ac:dyDescent="0.25">
      <c r="A39" t="s">
        <v>132</v>
      </c>
      <c r="B39">
        <v>59800</v>
      </c>
      <c r="C39">
        <v>3</v>
      </c>
      <c r="D39">
        <v>6</v>
      </c>
      <c r="E39">
        <v>57900</v>
      </c>
      <c r="F39">
        <v>1000</v>
      </c>
      <c r="G39" t="b">
        <v>0</v>
      </c>
      <c r="H39">
        <v>1</v>
      </c>
    </row>
    <row r="40" spans="1:8" x14ac:dyDescent="0.25">
      <c r="A40" t="s">
        <v>133</v>
      </c>
      <c r="B40">
        <v>2000</v>
      </c>
      <c r="C40">
        <v>0</v>
      </c>
      <c r="D40">
        <v>1</v>
      </c>
      <c r="E40">
        <v>2000</v>
      </c>
      <c r="F40">
        <v>70</v>
      </c>
      <c r="G40" t="b">
        <v>0</v>
      </c>
      <c r="H40">
        <v>70</v>
      </c>
    </row>
    <row r="41" spans="1:8" x14ac:dyDescent="0.25">
      <c r="A41" t="s">
        <v>134</v>
      </c>
      <c r="B41">
        <v>6000</v>
      </c>
      <c r="C41">
        <v>0</v>
      </c>
      <c r="D41">
        <v>6</v>
      </c>
      <c r="E41">
        <v>6000</v>
      </c>
      <c r="F41">
        <v>1000</v>
      </c>
      <c r="G41" t="b">
        <v>0</v>
      </c>
      <c r="H41">
        <v>1</v>
      </c>
    </row>
    <row r="42" spans="1:8" x14ac:dyDescent="0.25">
      <c r="A42" t="s">
        <v>135</v>
      </c>
      <c r="B42">
        <v>21600</v>
      </c>
      <c r="C42">
        <v>7</v>
      </c>
      <c r="D42">
        <v>6</v>
      </c>
      <c r="E42">
        <v>19900</v>
      </c>
      <c r="F42">
        <v>1000</v>
      </c>
      <c r="G42" t="b">
        <v>0</v>
      </c>
      <c r="H42">
        <v>1</v>
      </c>
    </row>
    <row r="43" spans="1:8" x14ac:dyDescent="0.25">
      <c r="A43" t="s">
        <v>136</v>
      </c>
      <c r="B43">
        <v>1500</v>
      </c>
      <c r="C43">
        <v>0</v>
      </c>
      <c r="D43">
        <v>6</v>
      </c>
      <c r="E43">
        <v>1500</v>
      </c>
      <c r="F43">
        <v>38</v>
      </c>
      <c r="G43" t="b">
        <v>0</v>
      </c>
      <c r="H43">
        <v>38</v>
      </c>
    </row>
    <row r="44" spans="1:8" x14ac:dyDescent="0.25">
      <c r="A44" t="s">
        <v>137</v>
      </c>
      <c r="B44">
        <v>2300</v>
      </c>
      <c r="C44">
        <v>0</v>
      </c>
      <c r="D44">
        <v>6</v>
      </c>
      <c r="E44">
        <v>2300</v>
      </c>
      <c r="F44">
        <v>200</v>
      </c>
      <c r="G44" t="b">
        <v>0</v>
      </c>
      <c r="H44">
        <v>200</v>
      </c>
    </row>
    <row r="45" spans="1:8" x14ac:dyDescent="0.25">
      <c r="A45" t="s">
        <v>138</v>
      </c>
      <c r="B45">
        <v>7900</v>
      </c>
      <c r="C45">
        <v>0</v>
      </c>
      <c r="D45">
        <v>2</v>
      </c>
      <c r="E45">
        <v>7900</v>
      </c>
      <c r="F45">
        <v>400</v>
      </c>
      <c r="G45" t="b">
        <v>0</v>
      </c>
      <c r="H45">
        <v>400</v>
      </c>
    </row>
    <row r="46" spans="1:8" x14ac:dyDescent="0.25">
      <c r="A46" t="s">
        <v>139</v>
      </c>
      <c r="B46">
        <v>31500</v>
      </c>
      <c r="C46">
        <v>10</v>
      </c>
      <c r="D46">
        <v>6</v>
      </c>
      <c r="E46">
        <v>28300</v>
      </c>
      <c r="F46">
        <v>5000</v>
      </c>
      <c r="G46" t="b">
        <v>0</v>
      </c>
      <c r="H46">
        <v>5</v>
      </c>
    </row>
    <row r="47" spans="1:8" x14ac:dyDescent="0.25">
      <c r="A47" t="s">
        <v>134</v>
      </c>
      <c r="B47">
        <v>29500</v>
      </c>
      <c r="C47">
        <v>10</v>
      </c>
      <c r="D47">
        <v>6</v>
      </c>
      <c r="E47">
        <v>26500</v>
      </c>
      <c r="F47">
        <v>5000</v>
      </c>
      <c r="G47" t="b">
        <v>0</v>
      </c>
      <c r="H47">
        <v>5</v>
      </c>
    </row>
    <row r="48" spans="1:8" x14ac:dyDescent="0.25">
      <c r="A48" t="s">
        <v>140</v>
      </c>
      <c r="B48">
        <v>57900</v>
      </c>
      <c r="C48">
        <v>10</v>
      </c>
      <c r="D48">
        <v>6</v>
      </c>
      <c r="E48">
        <v>52100</v>
      </c>
      <c r="F48">
        <v>1000</v>
      </c>
      <c r="G48" t="b">
        <v>0</v>
      </c>
      <c r="H48">
        <v>1</v>
      </c>
    </row>
    <row r="49" spans="1:8" x14ac:dyDescent="0.25">
      <c r="A49" t="s">
        <v>141</v>
      </c>
      <c r="B49">
        <v>21000</v>
      </c>
      <c r="C49">
        <v>5</v>
      </c>
      <c r="D49">
        <v>6</v>
      </c>
      <c r="E49">
        <v>19900</v>
      </c>
      <c r="F49">
        <v>1000</v>
      </c>
      <c r="G49" t="b">
        <v>0</v>
      </c>
      <c r="H49">
        <v>1</v>
      </c>
    </row>
    <row r="50" spans="1:8" x14ac:dyDescent="0.25">
      <c r="A50" t="s">
        <v>142</v>
      </c>
      <c r="B50">
        <v>4000</v>
      </c>
      <c r="C50">
        <v>7</v>
      </c>
      <c r="D50">
        <v>3</v>
      </c>
      <c r="E50">
        <v>3700</v>
      </c>
      <c r="F50">
        <v>100</v>
      </c>
      <c r="G50" t="b">
        <v>0</v>
      </c>
      <c r="H50">
        <v>100</v>
      </c>
    </row>
    <row r="51" spans="1:8" x14ac:dyDescent="0.25">
      <c r="A51" t="s">
        <v>143</v>
      </c>
      <c r="B51">
        <v>1800</v>
      </c>
      <c r="C51">
        <v>0</v>
      </c>
      <c r="D51">
        <v>6</v>
      </c>
      <c r="E51">
        <v>1800</v>
      </c>
      <c r="F51">
        <v>100</v>
      </c>
      <c r="G51" t="b">
        <v>0</v>
      </c>
      <c r="H51">
        <v>100</v>
      </c>
    </row>
    <row r="52" spans="1:8" x14ac:dyDescent="0.25">
      <c r="A52" t="s">
        <v>144</v>
      </c>
      <c r="B52">
        <v>5600</v>
      </c>
      <c r="C52">
        <v>3</v>
      </c>
      <c r="D52">
        <v>4</v>
      </c>
      <c r="E52">
        <v>5400</v>
      </c>
      <c r="F52">
        <v>200</v>
      </c>
      <c r="G52" t="b">
        <v>0</v>
      </c>
      <c r="H52">
        <v>200</v>
      </c>
    </row>
    <row r="53" spans="1:8" x14ac:dyDescent="0.25">
      <c r="A53" t="s">
        <v>145</v>
      </c>
      <c r="B53">
        <v>124000</v>
      </c>
      <c r="C53">
        <v>0</v>
      </c>
      <c r="D53">
        <v>6</v>
      </c>
      <c r="E53">
        <v>124000</v>
      </c>
      <c r="F53">
        <v>5000</v>
      </c>
      <c r="G53" t="b">
        <v>0</v>
      </c>
      <c r="H53">
        <v>5</v>
      </c>
    </row>
    <row r="54" spans="1:8" x14ac:dyDescent="0.25">
      <c r="A54" t="s">
        <v>146</v>
      </c>
      <c r="B54">
        <v>12000</v>
      </c>
      <c r="C54">
        <v>1</v>
      </c>
      <c r="D54">
        <v>3</v>
      </c>
      <c r="E54">
        <v>11800</v>
      </c>
      <c r="F54">
        <v>240</v>
      </c>
      <c r="G54" t="b">
        <v>0</v>
      </c>
      <c r="H54">
        <v>240</v>
      </c>
    </row>
    <row r="55" spans="1:8" x14ac:dyDescent="0.25">
      <c r="A55" t="s">
        <v>147</v>
      </c>
      <c r="B55">
        <v>105000</v>
      </c>
      <c r="C55">
        <v>1</v>
      </c>
      <c r="D55">
        <v>6</v>
      </c>
      <c r="E55">
        <v>103900</v>
      </c>
      <c r="F55">
        <v>5000</v>
      </c>
      <c r="G55" t="b">
        <v>0</v>
      </c>
      <c r="H55">
        <v>5</v>
      </c>
    </row>
    <row r="56" spans="1:8" x14ac:dyDescent="0.25">
      <c r="A56" t="s">
        <v>148</v>
      </c>
      <c r="B56">
        <v>11000</v>
      </c>
      <c r="C56">
        <v>13</v>
      </c>
      <c r="D56">
        <v>4</v>
      </c>
      <c r="E56">
        <v>9500</v>
      </c>
      <c r="F56">
        <v>348</v>
      </c>
      <c r="G56" t="b">
        <v>0</v>
      </c>
      <c r="H56">
        <v>6</v>
      </c>
    </row>
    <row r="57" spans="1:8" x14ac:dyDescent="0.25">
      <c r="A57" t="s">
        <v>149</v>
      </c>
      <c r="B57">
        <v>58500</v>
      </c>
      <c r="C57">
        <v>21</v>
      </c>
      <c r="D57">
        <v>6</v>
      </c>
      <c r="E57">
        <v>46200</v>
      </c>
      <c r="F57">
        <v>5000</v>
      </c>
      <c r="G57" t="b">
        <v>0</v>
      </c>
      <c r="H57">
        <v>5</v>
      </c>
    </row>
    <row r="58" spans="1:8" x14ac:dyDescent="0.25">
      <c r="A58" t="s">
        <v>150</v>
      </c>
      <c r="B58">
        <v>17500</v>
      </c>
      <c r="C58">
        <v>0</v>
      </c>
      <c r="D58">
        <v>5</v>
      </c>
      <c r="E58">
        <v>17500</v>
      </c>
      <c r="F58">
        <v>1000</v>
      </c>
      <c r="G58" t="b">
        <v>0</v>
      </c>
      <c r="H58">
        <v>1</v>
      </c>
    </row>
    <row r="59" spans="1:8" x14ac:dyDescent="0.25">
      <c r="A59" t="s">
        <v>151</v>
      </c>
      <c r="B59">
        <v>7800</v>
      </c>
      <c r="C59">
        <v>7</v>
      </c>
      <c r="D59">
        <v>5</v>
      </c>
      <c r="E59">
        <v>7200</v>
      </c>
      <c r="F59">
        <v>100</v>
      </c>
      <c r="G59" t="b">
        <v>0</v>
      </c>
      <c r="H59">
        <v>100</v>
      </c>
    </row>
    <row r="60" spans="1:8" x14ac:dyDescent="0.25">
      <c r="A60" t="s">
        <v>152</v>
      </c>
      <c r="B60">
        <v>9000</v>
      </c>
      <c r="C60">
        <v>16</v>
      </c>
      <c r="D60">
        <v>6</v>
      </c>
      <c r="E60">
        <v>7500</v>
      </c>
      <c r="F60">
        <v>100</v>
      </c>
      <c r="G60" t="b">
        <v>0</v>
      </c>
      <c r="H60">
        <v>100</v>
      </c>
    </row>
    <row r="61" spans="1:8" x14ac:dyDescent="0.25">
      <c r="A61" t="s">
        <v>153</v>
      </c>
      <c r="B61">
        <v>21000</v>
      </c>
      <c r="C61">
        <v>1</v>
      </c>
      <c r="D61">
        <v>2</v>
      </c>
      <c r="E61">
        <v>20600</v>
      </c>
      <c r="F61">
        <v>1000</v>
      </c>
      <c r="G61" t="b">
        <v>0</v>
      </c>
      <c r="H61">
        <v>1</v>
      </c>
    </row>
    <row r="62" spans="1:8" x14ac:dyDescent="0.25">
      <c r="A62" t="s">
        <v>154</v>
      </c>
      <c r="B62">
        <v>29500</v>
      </c>
      <c r="C62">
        <v>4</v>
      </c>
      <c r="D62">
        <v>6</v>
      </c>
      <c r="E62">
        <v>28100</v>
      </c>
      <c r="F62">
        <v>500</v>
      </c>
      <c r="G62" t="b">
        <v>0</v>
      </c>
      <c r="H62">
        <v>500</v>
      </c>
    </row>
    <row r="63" spans="1:8" x14ac:dyDescent="0.25">
      <c r="A63" t="s">
        <v>155</v>
      </c>
      <c r="B63">
        <v>4000</v>
      </c>
      <c r="C63">
        <v>5</v>
      </c>
      <c r="D63">
        <v>3</v>
      </c>
      <c r="E63">
        <v>3800</v>
      </c>
      <c r="F63">
        <v>100</v>
      </c>
      <c r="G63" t="b">
        <v>0</v>
      </c>
      <c r="H63">
        <v>100</v>
      </c>
    </row>
    <row r="64" spans="1:8" x14ac:dyDescent="0.25">
      <c r="A64" t="s">
        <v>156</v>
      </c>
      <c r="B64">
        <v>3000</v>
      </c>
      <c r="C64">
        <v>3</v>
      </c>
      <c r="D64">
        <v>6</v>
      </c>
      <c r="E64">
        <v>2900</v>
      </c>
      <c r="F64">
        <v>100</v>
      </c>
      <c r="G64" t="b">
        <v>0</v>
      </c>
      <c r="H64">
        <v>100</v>
      </c>
    </row>
    <row r="65" spans="1:8" x14ac:dyDescent="0.25">
      <c r="A65" t="s">
        <v>157</v>
      </c>
      <c r="B65">
        <v>3700</v>
      </c>
      <c r="C65">
        <v>10</v>
      </c>
      <c r="D65">
        <v>4</v>
      </c>
      <c r="E65">
        <v>3300</v>
      </c>
      <c r="F65">
        <v>50</v>
      </c>
      <c r="G65" t="b">
        <v>0</v>
      </c>
      <c r="H65">
        <v>50</v>
      </c>
    </row>
    <row r="66" spans="1:8" x14ac:dyDescent="0.25">
      <c r="A66" t="s">
        <v>158</v>
      </c>
      <c r="B66">
        <v>9500</v>
      </c>
      <c r="C66">
        <v>6</v>
      </c>
      <c r="D66">
        <v>2</v>
      </c>
      <c r="E66">
        <v>8900</v>
      </c>
      <c r="F66">
        <v>1000</v>
      </c>
      <c r="G66" t="b">
        <v>0</v>
      </c>
      <c r="H66">
        <v>500</v>
      </c>
    </row>
    <row r="67" spans="1:8" x14ac:dyDescent="0.25">
      <c r="A67" t="s">
        <v>159</v>
      </c>
      <c r="B67">
        <v>11200</v>
      </c>
      <c r="C67">
        <v>2</v>
      </c>
      <c r="D67">
        <v>6</v>
      </c>
      <c r="E67">
        <v>10900</v>
      </c>
      <c r="F67">
        <v>400</v>
      </c>
      <c r="G67" t="b">
        <v>0</v>
      </c>
      <c r="H67">
        <v>400</v>
      </c>
    </row>
    <row r="68" spans="1:8" x14ac:dyDescent="0.25">
      <c r="A68" t="s">
        <v>160</v>
      </c>
      <c r="B68">
        <v>45000</v>
      </c>
      <c r="C68">
        <v>16</v>
      </c>
      <c r="D68">
        <v>6</v>
      </c>
      <c r="E68">
        <v>37500</v>
      </c>
      <c r="F68">
        <v>10000</v>
      </c>
      <c r="G68" t="b">
        <v>0</v>
      </c>
      <c r="H68">
        <v>10</v>
      </c>
    </row>
    <row r="69" spans="1:8" x14ac:dyDescent="0.25">
      <c r="A69" t="s">
        <v>161</v>
      </c>
      <c r="B69">
        <v>3900</v>
      </c>
      <c r="C69">
        <v>2</v>
      </c>
      <c r="D69">
        <v>1</v>
      </c>
      <c r="E69">
        <v>3800</v>
      </c>
      <c r="F69">
        <v>50</v>
      </c>
      <c r="G69" t="b">
        <v>0</v>
      </c>
      <c r="H69">
        <v>50</v>
      </c>
    </row>
    <row r="70" spans="1:8" x14ac:dyDescent="0.25">
      <c r="A70" t="s">
        <v>162</v>
      </c>
      <c r="B70">
        <v>20500</v>
      </c>
      <c r="C70">
        <v>7</v>
      </c>
      <c r="D70">
        <v>6</v>
      </c>
      <c r="E70">
        <v>19000</v>
      </c>
      <c r="F70">
        <v>1000</v>
      </c>
      <c r="G70" t="b">
        <v>0</v>
      </c>
      <c r="H70">
        <v>1</v>
      </c>
    </row>
    <row r="71" spans="1:8" x14ac:dyDescent="0.25">
      <c r="A71" t="s">
        <v>163</v>
      </c>
      <c r="B71">
        <v>40000</v>
      </c>
      <c r="C71">
        <v>25</v>
      </c>
      <c r="D71">
        <v>1</v>
      </c>
      <c r="E71">
        <v>29900</v>
      </c>
      <c r="F71">
        <v>250</v>
      </c>
      <c r="G71" t="b">
        <v>0</v>
      </c>
      <c r="H71">
        <v>250</v>
      </c>
    </row>
    <row r="72" spans="1:8" x14ac:dyDescent="0.25">
      <c r="A72" t="s">
        <v>164</v>
      </c>
      <c r="B72">
        <v>7000</v>
      </c>
      <c r="C72">
        <v>14</v>
      </c>
      <c r="D72">
        <v>6</v>
      </c>
      <c r="E72">
        <v>6000</v>
      </c>
      <c r="F72">
        <v>50</v>
      </c>
      <c r="G72" t="b">
        <v>0</v>
      </c>
      <c r="H72">
        <v>50</v>
      </c>
    </row>
    <row r="73" spans="1:8" x14ac:dyDescent="0.25">
      <c r="A73" t="s">
        <v>165</v>
      </c>
      <c r="B73">
        <v>35000</v>
      </c>
      <c r="C73">
        <v>28</v>
      </c>
      <c r="D73">
        <v>6</v>
      </c>
      <c r="E73">
        <v>25100</v>
      </c>
      <c r="F73">
        <v>250</v>
      </c>
      <c r="G73" t="b">
        <v>0</v>
      </c>
      <c r="H73">
        <v>250</v>
      </c>
    </row>
    <row r="74" spans="1:8" x14ac:dyDescent="0.25">
      <c r="A74" t="s">
        <v>166</v>
      </c>
      <c r="B74">
        <v>2500</v>
      </c>
      <c r="C74">
        <v>0</v>
      </c>
      <c r="D74">
        <v>4</v>
      </c>
      <c r="E74">
        <v>2500</v>
      </c>
      <c r="F74">
        <v>50</v>
      </c>
      <c r="G74" t="b">
        <v>0</v>
      </c>
      <c r="H74">
        <v>50</v>
      </c>
    </row>
    <row r="75" spans="1:8" x14ac:dyDescent="0.25">
      <c r="A75" t="s">
        <v>167</v>
      </c>
      <c r="B75">
        <v>23500</v>
      </c>
      <c r="C75">
        <v>9</v>
      </c>
      <c r="D75">
        <v>6</v>
      </c>
      <c r="E75">
        <v>21200</v>
      </c>
      <c r="F75">
        <v>500</v>
      </c>
      <c r="G75" t="b">
        <v>0</v>
      </c>
      <c r="H75">
        <v>500</v>
      </c>
    </row>
    <row r="76" spans="1:8" x14ac:dyDescent="0.25">
      <c r="A76" t="s">
        <v>168</v>
      </c>
      <c r="B76">
        <v>8500</v>
      </c>
      <c r="C76">
        <v>9</v>
      </c>
      <c r="D76">
        <v>6</v>
      </c>
      <c r="E76">
        <v>7700</v>
      </c>
      <c r="F76">
        <v>500</v>
      </c>
      <c r="G76" t="b">
        <v>0</v>
      </c>
      <c r="H76">
        <v>500</v>
      </c>
    </row>
    <row r="77" spans="1:8" x14ac:dyDescent="0.25">
      <c r="A77" t="s">
        <v>160</v>
      </c>
      <c r="B77">
        <v>5200</v>
      </c>
      <c r="C77">
        <v>0</v>
      </c>
      <c r="D77">
        <v>4</v>
      </c>
      <c r="E77">
        <v>5200</v>
      </c>
      <c r="F77">
        <v>1000</v>
      </c>
      <c r="G77" t="b">
        <v>0</v>
      </c>
      <c r="H77">
        <v>1</v>
      </c>
    </row>
    <row r="78" spans="1:8" x14ac:dyDescent="0.25">
      <c r="A78" t="s">
        <v>169</v>
      </c>
      <c r="B78">
        <v>4500</v>
      </c>
      <c r="C78">
        <v>2</v>
      </c>
      <c r="D78">
        <v>6</v>
      </c>
      <c r="E78">
        <v>4400</v>
      </c>
      <c r="F78">
        <v>100</v>
      </c>
      <c r="G78" t="b">
        <v>0</v>
      </c>
      <c r="H78">
        <v>100</v>
      </c>
    </row>
    <row r="79" spans="1:8" x14ac:dyDescent="0.25">
      <c r="A79" t="s">
        <v>170</v>
      </c>
      <c r="B79">
        <v>3500</v>
      </c>
      <c r="C79">
        <v>2</v>
      </c>
      <c r="D79">
        <v>3</v>
      </c>
      <c r="E79">
        <v>3400</v>
      </c>
      <c r="F79">
        <v>500</v>
      </c>
      <c r="G79" t="b">
        <v>0</v>
      </c>
      <c r="H79">
        <v>500</v>
      </c>
    </row>
    <row r="80" spans="1:8" x14ac:dyDescent="0.25">
      <c r="A80" t="s">
        <v>171</v>
      </c>
      <c r="B80">
        <v>24500</v>
      </c>
      <c r="C80">
        <v>29</v>
      </c>
      <c r="D80">
        <v>6</v>
      </c>
      <c r="E80">
        <v>17200</v>
      </c>
      <c r="F80">
        <v>200</v>
      </c>
      <c r="G80" t="b">
        <v>0</v>
      </c>
      <c r="H80">
        <v>200</v>
      </c>
    </row>
    <row r="81" spans="1:8" x14ac:dyDescent="0.25">
      <c r="A81" t="s">
        <v>172</v>
      </c>
      <c r="B81">
        <v>10100</v>
      </c>
      <c r="C81">
        <v>6</v>
      </c>
      <c r="D81">
        <v>4</v>
      </c>
      <c r="E81">
        <v>9400</v>
      </c>
      <c r="F81">
        <v>500</v>
      </c>
      <c r="G81" t="b">
        <v>0</v>
      </c>
      <c r="H81">
        <v>500</v>
      </c>
    </row>
    <row r="82" spans="1:8" x14ac:dyDescent="0.25">
      <c r="A82" t="s">
        <v>173</v>
      </c>
      <c r="B82">
        <v>32500</v>
      </c>
      <c r="C82">
        <v>12</v>
      </c>
      <c r="D82">
        <v>6</v>
      </c>
      <c r="E82">
        <v>28300</v>
      </c>
      <c r="F82">
        <v>250</v>
      </c>
      <c r="G82" t="b">
        <v>0</v>
      </c>
      <c r="H82">
        <v>250</v>
      </c>
    </row>
    <row r="83" spans="1:8" x14ac:dyDescent="0.25">
      <c r="A83" t="s">
        <v>174</v>
      </c>
      <c r="B83">
        <v>6000</v>
      </c>
      <c r="C83">
        <v>10</v>
      </c>
      <c r="D83">
        <v>6</v>
      </c>
      <c r="E83">
        <v>5400</v>
      </c>
      <c r="F83">
        <v>500</v>
      </c>
      <c r="G83" t="b">
        <v>0</v>
      </c>
      <c r="H83">
        <v>500</v>
      </c>
    </row>
    <row r="84" spans="1:8" x14ac:dyDescent="0.25">
      <c r="A84" t="s">
        <v>175</v>
      </c>
      <c r="B84">
        <v>13400</v>
      </c>
      <c r="C84">
        <v>6</v>
      </c>
      <c r="D84">
        <v>6</v>
      </c>
      <c r="E84">
        <v>12500</v>
      </c>
      <c r="F84">
        <v>500</v>
      </c>
      <c r="G84" t="b">
        <v>0</v>
      </c>
      <c r="H84">
        <v>500</v>
      </c>
    </row>
    <row r="85" spans="1:8" x14ac:dyDescent="0.25">
      <c r="A85" t="s">
        <v>151</v>
      </c>
      <c r="B85">
        <v>4200</v>
      </c>
      <c r="C85">
        <v>2</v>
      </c>
      <c r="D85">
        <v>2</v>
      </c>
      <c r="E85">
        <v>4100</v>
      </c>
      <c r="F85">
        <v>50</v>
      </c>
      <c r="G85" t="b">
        <v>0</v>
      </c>
      <c r="H85">
        <v>50</v>
      </c>
    </row>
    <row r="86" spans="1:8" x14ac:dyDescent="0.25">
      <c r="A86" t="s">
        <v>176</v>
      </c>
      <c r="B86">
        <v>7000</v>
      </c>
      <c r="C86">
        <v>14</v>
      </c>
      <c r="D86">
        <v>2</v>
      </c>
      <c r="E86">
        <v>6000</v>
      </c>
      <c r="F86">
        <v>100</v>
      </c>
      <c r="G86" t="b">
        <v>0</v>
      </c>
      <c r="H86">
        <v>100</v>
      </c>
    </row>
    <row r="87" spans="1:8" x14ac:dyDescent="0.25">
      <c r="A87" t="s">
        <v>177</v>
      </c>
      <c r="B87">
        <v>7000</v>
      </c>
      <c r="C87">
        <v>7</v>
      </c>
      <c r="D87">
        <v>2</v>
      </c>
      <c r="E87">
        <v>6500</v>
      </c>
      <c r="F87">
        <v>100</v>
      </c>
      <c r="G87" t="b">
        <v>0</v>
      </c>
      <c r="H87">
        <v>100</v>
      </c>
    </row>
    <row r="88" spans="1:8" x14ac:dyDescent="0.25">
      <c r="A88" t="s">
        <v>178</v>
      </c>
      <c r="B88">
        <v>13200</v>
      </c>
      <c r="C88">
        <v>3</v>
      </c>
      <c r="D88">
        <v>6</v>
      </c>
      <c r="E88">
        <v>12800</v>
      </c>
      <c r="F88">
        <v>400</v>
      </c>
      <c r="G88" t="b">
        <v>0</v>
      </c>
      <c r="H88">
        <v>400</v>
      </c>
    </row>
    <row r="89" spans="1:8" x14ac:dyDescent="0.25">
      <c r="A89" t="s">
        <v>179</v>
      </c>
      <c r="B89">
        <v>6500</v>
      </c>
      <c r="C89">
        <v>9</v>
      </c>
      <c r="D89">
        <v>6</v>
      </c>
      <c r="E89">
        <v>5900</v>
      </c>
      <c r="F89">
        <v>1000</v>
      </c>
      <c r="G89" t="b">
        <v>0</v>
      </c>
      <c r="H89">
        <v>1</v>
      </c>
    </row>
    <row r="90" spans="1:8" x14ac:dyDescent="0.25">
      <c r="A90" t="s">
        <v>180</v>
      </c>
      <c r="B90">
        <v>26000</v>
      </c>
      <c r="C90">
        <v>20</v>
      </c>
      <c r="D90">
        <v>6</v>
      </c>
      <c r="E90">
        <v>20800</v>
      </c>
      <c r="F90">
        <v>1000</v>
      </c>
      <c r="G90" t="b">
        <v>0</v>
      </c>
      <c r="H90">
        <v>1</v>
      </c>
    </row>
    <row r="91" spans="1:8" x14ac:dyDescent="0.25">
      <c r="A91" t="s">
        <v>181</v>
      </c>
      <c r="B91">
        <v>9900</v>
      </c>
      <c r="C91">
        <v>10</v>
      </c>
      <c r="D91">
        <v>6</v>
      </c>
      <c r="E91">
        <v>8900</v>
      </c>
      <c r="F91">
        <v>200</v>
      </c>
      <c r="G91" t="b">
        <v>0</v>
      </c>
      <c r="H91">
        <v>200</v>
      </c>
    </row>
    <row r="92" spans="1:8" x14ac:dyDescent="0.25">
      <c r="A92" t="s">
        <v>182</v>
      </c>
      <c r="B92">
        <v>6500</v>
      </c>
      <c r="C92">
        <v>10</v>
      </c>
      <c r="D92">
        <v>3</v>
      </c>
      <c r="E92">
        <v>5800</v>
      </c>
      <c r="F92">
        <v>500</v>
      </c>
      <c r="G92" t="b">
        <v>0</v>
      </c>
      <c r="H92">
        <v>500</v>
      </c>
    </row>
    <row r="93" spans="1:8" x14ac:dyDescent="0.25">
      <c r="A93" t="s">
        <v>183</v>
      </c>
      <c r="B93">
        <v>13500</v>
      </c>
      <c r="C93">
        <v>7</v>
      </c>
      <c r="D93">
        <v>1</v>
      </c>
      <c r="E93">
        <v>12500</v>
      </c>
      <c r="F93">
        <v>500</v>
      </c>
      <c r="G93" t="b">
        <v>0</v>
      </c>
      <c r="H93">
        <v>500</v>
      </c>
    </row>
    <row r="94" spans="1:8" x14ac:dyDescent="0.25">
      <c r="A94" t="s">
        <v>184</v>
      </c>
      <c r="B94">
        <v>9000</v>
      </c>
      <c r="C94">
        <v>10</v>
      </c>
      <c r="D94">
        <v>2</v>
      </c>
      <c r="E94">
        <v>8100</v>
      </c>
      <c r="F94">
        <v>50</v>
      </c>
      <c r="G94" t="b">
        <v>0</v>
      </c>
      <c r="H94">
        <v>50</v>
      </c>
    </row>
    <row r="95" spans="1:8" x14ac:dyDescent="0.25">
      <c r="A95" t="s">
        <v>185</v>
      </c>
      <c r="B95">
        <v>13500</v>
      </c>
      <c r="C95">
        <v>14</v>
      </c>
      <c r="D95">
        <v>6</v>
      </c>
      <c r="E95">
        <v>11500</v>
      </c>
      <c r="F95">
        <v>100</v>
      </c>
      <c r="G95" t="b">
        <v>0</v>
      </c>
      <c r="H95">
        <v>100</v>
      </c>
    </row>
    <row r="96" spans="1:8" x14ac:dyDescent="0.25">
      <c r="A96" t="s">
        <v>186</v>
      </c>
      <c r="B96">
        <v>15000</v>
      </c>
      <c r="C96">
        <v>10</v>
      </c>
      <c r="D96">
        <v>4</v>
      </c>
      <c r="E96">
        <v>13400</v>
      </c>
      <c r="F96">
        <v>1000</v>
      </c>
      <c r="G96" t="b">
        <v>0</v>
      </c>
      <c r="H96">
        <v>1</v>
      </c>
    </row>
    <row r="97" spans="1:8" x14ac:dyDescent="0.25">
      <c r="A97" t="s">
        <v>187</v>
      </c>
      <c r="B97">
        <v>9500</v>
      </c>
      <c r="C97">
        <v>7</v>
      </c>
      <c r="D97">
        <v>5</v>
      </c>
      <c r="E97">
        <v>8800</v>
      </c>
      <c r="F97">
        <v>500</v>
      </c>
      <c r="G97" t="b">
        <v>0</v>
      </c>
      <c r="H97">
        <v>500</v>
      </c>
    </row>
    <row r="98" spans="1:8" x14ac:dyDescent="0.25">
      <c r="A98" t="s">
        <v>138</v>
      </c>
      <c r="B98">
        <v>19900</v>
      </c>
      <c r="C98">
        <v>7</v>
      </c>
      <c r="D98">
        <v>6</v>
      </c>
      <c r="E98">
        <v>18400</v>
      </c>
      <c r="F98">
        <v>1000</v>
      </c>
      <c r="G98" t="b">
        <v>0</v>
      </c>
      <c r="H98">
        <v>1</v>
      </c>
    </row>
    <row r="99" spans="1:8" x14ac:dyDescent="0.25">
      <c r="A99" t="s">
        <v>188</v>
      </c>
      <c r="B99">
        <v>48500</v>
      </c>
      <c r="C99">
        <v>7</v>
      </c>
      <c r="D99">
        <v>6</v>
      </c>
      <c r="E99">
        <v>44900</v>
      </c>
      <c r="F99">
        <v>2000</v>
      </c>
      <c r="G99" t="b">
        <v>0</v>
      </c>
      <c r="H99">
        <v>2</v>
      </c>
    </row>
    <row r="100" spans="1:8" x14ac:dyDescent="0.25">
      <c r="A100" t="s">
        <v>189</v>
      </c>
      <c r="B100">
        <v>21000</v>
      </c>
      <c r="C100">
        <v>0</v>
      </c>
      <c r="D100">
        <v>4</v>
      </c>
      <c r="E100">
        <v>21000</v>
      </c>
      <c r="F100">
        <v>400</v>
      </c>
      <c r="G100" t="b">
        <v>0</v>
      </c>
      <c r="H100">
        <v>400</v>
      </c>
    </row>
    <row r="101" spans="1:8" x14ac:dyDescent="0.25">
      <c r="A101" t="s">
        <v>190</v>
      </c>
      <c r="B101">
        <v>7500</v>
      </c>
      <c r="C101">
        <v>8</v>
      </c>
      <c r="D101">
        <v>1</v>
      </c>
      <c r="E101">
        <v>6900</v>
      </c>
      <c r="F101">
        <v>500</v>
      </c>
      <c r="G101" t="b">
        <v>0</v>
      </c>
      <c r="H101">
        <v>500</v>
      </c>
    </row>
    <row r="102" spans="1:8" x14ac:dyDescent="0.25">
      <c r="A102" t="s">
        <v>191</v>
      </c>
      <c r="B102">
        <v>9800</v>
      </c>
      <c r="C102">
        <v>9</v>
      </c>
      <c r="D102">
        <v>5</v>
      </c>
      <c r="E102">
        <v>8900</v>
      </c>
      <c r="F102">
        <v>100</v>
      </c>
      <c r="G102" t="b">
        <v>0</v>
      </c>
      <c r="H102">
        <v>100</v>
      </c>
    </row>
    <row r="103" spans="1:8" x14ac:dyDescent="0.25">
      <c r="A103" t="s">
        <v>192</v>
      </c>
      <c r="B103">
        <v>9400</v>
      </c>
      <c r="C103">
        <v>4</v>
      </c>
      <c r="D103">
        <v>6</v>
      </c>
      <c r="E103">
        <v>9000</v>
      </c>
      <c r="F103">
        <v>500</v>
      </c>
      <c r="G103" t="b">
        <v>0</v>
      </c>
      <c r="H103">
        <v>500</v>
      </c>
    </row>
    <row r="104" spans="1:8" x14ac:dyDescent="0.25">
      <c r="A104" t="s">
        <v>193</v>
      </c>
      <c r="B104">
        <v>3000</v>
      </c>
      <c r="C104">
        <v>6</v>
      </c>
      <c r="D104">
        <v>6</v>
      </c>
      <c r="E104">
        <v>2800</v>
      </c>
      <c r="F104">
        <v>500</v>
      </c>
      <c r="G104" t="b">
        <v>0</v>
      </c>
      <c r="H104">
        <v>500</v>
      </c>
    </row>
    <row r="105" spans="1:8" x14ac:dyDescent="0.25">
      <c r="A105" t="s">
        <v>194</v>
      </c>
      <c r="B105">
        <v>9500</v>
      </c>
      <c r="C105">
        <v>9</v>
      </c>
      <c r="D105">
        <v>6</v>
      </c>
      <c r="E105">
        <v>8600</v>
      </c>
      <c r="F105">
        <v>200</v>
      </c>
      <c r="G105" t="b">
        <v>0</v>
      </c>
      <c r="H105">
        <v>200</v>
      </c>
    </row>
    <row r="106" spans="1:8" x14ac:dyDescent="0.25">
      <c r="A106" t="s">
        <v>195</v>
      </c>
      <c r="B106">
        <v>6000</v>
      </c>
      <c r="C106">
        <v>28</v>
      </c>
      <c r="D106">
        <v>3</v>
      </c>
      <c r="E106">
        <v>4300</v>
      </c>
      <c r="F106">
        <v>260</v>
      </c>
      <c r="G106" t="b">
        <v>0</v>
      </c>
      <c r="H106">
        <v>260</v>
      </c>
    </row>
    <row r="107" spans="1:8" x14ac:dyDescent="0.25">
      <c r="A107" t="s">
        <v>196</v>
      </c>
      <c r="B107">
        <v>16000</v>
      </c>
      <c r="C107">
        <v>50</v>
      </c>
      <c r="D107">
        <v>6</v>
      </c>
      <c r="E107">
        <v>8000</v>
      </c>
      <c r="F107">
        <v>500</v>
      </c>
      <c r="G107" t="b">
        <v>0</v>
      </c>
      <c r="H107">
        <v>500</v>
      </c>
    </row>
    <row r="108" spans="1:8" x14ac:dyDescent="0.25">
      <c r="A108" t="s">
        <v>197</v>
      </c>
      <c r="B108">
        <v>2500</v>
      </c>
      <c r="C108">
        <v>20</v>
      </c>
      <c r="D108">
        <v>6</v>
      </c>
      <c r="E108">
        <v>2000</v>
      </c>
      <c r="F108">
        <v>60</v>
      </c>
      <c r="G108" t="b">
        <v>0</v>
      </c>
      <c r="H108">
        <v>60</v>
      </c>
    </row>
    <row r="109" spans="1:8" x14ac:dyDescent="0.25">
      <c r="A109" t="s">
        <v>198</v>
      </c>
      <c r="B109">
        <v>11300</v>
      </c>
      <c r="C109">
        <v>10</v>
      </c>
      <c r="D109">
        <v>5</v>
      </c>
      <c r="E109">
        <v>10100</v>
      </c>
      <c r="F109">
        <v>200</v>
      </c>
      <c r="G109" t="b">
        <v>0</v>
      </c>
      <c r="H109">
        <v>200</v>
      </c>
    </row>
    <row r="110" spans="1:8" x14ac:dyDescent="0.25">
      <c r="A110" t="s">
        <v>199</v>
      </c>
      <c r="B110">
        <v>11000</v>
      </c>
      <c r="C110">
        <v>4</v>
      </c>
      <c r="D110">
        <v>6</v>
      </c>
      <c r="E110">
        <v>10500</v>
      </c>
      <c r="F110">
        <v>250</v>
      </c>
      <c r="G110" t="b">
        <v>0</v>
      </c>
      <c r="H110">
        <v>500</v>
      </c>
    </row>
    <row r="111" spans="1:8" x14ac:dyDescent="0.25">
      <c r="A111" t="s">
        <v>200</v>
      </c>
      <c r="B111">
        <v>25000</v>
      </c>
      <c r="C111">
        <v>0</v>
      </c>
      <c r="D111">
        <v>3</v>
      </c>
      <c r="E111">
        <v>25000</v>
      </c>
      <c r="F111">
        <v>500</v>
      </c>
      <c r="G111" t="b">
        <v>0</v>
      </c>
      <c r="H111">
        <v>500</v>
      </c>
    </row>
    <row r="112" spans="1:8" x14ac:dyDescent="0.25">
      <c r="A112" t="s">
        <v>201</v>
      </c>
      <c r="B112">
        <v>13500</v>
      </c>
      <c r="C112">
        <v>0</v>
      </c>
      <c r="D112">
        <v>2</v>
      </c>
      <c r="E112">
        <v>13500</v>
      </c>
      <c r="F112">
        <v>500</v>
      </c>
      <c r="G112" t="b">
        <v>0</v>
      </c>
      <c r="H112">
        <v>500</v>
      </c>
    </row>
    <row r="113" spans="1:8" x14ac:dyDescent="0.25">
      <c r="A113" t="s">
        <v>202</v>
      </c>
      <c r="B113">
        <v>3700</v>
      </c>
      <c r="C113">
        <v>0</v>
      </c>
      <c r="D113">
        <v>6</v>
      </c>
      <c r="E113">
        <v>3700</v>
      </c>
      <c r="F113">
        <v>100</v>
      </c>
      <c r="G113" t="b">
        <v>0</v>
      </c>
      <c r="H113">
        <v>100</v>
      </c>
    </row>
    <row r="114" spans="1:8" x14ac:dyDescent="0.25">
      <c r="A114" t="s">
        <v>203</v>
      </c>
      <c r="B114">
        <v>18000</v>
      </c>
      <c r="C114">
        <v>1</v>
      </c>
      <c r="D114">
        <v>5</v>
      </c>
      <c r="E114">
        <v>17800</v>
      </c>
      <c r="F114">
        <v>1000</v>
      </c>
      <c r="G114" t="b">
        <v>0</v>
      </c>
      <c r="H114">
        <v>200</v>
      </c>
    </row>
    <row r="115" spans="1:8" x14ac:dyDescent="0.25">
      <c r="A115" t="s">
        <v>204</v>
      </c>
      <c r="B115">
        <v>6400</v>
      </c>
      <c r="C115">
        <v>0</v>
      </c>
      <c r="D115">
        <v>5</v>
      </c>
      <c r="E115">
        <v>6400</v>
      </c>
      <c r="F115">
        <v>500</v>
      </c>
      <c r="G115" t="b">
        <v>0</v>
      </c>
      <c r="H115">
        <v>500</v>
      </c>
    </row>
    <row r="116" spans="1:8" x14ac:dyDescent="0.25">
      <c r="A116" t="s">
        <v>205</v>
      </c>
      <c r="B116">
        <v>5000</v>
      </c>
      <c r="C116">
        <v>0</v>
      </c>
      <c r="D116">
        <v>2</v>
      </c>
      <c r="E116">
        <v>5000</v>
      </c>
      <c r="F116">
        <v>200</v>
      </c>
      <c r="G116" t="b">
        <v>0</v>
      </c>
      <c r="H116">
        <v>200</v>
      </c>
    </row>
    <row r="117" spans="1:8" x14ac:dyDescent="0.25">
      <c r="A117" t="s">
        <v>206</v>
      </c>
      <c r="B117">
        <v>8000</v>
      </c>
      <c r="C117">
        <v>10</v>
      </c>
      <c r="D117">
        <v>6</v>
      </c>
      <c r="E117">
        <v>7200</v>
      </c>
      <c r="F117">
        <v>500</v>
      </c>
      <c r="G117" t="b">
        <v>0</v>
      </c>
      <c r="H117">
        <v>500</v>
      </c>
    </row>
    <row r="118" spans="1:8" x14ac:dyDescent="0.25">
      <c r="A118" t="s">
        <v>207</v>
      </c>
      <c r="B118">
        <v>20000</v>
      </c>
      <c r="C118">
        <v>1</v>
      </c>
      <c r="D118">
        <v>6</v>
      </c>
      <c r="E118">
        <v>19800</v>
      </c>
      <c r="F118">
        <v>50</v>
      </c>
      <c r="G118" t="b">
        <v>0</v>
      </c>
      <c r="H118">
        <v>50</v>
      </c>
    </row>
    <row r="119" spans="1:8" x14ac:dyDescent="0.25">
      <c r="A119" t="s">
        <v>208</v>
      </c>
      <c r="B119">
        <v>9500</v>
      </c>
      <c r="C119">
        <v>0</v>
      </c>
      <c r="D119">
        <v>1</v>
      </c>
      <c r="E119">
        <v>9500</v>
      </c>
      <c r="F119">
        <v>200</v>
      </c>
      <c r="G119" t="b">
        <v>0</v>
      </c>
      <c r="H119">
        <v>200</v>
      </c>
    </row>
    <row r="120" spans="1:8" x14ac:dyDescent="0.25">
      <c r="A120" t="s">
        <v>209</v>
      </c>
      <c r="B120">
        <v>19000</v>
      </c>
      <c r="C120">
        <v>11</v>
      </c>
      <c r="D120">
        <v>4</v>
      </c>
      <c r="E120">
        <v>16900</v>
      </c>
      <c r="F120">
        <v>100</v>
      </c>
      <c r="G120" t="b">
        <v>0</v>
      </c>
      <c r="H120">
        <v>100</v>
      </c>
    </row>
    <row r="121" spans="1:8" x14ac:dyDescent="0.25">
      <c r="A121" t="s">
        <v>210</v>
      </c>
      <c r="B121">
        <v>2000</v>
      </c>
      <c r="C121">
        <v>0</v>
      </c>
      <c r="D121">
        <v>2</v>
      </c>
      <c r="E121">
        <v>2000</v>
      </c>
      <c r="F121">
        <v>100</v>
      </c>
      <c r="G121" t="b">
        <v>0</v>
      </c>
      <c r="H121">
        <v>100</v>
      </c>
    </row>
    <row r="122" spans="1:8" x14ac:dyDescent="0.25">
      <c r="A122" t="s">
        <v>211</v>
      </c>
      <c r="B122">
        <v>3300</v>
      </c>
      <c r="C122">
        <v>3</v>
      </c>
      <c r="D122">
        <v>6</v>
      </c>
      <c r="E122">
        <v>3200</v>
      </c>
      <c r="F122">
        <v>100</v>
      </c>
      <c r="G122" t="b">
        <v>0</v>
      </c>
      <c r="H122">
        <v>100</v>
      </c>
    </row>
    <row r="123" spans="1:8" x14ac:dyDescent="0.25">
      <c r="A123" t="s">
        <v>212</v>
      </c>
      <c r="B123">
        <v>18500</v>
      </c>
      <c r="C123">
        <v>9</v>
      </c>
      <c r="D123">
        <v>6</v>
      </c>
      <c r="E123">
        <v>16700</v>
      </c>
      <c r="F123">
        <v>225</v>
      </c>
      <c r="G123" t="b">
        <v>0</v>
      </c>
      <c r="H123">
        <v>225</v>
      </c>
    </row>
    <row r="124" spans="1:8" x14ac:dyDescent="0.25">
      <c r="A124" t="s">
        <v>213</v>
      </c>
      <c r="B124">
        <v>9100</v>
      </c>
      <c r="C124">
        <v>14</v>
      </c>
      <c r="D124">
        <v>6</v>
      </c>
      <c r="E124">
        <v>7800</v>
      </c>
      <c r="F124">
        <v>500</v>
      </c>
      <c r="G124" t="b">
        <v>0</v>
      </c>
      <c r="H124">
        <v>500</v>
      </c>
    </row>
    <row r="125" spans="1:8" x14ac:dyDescent="0.25">
      <c r="A125" t="s">
        <v>176</v>
      </c>
      <c r="B125">
        <v>3700</v>
      </c>
      <c r="C125">
        <v>2</v>
      </c>
      <c r="D125">
        <v>6</v>
      </c>
      <c r="E125">
        <v>3600</v>
      </c>
      <c r="F125">
        <v>50</v>
      </c>
      <c r="G125" t="b">
        <v>0</v>
      </c>
      <c r="H125">
        <v>50</v>
      </c>
    </row>
    <row r="126" spans="1:8" x14ac:dyDescent="0.25">
      <c r="A126" t="s">
        <v>214</v>
      </c>
      <c r="B126">
        <v>16000</v>
      </c>
      <c r="C126">
        <v>50</v>
      </c>
      <c r="D126">
        <v>6</v>
      </c>
      <c r="E126">
        <v>8000</v>
      </c>
      <c r="F126">
        <v>500</v>
      </c>
      <c r="G126" t="b">
        <v>0</v>
      </c>
      <c r="H126">
        <v>500</v>
      </c>
    </row>
    <row r="127" spans="1:8" x14ac:dyDescent="0.25">
      <c r="A127" t="s">
        <v>215</v>
      </c>
      <c r="B127">
        <v>18000</v>
      </c>
      <c r="C127">
        <v>10</v>
      </c>
      <c r="D127">
        <v>2</v>
      </c>
      <c r="E127">
        <v>16200</v>
      </c>
      <c r="F127">
        <v>500</v>
      </c>
      <c r="G127" t="b">
        <v>0</v>
      </c>
      <c r="H127">
        <v>500</v>
      </c>
    </row>
    <row r="128" spans="1:8" x14ac:dyDescent="0.25">
      <c r="A128" t="s">
        <v>216</v>
      </c>
      <c r="B128">
        <v>6000</v>
      </c>
      <c r="C128">
        <v>10</v>
      </c>
      <c r="D128">
        <v>1</v>
      </c>
      <c r="E128">
        <v>5400</v>
      </c>
      <c r="F128">
        <v>280</v>
      </c>
      <c r="G128" t="b">
        <v>0</v>
      </c>
      <c r="H128">
        <v>280</v>
      </c>
    </row>
    <row r="129" spans="1:8" x14ac:dyDescent="0.25">
      <c r="A129" t="s">
        <v>217</v>
      </c>
      <c r="B129">
        <v>3500</v>
      </c>
      <c r="C129">
        <v>2</v>
      </c>
      <c r="D129">
        <v>1</v>
      </c>
      <c r="E129">
        <v>3400</v>
      </c>
      <c r="F129">
        <v>50</v>
      </c>
      <c r="G129" t="b">
        <v>0</v>
      </c>
      <c r="H129">
        <v>50</v>
      </c>
    </row>
    <row r="130" spans="1:8" x14ac:dyDescent="0.25">
      <c r="A130" t="s">
        <v>218</v>
      </c>
      <c r="B130">
        <v>8900</v>
      </c>
      <c r="C130">
        <v>10</v>
      </c>
      <c r="D130">
        <v>2</v>
      </c>
      <c r="E130">
        <v>8000</v>
      </c>
      <c r="F130">
        <v>40</v>
      </c>
      <c r="G130" t="b">
        <v>0</v>
      </c>
      <c r="H130">
        <v>40</v>
      </c>
    </row>
    <row r="131" spans="1:8" x14ac:dyDescent="0.25">
      <c r="A131" t="s">
        <v>219</v>
      </c>
      <c r="B131">
        <v>8000</v>
      </c>
      <c r="C131">
        <v>10</v>
      </c>
      <c r="D131">
        <v>5</v>
      </c>
      <c r="E131">
        <v>7200</v>
      </c>
      <c r="F131">
        <v>500</v>
      </c>
      <c r="G131" t="b">
        <v>0</v>
      </c>
      <c r="H131">
        <v>500</v>
      </c>
    </row>
    <row r="132" spans="1:8" x14ac:dyDescent="0.25">
      <c r="A132" t="s">
        <v>220</v>
      </c>
      <c r="B132">
        <v>4400</v>
      </c>
      <c r="C132">
        <v>0</v>
      </c>
      <c r="D132">
        <v>2</v>
      </c>
      <c r="E132">
        <v>4400</v>
      </c>
      <c r="F132">
        <v>60</v>
      </c>
      <c r="G132" t="b">
        <v>0</v>
      </c>
      <c r="H132">
        <v>60</v>
      </c>
    </row>
    <row r="133" spans="1:8" x14ac:dyDescent="0.25">
      <c r="A133" t="s">
        <v>221</v>
      </c>
      <c r="B133">
        <v>105000</v>
      </c>
      <c r="C133">
        <v>1</v>
      </c>
      <c r="D133">
        <v>6</v>
      </c>
      <c r="E133">
        <v>103500</v>
      </c>
      <c r="F133">
        <v>5000</v>
      </c>
      <c r="G133" t="b">
        <v>0</v>
      </c>
      <c r="H133">
        <v>5</v>
      </c>
    </row>
    <row r="134" spans="1:8" x14ac:dyDescent="0.25">
      <c r="A134" t="s">
        <v>222</v>
      </c>
      <c r="B134">
        <v>9900</v>
      </c>
      <c r="C134">
        <v>5</v>
      </c>
      <c r="D134">
        <v>6</v>
      </c>
      <c r="E134">
        <v>9400</v>
      </c>
      <c r="F134">
        <v>165</v>
      </c>
      <c r="G134" t="b">
        <v>0</v>
      </c>
      <c r="H134">
        <v>165</v>
      </c>
    </row>
    <row r="135" spans="1:8" x14ac:dyDescent="0.25">
      <c r="A135" t="s">
        <v>223</v>
      </c>
      <c r="B135">
        <v>23000</v>
      </c>
      <c r="C135">
        <v>0</v>
      </c>
      <c r="D135">
        <v>1</v>
      </c>
      <c r="E135">
        <v>23000</v>
      </c>
      <c r="F135">
        <v>623</v>
      </c>
      <c r="G135" t="b">
        <v>0</v>
      </c>
      <c r="H135">
        <v>623</v>
      </c>
    </row>
    <row r="136" spans="1:8" x14ac:dyDescent="0.25">
      <c r="A136" t="s">
        <v>224</v>
      </c>
      <c r="B136">
        <v>6000</v>
      </c>
      <c r="C136">
        <v>6</v>
      </c>
      <c r="D136">
        <v>3</v>
      </c>
      <c r="E136">
        <v>5600</v>
      </c>
      <c r="F136">
        <v>1000</v>
      </c>
      <c r="G136" t="b">
        <v>0</v>
      </c>
      <c r="H136">
        <v>1</v>
      </c>
    </row>
    <row r="137" spans="1:8" x14ac:dyDescent="0.25">
      <c r="A137" t="s">
        <v>225</v>
      </c>
      <c r="B137">
        <v>12000</v>
      </c>
      <c r="C137">
        <v>1</v>
      </c>
      <c r="D137">
        <v>2</v>
      </c>
      <c r="E137">
        <v>11800</v>
      </c>
      <c r="F137">
        <v>240</v>
      </c>
      <c r="G137" t="b">
        <v>0</v>
      </c>
      <c r="H137">
        <v>240</v>
      </c>
    </row>
    <row r="138" spans="1:8" x14ac:dyDescent="0.25">
      <c r="A138" t="s">
        <v>226</v>
      </c>
      <c r="B138">
        <v>4300</v>
      </c>
      <c r="C138">
        <v>0</v>
      </c>
      <c r="D138">
        <v>6</v>
      </c>
      <c r="E138">
        <v>4300</v>
      </c>
      <c r="F138">
        <v>200</v>
      </c>
      <c r="G138" t="b">
        <v>0</v>
      </c>
      <c r="H138">
        <v>200</v>
      </c>
    </row>
    <row r="139" spans="1:8" x14ac:dyDescent="0.25">
      <c r="A139" t="s">
        <v>227</v>
      </c>
      <c r="B139">
        <v>2500</v>
      </c>
      <c r="C139">
        <v>0</v>
      </c>
      <c r="D139">
        <v>6</v>
      </c>
      <c r="E139">
        <v>2500</v>
      </c>
      <c r="F139">
        <v>60</v>
      </c>
      <c r="G139" t="b">
        <v>0</v>
      </c>
      <c r="H139">
        <v>60</v>
      </c>
    </row>
    <row r="140" spans="1:8" x14ac:dyDescent="0.25">
      <c r="A140" t="s">
        <v>228</v>
      </c>
      <c r="B140">
        <v>1500</v>
      </c>
      <c r="C140">
        <v>0</v>
      </c>
      <c r="D140">
        <v>5</v>
      </c>
      <c r="E140">
        <v>1500</v>
      </c>
      <c r="F140">
        <v>60</v>
      </c>
      <c r="G140" t="b">
        <v>0</v>
      </c>
      <c r="H140">
        <v>60</v>
      </c>
    </row>
    <row r="141" spans="1:8" x14ac:dyDescent="0.25">
      <c r="A141" t="s">
        <v>157</v>
      </c>
      <c r="B141">
        <v>7000</v>
      </c>
      <c r="C141">
        <v>0</v>
      </c>
      <c r="D141">
        <v>2</v>
      </c>
      <c r="E141">
        <v>7000</v>
      </c>
      <c r="F141">
        <v>100</v>
      </c>
      <c r="G141" t="b">
        <v>0</v>
      </c>
      <c r="H141">
        <v>100</v>
      </c>
    </row>
    <row r="142" spans="1:8" x14ac:dyDescent="0.25">
      <c r="A142" t="s">
        <v>229</v>
      </c>
      <c r="B142">
        <v>22000</v>
      </c>
      <c r="C142">
        <v>6</v>
      </c>
      <c r="D142">
        <v>6</v>
      </c>
      <c r="E142">
        <v>20500</v>
      </c>
      <c r="F142">
        <v>623</v>
      </c>
      <c r="G142" t="b">
        <v>0</v>
      </c>
      <c r="H142">
        <v>680</v>
      </c>
    </row>
    <row r="143" spans="1:8" x14ac:dyDescent="0.25">
      <c r="A143" t="s">
        <v>230</v>
      </c>
      <c r="B143">
        <v>5500</v>
      </c>
      <c r="C143">
        <v>16</v>
      </c>
      <c r="D143">
        <v>4</v>
      </c>
      <c r="E143">
        <v>4600</v>
      </c>
      <c r="F143">
        <v>200</v>
      </c>
      <c r="G143" t="b">
        <v>0</v>
      </c>
      <c r="H143">
        <v>200</v>
      </c>
    </row>
    <row r="144" spans="1:8" x14ac:dyDescent="0.25">
      <c r="A144" t="s">
        <v>231</v>
      </c>
      <c r="B144">
        <v>7000</v>
      </c>
      <c r="C144">
        <v>7</v>
      </c>
      <c r="D144">
        <v>1</v>
      </c>
      <c r="E144">
        <v>6500</v>
      </c>
      <c r="F144">
        <v>100</v>
      </c>
      <c r="G144" t="b">
        <v>0</v>
      </c>
      <c r="H144">
        <v>100</v>
      </c>
    </row>
    <row r="145" spans="1:8" x14ac:dyDescent="0.25">
      <c r="A145" t="s">
        <v>232</v>
      </c>
      <c r="B145">
        <v>12000</v>
      </c>
      <c r="C145">
        <v>0</v>
      </c>
      <c r="D145">
        <v>6</v>
      </c>
      <c r="E145">
        <v>12000</v>
      </c>
      <c r="F145">
        <v>250</v>
      </c>
      <c r="G145" t="b">
        <v>0</v>
      </c>
      <c r="H145">
        <v>250</v>
      </c>
    </row>
    <row r="146" spans="1:8" x14ac:dyDescent="0.25">
      <c r="A146" t="s">
        <v>233</v>
      </c>
      <c r="B146">
        <v>4000</v>
      </c>
      <c r="C146">
        <v>2</v>
      </c>
      <c r="D146">
        <v>6</v>
      </c>
      <c r="E146">
        <v>3900</v>
      </c>
      <c r="F146">
        <v>200</v>
      </c>
      <c r="G146" t="b">
        <v>0</v>
      </c>
      <c r="H146">
        <v>200</v>
      </c>
    </row>
    <row r="147" spans="1:8" x14ac:dyDescent="0.25">
      <c r="A147" t="s">
        <v>234</v>
      </c>
      <c r="B147">
        <v>4800</v>
      </c>
      <c r="C147">
        <v>2</v>
      </c>
      <c r="D147">
        <v>2</v>
      </c>
      <c r="E147">
        <v>4700</v>
      </c>
      <c r="F147">
        <v>500</v>
      </c>
      <c r="G147" t="b">
        <v>0</v>
      </c>
      <c r="H147">
        <v>500</v>
      </c>
    </row>
    <row r="148" spans="1:8" x14ac:dyDescent="0.25">
      <c r="A148" t="s">
        <v>235</v>
      </c>
      <c r="B148">
        <v>6500</v>
      </c>
      <c r="C148">
        <v>20</v>
      </c>
      <c r="D148">
        <v>4</v>
      </c>
      <c r="E148">
        <v>5200</v>
      </c>
      <c r="F148">
        <v>500</v>
      </c>
      <c r="G148" t="b">
        <v>0</v>
      </c>
      <c r="H148">
        <v>500</v>
      </c>
    </row>
    <row r="149" spans="1:8" x14ac:dyDescent="0.25">
      <c r="A149" t="s">
        <v>236</v>
      </c>
      <c r="B149">
        <v>3500</v>
      </c>
      <c r="C149">
        <v>5</v>
      </c>
      <c r="D149">
        <v>6</v>
      </c>
      <c r="E149">
        <v>3300</v>
      </c>
      <c r="F149">
        <v>25</v>
      </c>
      <c r="G149" t="b">
        <v>0</v>
      </c>
      <c r="H149">
        <v>25</v>
      </c>
    </row>
    <row r="150" spans="1:8" x14ac:dyDescent="0.25">
      <c r="A150" t="s">
        <v>237</v>
      </c>
      <c r="B150">
        <v>21500</v>
      </c>
      <c r="C150">
        <v>0</v>
      </c>
      <c r="D150">
        <v>4</v>
      </c>
      <c r="E150">
        <v>21500</v>
      </c>
      <c r="F150">
        <v>1000</v>
      </c>
      <c r="G150" t="b">
        <v>0</v>
      </c>
      <c r="H150">
        <v>1</v>
      </c>
    </row>
    <row r="151" spans="1:8" x14ac:dyDescent="0.25">
      <c r="A151" t="s">
        <v>238</v>
      </c>
      <c r="B151">
        <v>10200</v>
      </c>
      <c r="C151">
        <v>7</v>
      </c>
      <c r="D151">
        <v>4</v>
      </c>
      <c r="E151">
        <v>9400</v>
      </c>
      <c r="F151">
        <v>2000</v>
      </c>
      <c r="G151" t="b">
        <v>0</v>
      </c>
      <c r="H151">
        <v>2</v>
      </c>
    </row>
    <row r="152" spans="1:8" x14ac:dyDescent="0.25">
      <c r="A152" t="s">
        <v>239</v>
      </c>
      <c r="B152">
        <v>8500</v>
      </c>
      <c r="C152">
        <v>7</v>
      </c>
      <c r="D152">
        <v>5</v>
      </c>
      <c r="E152">
        <v>7900</v>
      </c>
      <c r="F152">
        <v>500</v>
      </c>
      <c r="G152" t="b">
        <v>0</v>
      </c>
      <c r="H152">
        <v>500</v>
      </c>
    </row>
    <row r="153" spans="1:8" x14ac:dyDescent="0.25">
      <c r="A153" t="s">
        <v>240</v>
      </c>
      <c r="B153">
        <v>7500</v>
      </c>
      <c r="C153">
        <v>0</v>
      </c>
      <c r="D153">
        <v>3</v>
      </c>
      <c r="E153">
        <v>7500</v>
      </c>
      <c r="F153">
        <v>1000</v>
      </c>
      <c r="G153" t="b">
        <v>0</v>
      </c>
      <c r="H153">
        <v>1</v>
      </c>
    </row>
    <row r="154" spans="1:8" x14ac:dyDescent="0.25">
      <c r="A154" t="s">
        <v>241</v>
      </c>
      <c r="B154">
        <v>8000</v>
      </c>
      <c r="C154">
        <v>10</v>
      </c>
      <c r="D154">
        <v>4</v>
      </c>
      <c r="E154">
        <v>7200</v>
      </c>
      <c r="F154">
        <v>500</v>
      </c>
      <c r="G154" t="b">
        <v>0</v>
      </c>
      <c r="H154">
        <v>500</v>
      </c>
    </row>
    <row r="155" spans="1:8" x14ac:dyDescent="0.25">
      <c r="A155" t="s">
        <v>242</v>
      </c>
      <c r="B155">
        <v>10900</v>
      </c>
      <c r="C155">
        <v>10</v>
      </c>
      <c r="D155">
        <v>5</v>
      </c>
      <c r="E155">
        <v>9800</v>
      </c>
      <c r="F155">
        <v>9</v>
      </c>
      <c r="G155" t="b">
        <v>0</v>
      </c>
      <c r="H155">
        <v>9</v>
      </c>
    </row>
    <row r="156" spans="1:8" x14ac:dyDescent="0.25">
      <c r="A156" t="s">
        <v>243</v>
      </c>
      <c r="B156">
        <v>10000</v>
      </c>
      <c r="C156">
        <v>10</v>
      </c>
      <c r="D156">
        <v>6</v>
      </c>
      <c r="E156">
        <v>9000</v>
      </c>
      <c r="F156">
        <v>500</v>
      </c>
      <c r="G156" t="b">
        <v>0</v>
      </c>
      <c r="H156">
        <v>500</v>
      </c>
    </row>
    <row r="157" spans="1:8" x14ac:dyDescent="0.25">
      <c r="A157" t="s">
        <v>161</v>
      </c>
      <c r="B157">
        <v>7400</v>
      </c>
      <c r="C157">
        <v>2</v>
      </c>
      <c r="D157">
        <v>6</v>
      </c>
      <c r="E157">
        <v>7200</v>
      </c>
      <c r="F157">
        <v>100</v>
      </c>
      <c r="G157" t="b">
        <v>0</v>
      </c>
      <c r="H157">
        <v>100</v>
      </c>
    </row>
    <row r="158" spans="1:8" x14ac:dyDescent="0.25">
      <c r="A158" t="s">
        <v>240</v>
      </c>
      <c r="B158">
        <v>37000</v>
      </c>
      <c r="C158">
        <v>10</v>
      </c>
      <c r="D158">
        <v>6</v>
      </c>
      <c r="E158">
        <v>33300</v>
      </c>
      <c r="F158">
        <v>5000</v>
      </c>
      <c r="G158" t="b">
        <v>0</v>
      </c>
      <c r="H158">
        <v>5</v>
      </c>
    </row>
    <row r="159" spans="1:8" x14ac:dyDescent="0.25">
      <c r="A159" t="s">
        <v>244</v>
      </c>
      <c r="B159">
        <v>4200</v>
      </c>
      <c r="C159">
        <v>4</v>
      </c>
      <c r="D159">
        <v>5</v>
      </c>
      <c r="E159">
        <v>4000</v>
      </c>
      <c r="F159">
        <v>50</v>
      </c>
      <c r="G159" t="b">
        <v>0</v>
      </c>
      <c r="H159">
        <v>50</v>
      </c>
    </row>
    <row r="160" spans="1:8" x14ac:dyDescent="0.25">
      <c r="A160" t="s">
        <v>245</v>
      </c>
      <c r="B160">
        <v>32500</v>
      </c>
      <c r="C160">
        <v>9</v>
      </c>
      <c r="D160">
        <v>1</v>
      </c>
      <c r="E160">
        <v>29300</v>
      </c>
      <c r="F160">
        <v>500</v>
      </c>
      <c r="G160" t="b">
        <v>0</v>
      </c>
      <c r="H160">
        <v>500</v>
      </c>
    </row>
    <row r="161" spans="1:8" x14ac:dyDescent="0.25">
      <c r="A161" t="s">
        <v>246</v>
      </c>
      <c r="B161">
        <v>3500</v>
      </c>
      <c r="C161">
        <v>2</v>
      </c>
      <c r="D161">
        <v>6</v>
      </c>
      <c r="E161">
        <v>3400</v>
      </c>
      <c r="F161">
        <v>20</v>
      </c>
      <c r="G161" t="b">
        <v>0</v>
      </c>
      <c r="H161">
        <v>20</v>
      </c>
    </row>
    <row r="162" spans="1:8" x14ac:dyDescent="0.25">
      <c r="A162" t="s">
        <v>247</v>
      </c>
      <c r="B162">
        <v>3000</v>
      </c>
      <c r="C162">
        <v>3</v>
      </c>
      <c r="D162">
        <v>6</v>
      </c>
      <c r="E162">
        <v>2900</v>
      </c>
      <c r="F162">
        <v>50</v>
      </c>
      <c r="G162" t="b">
        <v>0</v>
      </c>
      <c r="H162">
        <v>50</v>
      </c>
    </row>
    <row r="163" spans="1:8" x14ac:dyDescent="0.25">
      <c r="A163" t="s">
        <v>165</v>
      </c>
      <c r="B163">
        <v>69500</v>
      </c>
      <c r="C163">
        <v>32</v>
      </c>
      <c r="D163">
        <v>6</v>
      </c>
      <c r="E163">
        <v>47000</v>
      </c>
      <c r="F163">
        <v>500</v>
      </c>
      <c r="G163" t="b">
        <v>0</v>
      </c>
      <c r="H163">
        <v>500</v>
      </c>
    </row>
    <row r="164" spans="1:8" x14ac:dyDescent="0.25">
      <c r="A164" t="s">
        <v>248</v>
      </c>
      <c r="B164">
        <v>11000</v>
      </c>
      <c r="C164">
        <v>20</v>
      </c>
      <c r="D164">
        <v>6</v>
      </c>
      <c r="E164">
        <v>8800</v>
      </c>
      <c r="F164">
        <v>80</v>
      </c>
      <c r="G164" t="b">
        <v>0</v>
      </c>
      <c r="H164">
        <v>80</v>
      </c>
    </row>
    <row r="165" spans="1:8" x14ac:dyDescent="0.25">
      <c r="A165" t="s">
        <v>249</v>
      </c>
      <c r="B165">
        <v>3300</v>
      </c>
      <c r="C165">
        <v>3</v>
      </c>
      <c r="D165">
        <v>5</v>
      </c>
      <c r="E165">
        <v>3200</v>
      </c>
      <c r="F165">
        <v>50</v>
      </c>
      <c r="G165" t="b">
        <v>0</v>
      </c>
      <c r="H165">
        <v>50</v>
      </c>
    </row>
    <row r="166" spans="1:8" x14ac:dyDescent="0.25">
      <c r="A166" t="s">
        <v>250</v>
      </c>
      <c r="B166">
        <v>4000</v>
      </c>
      <c r="C166">
        <v>5</v>
      </c>
      <c r="D166">
        <v>1</v>
      </c>
      <c r="E166">
        <v>3800</v>
      </c>
      <c r="F166">
        <v>100</v>
      </c>
      <c r="G166" t="b">
        <v>0</v>
      </c>
      <c r="H166">
        <v>100</v>
      </c>
    </row>
    <row r="167" spans="1:8" x14ac:dyDescent="0.25">
      <c r="A167" t="s">
        <v>251</v>
      </c>
      <c r="B167">
        <v>12500</v>
      </c>
      <c r="C167">
        <v>2</v>
      </c>
      <c r="D167">
        <v>6</v>
      </c>
      <c r="E167">
        <v>12200</v>
      </c>
      <c r="F167">
        <v>500</v>
      </c>
      <c r="G167" t="b">
        <v>0</v>
      </c>
      <c r="H167">
        <v>500</v>
      </c>
    </row>
    <row r="168" spans="1:8" x14ac:dyDescent="0.25">
      <c r="A168" t="s">
        <v>252</v>
      </c>
      <c r="B168">
        <v>7900</v>
      </c>
      <c r="C168">
        <v>10</v>
      </c>
      <c r="D168">
        <v>6</v>
      </c>
      <c r="E168">
        <v>7100</v>
      </c>
      <c r="F168">
        <v>200</v>
      </c>
      <c r="G168" t="b">
        <v>0</v>
      </c>
      <c r="H168">
        <v>200</v>
      </c>
    </row>
    <row r="169" spans="1:8" x14ac:dyDescent="0.25">
      <c r="A169" t="s">
        <v>253</v>
      </c>
      <c r="B169">
        <v>6000</v>
      </c>
      <c r="C169">
        <v>0</v>
      </c>
      <c r="D169">
        <v>1</v>
      </c>
      <c r="E169">
        <v>6000</v>
      </c>
      <c r="F169">
        <v>240</v>
      </c>
      <c r="G169" t="b">
        <v>0</v>
      </c>
      <c r="H169">
        <v>240</v>
      </c>
    </row>
    <row r="170" spans="1:8" x14ac:dyDescent="0.25">
      <c r="A170" t="s">
        <v>254</v>
      </c>
      <c r="B170">
        <v>11000</v>
      </c>
      <c r="C170">
        <v>2</v>
      </c>
      <c r="D170">
        <v>6</v>
      </c>
      <c r="E170">
        <v>10700</v>
      </c>
      <c r="F170">
        <v>500</v>
      </c>
      <c r="G170" t="b">
        <v>0</v>
      </c>
      <c r="H170">
        <v>500</v>
      </c>
    </row>
    <row r="171" spans="1:8" x14ac:dyDescent="0.25">
      <c r="A171" t="s">
        <v>255</v>
      </c>
      <c r="B171">
        <v>7000</v>
      </c>
      <c r="C171">
        <v>7</v>
      </c>
      <c r="D171">
        <v>3</v>
      </c>
      <c r="E171">
        <v>6500</v>
      </c>
      <c r="F171">
        <v>100</v>
      </c>
      <c r="G171" t="b">
        <v>0</v>
      </c>
      <c r="H171">
        <v>100</v>
      </c>
    </row>
    <row r="172" spans="1:8" x14ac:dyDescent="0.25">
      <c r="A172" t="s">
        <v>256</v>
      </c>
      <c r="B172">
        <v>2500</v>
      </c>
      <c r="C172">
        <v>0</v>
      </c>
      <c r="D172">
        <v>5</v>
      </c>
      <c r="E172">
        <v>2500</v>
      </c>
      <c r="F172">
        <v>100</v>
      </c>
      <c r="G172" t="b">
        <v>0</v>
      </c>
      <c r="H172">
        <v>100</v>
      </c>
    </row>
    <row r="173" spans="1:8" x14ac:dyDescent="0.25">
      <c r="A173" t="s">
        <v>257</v>
      </c>
      <c r="B173">
        <v>2000</v>
      </c>
      <c r="C173">
        <v>0</v>
      </c>
      <c r="D173">
        <v>2</v>
      </c>
      <c r="E173">
        <v>2000</v>
      </c>
      <c r="F173">
        <v>46</v>
      </c>
      <c r="G173" t="b">
        <v>0</v>
      </c>
      <c r="H173">
        <v>46</v>
      </c>
    </row>
    <row r="174" spans="1:8" x14ac:dyDescent="0.25">
      <c r="A174" t="s">
        <v>258</v>
      </c>
      <c r="B174">
        <v>17500</v>
      </c>
      <c r="C174">
        <v>5</v>
      </c>
      <c r="D174">
        <v>6</v>
      </c>
      <c r="E174">
        <v>16600</v>
      </c>
      <c r="F174">
        <v>200</v>
      </c>
      <c r="G174" t="b">
        <v>0</v>
      </c>
      <c r="H174">
        <v>200</v>
      </c>
    </row>
    <row r="175" spans="1:8" x14ac:dyDescent="0.25">
      <c r="A175" t="s">
        <v>259</v>
      </c>
      <c r="B175">
        <v>1000</v>
      </c>
      <c r="C175">
        <v>0</v>
      </c>
      <c r="D175">
        <v>6</v>
      </c>
      <c r="E175">
        <v>1000</v>
      </c>
      <c r="F175">
        <v>20</v>
      </c>
      <c r="G175" t="b">
        <v>0</v>
      </c>
      <c r="H175">
        <v>20</v>
      </c>
    </row>
    <row r="176" spans="1:8" x14ac:dyDescent="0.25">
      <c r="A176" t="s">
        <v>260</v>
      </c>
      <c r="B176">
        <v>6200</v>
      </c>
      <c r="C176">
        <v>6</v>
      </c>
      <c r="D176">
        <v>6</v>
      </c>
      <c r="E176">
        <v>5800</v>
      </c>
      <c r="F176">
        <v>250</v>
      </c>
      <c r="G176" t="b">
        <v>0</v>
      </c>
      <c r="H176">
        <v>250</v>
      </c>
    </row>
    <row r="177" spans="1:8" x14ac:dyDescent="0.25">
      <c r="A177" t="s">
        <v>261</v>
      </c>
      <c r="B177">
        <v>10000</v>
      </c>
      <c r="C177">
        <v>10</v>
      </c>
      <c r="D177">
        <v>6</v>
      </c>
      <c r="E177">
        <v>9000</v>
      </c>
      <c r="F177">
        <v>50</v>
      </c>
      <c r="G177" t="b">
        <v>0</v>
      </c>
      <c r="H177">
        <v>50</v>
      </c>
    </row>
    <row r="178" spans="1:8" x14ac:dyDescent="0.25">
      <c r="A178" t="s">
        <v>262</v>
      </c>
      <c r="B178">
        <v>6000</v>
      </c>
      <c r="C178">
        <v>10</v>
      </c>
      <c r="D178">
        <v>4</v>
      </c>
      <c r="E178">
        <v>5400</v>
      </c>
      <c r="F178">
        <v>1000</v>
      </c>
      <c r="G178" t="b">
        <v>0</v>
      </c>
      <c r="H178">
        <v>1</v>
      </c>
    </row>
    <row r="179" spans="1:8" x14ac:dyDescent="0.25">
      <c r="A179" t="s">
        <v>263</v>
      </c>
      <c r="B179">
        <v>3300</v>
      </c>
      <c r="C179">
        <v>3</v>
      </c>
      <c r="D179">
        <v>1</v>
      </c>
      <c r="E179">
        <v>3200</v>
      </c>
      <c r="F179">
        <v>50</v>
      </c>
      <c r="G179" t="b">
        <v>0</v>
      </c>
      <c r="H179">
        <v>50</v>
      </c>
    </row>
    <row r="180" spans="1:8" x14ac:dyDescent="0.25">
      <c r="A180" t="s">
        <v>264</v>
      </c>
      <c r="B180">
        <v>4800</v>
      </c>
      <c r="C180">
        <v>6</v>
      </c>
      <c r="D180">
        <v>6</v>
      </c>
      <c r="E180">
        <v>4500</v>
      </c>
      <c r="F180">
        <v>200</v>
      </c>
      <c r="G180" t="b">
        <v>0</v>
      </c>
      <c r="H180">
        <v>200</v>
      </c>
    </row>
    <row r="181" spans="1:8" x14ac:dyDescent="0.25">
      <c r="A181" t="s">
        <v>265</v>
      </c>
      <c r="B181">
        <v>3500</v>
      </c>
      <c r="C181">
        <v>2</v>
      </c>
      <c r="D181">
        <v>6</v>
      </c>
      <c r="E181">
        <v>3400</v>
      </c>
      <c r="F181">
        <v>48</v>
      </c>
      <c r="G181" t="b">
        <v>0</v>
      </c>
      <c r="H181">
        <v>48</v>
      </c>
    </row>
    <row r="182" spans="1:8" x14ac:dyDescent="0.25">
      <c r="A182" t="s">
        <v>266</v>
      </c>
      <c r="B182">
        <v>3000</v>
      </c>
      <c r="C182">
        <v>10</v>
      </c>
      <c r="D182">
        <v>6</v>
      </c>
      <c r="E182">
        <v>2700</v>
      </c>
      <c r="F182">
        <v>200</v>
      </c>
      <c r="G182" t="b">
        <v>0</v>
      </c>
      <c r="H182">
        <v>200</v>
      </c>
    </row>
    <row r="183" spans="1:8" x14ac:dyDescent="0.25">
      <c r="A183" t="s">
        <v>267</v>
      </c>
      <c r="B183">
        <v>25500</v>
      </c>
      <c r="C183">
        <v>6</v>
      </c>
      <c r="D183">
        <v>2</v>
      </c>
      <c r="E183">
        <v>23900</v>
      </c>
      <c r="F183">
        <v>1000</v>
      </c>
      <c r="G183" t="b">
        <v>0</v>
      </c>
      <c r="H183">
        <v>1</v>
      </c>
    </row>
    <row r="184" spans="1:8" x14ac:dyDescent="0.25">
      <c r="A184" t="s">
        <v>268</v>
      </c>
      <c r="B184">
        <v>3100</v>
      </c>
      <c r="C184">
        <v>3</v>
      </c>
      <c r="D184">
        <v>6</v>
      </c>
      <c r="E184">
        <v>3000</v>
      </c>
      <c r="F184">
        <v>50</v>
      </c>
      <c r="G184" t="b">
        <v>0</v>
      </c>
      <c r="H184">
        <v>50</v>
      </c>
    </row>
    <row r="185" spans="1:8" x14ac:dyDescent="0.25">
      <c r="A185" t="s">
        <v>269</v>
      </c>
      <c r="B185">
        <v>5000</v>
      </c>
      <c r="C185">
        <v>10</v>
      </c>
      <c r="D185">
        <v>2</v>
      </c>
      <c r="E185">
        <v>4500</v>
      </c>
      <c r="F185">
        <v>70</v>
      </c>
      <c r="G185" t="b">
        <v>0</v>
      </c>
      <c r="H185">
        <v>70</v>
      </c>
    </row>
    <row r="186" spans="1:8" x14ac:dyDescent="0.25">
      <c r="A186" t="s">
        <v>270</v>
      </c>
      <c r="B186">
        <v>1000</v>
      </c>
      <c r="C186">
        <v>0</v>
      </c>
      <c r="D186">
        <v>2</v>
      </c>
      <c r="E186">
        <v>1000</v>
      </c>
      <c r="F186">
        <v>20</v>
      </c>
      <c r="G186" t="b">
        <v>0</v>
      </c>
      <c r="H186">
        <v>20</v>
      </c>
    </row>
    <row r="187" spans="1:8" x14ac:dyDescent="0.25">
      <c r="A187" t="s">
        <v>271</v>
      </c>
      <c r="B187">
        <v>22000</v>
      </c>
      <c r="C187">
        <v>50</v>
      </c>
      <c r="D187">
        <v>6</v>
      </c>
      <c r="E187">
        <v>11000</v>
      </c>
      <c r="F187">
        <v>200</v>
      </c>
      <c r="G187" t="b">
        <v>0</v>
      </c>
      <c r="H187">
        <v>200</v>
      </c>
    </row>
    <row r="188" spans="1:8" x14ac:dyDescent="0.25">
      <c r="A188" t="s">
        <v>151</v>
      </c>
      <c r="B188">
        <v>15800</v>
      </c>
      <c r="C188">
        <v>10</v>
      </c>
      <c r="D188">
        <v>6</v>
      </c>
      <c r="E188">
        <v>14200</v>
      </c>
      <c r="F188">
        <v>200</v>
      </c>
      <c r="G188" t="b">
        <v>0</v>
      </c>
      <c r="H188">
        <v>200</v>
      </c>
    </row>
    <row r="189" spans="1:8" x14ac:dyDescent="0.25">
      <c r="A189" t="s">
        <v>272</v>
      </c>
      <c r="B189">
        <v>7000</v>
      </c>
      <c r="C189">
        <v>7</v>
      </c>
      <c r="D189">
        <v>6</v>
      </c>
      <c r="E189">
        <v>6500</v>
      </c>
      <c r="F189">
        <v>500</v>
      </c>
      <c r="G189" t="b">
        <v>0</v>
      </c>
      <c r="H189">
        <v>500</v>
      </c>
    </row>
    <row r="190" spans="1:8" x14ac:dyDescent="0.25">
      <c r="A190" t="s">
        <v>273</v>
      </c>
      <c r="B190">
        <v>10000</v>
      </c>
      <c r="C190">
        <v>0</v>
      </c>
      <c r="D190">
        <v>6</v>
      </c>
      <c r="E190">
        <v>10000</v>
      </c>
      <c r="F190">
        <v>100</v>
      </c>
      <c r="G190" t="b">
        <v>0</v>
      </c>
      <c r="H190">
        <v>100</v>
      </c>
    </row>
    <row r="191" spans="1:8" x14ac:dyDescent="0.25">
      <c r="A191" t="s">
        <v>274</v>
      </c>
      <c r="B191">
        <v>15900</v>
      </c>
      <c r="C191">
        <v>9</v>
      </c>
      <c r="D191">
        <v>1</v>
      </c>
      <c r="E191">
        <v>14400</v>
      </c>
      <c r="F191">
        <v>50</v>
      </c>
      <c r="G191" t="b">
        <v>0</v>
      </c>
      <c r="H191">
        <v>50</v>
      </c>
    </row>
    <row r="192" spans="1:8" x14ac:dyDescent="0.25">
      <c r="A192" t="s">
        <v>275</v>
      </c>
      <c r="B192">
        <v>6000</v>
      </c>
      <c r="C192">
        <v>0</v>
      </c>
      <c r="D192">
        <v>3</v>
      </c>
      <c r="E192">
        <v>6000</v>
      </c>
      <c r="F192">
        <v>1000</v>
      </c>
      <c r="G192" t="b">
        <v>0</v>
      </c>
      <c r="H192">
        <v>1</v>
      </c>
    </row>
    <row r="193" spans="1:8" x14ac:dyDescent="0.25">
      <c r="A193" t="s">
        <v>276</v>
      </c>
      <c r="B193">
        <v>2800</v>
      </c>
      <c r="C193">
        <v>10</v>
      </c>
      <c r="D193">
        <v>1</v>
      </c>
      <c r="E193">
        <v>2500</v>
      </c>
      <c r="F193">
        <v>65</v>
      </c>
      <c r="G193" t="b">
        <v>0</v>
      </c>
      <c r="H193">
        <v>65</v>
      </c>
    </row>
    <row r="194" spans="1:8" x14ac:dyDescent="0.25">
      <c r="A194" t="s">
        <v>277</v>
      </c>
      <c r="B194">
        <v>9500</v>
      </c>
      <c r="C194">
        <v>0</v>
      </c>
      <c r="D194">
        <v>6</v>
      </c>
      <c r="E194">
        <v>9500</v>
      </c>
      <c r="F194">
        <v>1000</v>
      </c>
      <c r="G194" t="b">
        <v>0</v>
      </c>
      <c r="H194">
        <v>1</v>
      </c>
    </row>
    <row r="195" spans="1:8" x14ac:dyDescent="0.25">
      <c r="A195" t="s">
        <v>278</v>
      </c>
      <c r="B195">
        <v>36500</v>
      </c>
      <c r="C195">
        <v>29</v>
      </c>
      <c r="D195">
        <v>2</v>
      </c>
      <c r="E195">
        <v>25600</v>
      </c>
      <c r="F195">
        <v>200</v>
      </c>
      <c r="G195" t="b">
        <v>0</v>
      </c>
      <c r="H195">
        <v>200</v>
      </c>
    </row>
    <row r="196" spans="1:8" x14ac:dyDescent="0.25">
      <c r="A196" t="s">
        <v>279</v>
      </c>
      <c r="B196">
        <v>3500</v>
      </c>
      <c r="C196">
        <v>2</v>
      </c>
      <c r="D196">
        <v>6</v>
      </c>
      <c r="E196">
        <v>3400</v>
      </c>
      <c r="F196">
        <v>500</v>
      </c>
      <c r="G196" t="b">
        <v>0</v>
      </c>
      <c r="H196">
        <v>500</v>
      </c>
    </row>
    <row r="197" spans="1:8" x14ac:dyDescent="0.25">
      <c r="A197" t="s">
        <v>280</v>
      </c>
      <c r="B197">
        <v>33000</v>
      </c>
      <c r="C197">
        <v>10</v>
      </c>
      <c r="D197">
        <v>5</v>
      </c>
      <c r="E197">
        <v>29400</v>
      </c>
      <c r="F197">
        <v>1000</v>
      </c>
      <c r="G197" t="b">
        <v>0</v>
      </c>
      <c r="H197">
        <v>1</v>
      </c>
    </row>
    <row r="198" spans="1:8" x14ac:dyDescent="0.25">
      <c r="A198" t="s">
        <v>281</v>
      </c>
      <c r="B198">
        <v>9000</v>
      </c>
      <c r="C198">
        <v>10</v>
      </c>
      <c r="D198">
        <v>6</v>
      </c>
      <c r="E198">
        <v>8100</v>
      </c>
      <c r="F198">
        <v>500</v>
      </c>
      <c r="G198" t="b">
        <v>0</v>
      </c>
      <c r="H198">
        <v>500</v>
      </c>
    </row>
    <row r="199" spans="1:8" x14ac:dyDescent="0.25">
      <c r="A199" t="s">
        <v>282</v>
      </c>
      <c r="B199">
        <v>12000</v>
      </c>
      <c r="C199">
        <v>10</v>
      </c>
      <c r="D199">
        <v>6</v>
      </c>
      <c r="E199">
        <v>10800</v>
      </c>
      <c r="F199">
        <v>150</v>
      </c>
      <c r="G199" t="b">
        <v>0</v>
      </c>
      <c r="H199">
        <v>150</v>
      </c>
    </row>
    <row r="200" spans="1:8" x14ac:dyDescent="0.25">
      <c r="A200" t="s">
        <v>283</v>
      </c>
      <c r="B200">
        <v>10000</v>
      </c>
      <c r="C200">
        <v>10</v>
      </c>
      <c r="D200">
        <v>5</v>
      </c>
      <c r="E200">
        <v>9000</v>
      </c>
      <c r="F200">
        <v>100</v>
      </c>
      <c r="G200" t="b">
        <v>0</v>
      </c>
      <c r="H200">
        <v>100</v>
      </c>
    </row>
    <row r="201" spans="1:8" x14ac:dyDescent="0.25">
      <c r="A201" t="s">
        <v>284</v>
      </c>
      <c r="B201">
        <v>13000</v>
      </c>
      <c r="C201">
        <v>7</v>
      </c>
      <c r="D201">
        <v>6</v>
      </c>
      <c r="E201">
        <v>12000</v>
      </c>
      <c r="F201">
        <v>500</v>
      </c>
      <c r="G201" t="b">
        <v>0</v>
      </c>
      <c r="H201">
        <v>500</v>
      </c>
    </row>
    <row r="202" spans="1:8" x14ac:dyDescent="0.25">
      <c r="A202" t="s">
        <v>285</v>
      </c>
      <c r="B202">
        <v>6500</v>
      </c>
      <c r="C202">
        <v>6</v>
      </c>
      <c r="D202">
        <v>3</v>
      </c>
      <c r="E202">
        <v>6100</v>
      </c>
      <c r="F202">
        <v>110</v>
      </c>
      <c r="G202" t="b">
        <v>0</v>
      </c>
      <c r="H202">
        <v>100</v>
      </c>
    </row>
    <row r="203" spans="1:8" x14ac:dyDescent="0.25">
      <c r="A203" t="s">
        <v>286</v>
      </c>
      <c r="B203">
        <v>1000</v>
      </c>
      <c r="C203">
        <v>0</v>
      </c>
      <c r="D203">
        <v>2</v>
      </c>
      <c r="E203">
        <v>1000</v>
      </c>
      <c r="F203">
        <v>20</v>
      </c>
      <c r="G203" t="b">
        <v>0</v>
      </c>
      <c r="H203">
        <v>20</v>
      </c>
    </row>
    <row r="204" spans="1:8" x14ac:dyDescent="0.25">
      <c r="A204" t="s">
        <v>287</v>
      </c>
      <c r="B204">
        <v>22000</v>
      </c>
      <c r="C204">
        <v>7</v>
      </c>
      <c r="D204">
        <v>3</v>
      </c>
      <c r="E204">
        <v>20400</v>
      </c>
      <c r="F204">
        <v>500</v>
      </c>
      <c r="G204" t="b">
        <v>0</v>
      </c>
      <c r="H204">
        <v>500</v>
      </c>
    </row>
    <row r="205" spans="1:8" x14ac:dyDescent="0.25">
      <c r="A205" t="s">
        <v>276</v>
      </c>
      <c r="B205">
        <v>2800</v>
      </c>
      <c r="C205">
        <v>17</v>
      </c>
      <c r="D205">
        <v>3</v>
      </c>
      <c r="E205">
        <v>2300</v>
      </c>
      <c r="F205">
        <v>65</v>
      </c>
      <c r="G205" t="b">
        <v>0</v>
      </c>
      <c r="H205">
        <v>65</v>
      </c>
    </row>
    <row r="206" spans="1:8" x14ac:dyDescent="0.25">
      <c r="A206" t="s">
        <v>288</v>
      </c>
      <c r="B206">
        <v>5500</v>
      </c>
      <c r="C206">
        <v>9</v>
      </c>
      <c r="D206">
        <v>2</v>
      </c>
      <c r="E206">
        <v>5000</v>
      </c>
      <c r="F206">
        <v>50</v>
      </c>
      <c r="G206" t="b">
        <v>0</v>
      </c>
      <c r="H206">
        <v>50</v>
      </c>
    </row>
    <row r="207" spans="1:8" x14ac:dyDescent="0.25">
      <c r="A207" t="s">
        <v>289</v>
      </c>
      <c r="B207">
        <v>4400</v>
      </c>
      <c r="C207">
        <v>0</v>
      </c>
      <c r="D207">
        <v>4</v>
      </c>
      <c r="E207">
        <v>4400</v>
      </c>
      <c r="F207">
        <v>60</v>
      </c>
      <c r="G207" t="b">
        <v>0</v>
      </c>
      <c r="H207">
        <v>60</v>
      </c>
    </row>
    <row r="208" spans="1:8" x14ac:dyDescent="0.25">
      <c r="A208" t="s">
        <v>290</v>
      </c>
      <c r="B208">
        <v>7000</v>
      </c>
      <c r="C208">
        <v>10</v>
      </c>
      <c r="D208">
        <v>3</v>
      </c>
      <c r="E208">
        <v>6300</v>
      </c>
      <c r="F208">
        <v>405</v>
      </c>
      <c r="G208" t="b">
        <v>0</v>
      </c>
      <c r="H208">
        <v>405</v>
      </c>
    </row>
    <row r="209" spans="1:8" x14ac:dyDescent="0.25">
      <c r="A209" t="s">
        <v>291</v>
      </c>
      <c r="B209">
        <v>7400</v>
      </c>
      <c r="C209">
        <v>9</v>
      </c>
      <c r="D209">
        <v>3</v>
      </c>
      <c r="E209">
        <v>6700</v>
      </c>
      <c r="F209">
        <v>100</v>
      </c>
      <c r="G209" t="b">
        <v>0</v>
      </c>
      <c r="H209">
        <v>100</v>
      </c>
    </row>
    <row r="210" spans="1:8" x14ac:dyDescent="0.25">
      <c r="A210" t="s">
        <v>292</v>
      </c>
      <c r="B210">
        <v>29500</v>
      </c>
      <c r="C210">
        <v>16</v>
      </c>
      <c r="D210">
        <v>6</v>
      </c>
      <c r="E210">
        <v>24500</v>
      </c>
      <c r="F210">
        <v>5000</v>
      </c>
      <c r="G210" t="b">
        <v>0</v>
      </c>
      <c r="H210">
        <v>5</v>
      </c>
    </row>
    <row r="211" spans="1:8" x14ac:dyDescent="0.25">
      <c r="A211" t="s">
        <v>293</v>
      </c>
      <c r="B211">
        <v>5000</v>
      </c>
      <c r="C211">
        <v>2</v>
      </c>
      <c r="D211">
        <v>6</v>
      </c>
      <c r="E211">
        <v>4900</v>
      </c>
      <c r="F211">
        <v>200</v>
      </c>
      <c r="G211" t="b">
        <v>0</v>
      </c>
      <c r="H211">
        <v>200</v>
      </c>
    </row>
    <row r="212" spans="1:8" x14ac:dyDescent="0.25">
      <c r="A212" t="s">
        <v>294</v>
      </c>
      <c r="B212">
        <v>4900</v>
      </c>
      <c r="C212">
        <v>8</v>
      </c>
      <c r="D212">
        <v>6</v>
      </c>
      <c r="E212">
        <v>4500</v>
      </c>
      <c r="F212">
        <v>200</v>
      </c>
      <c r="G212" t="b">
        <v>0</v>
      </c>
      <c r="H212">
        <v>200</v>
      </c>
    </row>
    <row r="213" spans="1:8" x14ac:dyDescent="0.25">
      <c r="A213" t="s">
        <v>295</v>
      </c>
      <c r="B213">
        <v>7500</v>
      </c>
      <c r="C213">
        <v>17</v>
      </c>
      <c r="D213">
        <v>6</v>
      </c>
      <c r="E213">
        <v>6200</v>
      </c>
      <c r="F213">
        <v>50</v>
      </c>
      <c r="G213" t="b">
        <v>0</v>
      </c>
      <c r="H213">
        <v>50</v>
      </c>
    </row>
    <row r="214" spans="1:8" x14ac:dyDescent="0.25">
      <c r="A214" t="s">
        <v>296</v>
      </c>
      <c r="B214">
        <v>9600</v>
      </c>
      <c r="C214">
        <v>15</v>
      </c>
      <c r="D214">
        <v>6</v>
      </c>
      <c r="E214">
        <v>8100</v>
      </c>
      <c r="F214">
        <v>280</v>
      </c>
      <c r="G214" t="b">
        <v>0</v>
      </c>
      <c r="H214">
        <v>280</v>
      </c>
    </row>
    <row r="215" spans="1:8" x14ac:dyDescent="0.25">
      <c r="A215" t="s">
        <v>297</v>
      </c>
      <c r="B215">
        <v>4000</v>
      </c>
      <c r="C215">
        <v>5</v>
      </c>
      <c r="D215">
        <v>6</v>
      </c>
      <c r="E215">
        <v>3800</v>
      </c>
      <c r="F215">
        <v>50</v>
      </c>
      <c r="G215" t="b">
        <v>0</v>
      </c>
      <c r="H215">
        <v>50</v>
      </c>
    </row>
    <row r="216" spans="1:8" x14ac:dyDescent="0.25">
      <c r="A216" t="s">
        <v>298</v>
      </c>
      <c r="B216">
        <v>3500</v>
      </c>
      <c r="C216">
        <v>2</v>
      </c>
      <c r="D216">
        <v>6</v>
      </c>
      <c r="E216">
        <v>3400</v>
      </c>
      <c r="F216">
        <v>100</v>
      </c>
      <c r="G216" t="b">
        <v>0</v>
      </c>
      <c r="H216">
        <v>100</v>
      </c>
    </row>
    <row r="217" spans="1:8" x14ac:dyDescent="0.25">
      <c r="A217" t="s">
        <v>299</v>
      </c>
      <c r="B217">
        <v>19000</v>
      </c>
      <c r="C217">
        <v>0</v>
      </c>
      <c r="D217">
        <v>4</v>
      </c>
      <c r="E217">
        <v>19000</v>
      </c>
      <c r="F217">
        <v>500</v>
      </c>
      <c r="G217" t="b">
        <v>0</v>
      </c>
      <c r="H217">
        <v>500</v>
      </c>
    </row>
    <row r="218" spans="1:8" x14ac:dyDescent="0.25">
      <c r="A218" t="s">
        <v>300</v>
      </c>
      <c r="B218">
        <v>4000</v>
      </c>
      <c r="C218">
        <v>2</v>
      </c>
      <c r="D218">
        <v>6</v>
      </c>
      <c r="E218">
        <v>3900</v>
      </c>
      <c r="F218">
        <v>50</v>
      </c>
      <c r="G218" t="b">
        <v>0</v>
      </c>
      <c r="H218">
        <v>50</v>
      </c>
    </row>
    <row r="219" spans="1:8" x14ac:dyDescent="0.25">
      <c r="A219" t="s">
        <v>301</v>
      </c>
      <c r="B219">
        <v>6000</v>
      </c>
      <c r="C219">
        <v>15</v>
      </c>
      <c r="D219">
        <v>6</v>
      </c>
      <c r="E219">
        <v>5100</v>
      </c>
      <c r="F219">
        <v>50</v>
      </c>
      <c r="G219" t="b">
        <v>0</v>
      </c>
      <c r="H219">
        <v>50</v>
      </c>
    </row>
    <row r="220" spans="1:8" x14ac:dyDescent="0.25">
      <c r="A220" t="s">
        <v>302</v>
      </c>
      <c r="B220">
        <v>9500</v>
      </c>
      <c r="C220">
        <v>0</v>
      </c>
      <c r="D220">
        <v>6</v>
      </c>
      <c r="E220">
        <v>9500</v>
      </c>
      <c r="F220">
        <v>500</v>
      </c>
      <c r="G220" t="b">
        <v>0</v>
      </c>
      <c r="H220">
        <v>500</v>
      </c>
    </row>
    <row r="221" spans="1:8" x14ac:dyDescent="0.25">
      <c r="A221" t="s">
        <v>303</v>
      </c>
      <c r="B221">
        <v>4600</v>
      </c>
      <c r="C221">
        <v>0</v>
      </c>
      <c r="D221">
        <v>6</v>
      </c>
      <c r="E221">
        <v>4600</v>
      </c>
      <c r="F221">
        <v>54</v>
      </c>
      <c r="G221" t="b">
        <v>0</v>
      </c>
      <c r="H221">
        <v>54</v>
      </c>
    </row>
    <row r="222" spans="1:8" x14ac:dyDescent="0.25">
      <c r="A222" t="s">
        <v>304</v>
      </c>
      <c r="B222">
        <v>14200</v>
      </c>
      <c r="C222">
        <v>9</v>
      </c>
      <c r="D222">
        <v>3</v>
      </c>
      <c r="E222">
        <v>12800</v>
      </c>
      <c r="F222">
        <v>500</v>
      </c>
      <c r="G222" t="b">
        <v>0</v>
      </c>
      <c r="H222">
        <v>500</v>
      </c>
    </row>
    <row r="223" spans="1:8" x14ac:dyDescent="0.25">
      <c r="A223" t="s">
        <v>305</v>
      </c>
      <c r="B223">
        <v>30000</v>
      </c>
      <c r="C223">
        <v>10</v>
      </c>
      <c r="D223">
        <v>3</v>
      </c>
      <c r="E223">
        <v>27000</v>
      </c>
      <c r="F223">
        <v>42</v>
      </c>
      <c r="G223" t="b">
        <v>0</v>
      </c>
      <c r="H223">
        <v>42</v>
      </c>
    </row>
    <row r="224" spans="1:8" x14ac:dyDescent="0.25">
      <c r="A224" t="s">
        <v>306</v>
      </c>
      <c r="B224">
        <v>3700</v>
      </c>
      <c r="C224">
        <v>2</v>
      </c>
      <c r="D224">
        <v>6</v>
      </c>
      <c r="E224">
        <v>3600</v>
      </c>
      <c r="F224">
        <v>100</v>
      </c>
      <c r="G224" t="b">
        <v>0</v>
      </c>
      <c r="H224">
        <v>100</v>
      </c>
    </row>
    <row r="225" spans="1:8" x14ac:dyDescent="0.25">
      <c r="A225" t="s">
        <v>307</v>
      </c>
      <c r="B225">
        <v>14500</v>
      </c>
      <c r="C225">
        <v>0</v>
      </c>
      <c r="D225">
        <v>6</v>
      </c>
      <c r="E225">
        <v>14500</v>
      </c>
      <c r="F225">
        <v>500</v>
      </c>
      <c r="G225" t="b">
        <v>0</v>
      </c>
      <c r="H225">
        <v>500</v>
      </c>
    </row>
    <row r="226" spans="1:8" x14ac:dyDescent="0.25">
      <c r="A226" t="s">
        <v>308</v>
      </c>
      <c r="B226">
        <v>3500</v>
      </c>
      <c r="C226">
        <v>2</v>
      </c>
      <c r="D226">
        <v>6</v>
      </c>
      <c r="E226">
        <v>3400</v>
      </c>
      <c r="F226">
        <v>500</v>
      </c>
      <c r="G226" t="b">
        <v>0</v>
      </c>
      <c r="H226">
        <v>500</v>
      </c>
    </row>
    <row r="227" spans="1:8" x14ac:dyDescent="0.25">
      <c r="A227" t="s">
        <v>309</v>
      </c>
      <c r="B227">
        <v>20500</v>
      </c>
      <c r="C227">
        <v>5</v>
      </c>
      <c r="D227">
        <v>1</v>
      </c>
      <c r="E227">
        <v>19400</v>
      </c>
      <c r="F227">
        <v>250</v>
      </c>
      <c r="G227" t="b">
        <v>0</v>
      </c>
      <c r="H227">
        <v>250</v>
      </c>
    </row>
    <row r="228" spans="1:8" x14ac:dyDescent="0.25">
      <c r="A228" t="s">
        <v>310</v>
      </c>
      <c r="B228">
        <v>9900</v>
      </c>
      <c r="C228">
        <v>0</v>
      </c>
      <c r="D228">
        <v>6</v>
      </c>
      <c r="E228">
        <v>9900</v>
      </c>
      <c r="F228">
        <v>75</v>
      </c>
      <c r="G228" t="b">
        <v>0</v>
      </c>
      <c r="H228">
        <v>75</v>
      </c>
    </row>
    <row r="229" spans="1:8" x14ac:dyDescent="0.25">
      <c r="A229" t="s">
        <v>136</v>
      </c>
      <c r="B229">
        <v>19500</v>
      </c>
      <c r="C229">
        <v>12</v>
      </c>
      <c r="D229">
        <v>2</v>
      </c>
      <c r="E229">
        <v>17100</v>
      </c>
      <c r="F229">
        <v>500</v>
      </c>
      <c r="G229" t="b">
        <v>0</v>
      </c>
      <c r="H229">
        <v>500</v>
      </c>
    </row>
    <row r="230" spans="1:8" x14ac:dyDescent="0.25">
      <c r="A230" t="s">
        <v>311</v>
      </c>
      <c r="B230">
        <v>8500</v>
      </c>
      <c r="C230">
        <v>9</v>
      </c>
      <c r="D230">
        <v>5</v>
      </c>
      <c r="E230">
        <v>7700</v>
      </c>
      <c r="F230">
        <v>500</v>
      </c>
      <c r="G230" t="b">
        <v>0</v>
      </c>
      <c r="H230">
        <v>500</v>
      </c>
    </row>
    <row r="231" spans="1:8" x14ac:dyDescent="0.25">
      <c r="A231" t="s">
        <v>211</v>
      </c>
      <c r="B231">
        <v>2200</v>
      </c>
      <c r="C231">
        <v>0</v>
      </c>
      <c r="D231">
        <v>6</v>
      </c>
      <c r="E231">
        <v>2200</v>
      </c>
      <c r="F231">
        <v>50</v>
      </c>
      <c r="G231" t="b">
        <v>0</v>
      </c>
      <c r="H231">
        <v>50</v>
      </c>
    </row>
    <row r="232" spans="1:8" x14ac:dyDescent="0.25">
      <c r="A232" t="s">
        <v>312</v>
      </c>
      <c r="B232">
        <v>6500</v>
      </c>
      <c r="C232">
        <v>13</v>
      </c>
      <c r="D232">
        <v>6</v>
      </c>
      <c r="E232">
        <v>5600</v>
      </c>
      <c r="F232">
        <v>1000</v>
      </c>
      <c r="G232" t="b">
        <v>0</v>
      </c>
      <c r="H232">
        <v>1</v>
      </c>
    </row>
    <row r="233" spans="1:8" x14ac:dyDescent="0.25">
      <c r="A233" t="s">
        <v>313</v>
      </c>
      <c r="B233">
        <v>4500</v>
      </c>
      <c r="C233">
        <v>2</v>
      </c>
      <c r="D233">
        <v>6</v>
      </c>
      <c r="E233">
        <v>4400</v>
      </c>
      <c r="F233">
        <v>90</v>
      </c>
      <c r="G233" t="b">
        <v>0</v>
      </c>
      <c r="H233">
        <v>90</v>
      </c>
    </row>
    <row r="234" spans="1:8" x14ac:dyDescent="0.25">
      <c r="A234" t="s">
        <v>314</v>
      </c>
      <c r="B234">
        <v>4500</v>
      </c>
      <c r="C234">
        <v>2</v>
      </c>
      <c r="D234">
        <v>6</v>
      </c>
      <c r="E234">
        <v>4400</v>
      </c>
      <c r="F234">
        <v>90</v>
      </c>
      <c r="G234" t="b">
        <v>0</v>
      </c>
      <c r="H234">
        <v>90</v>
      </c>
    </row>
    <row r="235" spans="1:8" x14ac:dyDescent="0.25">
      <c r="A235" t="s">
        <v>315</v>
      </c>
      <c r="B235">
        <v>7000</v>
      </c>
      <c r="C235">
        <v>10</v>
      </c>
      <c r="D235">
        <v>4</v>
      </c>
      <c r="E235">
        <v>6300</v>
      </c>
      <c r="F235">
        <v>500</v>
      </c>
      <c r="G235" t="b">
        <v>0</v>
      </c>
      <c r="H235">
        <v>500</v>
      </c>
    </row>
    <row r="236" spans="1:8" x14ac:dyDescent="0.25">
      <c r="A236" t="s">
        <v>166</v>
      </c>
      <c r="B236">
        <v>5000</v>
      </c>
      <c r="C236">
        <v>12</v>
      </c>
      <c r="D236">
        <v>2</v>
      </c>
      <c r="E236">
        <v>4400</v>
      </c>
      <c r="F236">
        <v>100</v>
      </c>
      <c r="G236" t="b">
        <v>0</v>
      </c>
      <c r="H236">
        <v>100</v>
      </c>
    </row>
    <row r="237" spans="1:8" x14ac:dyDescent="0.25">
      <c r="A237" t="s">
        <v>316</v>
      </c>
      <c r="B237">
        <v>47000</v>
      </c>
      <c r="C237">
        <v>21</v>
      </c>
      <c r="D237">
        <v>5</v>
      </c>
      <c r="E237">
        <v>37100</v>
      </c>
      <c r="F237">
        <v>250</v>
      </c>
      <c r="G237" t="b">
        <v>0</v>
      </c>
      <c r="H237">
        <v>250</v>
      </c>
    </row>
    <row r="238" spans="1:8" x14ac:dyDescent="0.25">
      <c r="A238" t="s">
        <v>317</v>
      </c>
      <c r="B238">
        <v>5000</v>
      </c>
      <c r="C238">
        <v>6</v>
      </c>
      <c r="D238">
        <v>3</v>
      </c>
      <c r="E238">
        <v>4700</v>
      </c>
      <c r="F238">
        <v>400</v>
      </c>
      <c r="G238" t="b">
        <v>0</v>
      </c>
      <c r="H238">
        <v>400</v>
      </c>
    </row>
    <row r="239" spans="1:8" x14ac:dyDescent="0.25">
      <c r="A239" t="s">
        <v>318</v>
      </c>
      <c r="B239">
        <v>4000</v>
      </c>
      <c r="C239">
        <v>10</v>
      </c>
      <c r="D239">
        <v>4</v>
      </c>
      <c r="E239">
        <v>3600</v>
      </c>
      <c r="F239">
        <v>500</v>
      </c>
      <c r="G239" t="b">
        <v>0</v>
      </c>
      <c r="H239">
        <v>500</v>
      </c>
    </row>
    <row r="240" spans="1:8" x14ac:dyDescent="0.25">
      <c r="A240" t="s">
        <v>319</v>
      </c>
      <c r="B240">
        <v>9500</v>
      </c>
      <c r="C240">
        <v>0</v>
      </c>
      <c r="D240">
        <v>4</v>
      </c>
      <c r="E240">
        <v>9500</v>
      </c>
      <c r="F240">
        <v>200</v>
      </c>
      <c r="G240" t="b">
        <v>0</v>
      </c>
      <c r="H240">
        <v>200</v>
      </c>
    </row>
    <row r="241" spans="1:8" x14ac:dyDescent="0.25">
      <c r="A241" t="s">
        <v>320</v>
      </c>
      <c r="B241">
        <v>16000</v>
      </c>
      <c r="C241">
        <v>10</v>
      </c>
      <c r="D241">
        <v>3</v>
      </c>
      <c r="E241">
        <v>14400</v>
      </c>
      <c r="F241">
        <v>250</v>
      </c>
      <c r="G241" t="b">
        <v>0</v>
      </c>
      <c r="H241">
        <v>250</v>
      </c>
    </row>
    <row r="242" spans="1:8" x14ac:dyDescent="0.25">
      <c r="A242" t="s">
        <v>321</v>
      </c>
      <c r="B242">
        <v>2500</v>
      </c>
      <c r="C242">
        <v>0</v>
      </c>
      <c r="D242">
        <v>6</v>
      </c>
      <c r="E242">
        <v>2500</v>
      </c>
      <c r="F242">
        <v>25</v>
      </c>
      <c r="G242" t="b">
        <v>0</v>
      </c>
      <c r="H242">
        <v>25</v>
      </c>
    </row>
    <row r="243" spans="1:8" x14ac:dyDescent="0.25">
      <c r="A243" t="s">
        <v>322</v>
      </c>
      <c r="B243">
        <v>20800</v>
      </c>
      <c r="C243">
        <v>0</v>
      </c>
      <c r="D243">
        <v>6</v>
      </c>
      <c r="E243">
        <v>20800</v>
      </c>
      <c r="F243">
        <v>100</v>
      </c>
      <c r="G243" t="b">
        <v>0</v>
      </c>
      <c r="H243">
        <v>100</v>
      </c>
    </row>
    <row r="244" spans="1:8" x14ac:dyDescent="0.25">
      <c r="A244" t="s">
        <v>323</v>
      </c>
      <c r="B244">
        <v>3900</v>
      </c>
      <c r="C244">
        <v>2</v>
      </c>
      <c r="D244">
        <v>5</v>
      </c>
      <c r="E244">
        <v>3800</v>
      </c>
      <c r="F244">
        <v>50</v>
      </c>
      <c r="G244" t="b">
        <v>0</v>
      </c>
      <c r="H244">
        <v>50</v>
      </c>
    </row>
    <row r="245" spans="1:8" x14ac:dyDescent="0.25">
      <c r="A245" t="s">
        <v>324</v>
      </c>
      <c r="B245">
        <v>4900</v>
      </c>
      <c r="C245">
        <v>2</v>
      </c>
      <c r="D245">
        <v>3</v>
      </c>
      <c r="E245">
        <v>4800</v>
      </c>
      <c r="F245">
        <v>200</v>
      </c>
      <c r="G245" t="b">
        <v>0</v>
      </c>
      <c r="H245">
        <v>200</v>
      </c>
    </row>
    <row r="246" spans="1:8" x14ac:dyDescent="0.25">
      <c r="A246" t="s">
        <v>325</v>
      </c>
      <c r="B246">
        <v>7000</v>
      </c>
      <c r="C246">
        <v>7</v>
      </c>
      <c r="D246">
        <v>6</v>
      </c>
      <c r="E246">
        <v>6500</v>
      </c>
      <c r="F246">
        <v>50</v>
      </c>
      <c r="G246" t="b">
        <v>0</v>
      </c>
      <c r="H246">
        <v>50</v>
      </c>
    </row>
    <row r="247" spans="1:8" x14ac:dyDescent="0.25">
      <c r="A247" t="s">
        <v>326</v>
      </c>
      <c r="B247">
        <v>15000</v>
      </c>
      <c r="C247">
        <v>4</v>
      </c>
      <c r="D247">
        <v>4</v>
      </c>
      <c r="E247">
        <v>14300</v>
      </c>
      <c r="F247">
        <v>400</v>
      </c>
      <c r="G247" t="b">
        <v>0</v>
      </c>
      <c r="H247">
        <v>400</v>
      </c>
    </row>
    <row r="248" spans="1:8" x14ac:dyDescent="0.25">
      <c r="A248" t="s">
        <v>327</v>
      </c>
      <c r="B248">
        <v>1500</v>
      </c>
      <c r="C248">
        <v>0</v>
      </c>
      <c r="D248">
        <v>5</v>
      </c>
      <c r="E248">
        <v>1500</v>
      </c>
      <c r="F248">
        <v>50</v>
      </c>
      <c r="G248" t="b">
        <v>0</v>
      </c>
      <c r="H248">
        <v>50</v>
      </c>
    </row>
    <row r="249" spans="1:8" x14ac:dyDescent="0.25">
      <c r="A249" t="s">
        <v>328</v>
      </c>
      <c r="B249">
        <v>6000</v>
      </c>
      <c r="C249">
        <v>0</v>
      </c>
      <c r="D249">
        <v>4</v>
      </c>
      <c r="E249">
        <v>6000</v>
      </c>
      <c r="F249">
        <v>240</v>
      </c>
      <c r="G249" t="b">
        <v>0</v>
      </c>
      <c r="H249">
        <v>240</v>
      </c>
    </row>
    <row r="250" spans="1:8" x14ac:dyDescent="0.25">
      <c r="A250" t="s">
        <v>329</v>
      </c>
      <c r="B250">
        <v>4800</v>
      </c>
      <c r="C250">
        <v>2</v>
      </c>
      <c r="D250">
        <v>5</v>
      </c>
      <c r="E250">
        <v>4700</v>
      </c>
      <c r="F250">
        <v>100</v>
      </c>
      <c r="G250" t="b">
        <v>0</v>
      </c>
      <c r="H250">
        <v>100</v>
      </c>
    </row>
    <row r="251" spans="1:8" x14ac:dyDescent="0.25">
      <c r="A251" t="s">
        <v>238</v>
      </c>
      <c r="B251">
        <v>27500</v>
      </c>
      <c r="C251">
        <v>0</v>
      </c>
      <c r="D251">
        <v>6</v>
      </c>
      <c r="E251">
        <v>27500</v>
      </c>
      <c r="F251">
        <v>5000</v>
      </c>
      <c r="G251" t="b">
        <v>0</v>
      </c>
      <c r="H251">
        <v>5</v>
      </c>
    </row>
    <row r="252" spans="1:8" x14ac:dyDescent="0.25">
      <c r="A252" t="s">
        <v>330</v>
      </c>
      <c r="B252">
        <v>21500</v>
      </c>
      <c r="C252">
        <v>9</v>
      </c>
      <c r="D252">
        <v>4</v>
      </c>
      <c r="E252">
        <v>19400</v>
      </c>
      <c r="F252">
        <v>1000</v>
      </c>
      <c r="G252" t="b">
        <v>0</v>
      </c>
      <c r="H252">
        <v>1</v>
      </c>
    </row>
    <row r="253" spans="1:8" x14ac:dyDescent="0.25">
      <c r="A253" t="s">
        <v>331</v>
      </c>
      <c r="B253">
        <v>7500</v>
      </c>
      <c r="C253">
        <v>9</v>
      </c>
      <c r="D253">
        <v>4</v>
      </c>
      <c r="E253">
        <v>6800</v>
      </c>
      <c r="F253">
        <v>100</v>
      </c>
      <c r="G253" t="b">
        <v>0</v>
      </c>
      <c r="H253">
        <v>100</v>
      </c>
    </row>
    <row r="254" spans="1:8" x14ac:dyDescent="0.25">
      <c r="A254" t="s">
        <v>332</v>
      </c>
      <c r="B254">
        <v>10000</v>
      </c>
      <c r="C254">
        <v>11</v>
      </c>
      <c r="D254">
        <v>6</v>
      </c>
      <c r="E254">
        <v>8900</v>
      </c>
      <c r="F254">
        <v>159</v>
      </c>
      <c r="G254" t="b">
        <v>0</v>
      </c>
      <c r="H254">
        <v>159</v>
      </c>
    </row>
    <row r="255" spans="1:8" x14ac:dyDescent="0.25">
      <c r="A255" t="s">
        <v>333</v>
      </c>
      <c r="B255">
        <v>20000</v>
      </c>
      <c r="C255">
        <v>0</v>
      </c>
      <c r="D255">
        <v>2</v>
      </c>
      <c r="E255">
        <v>20000</v>
      </c>
      <c r="F255">
        <v>450</v>
      </c>
      <c r="G255" t="b">
        <v>0</v>
      </c>
      <c r="H255">
        <v>450</v>
      </c>
    </row>
    <row r="256" spans="1:8" x14ac:dyDescent="0.25">
      <c r="A256" t="s">
        <v>334</v>
      </c>
      <c r="B256">
        <v>5600</v>
      </c>
      <c r="C256">
        <v>7</v>
      </c>
      <c r="D256">
        <v>5</v>
      </c>
      <c r="E256">
        <v>5200</v>
      </c>
      <c r="F256">
        <v>100</v>
      </c>
      <c r="G256" t="b">
        <v>0</v>
      </c>
      <c r="H256">
        <v>100</v>
      </c>
    </row>
    <row r="257" spans="1:8" x14ac:dyDescent="0.25">
      <c r="A257" t="s">
        <v>335</v>
      </c>
      <c r="B257">
        <v>19000</v>
      </c>
      <c r="C257">
        <v>10</v>
      </c>
      <c r="D257">
        <v>6</v>
      </c>
      <c r="E257">
        <v>17100</v>
      </c>
      <c r="F257">
        <v>100</v>
      </c>
      <c r="G257" t="b">
        <v>0</v>
      </c>
      <c r="H257">
        <v>100</v>
      </c>
    </row>
    <row r="258" spans="1:8" x14ac:dyDescent="0.25">
      <c r="A258" t="s">
        <v>336</v>
      </c>
      <c r="B258">
        <v>29500</v>
      </c>
      <c r="C258">
        <v>9</v>
      </c>
      <c r="D258">
        <v>6</v>
      </c>
      <c r="E258">
        <v>26600</v>
      </c>
      <c r="F258">
        <v>360</v>
      </c>
      <c r="G258" t="b">
        <v>0</v>
      </c>
      <c r="H258">
        <v>360</v>
      </c>
    </row>
    <row r="259" spans="1:8" x14ac:dyDescent="0.25">
      <c r="A259" t="s">
        <v>337</v>
      </c>
      <c r="B259">
        <v>35000</v>
      </c>
      <c r="C259">
        <v>10</v>
      </c>
      <c r="D259">
        <v>5</v>
      </c>
      <c r="E259">
        <v>31200</v>
      </c>
      <c r="F259">
        <v>5000</v>
      </c>
      <c r="G259" t="b">
        <v>0</v>
      </c>
      <c r="H259">
        <v>5</v>
      </c>
    </row>
    <row r="260" spans="1:8" x14ac:dyDescent="0.25">
      <c r="A260" t="s">
        <v>338</v>
      </c>
      <c r="B260">
        <v>35000</v>
      </c>
      <c r="C260">
        <v>10</v>
      </c>
      <c r="D260">
        <v>6</v>
      </c>
      <c r="E260">
        <v>31200</v>
      </c>
      <c r="F260">
        <v>1000</v>
      </c>
      <c r="G260" t="b">
        <v>0</v>
      </c>
      <c r="H260">
        <v>1</v>
      </c>
    </row>
    <row r="261" spans="1:8" x14ac:dyDescent="0.25">
      <c r="A261" t="s">
        <v>339</v>
      </c>
      <c r="B261">
        <v>17000</v>
      </c>
      <c r="C261">
        <v>7</v>
      </c>
      <c r="D261">
        <v>6</v>
      </c>
      <c r="E261">
        <v>15700</v>
      </c>
      <c r="F261">
        <v>100</v>
      </c>
      <c r="G261" t="b">
        <v>0</v>
      </c>
      <c r="H261">
        <v>100</v>
      </c>
    </row>
    <row r="262" spans="1:8" x14ac:dyDescent="0.25">
      <c r="A262" t="s">
        <v>340</v>
      </c>
      <c r="B262">
        <v>9000</v>
      </c>
      <c r="C262">
        <v>16</v>
      </c>
      <c r="D262">
        <v>3</v>
      </c>
      <c r="E262">
        <v>7500</v>
      </c>
      <c r="F262">
        <v>500</v>
      </c>
      <c r="G262" t="b">
        <v>0</v>
      </c>
      <c r="H262">
        <v>500</v>
      </c>
    </row>
    <row r="263" spans="1:8" x14ac:dyDescent="0.25">
      <c r="A263" t="s">
        <v>341</v>
      </c>
      <c r="B263">
        <v>9500</v>
      </c>
      <c r="C263">
        <v>7</v>
      </c>
      <c r="D263">
        <v>6</v>
      </c>
      <c r="E263">
        <v>8800</v>
      </c>
      <c r="F263">
        <v>500</v>
      </c>
      <c r="G263" t="b">
        <v>0</v>
      </c>
      <c r="H263">
        <v>500</v>
      </c>
    </row>
    <row r="264" spans="1:8" x14ac:dyDescent="0.25">
      <c r="A264" t="s">
        <v>342</v>
      </c>
      <c r="B264">
        <v>6000</v>
      </c>
      <c r="C264">
        <v>6</v>
      </c>
      <c r="D264">
        <v>3</v>
      </c>
      <c r="E264">
        <v>5600</v>
      </c>
      <c r="F264">
        <v>500</v>
      </c>
      <c r="G264" t="b">
        <v>0</v>
      </c>
      <c r="H264">
        <v>500</v>
      </c>
    </row>
    <row r="265" spans="1:8" x14ac:dyDescent="0.25">
      <c r="A265" t="s">
        <v>343</v>
      </c>
      <c r="B265">
        <v>39000</v>
      </c>
      <c r="C265">
        <v>11</v>
      </c>
      <c r="D265">
        <v>5</v>
      </c>
      <c r="E265">
        <v>34700</v>
      </c>
      <c r="F265">
        <v>1000</v>
      </c>
      <c r="G265" t="b">
        <v>0</v>
      </c>
      <c r="H265">
        <v>1</v>
      </c>
    </row>
    <row r="266" spans="1:8" x14ac:dyDescent="0.25">
      <c r="A266" t="s">
        <v>344</v>
      </c>
      <c r="B266">
        <v>6000</v>
      </c>
      <c r="C266">
        <v>0</v>
      </c>
      <c r="D266">
        <v>4</v>
      </c>
      <c r="E266">
        <v>6000</v>
      </c>
      <c r="F266">
        <v>240</v>
      </c>
      <c r="G266" t="b">
        <v>0</v>
      </c>
      <c r="H266">
        <v>240</v>
      </c>
    </row>
    <row r="267" spans="1:8" x14ac:dyDescent="0.25">
      <c r="A267" t="s">
        <v>345</v>
      </c>
      <c r="B267">
        <v>19500</v>
      </c>
      <c r="C267">
        <v>12</v>
      </c>
      <c r="D267">
        <v>6</v>
      </c>
      <c r="E267">
        <v>17100</v>
      </c>
      <c r="F267">
        <v>500</v>
      </c>
      <c r="G267" t="b">
        <v>0</v>
      </c>
      <c r="H267">
        <v>500</v>
      </c>
    </row>
    <row r="268" spans="1:8" x14ac:dyDescent="0.25">
      <c r="A268" t="s">
        <v>346</v>
      </c>
      <c r="B268">
        <v>43000</v>
      </c>
      <c r="C268">
        <v>10</v>
      </c>
      <c r="D268">
        <v>6</v>
      </c>
      <c r="E268">
        <v>38700</v>
      </c>
      <c r="F268">
        <v>1000</v>
      </c>
      <c r="G268" t="b">
        <v>0</v>
      </c>
      <c r="H268">
        <v>1</v>
      </c>
    </row>
    <row r="269" spans="1:8" x14ac:dyDescent="0.25">
      <c r="A269" t="s">
        <v>347</v>
      </c>
      <c r="B269">
        <v>7000</v>
      </c>
      <c r="C269">
        <v>10</v>
      </c>
      <c r="D269">
        <v>5</v>
      </c>
      <c r="E269">
        <v>6300</v>
      </c>
      <c r="F269">
        <v>25</v>
      </c>
      <c r="G269" t="b">
        <v>0</v>
      </c>
      <c r="H269">
        <v>25</v>
      </c>
    </row>
    <row r="270" spans="1:8" x14ac:dyDescent="0.25">
      <c r="A270" t="s">
        <v>348</v>
      </c>
      <c r="B270">
        <v>1000</v>
      </c>
      <c r="C270">
        <v>0</v>
      </c>
      <c r="D270">
        <v>5</v>
      </c>
      <c r="E270">
        <v>1000</v>
      </c>
      <c r="F270">
        <v>20</v>
      </c>
      <c r="G270" t="b">
        <v>0</v>
      </c>
      <c r="H270">
        <v>20</v>
      </c>
    </row>
    <row r="271" spans="1:8" x14ac:dyDescent="0.25">
      <c r="A271" t="s">
        <v>349</v>
      </c>
      <c r="B271">
        <v>22300</v>
      </c>
      <c r="C271">
        <v>5</v>
      </c>
      <c r="D271">
        <v>6</v>
      </c>
      <c r="E271">
        <v>21100</v>
      </c>
      <c r="F271">
        <v>150</v>
      </c>
      <c r="G271" t="b">
        <v>0</v>
      </c>
      <c r="H271">
        <v>150</v>
      </c>
    </row>
    <row r="272" spans="1:8" x14ac:dyDescent="0.25">
      <c r="A272" t="s">
        <v>350</v>
      </c>
      <c r="B272">
        <v>145000</v>
      </c>
      <c r="C272">
        <v>10</v>
      </c>
      <c r="D272">
        <v>6</v>
      </c>
      <c r="E272">
        <v>130500</v>
      </c>
      <c r="F272">
        <v>540</v>
      </c>
      <c r="G272" t="b">
        <v>0</v>
      </c>
      <c r="H272">
        <v>540</v>
      </c>
    </row>
    <row r="273" spans="1:8" x14ac:dyDescent="0.25">
      <c r="A273" t="s">
        <v>351</v>
      </c>
      <c r="B273">
        <v>12000</v>
      </c>
      <c r="C273">
        <v>6</v>
      </c>
      <c r="D273">
        <v>5</v>
      </c>
      <c r="E273">
        <v>11200</v>
      </c>
      <c r="F273">
        <v>500</v>
      </c>
      <c r="G273" t="b">
        <v>0</v>
      </c>
      <c r="H273">
        <v>500</v>
      </c>
    </row>
    <row r="274" spans="1:8" x14ac:dyDescent="0.25">
      <c r="A274" t="s">
        <v>352</v>
      </c>
      <c r="B274">
        <v>16000</v>
      </c>
      <c r="C274">
        <v>6</v>
      </c>
      <c r="D274">
        <v>4</v>
      </c>
      <c r="E274">
        <v>15000</v>
      </c>
      <c r="F274">
        <v>200</v>
      </c>
      <c r="G274" t="b">
        <v>0</v>
      </c>
      <c r="H274">
        <v>200</v>
      </c>
    </row>
    <row r="275" spans="1:8" x14ac:dyDescent="0.25">
      <c r="A275" t="s">
        <v>353</v>
      </c>
      <c r="B275">
        <v>14000</v>
      </c>
      <c r="C275">
        <v>15</v>
      </c>
      <c r="D275">
        <v>6</v>
      </c>
      <c r="E275">
        <v>11800</v>
      </c>
      <c r="F275">
        <v>250</v>
      </c>
      <c r="G275" t="b">
        <v>0</v>
      </c>
      <c r="H275">
        <v>250</v>
      </c>
    </row>
    <row r="276" spans="1:8" x14ac:dyDescent="0.25">
      <c r="A276" t="s">
        <v>354</v>
      </c>
      <c r="B276">
        <v>9500</v>
      </c>
      <c r="C276">
        <v>6</v>
      </c>
      <c r="D276">
        <v>4</v>
      </c>
      <c r="E276">
        <v>8900</v>
      </c>
      <c r="F276">
        <v>500</v>
      </c>
      <c r="G276" t="b">
        <v>0</v>
      </c>
      <c r="H276">
        <v>500</v>
      </c>
    </row>
    <row r="277" spans="1:8" x14ac:dyDescent="0.25">
      <c r="A277" t="s">
        <v>355</v>
      </c>
      <c r="B277">
        <v>5000</v>
      </c>
      <c r="C277">
        <v>6</v>
      </c>
      <c r="D277">
        <v>6</v>
      </c>
      <c r="E277">
        <v>4700</v>
      </c>
      <c r="F277">
        <v>200</v>
      </c>
      <c r="G277" t="b">
        <v>0</v>
      </c>
      <c r="H277">
        <v>200</v>
      </c>
    </row>
    <row r="278" spans="1:8" x14ac:dyDescent="0.25">
      <c r="A278" t="s">
        <v>356</v>
      </c>
      <c r="B278">
        <v>33000</v>
      </c>
      <c r="C278">
        <v>10</v>
      </c>
      <c r="D278">
        <v>1</v>
      </c>
      <c r="E278">
        <v>29700</v>
      </c>
      <c r="F278">
        <v>400</v>
      </c>
      <c r="G278" t="b">
        <v>0</v>
      </c>
      <c r="H278">
        <v>400</v>
      </c>
    </row>
    <row r="279" spans="1:8" x14ac:dyDescent="0.25">
      <c r="A279" t="s">
        <v>357</v>
      </c>
      <c r="B279">
        <v>4400</v>
      </c>
      <c r="C279">
        <v>0</v>
      </c>
      <c r="D279">
        <v>5</v>
      </c>
      <c r="E279">
        <v>4400</v>
      </c>
      <c r="F279">
        <v>60</v>
      </c>
      <c r="G279" t="b">
        <v>0</v>
      </c>
      <c r="H279">
        <v>60</v>
      </c>
    </row>
    <row r="280" spans="1:8" x14ac:dyDescent="0.25">
      <c r="A280" t="s">
        <v>358</v>
      </c>
      <c r="B280">
        <v>3500</v>
      </c>
      <c r="C280">
        <v>2</v>
      </c>
      <c r="D280">
        <v>1</v>
      </c>
      <c r="E280">
        <v>3400</v>
      </c>
      <c r="F280">
        <v>40</v>
      </c>
      <c r="G280" t="b">
        <v>0</v>
      </c>
      <c r="H280">
        <v>40</v>
      </c>
    </row>
    <row r="281" spans="1:8" x14ac:dyDescent="0.25">
      <c r="A281" t="s">
        <v>323</v>
      </c>
      <c r="B281">
        <v>7400</v>
      </c>
      <c r="C281">
        <v>9</v>
      </c>
      <c r="D281">
        <v>3</v>
      </c>
      <c r="E281">
        <v>6700</v>
      </c>
      <c r="F281">
        <v>100</v>
      </c>
      <c r="G281" t="b">
        <v>0</v>
      </c>
      <c r="H281">
        <v>100</v>
      </c>
    </row>
    <row r="282" spans="1:8" x14ac:dyDescent="0.25">
      <c r="A282" t="s">
        <v>359</v>
      </c>
      <c r="B282">
        <v>4500</v>
      </c>
      <c r="C282">
        <v>4</v>
      </c>
      <c r="D282">
        <v>6</v>
      </c>
      <c r="E282">
        <v>4300</v>
      </c>
      <c r="F282">
        <v>500</v>
      </c>
      <c r="G282" t="b">
        <v>0</v>
      </c>
      <c r="H282">
        <v>500</v>
      </c>
    </row>
    <row r="283" spans="1:8" x14ac:dyDescent="0.25">
      <c r="A283" t="s">
        <v>176</v>
      </c>
      <c r="B283">
        <v>14200</v>
      </c>
      <c r="C283">
        <v>9</v>
      </c>
      <c r="D283">
        <v>6</v>
      </c>
      <c r="E283">
        <v>12800</v>
      </c>
      <c r="F283">
        <v>200</v>
      </c>
      <c r="G283" t="b">
        <v>0</v>
      </c>
      <c r="H283">
        <v>200</v>
      </c>
    </row>
    <row r="284" spans="1:8" x14ac:dyDescent="0.25">
      <c r="A284" t="s">
        <v>360</v>
      </c>
      <c r="B284">
        <v>16500</v>
      </c>
      <c r="C284">
        <v>10</v>
      </c>
      <c r="D284">
        <v>5</v>
      </c>
      <c r="E284">
        <v>14700</v>
      </c>
      <c r="F284">
        <v>285</v>
      </c>
      <c r="G284" t="b">
        <v>0</v>
      </c>
      <c r="H284">
        <v>285</v>
      </c>
    </row>
    <row r="285" spans="1:8" x14ac:dyDescent="0.25">
      <c r="A285" t="s">
        <v>361</v>
      </c>
      <c r="B285">
        <v>7400</v>
      </c>
      <c r="C285">
        <v>6</v>
      </c>
      <c r="D285">
        <v>2</v>
      </c>
      <c r="E285">
        <v>6900</v>
      </c>
      <c r="F285">
        <v>200</v>
      </c>
      <c r="G285" t="b">
        <v>0</v>
      </c>
      <c r="H285">
        <v>200</v>
      </c>
    </row>
    <row r="286" spans="1:8" x14ac:dyDescent="0.25">
      <c r="A286" t="s">
        <v>362</v>
      </c>
      <c r="B286">
        <v>4000</v>
      </c>
      <c r="C286">
        <v>2</v>
      </c>
      <c r="D286">
        <v>6</v>
      </c>
      <c r="E286">
        <v>3900</v>
      </c>
      <c r="F286">
        <v>48</v>
      </c>
      <c r="G286" t="b">
        <v>0</v>
      </c>
      <c r="H286">
        <v>48</v>
      </c>
    </row>
    <row r="287" spans="1:8" x14ac:dyDescent="0.25">
      <c r="A287" t="s">
        <v>363</v>
      </c>
      <c r="B287">
        <v>10200</v>
      </c>
      <c r="C287">
        <v>6</v>
      </c>
      <c r="D287">
        <v>6</v>
      </c>
      <c r="E287">
        <v>9500</v>
      </c>
      <c r="F287">
        <v>100</v>
      </c>
      <c r="G287" t="b">
        <v>0</v>
      </c>
      <c r="H287">
        <v>100</v>
      </c>
    </row>
    <row r="288" spans="1:8" x14ac:dyDescent="0.25">
      <c r="A288" t="s">
        <v>364</v>
      </c>
      <c r="B288">
        <v>4900</v>
      </c>
      <c r="C288">
        <v>2</v>
      </c>
      <c r="D288">
        <v>6</v>
      </c>
      <c r="E288">
        <v>4800</v>
      </c>
      <c r="F288">
        <v>100</v>
      </c>
      <c r="G288" t="b">
        <v>0</v>
      </c>
      <c r="H288">
        <v>100</v>
      </c>
    </row>
    <row r="289" spans="1:8" x14ac:dyDescent="0.25">
      <c r="A289" t="s">
        <v>365</v>
      </c>
      <c r="B289">
        <v>9000</v>
      </c>
      <c r="C289">
        <v>10</v>
      </c>
      <c r="D289">
        <v>6</v>
      </c>
      <c r="E289">
        <v>8100</v>
      </c>
      <c r="F289">
        <v>500</v>
      </c>
      <c r="G289" t="b">
        <v>0</v>
      </c>
      <c r="H289">
        <v>500</v>
      </c>
    </row>
    <row r="290" spans="1:8" x14ac:dyDescent="0.25">
      <c r="A290" t="s">
        <v>366</v>
      </c>
      <c r="B290">
        <v>9500</v>
      </c>
      <c r="C290">
        <v>6</v>
      </c>
      <c r="D290">
        <v>5</v>
      </c>
      <c r="E290">
        <v>8900</v>
      </c>
      <c r="F290">
        <v>500</v>
      </c>
      <c r="G290" t="b">
        <v>0</v>
      </c>
      <c r="H290">
        <v>500</v>
      </c>
    </row>
    <row r="291" spans="1:8" x14ac:dyDescent="0.25">
      <c r="A291" t="s">
        <v>367</v>
      </c>
      <c r="B291">
        <v>42500</v>
      </c>
      <c r="C291">
        <v>20</v>
      </c>
      <c r="D291">
        <v>6</v>
      </c>
      <c r="E291">
        <v>34000</v>
      </c>
      <c r="F291">
        <v>200</v>
      </c>
      <c r="G291" t="b">
        <v>0</v>
      </c>
      <c r="H291">
        <v>200</v>
      </c>
    </row>
    <row r="292" spans="1:8" x14ac:dyDescent="0.25">
      <c r="A292" t="s">
        <v>368</v>
      </c>
      <c r="B292">
        <v>9000</v>
      </c>
      <c r="C292">
        <v>10</v>
      </c>
      <c r="D292">
        <v>3</v>
      </c>
      <c r="E292">
        <v>8100</v>
      </c>
      <c r="F292">
        <v>20</v>
      </c>
      <c r="G292" t="b">
        <v>0</v>
      </c>
      <c r="H292">
        <v>20</v>
      </c>
    </row>
    <row r="293" spans="1:8" x14ac:dyDescent="0.25">
      <c r="A293" t="s">
        <v>369</v>
      </c>
      <c r="B293">
        <v>23500</v>
      </c>
      <c r="C293">
        <v>27</v>
      </c>
      <c r="D293">
        <v>5</v>
      </c>
      <c r="E293">
        <v>17100</v>
      </c>
      <c r="F293">
        <v>1000</v>
      </c>
      <c r="G293" t="b">
        <v>0</v>
      </c>
      <c r="H293">
        <v>1</v>
      </c>
    </row>
    <row r="294" spans="1:8" x14ac:dyDescent="0.25">
      <c r="A294" t="s">
        <v>370</v>
      </c>
      <c r="B294">
        <v>7600</v>
      </c>
      <c r="C294">
        <v>10</v>
      </c>
      <c r="D294">
        <v>4</v>
      </c>
      <c r="E294">
        <v>6800</v>
      </c>
      <c r="F294">
        <v>300</v>
      </c>
      <c r="G294" t="b">
        <v>0</v>
      </c>
      <c r="H294">
        <v>300</v>
      </c>
    </row>
    <row r="295" spans="1:8" x14ac:dyDescent="0.25">
      <c r="A295" t="s">
        <v>371</v>
      </c>
      <c r="B295">
        <v>41000</v>
      </c>
      <c r="C295">
        <v>10</v>
      </c>
      <c r="D295">
        <v>6</v>
      </c>
      <c r="E295">
        <v>36900</v>
      </c>
      <c r="F295">
        <v>1000</v>
      </c>
      <c r="G295" t="b">
        <v>0</v>
      </c>
      <c r="H295">
        <v>1</v>
      </c>
    </row>
    <row r="296" spans="1:8" x14ac:dyDescent="0.25">
      <c r="A296" t="s">
        <v>372</v>
      </c>
      <c r="B296">
        <v>8700</v>
      </c>
      <c r="C296">
        <v>6</v>
      </c>
      <c r="D296">
        <v>6</v>
      </c>
      <c r="E296">
        <v>8100</v>
      </c>
      <c r="F296">
        <v>500</v>
      </c>
      <c r="G296" t="b">
        <v>0</v>
      </c>
      <c r="H296">
        <v>500</v>
      </c>
    </row>
    <row r="297" spans="1:8" x14ac:dyDescent="0.25">
      <c r="A297" t="s">
        <v>373</v>
      </c>
      <c r="B297">
        <v>42500</v>
      </c>
      <c r="C297">
        <v>20</v>
      </c>
      <c r="D297">
        <v>6</v>
      </c>
      <c r="E297">
        <v>34000</v>
      </c>
      <c r="F297">
        <v>200</v>
      </c>
      <c r="G297" t="b">
        <v>0</v>
      </c>
      <c r="H297">
        <v>200</v>
      </c>
    </row>
    <row r="298" spans="1:8" x14ac:dyDescent="0.25">
      <c r="A298" t="s">
        <v>374</v>
      </c>
      <c r="B298">
        <v>8000</v>
      </c>
      <c r="C298">
        <v>0</v>
      </c>
      <c r="D298">
        <v>1</v>
      </c>
      <c r="E298">
        <v>8000</v>
      </c>
      <c r="F298">
        <v>280</v>
      </c>
      <c r="G298" t="b">
        <v>0</v>
      </c>
      <c r="H298">
        <v>280</v>
      </c>
    </row>
    <row r="299" spans="1:8" x14ac:dyDescent="0.25">
      <c r="A299" t="s">
        <v>375</v>
      </c>
      <c r="B299">
        <v>9500</v>
      </c>
      <c r="C299">
        <v>0</v>
      </c>
      <c r="D299">
        <v>5</v>
      </c>
      <c r="E299">
        <v>9500</v>
      </c>
      <c r="F299">
        <v>70</v>
      </c>
      <c r="G299" t="b">
        <v>0</v>
      </c>
      <c r="H299">
        <v>70</v>
      </c>
    </row>
    <row r="300" spans="1:8" x14ac:dyDescent="0.25">
      <c r="A300" t="s">
        <v>376</v>
      </c>
      <c r="B300">
        <v>24000</v>
      </c>
      <c r="C300">
        <v>6</v>
      </c>
      <c r="D300">
        <v>4</v>
      </c>
      <c r="E300">
        <v>22500</v>
      </c>
      <c r="F300">
        <v>500</v>
      </c>
      <c r="G300" t="b">
        <v>0</v>
      </c>
      <c r="H300">
        <v>500</v>
      </c>
    </row>
    <row r="301" spans="1:8" x14ac:dyDescent="0.25">
      <c r="A301" t="s">
        <v>377</v>
      </c>
      <c r="B301">
        <v>11000</v>
      </c>
      <c r="C301">
        <v>10</v>
      </c>
      <c r="D301">
        <v>6</v>
      </c>
      <c r="E301">
        <v>9900</v>
      </c>
      <c r="F301">
        <v>265</v>
      </c>
      <c r="G301" t="b">
        <v>0</v>
      </c>
      <c r="H301">
        <v>265</v>
      </c>
    </row>
    <row r="302" spans="1:8" x14ac:dyDescent="0.25">
      <c r="A302" t="s">
        <v>378</v>
      </c>
      <c r="B302">
        <v>29900</v>
      </c>
      <c r="C302">
        <v>20</v>
      </c>
      <c r="D302">
        <v>6</v>
      </c>
      <c r="E302">
        <v>23900</v>
      </c>
      <c r="F302">
        <v>200</v>
      </c>
      <c r="G302" t="b">
        <v>0</v>
      </c>
      <c r="H302">
        <v>200</v>
      </c>
    </row>
    <row r="303" spans="1:8" x14ac:dyDescent="0.25">
      <c r="A303" t="s">
        <v>379</v>
      </c>
      <c r="B303">
        <v>25000</v>
      </c>
      <c r="C303">
        <v>40</v>
      </c>
      <c r="D303">
        <v>6</v>
      </c>
      <c r="E303">
        <v>14900</v>
      </c>
      <c r="F303">
        <v>500</v>
      </c>
      <c r="G303" t="b">
        <v>0</v>
      </c>
      <c r="H303">
        <v>500</v>
      </c>
    </row>
    <row r="304" spans="1:8" x14ac:dyDescent="0.25">
      <c r="A304" t="s">
        <v>380</v>
      </c>
      <c r="B304">
        <v>22000</v>
      </c>
      <c r="C304">
        <v>50</v>
      </c>
      <c r="D304">
        <v>5</v>
      </c>
      <c r="E304">
        <v>11000</v>
      </c>
      <c r="F304">
        <v>200</v>
      </c>
      <c r="G304" t="b">
        <v>0</v>
      </c>
      <c r="H304">
        <v>200</v>
      </c>
    </row>
    <row r="305" spans="1:8" x14ac:dyDescent="0.25">
      <c r="A305" t="s">
        <v>381</v>
      </c>
      <c r="B305">
        <v>9000</v>
      </c>
      <c r="C305">
        <v>12</v>
      </c>
      <c r="D305">
        <v>3</v>
      </c>
      <c r="E305">
        <v>7900</v>
      </c>
      <c r="F305">
        <v>500</v>
      </c>
      <c r="G305" t="b">
        <v>0</v>
      </c>
      <c r="H305">
        <v>500</v>
      </c>
    </row>
    <row r="306" spans="1:8" x14ac:dyDescent="0.25">
      <c r="A306" t="s">
        <v>382</v>
      </c>
      <c r="B306">
        <v>2500</v>
      </c>
      <c r="C306">
        <v>0</v>
      </c>
      <c r="D306">
        <v>5</v>
      </c>
      <c r="E306">
        <v>2500</v>
      </c>
      <c r="F306">
        <v>100</v>
      </c>
      <c r="G306" t="b">
        <v>0</v>
      </c>
      <c r="H306">
        <v>100</v>
      </c>
    </row>
    <row r="307" spans="1:8" x14ac:dyDescent="0.25">
      <c r="A307" t="s">
        <v>383</v>
      </c>
      <c r="B307">
        <v>15000</v>
      </c>
      <c r="C307">
        <v>10</v>
      </c>
      <c r="D307">
        <v>5</v>
      </c>
      <c r="E307">
        <v>13400</v>
      </c>
      <c r="F307">
        <v>100</v>
      </c>
      <c r="G307" t="b">
        <v>0</v>
      </c>
      <c r="H307">
        <v>100</v>
      </c>
    </row>
    <row r="308" spans="1:8" x14ac:dyDescent="0.25">
      <c r="A308" t="s">
        <v>384</v>
      </c>
      <c r="B308">
        <v>11000</v>
      </c>
      <c r="C308">
        <v>1</v>
      </c>
      <c r="D308">
        <v>5</v>
      </c>
      <c r="E308">
        <v>10800</v>
      </c>
      <c r="F308">
        <v>100</v>
      </c>
      <c r="G308" t="b">
        <v>0</v>
      </c>
      <c r="H308">
        <v>100</v>
      </c>
    </row>
    <row r="309" spans="1:8" x14ac:dyDescent="0.25">
      <c r="A309" t="s">
        <v>385</v>
      </c>
      <c r="B309">
        <v>12500</v>
      </c>
      <c r="C309">
        <v>5</v>
      </c>
      <c r="D309">
        <v>6</v>
      </c>
      <c r="E309">
        <v>11800</v>
      </c>
      <c r="F309">
        <v>100</v>
      </c>
      <c r="G309" t="b">
        <v>0</v>
      </c>
      <c r="H309">
        <v>100</v>
      </c>
    </row>
    <row r="310" spans="1:8" x14ac:dyDescent="0.25">
      <c r="A310" t="s">
        <v>386</v>
      </c>
      <c r="B310">
        <v>7500</v>
      </c>
      <c r="C310">
        <v>30</v>
      </c>
      <c r="D310">
        <v>6</v>
      </c>
      <c r="E310">
        <v>5200</v>
      </c>
      <c r="F310">
        <v>200</v>
      </c>
      <c r="G310" t="b">
        <v>0</v>
      </c>
      <c r="H310">
        <v>200</v>
      </c>
    </row>
    <row r="311" spans="1:8" x14ac:dyDescent="0.25">
      <c r="A311" t="s">
        <v>387</v>
      </c>
      <c r="B311">
        <v>13000</v>
      </c>
      <c r="C311">
        <v>4</v>
      </c>
      <c r="D311">
        <v>6</v>
      </c>
      <c r="E311">
        <v>12400</v>
      </c>
      <c r="F311">
        <v>285</v>
      </c>
      <c r="G311" t="b">
        <v>0</v>
      </c>
      <c r="H311">
        <v>285</v>
      </c>
    </row>
    <row r="312" spans="1:8" x14ac:dyDescent="0.25">
      <c r="A312" t="s">
        <v>388</v>
      </c>
      <c r="B312">
        <v>4400</v>
      </c>
      <c r="C312">
        <v>0</v>
      </c>
      <c r="D312">
        <v>6</v>
      </c>
      <c r="E312">
        <v>4400</v>
      </c>
      <c r="F312">
        <v>60</v>
      </c>
      <c r="G312" t="b">
        <v>0</v>
      </c>
      <c r="H312">
        <v>60</v>
      </c>
    </row>
    <row r="313" spans="1:8" x14ac:dyDescent="0.25">
      <c r="A313" t="s">
        <v>389</v>
      </c>
      <c r="B313">
        <v>5000</v>
      </c>
      <c r="C313">
        <v>2</v>
      </c>
      <c r="D313">
        <v>5</v>
      </c>
      <c r="E313">
        <v>4900</v>
      </c>
      <c r="F313">
        <v>500</v>
      </c>
      <c r="G313" t="b">
        <v>0</v>
      </c>
      <c r="H313">
        <v>500</v>
      </c>
    </row>
    <row r="314" spans="1:8" x14ac:dyDescent="0.25">
      <c r="A314" t="s">
        <v>164</v>
      </c>
      <c r="B314">
        <v>24500</v>
      </c>
      <c r="C314">
        <v>0</v>
      </c>
      <c r="D314">
        <v>6</v>
      </c>
      <c r="E314">
        <v>24500</v>
      </c>
      <c r="F314">
        <v>200</v>
      </c>
      <c r="G314" t="b">
        <v>0</v>
      </c>
      <c r="H314">
        <v>200</v>
      </c>
    </row>
    <row r="315" spans="1:8" x14ac:dyDescent="0.25">
      <c r="A315" t="s">
        <v>390</v>
      </c>
      <c r="B315">
        <v>5000</v>
      </c>
      <c r="C315">
        <v>6</v>
      </c>
      <c r="D315">
        <v>4</v>
      </c>
      <c r="E315">
        <v>4700</v>
      </c>
      <c r="F315">
        <v>100</v>
      </c>
      <c r="G315" t="b">
        <v>0</v>
      </c>
      <c r="H315">
        <v>100</v>
      </c>
    </row>
    <row r="316" spans="1:8" x14ac:dyDescent="0.25">
      <c r="A316" t="s">
        <v>391</v>
      </c>
      <c r="B316">
        <v>8000</v>
      </c>
      <c r="C316">
        <v>10</v>
      </c>
      <c r="D316">
        <v>6</v>
      </c>
      <c r="E316">
        <v>7200</v>
      </c>
      <c r="F316">
        <v>500</v>
      </c>
      <c r="G316" t="b">
        <v>0</v>
      </c>
      <c r="H316">
        <v>500</v>
      </c>
    </row>
    <row r="317" spans="1:8" x14ac:dyDescent="0.25">
      <c r="A317" t="s">
        <v>392</v>
      </c>
      <c r="B317">
        <v>47500</v>
      </c>
      <c r="C317">
        <v>8</v>
      </c>
      <c r="D317">
        <v>2</v>
      </c>
      <c r="E317">
        <v>43700</v>
      </c>
      <c r="F317">
        <v>1000</v>
      </c>
      <c r="G317" t="b">
        <v>0</v>
      </c>
      <c r="H317">
        <v>750</v>
      </c>
    </row>
    <row r="318" spans="1:8" x14ac:dyDescent="0.25">
      <c r="A318" t="s">
        <v>393</v>
      </c>
      <c r="B318">
        <v>15000</v>
      </c>
      <c r="C318">
        <v>14</v>
      </c>
      <c r="D318">
        <v>6</v>
      </c>
      <c r="E318">
        <v>12800</v>
      </c>
      <c r="F318">
        <v>500</v>
      </c>
      <c r="G318" t="b">
        <v>0</v>
      </c>
      <c r="H318">
        <v>500</v>
      </c>
    </row>
    <row r="319" spans="1:8" x14ac:dyDescent="0.25">
      <c r="A319" t="s">
        <v>394</v>
      </c>
      <c r="B319">
        <v>6000</v>
      </c>
      <c r="C319">
        <v>5</v>
      </c>
      <c r="D319">
        <v>5</v>
      </c>
      <c r="E319">
        <v>5700</v>
      </c>
      <c r="F319">
        <v>200</v>
      </c>
      <c r="G319" t="b">
        <v>0</v>
      </c>
      <c r="H319">
        <v>200</v>
      </c>
    </row>
    <row r="320" spans="1:8" x14ac:dyDescent="0.25">
      <c r="A320" t="s">
        <v>395</v>
      </c>
      <c r="B320">
        <v>28000</v>
      </c>
      <c r="C320">
        <v>7</v>
      </c>
      <c r="D320">
        <v>6</v>
      </c>
      <c r="E320">
        <v>26000</v>
      </c>
      <c r="F320">
        <v>100</v>
      </c>
      <c r="G320" t="b">
        <v>0</v>
      </c>
      <c r="H320">
        <v>100</v>
      </c>
    </row>
    <row r="321" spans="1:8" x14ac:dyDescent="0.25">
      <c r="A321" t="s">
        <v>396</v>
      </c>
      <c r="B321">
        <v>21000</v>
      </c>
      <c r="C321">
        <v>0</v>
      </c>
      <c r="D321">
        <v>4</v>
      </c>
      <c r="E321">
        <v>21000</v>
      </c>
      <c r="F321">
        <v>250</v>
      </c>
      <c r="G321" t="b">
        <v>0</v>
      </c>
      <c r="H321">
        <v>250</v>
      </c>
    </row>
    <row r="322" spans="1:8" x14ac:dyDescent="0.25">
      <c r="A322" t="s">
        <v>397</v>
      </c>
      <c r="B322">
        <v>25000</v>
      </c>
      <c r="C322">
        <v>0</v>
      </c>
      <c r="D322">
        <v>5</v>
      </c>
      <c r="E322">
        <v>25000</v>
      </c>
      <c r="F322">
        <v>500</v>
      </c>
      <c r="G322" t="b">
        <v>0</v>
      </c>
      <c r="H322">
        <v>500</v>
      </c>
    </row>
    <row r="323" spans="1:8" x14ac:dyDescent="0.25">
      <c r="A323" t="s">
        <v>398</v>
      </c>
      <c r="B323">
        <v>8200</v>
      </c>
      <c r="C323">
        <v>10</v>
      </c>
      <c r="D323">
        <v>5</v>
      </c>
      <c r="E323">
        <v>7300</v>
      </c>
      <c r="F323">
        <v>100</v>
      </c>
      <c r="G323" t="b">
        <v>0</v>
      </c>
      <c r="H323">
        <v>100</v>
      </c>
    </row>
    <row r="324" spans="1:8" x14ac:dyDescent="0.25">
      <c r="A324" t="s">
        <v>399</v>
      </c>
      <c r="B324">
        <v>7500</v>
      </c>
      <c r="C324">
        <v>30</v>
      </c>
      <c r="D324">
        <v>6</v>
      </c>
      <c r="E324">
        <v>5200</v>
      </c>
      <c r="F324">
        <v>200</v>
      </c>
      <c r="G324" t="b">
        <v>0</v>
      </c>
      <c r="H324">
        <v>200</v>
      </c>
    </row>
    <row r="325" spans="1:8" x14ac:dyDescent="0.25">
      <c r="A325" t="s">
        <v>400</v>
      </c>
      <c r="B325">
        <v>27000</v>
      </c>
      <c r="C325">
        <v>10</v>
      </c>
      <c r="D325">
        <v>4</v>
      </c>
      <c r="E325">
        <v>24300</v>
      </c>
      <c r="F325">
        <v>225</v>
      </c>
      <c r="G325" t="b">
        <v>0</v>
      </c>
      <c r="H325">
        <v>225</v>
      </c>
    </row>
    <row r="326" spans="1:8" x14ac:dyDescent="0.25">
      <c r="A326" t="s">
        <v>401</v>
      </c>
      <c r="B326">
        <v>4500</v>
      </c>
      <c r="C326">
        <v>2</v>
      </c>
      <c r="D326">
        <v>6</v>
      </c>
      <c r="E326">
        <v>4400</v>
      </c>
      <c r="F326">
        <v>90</v>
      </c>
      <c r="G326" t="b">
        <v>0</v>
      </c>
      <c r="H326">
        <v>90</v>
      </c>
    </row>
    <row r="327" spans="1:8" x14ac:dyDescent="0.25">
      <c r="A327" t="s">
        <v>402</v>
      </c>
      <c r="B327">
        <v>13000</v>
      </c>
      <c r="C327">
        <v>10</v>
      </c>
      <c r="D327">
        <v>5</v>
      </c>
      <c r="E327">
        <v>11700</v>
      </c>
      <c r="F327">
        <v>100</v>
      </c>
      <c r="G327" t="b">
        <v>0</v>
      </c>
      <c r="H327">
        <v>100</v>
      </c>
    </row>
    <row r="328" spans="1:8" x14ac:dyDescent="0.25">
      <c r="A328" t="s">
        <v>403</v>
      </c>
      <c r="B328">
        <v>38000</v>
      </c>
      <c r="C328">
        <v>2</v>
      </c>
      <c r="D328">
        <v>4</v>
      </c>
      <c r="E328">
        <v>37200</v>
      </c>
      <c r="F328">
        <v>1000</v>
      </c>
      <c r="G328" t="b">
        <v>0</v>
      </c>
      <c r="H328">
        <v>1</v>
      </c>
    </row>
    <row r="329" spans="1:8" x14ac:dyDescent="0.25">
      <c r="A329" t="s">
        <v>404</v>
      </c>
      <c r="B329">
        <v>7500</v>
      </c>
      <c r="C329">
        <v>30</v>
      </c>
      <c r="D329">
        <v>5</v>
      </c>
      <c r="E329">
        <v>5200</v>
      </c>
      <c r="F329">
        <v>80</v>
      </c>
      <c r="G329" t="b">
        <v>0</v>
      </c>
      <c r="H329">
        <v>80</v>
      </c>
    </row>
    <row r="330" spans="1:8" x14ac:dyDescent="0.25">
      <c r="A330" t="s">
        <v>405</v>
      </c>
      <c r="B330">
        <v>5000</v>
      </c>
      <c r="C330">
        <v>2</v>
      </c>
      <c r="D330">
        <v>6</v>
      </c>
      <c r="E330">
        <v>4900</v>
      </c>
      <c r="F330">
        <v>20</v>
      </c>
      <c r="G330" t="b">
        <v>0</v>
      </c>
      <c r="H330">
        <v>20</v>
      </c>
    </row>
    <row r="331" spans="1:8" x14ac:dyDescent="0.25">
      <c r="A331" t="s">
        <v>406</v>
      </c>
      <c r="B331">
        <v>5000</v>
      </c>
      <c r="C331">
        <v>6</v>
      </c>
      <c r="D331">
        <v>6</v>
      </c>
      <c r="E331">
        <v>4700</v>
      </c>
      <c r="F331">
        <v>200</v>
      </c>
      <c r="G331" t="b">
        <v>0</v>
      </c>
      <c r="H331">
        <v>200</v>
      </c>
    </row>
    <row r="332" spans="1:8" x14ac:dyDescent="0.25">
      <c r="A332" t="s">
        <v>407</v>
      </c>
      <c r="B332">
        <v>12000</v>
      </c>
      <c r="C332">
        <v>10</v>
      </c>
      <c r="D332">
        <v>5</v>
      </c>
      <c r="E332">
        <v>10800</v>
      </c>
      <c r="F332">
        <v>500</v>
      </c>
      <c r="G332" t="b">
        <v>0</v>
      </c>
      <c r="H332">
        <v>500</v>
      </c>
    </row>
    <row r="333" spans="1:8" x14ac:dyDescent="0.25">
      <c r="A333" t="s">
        <v>408</v>
      </c>
      <c r="B333">
        <v>27600</v>
      </c>
      <c r="C333">
        <v>10</v>
      </c>
      <c r="D333">
        <v>6</v>
      </c>
      <c r="E333">
        <v>24800</v>
      </c>
      <c r="F333">
        <v>1500</v>
      </c>
      <c r="G333" t="b">
        <v>0</v>
      </c>
      <c r="H333">
        <v>1</v>
      </c>
    </row>
    <row r="334" spans="1:8" x14ac:dyDescent="0.25">
      <c r="A334" t="s">
        <v>409</v>
      </c>
      <c r="B334">
        <v>14500</v>
      </c>
      <c r="C334">
        <v>15</v>
      </c>
      <c r="D334">
        <v>4</v>
      </c>
      <c r="E334">
        <v>12200</v>
      </c>
      <c r="F334">
        <v>500</v>
      </c>
      <c r="G334" t="b">
        <v>0</v>
      </c>
      <c r="H334">
        <v>500</v>
      </c>
    </row>
    <row r="335" spans="1:8" x14ac:dyDescent="0.25">
      <c r="A335" t="s">
        <v>410</v>
      </c>
      <c r="B335">
        <v>4000</v>
      </c>
      <c r="C335">
        <v>2</v>
      </c>
      <c r="D335">
        <v>2</v>
      </c>
      <c r="E335">
        <v>3900</v>
      </c>
      <c r="F335">
        <v>100</v>
      </c>
      <c r="G335" t="b">
        <v>0</v>
      </c>
      <c r="H335">
        <v>100</v>
      </c>
    </row>
    <row r="336" spans="1:8" x14ac:dyDescent="0.25">
      <c r="A336" t="s">
        <v>411</v>
      </c>
      <c r="B336">
        <v>9000</v>
      </c>
      <c r="C336">
        <v>10</v>
      </c>
      <c r="D336">
        <v>6</v>
      </c>
      <c r="E336">
        <v>8100</v>
      </c>
      <c r="F336">
        <v>500</v>
      </c>
      <c r="G336" t="b">
        <v>0</v>
      </c>
      <c r="H336">
        <v>500</v>
      </c>
    </row>
    <row r="337" spans="1:8" x14ac:dyDescent="0.25">
      <c r="A337" t="s">
        <v>412</v>
      </c>
      <c r="B337">
        <v>10900</v>
      </c>
      <c r="C337">
        <v>17</v>
      </c>
      <c r="D337">
        <v>6</v>
      </c>
      <c r="E337">
        <v>9000</v>
      </c>
      <c r="F337">
        <v>45</v>
      </c>
      <c r="G337" t="b">
        <v>0</v>
      </c>
      <c r="H337">
        <v>45</v>
      </c>
    </row>
    <row r="338" spans="1:8" x14ac:dyDescent="0.25">
      <c r="A338" t="s">
        <v>413</v>
      </c>
      <c r="B338">
        <v>10900</v>
      </c>
      <c r="C338">
        <v>20</v>
      </c>
      <c r="D338">
        <v>6</v>
      </c>
      <c r="E338">
        <v>8700</v>
      </c>
      <c r="F338">
        <v>80</v>
      </c>
      <c r="G338" t="b">
        <v>0</v>
      </c>
      <c r="H338">
        <v>80</v>
      </c>
    </row>
    <row r="339" spans="1:8" x14ac:dyDescent="0.25">
      <c r="A339" t="s">
        <v>414</v>
      </c>
      <c r="B339">
        <v>13500</v>
      </c>
      <c r="C339">
        <v>7</v>
      </c>
      <c r="D339">
        <v>6</v>
      </c>
      <c r="E339">
        <v>12500</v>
      </c>
      <c r="F339">
        <v>500</v>
      </c>
      <c r="G339" t="b">
        <v>0</v>
      </c>
      <c r="H339">
        <v>500</v>
      </c>
    </row>
    <row r="340" spans="1:8" x14ac:dyDescent="0.25">
      <c r="A340" t="s">
        <v>415</v>
      </c>
      <c r="B340">
        <v>31000</v>
      </c>
      <c r="C340">
        <v>10</v>
      </c>
      <c r="D340">
        <v>6</v>
      </c>
      <c r="E340">
        <v>27600</v>
      </c>
      <c r="F340">
        <v>520</v>
      </c>
      <c r="G340" t="b">
        <v>0</v>
      </c>
      <c r="H340">
        <v>520</v>
      </c>
    </row>
    <row r="341" spans="1:8" x14ac:dyDescent="0.25">
      <c r="A341" t="s">
        <v>416</v>
      </c>
      <c r="B341">
        <v>34000</v>
      </c>
      <c r="C341">
        <v>20</v>
      </c>
      <c r="D341">
        <v>6</v>
      </c>
      <c r="E341">
        <v>27200</v>
      </c>
      <c r="F341">
        <v>200</v>
      </c>
      <c r="G341" t="b">
        <v>0</v>
      </c>
      <c r="H341">
        <v>200</v>
      </c>
    </row>
    <row r="342" spans="1:8" x14ac:dyDescent="0.25">
      <c r="A342" t="s">
        <v>417</v>
      </c>
      <c r="B342">
        <v>20500</v>
      </c>
      <c r="C342">
        <v>0</v>
      </c>
      <c r="D342">
        <v>2</v>
      </c>
      <c r="E342">
        <v>20500</v>
      </c>
      <c r="F342">
        <v>50</v>
      </c>
      <c r="G342" t="b">
        <v>0</v>
      </c>
      <c r="H342">
        <v>50</v>
      </c>
    </row>
    <row r="343" spans="1:8" x14ac:dyDescent="0.25">
      <c r="A343" t="s">
        <v>418</v>
      </c>
      <c r="B343">
        <v>29500</v>
      </c>
      <c r="C343">
        <v>9</v>
      </c>
      <c r="D343">
        <v>5</v>
      </c>
      <c r="E343">
        <v>26600</v>
      </c>
      <c r="F343">
        <v>160</v>
      </c>
      <c r="G343" t="b">
        <v>0</v>
      </c>
      <c r="H343">
        <v>160</v>
      </c>
    </row>
    <row r="344" spans="1:8" x14ac:dyDescent="0.25">
      <c r="A344" t="s">
        <v>419</v>
      </c>
      <c r="B344">
        <v>16500</v>
      </c>
      <c r="C344">
        <v>5</v>
      </c>
      <c r="D344">
        <v>6</v>
      </c>
      <c r="E344">
        <v>15600</v>
      </c>
      <c r="F344">
        <v>500</v>
      </c>
      <c r="G344" t="b">
        <v>0</v>
      </c>
      <c r="H344">
        <v>500</v>
      </c>
    </row>
    <row r="345" spans="1:8" x14ac:dyDescent="0.25">
      <c r="A345" t="s">
        <v>420</v>
      </c>
      <c r="B345">
        <v>6500</v>
      </c>
      <c r="C345">
        <v>6</v>
      </c>
      <c r="D345">
        <v>6</v>
      </c>
      <c r="E345">
        <v>6100</v>
      </c>
      <c r="F345">
        <v>180</v>
      </c>
      <c r="G345" t="b">
        <v>0</v>
      </c>
      <c r="H345">
        <v>180</v>
      </c>
    </row>
    <row r="346" spans="1:8" x14ac:dyDescent="0.25">
      <c r="A346" t="s">
        <v>421</v>
      </c>
      <c r="B346">
        <v>33500</v>
      </c>
      <c r="C346">
        <v>29</v>
      </c>
      <c r="D346">
        <v>6</v>
      </c>
      <c r="E346">
        <v>23500</v>
      </c>
      <c r="F346">
        <v>200</v>
      </c>
      <c r="G346" t="b">
        <v>0</v>
      </c>
      <c r="H346">
        <v>200</v>
      </c>
    </row>
    <row r="347" spans="1:8" x14ac:dyDescent="0.25">
      <c r="A347" t="s">
        <v>422</v>
      </c>
      <c r="B347">
        <v>8000</v>
      </c>
      <c r="C347">
        <v>0</v>
      </c>
      <c r="D347">
        <v>5</v>
      </c>
      <c r="E347">
        <v>8000</v>
      </c>
      <c r="F347">
        <v>100</v>
      </c>
      <c r="G347" t="b">
        <v>0</v>
      </c>
      <c r="H347">
        <v>100</v>
      </c>
    </row>
    <row r="348" spans="1:8" x14ac:dyDescent="0.25">
      <c r="A348" t="s">
        <v>423</v>
      </c>
      <c r="B348">
        <v>11000</v>
      </c>
      <c r="C348">
        <v>5</v>
      </c>
      <c r="D348">
        <v>6</v>
      </c>
      <c r="E348">
        <v>10400</v>
      </c>
      <c r="F348">
        <v>400</v>
      </c>
      <c r="G348" t="b">
        <v>0</v>
      </c>
      <c r="H348">
        <v>400</v>
      </c>
    </row>
    <row r="349" spans="1:8" x14ac:dyDescent="0.25">
      <c r="A349" t="s">
        <v>161</v>
      </c>
      <c r="B349">
        <v>14700</v>
      </c>
      <c r="C349">
        <v>10</v>
      </c>
      <c r="D349">
        <v>6</v>
      </c>
      <c r="E349">
        <v>13200</v>
      </c>
      <c r="F349">
        <v>200</v>
      </c>
      <c r="G349" t="b">
        <v>0</v>
      </c>
      <c r="H349">
        <v>200</v>
      </c>
    </row>
    <row r="350" spans="1:8" x14ac:dyDescent="0.25">
      <c r="A350" t="s">
        <v>424</v>
      </c>
      <c r="B350">
        <v>9000</v>
      </c>
      <c r="C350">
        <v>4</v>
      </c>
      <c r="D350">
        <v>6</v>
      </c>
      <c r="E350">
        <v>8600</v>
      </c>
      <c r="F350">
        <v>200</v>
      </c>
      <c r="G350" t="b">
        <v>0</v>
      </c>
      <c r="H350">
        <v>200</v>
      </c>
    </row>
    <row r="351" spans="1:8" x14ac:dyDescent="0.25">
      <c r="A351" t="s">
        <v>425</v>
      </c>
      <c r="B351">
        <v>6500</v>
      </c>
      <c r="C351">
        <v>10</v>
      </c>
      <c r="D351">
        <v>6</v>
      </c>
      <c r="E351">
        <v>5800</v>
      </c>
      <c r="F351">
        <v>100</v>
      </c>
      <c r="G351" t="b">
        <v>0</v>
      </c>
      <c r="H351">
        <v>100</v>
      </c>
    </row>
    <row r="352" spans="1:8" x14ac:dyDescent="0.25">
      <c r="A352" t="s">
        <v>426</v>
      </c>
      <c r="B352">
        <v>7000</v>
      </c>
      <c r="C352">
        <v>10</v>
      </c>
      <c r="D352">
        <v>6</v>
      </c>
      <c r="E352">
        <v>6300</v>
      </c>
      <c r="F352">
        <v>500</v>
      </c>
      <c r="G352" t="b">
        <v>0</v>
      </c>
      <c r="H352">
        <v>500</v>
      </c>
    </row>
    <row r="353" spans="1:8" x14ac:dyDescent="0.25">
      <c r="A353" t="s">
        <v>427</v>
      </c>
      <c r="B353">
        <v>13500</v>
      </c>
      <c r="C353">
        <v>7</v>
      </c>
      <c r="D353">
        <v>6</v>
      </c>
      <c r="E353">
        <v>12500</v>
      </c>
      <c r="F353">
        <v>1000</v>
      </c>
      <c r="G353" t="b">
        <v>0</v>
      </c>
      <c r="H353">
        <v>1</v>
      </c>
    </row>
    <row r="354" spans="1:8" x14ac:dyDescent="0.25">
      <c r="A354" t="s">
        <v>428</v>
      </c>
      <c r="B354">
        <v>14000</v>
      </c>
      <c r="C354">
        <v>0</v>
      </c>
      <c r="D354">
        <v>5</v>
      </c>
      <c r="E354">
        <v>14000</v>
      </c>
      <c r="F354">
        <v>1000</v>
      </c>
      <c r="G354" t="b">
        <v>0</v>
      </c>
      <c r="H354">
        <v>1</v>
      </c>
    </row>
    <row r="355" spans="1:8" x14ac:dyDescent="0.25">
      <c r="A355" t="s">
        <v>429</v>
      </c>
      <c r="B355">
        <v>4400</v>
      </c>
      <c r="C355">
        <v>0</v>
      </c>
      <c r="D355">
        <v>6</v>
      </c>
      <c r="E355">
        <v>4400</v>
      </c>
      <c r="F355">
        <v>60</v>
      </c>
      <c r="G355" t="b">
        <v>0</v>
      </c>
      <c r="H355">
        <v>60</v>
      </c>
    </row>
    <row r="356" spans="1:8" x14ac:dyDescent="0.25">
      <c r="A356" t="s">
        <v>430</v>
      </c>
      <c r="B356">
        <v>20000</v>
      </c>
      <c r="C356">
        <v>11</v>
      </c>
      <c r="D356">
        <v>6</v>
      </c>
      <c r="E356">
        <v>17800</v>
      </c>
      <c r="F356">
        <v>264</v>
      </c>
      <c r="G356" t="b">
        <v>0</v>
      </c>
      <c r="H356">
        <v>264</v>
      </c>
    </row>
    <row r="357" spans="1:8" x14ac:dyDescent="0.25">
      <c r="A357" t="s">
        <v>303</v>
      </c>
      <c r="B357">
        <v>6000</v>
      </c>
      <c r="C357">
        <v>10</v>
      </c>
      <c r="D357">
        <v>5</v>
      </c>
      <c r="E357">
        <v>5400</v>
      </c>
      <c r="F357">
        <v>108</v>
      </c>
      <c r="G357" t="b">
        <v>0</v>
      </c>
      <c r="H357">
        <v>108</v>
      </c>
    </row>
    <row r="358" spans="1:8" x14ac:dyDescent="0.25">
      <c r="A358" t="s">
        <v>431</v>
      </c>
      <c r="B358">
        <v>10000</v>
      </c>
      <c r="C358">
        <v>0</v>
      </c>
      <c r="D358">
        <v>1</v>
      </c>
      <c r="E358">
        <v>10000</v>
      </c>
      <c r="F358">
        <v>50</v>
      </c>
      <c r="G358" t="b">
        <v>0</v>
      </c>
      <c r="H358">
        <v>50</v>
      </c>
    </row>
    <row r="359" spans="1:8" x14ac:dyDescent="0.25">
      <c r="A359" t="s">
        <v>432</v>
      </c>
      <c r="B359">
        <v>9500</v>
      </c>
      <c r="C359">
        <v>6</v>
      </c>
      <c r="D359">
        <v>6</v>
      </c>
      <c r="E359">
        <v>8900</v>
      </c>
      <c r="F359">
        <v>150</v>
      </c>
      <c r="G359" t="b">
        <v>0</v>
      </c>
      <c r="H359">
        <v>150</v>
      </c>
    </row>
    <row r="360" spans="1:8" x14ac:dyDescent="0.25">
      <c r="A360" t="s">
        <v>433</v>
      </c>
      <c r="B360">
        <v>7500</v>
      </c>
      <c r="C360">
        <v>30</v>
      </c>
      <c r="D360">
        <v>6</v>
      </c>
      <c r="E360">
        <v>5200</v>
      </c>
      <c r="F360">
        <v>80</v>
      </c>
      <c r="G360" t="b">
        <v>0</v>
      </c>
      <c r="H360">
        <v>80</v>
      </c>
    </row>
    <row r="361" spans="1:8" x14ac:dyDescent="0.25">
      <c r="A361" t="s">
        <v>434</v>
      </c>
      <c r="B361">
        <v>19500</v>
      </c>
      <c r="C361">
        <v>9</v>
      </c>
      <c r="D361">
        <v>5</v>
      </c>
      <c r="E361">
        <v>17600</v>
      </c>
      <c r="F361">
        <v>500</v>
      </c>
      <c r="G361" t="b">
        <v>0</v>
      </c>
      <c r="H361">
        <v>500</v>
      </c>
    </row>
    <row r="362" spans="1:8" x14ac:dyDescent="0.25">
      <c r="A362" t="s">
        <v>435</v>
      </c>
      <c r="B362">
        <v>4200</v>
      </c>
      <c r="C362">
        <v>0</v>
      </c>
      <c r="D362">
        <v>6</v>
      </c>
      <c r="E362">
        <v>4200</v>
      </c>
      <c r="F362">
        <v>60</v>
      </c>
      <c r="G362" t="b">
        <v>0</v>
      </c>
      <c r="H362">
        <v>60</v>
      </c>
    </row>
    <row r="363" spans="1:8" x14ac:dyDescent="0.25">
      <c r="A363" t="s">
        <v>436</v>
      </c>
      <c r="B363">
        <v>11000</v>
      </c>
      <c r="C363">
        <v>30</v>
      </c>
      <c r="D363">
        <v>6</v>
      </c>
      <c r="E363">
        <v>7700</v>
      </c>
      <c r="F363">
        <v>285</v>
      </c>
      <c r="G363" t="b">
        <v>0</v>
      </c>
      <c r="H363">
        <v>285</v>
      </c>
    </row>
    <row r="364" spans="1:8" x14ac:dyDescent="0.25">
      <c r="A364" t="s">
        <v>437</v>
      </c>
      <c r="B364">
        <v>7000</v>
      </c>
      <c r="C364">
        <v>10</v>
      </c>
      <c r="D364">
        <v>6</v>
      </c>
      <c r="E364">
        <v>6300</v>
      </c>
      <c r="F364">
        <v>500</v>
      </c>
      <c r="G364" t="b">
        <v>0</v>
      </c>
      <c r="H364">
        <v>500</v>
      </c>
    </row>
    <row r="365" spans="1:8" x14ac:dyDescent="0.25">
      <c r="A365" t="s">
        <v>438</v>
      </c>
      <c r="B365">
        <v>7500</v>
      </c>
      <c r="C365">
        <v>16</v>
      </c>
      <c r="D365">
        <v>6</v>
      </c>
      <c r="E365">
        <v>6300</v>
      </c>
      <c r="F365">
        <v>100</v>
      </c>
      <c r="G365" t="b">
        <v>0</v>
      </c>
      <c r="H365">
        <v>100</v>
      </c>
    </row>
    <row r="366" spans="1:8" x14ac:dyDescent="0.25">
      <c r="A366" t="s">
        <v>439</v>
      </c>
      <c r="B366">
        <v>8000</v>
      </c>
      <c r="C366">
        <v>6</v>
      </c>
      <c r="D366">
        <v>6</v>
      </c>
      <c r="E366">
        <v>7500</v>
      </c>
      <c r="F366">
        <v>500</v>
      </c>
      <c r="G366" t="b">
        <v>0</v>
      </c>
      <c r="H366">
        <v>500</v>
      </c>
    </row>
    <row r="367" spans="1:8" x14ac:dyDescent="0.25">
      <c r="A367" t="s">
        <v>440</v>
      </c>
      <c r="B367">
        <v>10500</v>
      </c>
      <c r="C367">
        <v>7</v>
      </c>
      <c r="D367">
        <v>6</v>
      </c>
      <c r="E367">
        <v>9700</v>
      </c>
      <c r="F367">
        <v>500</v>
      </c>
      <c r="G367" t="b">
        <v>0</v>
      </c>
      <c r="H367">
        <v>500</v>
      </c>
    </row>
    <row r="368" spans="1:8" x14ac:dyDescent="0.25">
      <c r="A368" t="s">
        <v>441</v>
      </c>
      <c r="B368">
        <v>10900</v>
      </c>
      <c r="C368">
        <v>10</v>
      </c>
      <c r="D368">
        <v>6</v>
      </c>
      <c r="E368">
        <v>9800</v>
      </c>
      <c r="F368">
        <v>35</v>
      </c>
      <c r="G368" t="b">
        <v>0</v>
      </c>
      <c r="H368">
        <v>35</v>
      </c>
    </row>
    <row r="369" spans="1:8" x14ac:dyDescent="0.25">
      <c r="A369" t="s">
        <v>442</v>
      </c>
      <c r="B369">
        <v>11500</v>
      </c>
      <c r="C369">
        <v>0</v>
      </c>
      <c r="D369">
        <v>3</v>
      </c>
      <c r="E369">
        <v>11500</v>
      </c>
      <c r="F369">
        <v>200</v>
      </c>
      <c r="G369" t="b">
        <v>0</v>
      </c>
      <c r="H369">
        <v>200</v>
      </c>
    </row>
    <row r="370" spans="1:8" x14ac:dyDescent="0.25">
      <c r="A370" t="s">
        <v>443</v>
      </c>
      <c r="B370">
        <v>39900</v>
      </c>
      <c r="C370">
        <v>25</v>
      </c>
      <c r="D370">
        <v>6</v>
      </c>
      <c r="E370">
        <v>29900</v>
      </c>
      <c r="F370">
        <v>200</v>
      </c>
      <c r="G370" t="b">
        <v>0</v>
      </c>
      <c r="H370">
        <v>200</v>
      </c>
    </row>
    <row r="371" spans="1:8" x14ac:dyDescent="0.25">
      <c r="A371" t="s">
        <v>444</v>
      </c>
      <c r="B371">
        <v>12000</v>
      </c>
      <c r="C371">
        <v>10</v>
      </c>
      <c r="D371">
        <v>6</v>
      </c>
      <c r="E371">
        <v>10800</v>
      </c>
      <c r="F371">
        <v>500</v>
      </c>
      <c r="G371" t="b">
        <v>0</v>
      </c>
      <c r="H371">
        <v>500</v>
      </c>
    </row>
    <row r="372" spans="1:8" x14ac:dyDescent="0.25">
      <c r="A372" t="s">
        <v>445</v>
      </c>
      <c r="B372">
        <v>9900</v>
      </c>
      <c r="C372">
        <v>0</v>
      </c>
      <c r="D372">
        <v>6</v>
      </c>
      <c r="E372">
        <v>9900</v>
      </c>
      <c r="F372">
        <v>75</v>
      </c>
      <c r="G372" t="b">
        <v>0</v>
      </c>
      <c r="H372">
        <v>75</v>
      </c>
    </row>
    <row r="373" spans="1:8" x14ac:dyDescent="0.25">
      <c r="A373" t="s">
        <v>446</v>
      </c>
      <c r="B373">
        <v>6300</v>
      </c>
      <c r="C373">
        <v>0</v>
      </c>
      <c r="D373">
        <v>6</v>
      </c>
      <c r="E373">
        <v>6300</v>
      </c>
      <c r="F373">
        <v>200</v>
      </c>
      <c r="G373" t="b">
        <v>0</v>
      </c>
      <c r="H373">
        <v>200</v>
      </c>
    </row>
    <row r="374" spans="1:8" x14ac:dyDescent="0.25">
      <c r="A374" t="s">
        <v>447</v>
      </c>
      <c r="B374">
        <v>20000</v>
      </c>
      <c r="C374">
        <v>11</v>
      </c>
      <c r="D374">
        <v>6</v>
      </c>
      <c r="E374">
        <v>17800</v>
      </c>
      <c r="F374">
        <v>180</v>
      </c>
      <c r="G374" t="b">
        <v>0</v>
      </c>
      <c r="H374">
        <v>180</v>
      </c>
    </row>
    <row r="375" spans="1:8" x14ac:dyDescent="0.25">
      <c r="A375" t="s">
        <v>448</v>
      </c>
      <c r="B375">
        <v>5000</v>
      </c>
      <c r="C375">
        <v>2</v>
      </c>
      <c r="D375">
        <v>6</v>
      </c>
      <c r="E375">
        <v>4900</v>
      </c>
      <c r="F375">
        <v>20</v>
      </c>
      <c r="G375" t="b">
        <v>0</v>
      </c>
      <c r="H375">
        <v>20</v>
      </c>
    </row>
    <row r="376" spans="1:8" x14ac:dyDescent="0.25">
      <c r="A376" t="s">
        <v>293</v>
      </c>
      <c r="B376">
        <v>5000</v>
      </c>
      <c r="C376">
        <v>2</v>
      </c>
      <c r="D376">
        <v>2</v>
      </c>
      <c r="E376">
        <v>4900</v>
      </c>
      <c r="F376">
        <v>200</v>
      </c>
      <c r="G376" t="b">
        <v>0</v>
      </c>
      <c r="H376">
        <v>200</v>
      </c>
    </row>
    <row r="377" spans="1:8" x14ac:dyDescent="0.25">
      <c r="A377" t="s">
        <v>449</v>
      </c>
      <c r="B377">
        <v>29500</v>
      </c>
      <c r="C377">
        <v>9</v>
      </c>
      <c r="D377">
        <v>6</v>
      </c>
      <c r="E377">
        <v>26600</v>
      </c>
      <c r="F377">
        <v>250</v>
      </c>
      <c r="G377" t="b">
        <v>0</v>
      </c>
      <c r="H377">
        <v>250</v>
      </c>
    </row>
    <row r="378" spans="1:8" x14ac:dyDescent="0.25">
      <c r="A378" t="s">
        <v>450</v>
      </c>
      <c r="B378">
        <v>15000</v>
      </c>
      <c r="C378">
        <v>0</v>
      </c>
      <c r="D378">
        <v>4</v>
      </c>
      <c r="E378">
        <v>15000</v>
      </c>
      <c r="F378">
        <v>400</v>
      </c>
      <c r="G378" t="b">
        <v>0</v>
      </c>
      <c r="H378">
        <v>400</v>
      </c>
    </row>
    <row r="379" spans="1:8" x14ac:dyDescent="0.25">
      <c r="A379" t="s">
        <v>451</v>
      </c>
      <c r="B379">
        <v>13000</v>
      </c>
      <c r="C379">
        <v>10</v>
      </c>
      <c r="D379">
        <v>6</v>
      </c>
      <c r="E379">
        <v>11600</v>
      </c>
      <c r="F379">
        <v>500</v>
      </c>
      <c r="G379" t="b">
        <v>0</v>
      </c>
      <c r="H379">
        <v>500</v>
      </c>
    </row>
    <row r="380" spans="1:8" x14ac:dyDescent="0.25">
      <c r="A380" t="s">
        <v>452</v>
      </c>
      <c r="B380">
        <v>43000</v>
      </c>
      <c r="C380">
        <v>10</v>
      </c>
      <c r="D380">
        <v>6</v>
      </c>
      <c r="E380">
        <v>38700</v>
      </c>
      <c r="F380">
        <v>5000</v>
      </c>
      <c r="G380" t="b">
        <v>0</v>
      </c>
      <c r="H380">
        <v>5</v>
      </c>
    </row>
    <row r="381" spans="1:8" x14ac:dyDescent="0.25">
      <c r="A381" t="s">
        <v>453</v>
      </c>
      <c r="B381">
        <v>7000</v>
      </c>
      <c r="C381">
        <v>18</v>
      </c>
      <c r="D381">
        <v>6</v>
      </c>
      <c r="E381">
        <v>5700</v>
      </c>
      <c r="F381">
        <v>400</v>
      </c>
      <c r="G381" t="b">
        <v>0</v>
      </c>
      <c r="H381">
        <v>400</v>
      </c>
    </row>
    <row r="382" spans="1:8" x14ac:dyDescent="0.25">
      <c r="A382" t="s">
        <v>454</v>
      </c>
      <c r="B382">
        <v>26500</v>
      </c>
      <c r="C382">
        <v>9</v>
      </c>
      <c r="D382">
        <v>6</v>
      </c>
      <c r="E382">
        <v>23900</v>
      </c>
      <c r="F382">
        <v>1000</v>
      </c>
      <c r="G382" t="b">
        <v>0</v>
      </c>
      <c r="H382">
        <v>1</v>
      </c>
    </row>
    <row r="383" spans="1:8" x14ac:dyDescent="0.25">
      <c r="A383" t="s">
        <v>455</v>
      </c>
      <c r="B383">
        <v>54000</v>
      </c>
      <c r="C383">
        <v>20</v>
      </c>
      <c r="D383">
        <v>6</v>
      </c>
      <c r="E383">
        <v>43200</v>
      </c>
      <c r="F383">
        <v>150</v>
      </c>
      <c r="G383" t="b">
        <v>0</v>
      </c>
      <c r="H383">
        <v>150</v>
      </c>
    </row>
    <row r="384" spans="1:8" x14ac:dyDescent="0.25">
      <c r="A384" t="s">
        <v>456</v>
      </c>
      <c r="B384">
        <v>6000</v>
      </c>
      <c r="C384">
        <v>10</v>
      </c>
      <c r="D384">
        <v>6</v>
      </c>
      <c r="E384">
        <v>5400</v>
      </c>
      <c r="F384">
        <v>250</v>
      </c>
      <c r="G384" t="b">
        <v>0</v>
      </c>
      <c r="H384">
        <v>250</v>
      </c>
    </row>
    <row r="385" spans="1:8" x14ac:dyDescent="0.25">
      <c r="A385" t="s">
        <v>457</v>
      </c>
      <c r="B385">
        <v>34900</v>
      </c>
      <c r="C385">
        <v>20</v>
      </c>
      <c r="D385">
        <v>6</v>
      </c>
      <c r="E385">
        <v>27900</v>
      </c>
      <c r="F385">
        <v>200</v>
      </c>
      <c r="G385" t="b">
        <v>0</v>
      </c>
      <c r="H385">
        <v>200</v>
      </c>
    </row>
    <row r="386" spans="1:8" x14ac:dyDescent="0.25">
      <c r="A386" t="s">
        <v>458</v>
      </c>
      <c r="B386">
        <v>16000</v>
      </c>
      <c r="C386">
        <v>6</v>
      </c>
      <c r="D386">
        <v>6</v>
      </c>
      <c r="E386">
        <v>15000</v>
      </c>
      <c r="F386">
        <v>900</v>
      </c>
      <c r="G386" t="b">
        <v>0</v>
      </c>
      <c r="H386">
        <v>900</v>
      </c>
    </row>
    <row r="387" spans="1:8" x14ac:dyDescent="0.25">
      <c r="A387" t="s">
        <v>459</v>
      </c>
      <c r="B387">
        <v>9000</v>
      </c>
      <c r="C387">
        <v>6</v>
      </c>
      <c r="D387">
        <v>6</v>
      </c>
      <c r="E387">
        <v>8400</v>
      </c>
      <c r="F387">
        <v>500</v>
      </c>
      <c r="G387" t="b">
        <v>0</v>
      </c>
      <c r="H387">
        <v>500</v>
      </c>
    </row>
    <row r="388" spans="1:8" x14ac:dyDescent="0.25">
      <c r="A388" t="s">
        <v>460</v>
      </c>
      <c r="B388">
        <v>11500</v>
      </c>
      <c r="C388">
        <v>0</v>
      </c>
      <c r="D388">
        <v>4</v>
      </c>
      <c r="E388">
        <v>11500</v>
      </c>
      <c r="F388">
        <v>200</v>
      </c>
      <c r="G388" t="b">
        <v>0</v>
      </c>
      <c r="H388">
        <v>200</v>
      </c>
    </row>
    <row r="389" spans="1:8" x14ac:dyDescent="0.25">
      <c r="A389" t="s">
        <v>280</v>
      </c>
      <c r="B389">
        <v>17300</v>
      </c>
      <c r="C389">
        <v>6</v>
      </c>
      <c r="D389">
        <v>6</v>
      </c>
      <c r="E389">
        <v>16200</v>
      </c>
      <c r="F389">
        <v>500</v>
      </c>
      <c r="G389" t="b">
        <v>0</v>
      </c>
      <c r="H389">
        <v>500</v>
      </c>
    </row>
    <row r="390" spans="1:8" x14ac:dyDescent="0.25">
      <c r="A390" t="s">
        <v>461</v>
      </c>
      <c r="B390">
        <v>7500</v>
      </c>
      <c r="C390">
        <v>30</v>
      </c>
      <c r="D390">
        <v>5</v>
      </c>
      <c r="E390">
        <v>5200</v>
      </c>
      <c r="F390">
        <v>80</v>
      </c>
      <c r="G390" t="b">
        <v>0</v>
      </c>
      <c r="H390">
        <v>80</v>
      </c>
    </row>
    <row r="391" spans="1:8" x14ac:dyDescent="0.25">
      <c r="A391" t="s">
        <v>462</v>
      </c>
      <c r="B391">
        <v>10000</v>
      </c>
      <c r="C391">
        <v>0</v>
      </c>
      <c r="D391">
        <v>2</v>
      </c>
      <c r="E391">
        <v>10000</v>
      </c>
      <c r="F391">
        <v>950</v>
      </c>
      <c r="G391" t="b">
        <v>0</v>
      </c>
      <c r="H391">
        <v>950</v>
      </c>
    </row>
    <row r="392" spans="1:8" x14ac:dyDescent="0.25">
      <c r="A392" t="s">
        <v>463</v>
      </c>
      <c r="B392">
        <v>17000</v>
      </c>
      <c r="C392">
        <v>6</v>
      </c>
      <c r="D392">
        <v>6</v>
      </c>
      <c r="E392">
        <v>15900</v>
      </c>
      <c r="F392">
        <v>500</v>
      </c>
      <c r="G392" t="b">
        <v>0</v>
      </c>
      <c r="H392">
        <v>500</v>
      </c>
    </row>
    <row r="393" spans="1:8" x14ac:dyDescent="0.25">
      <c r="A393" t="s">
        <v>464</v>
      </c>
      <c r="B393">
        <v>19500</v>
      </c>
      <c r="C393">
        <v>9</v>
      </c>
      <c r="D393">
        <v>6</v>
      </c>
      <c r="E393">
        <v>17600</v>
      </c>
      <c r="F393">
        <v>500</v>
      </c>
      <c r="G393" t="b">
        <v>0</v>
      </c>
      <c r="H393">
        <v>500</v>
      </c>
    </row>
    <row r="394" spans="1:8" x14ac:dyDescent="0.25">
      <c r="A394" t="s">
        <v>362</v>
      </c>
      <c r="B394">
        <v>19900</v>
      </c>
      <c r="C394">
        <v>0</v>
      </c>
      <c r="D394">
        <v>2</v>
      </c>
      <c r="E394">
        <v>19900</v>
      </c>
      <c r="F394">
        <v>240</v>
      </c>
      <c r="G394" t="b">
        <v>0</v>
      </c>
      <c r="H394">
        <v>240</v>
      </c>
    </row>
    <row r="395" spans="1:8" x14ac:dyDescent="0.25">
      <c r="A395" t="s">
        <v>465</v>
      </c>
      <c r="B395">
        <v>9900</v>
      </c>
      <c r="C395">
        <v>0</v>
      </c>
      <c r="D395">
        <v>6</v>
      </c>
      <c r="E395">
        <v>9900</v>
      </c>
      <c r="F395">
        <v>14</v>
      </c>
      <c r="G395" t="b">
        <v>0</v>
      </c>
      <c r="H395">
        <v>14</v>
      </c>
    </row>
    <row r="396" spans="1:8" x14ac:dyDescent="0.25">
      <c r="A396" t="s">
        <v>466</v>
      </c>
      <c r="B396">
        <v>8000</v>
      </c>
      <c r="C396">
        <v>10</v>
      </c>
      <c r="D396">
        <v>6</v>
      </c>
      <c r="E396">
        <v>7200</v>
      </c>
      <c r="F396">
        <v>500</v>
      </c>
      <c r="G396" t="b">
        <v>0</v>
      </c>
      <c r="H396">
        <v>500</v>
      </c>
    </row>
    <row r="397" spans="1:8" x14ac:dyDescent="0.25">
      <c r="A397" t="s">
        <v>467</v>
      </c>
      <c r="B397">
        <v>5500</v>
      </c>
      <c r="C397">
        <v>0</v>
      </c>
      <c r="D397">
        <v>4</v>
      </c>
      <c r="E397">
        <v>5500</v>
      </c>
      <c r="F397">
        <v>80</v>
      </c>
      <c r="G397" t="b">
        <v>0</v>
      </c>
      <c r="H397">
        <v>80</v>
      </c>
    </row>
    <row r="398" spans="1:8" x14ac:dyDescent="0.25">
      <c r="A398" t="s">
        <v>468</v>
      </c>
      <c r="B398">
        <v>17000</v>
      </c>
      <c r="C398">
        <v>0</v>
      </c>
      <c r="D398">
        <v>5</v>
      </c>
      <c r="E398">
        <v>17000</v>
      </c>
      <c r="F398">
        <v>500</v>
      </c>
      <c r="G398" t="b">
        <v>0</v>
      </c>
      <c r="H398">
        <v>500</v>
      </c>
    </row>
    <row r="399" spans="1:8" x14ac:dyDescent="0.25">
      <c r="A399" t="s">
        <v>469</v>
      </c>
      <c r="B399">
        <v>22000</v>
      </c>
      <c r="C399">
        <v>50</v>
      </c>
      <c r="D399">
        <v>6</v>
      </c>
      <c r="E399">
        <v>11000</v>
      </c>
      <c r="F399">
        <v>200</v>
      </c>
      <c r="G399" t="b">
        <v>0</v>
      </c>
      <c r="H399">
        <v>200</v>
      </c>
    </row>
    <row r="400" spans="1:8" x14ac:dyDescent="0.25">
      <c r="A400" t="s">
        <v>470</v>
      </c>
      <c r="B400">
        <v>39900</v>
      </c>
      <c r="C400">
        <v>0</v>
      </c>
      <c r="D400">
        <v>6</v>
      </c>
      <c r="E400">
        <v>39900</v>
      </c>
      <c r="F400">
        <v>1000</v>
      </c>
      <c r="G400" t="b">
        <v>0</v>
      </c>
      <c r="H400">
        <v>1</v>
      </c>
    </row>
    <row r="401" spans="1:8" x14ac:dyDescent="0.25">
      <c r="A401" t="s">
        <v>471</v>
      </c>
      <c r="B401">
        <v>6600</v>
      </c>
      <c r="C401">
        <v>0</v>
      </c>
      <c r="D401">
        <v>6</v>
      </c>
      <c r="E401">
        <v>6600</v>
      </c>
      <c r="F401">
        <v>50</v>
      </c>
      <c r="G401" t="b">
        <v>0</v>
      </c>
      <c r="H401">
        <v>50</v>
      </c>
    </row>
    <row r="402" spans="1:8" x14ac:dyDescent="0.25">
      <c r="A402" t="s">
        <v>472</v>
      </c>
      <c r="B402">
        <v>9900</v>
      </c>
      <c r="C402">
        <v>0</v>
      </c>
      <c r="D402">
        <v>6</v>
      </c>
      <c r="E402">
        <v>9900</v>
      </c>
      <c r="F402">
        <v>100</v>
      </c>
      <c r="G402" t="b">
        <v>0</v>
      </c>
      <c r="H402">
        <v>100</v>
      </c>
    </row>
    <row r="403" spans="1:8" x14ac:dyDescent="0.25">
      <c r="A403" t="s">
        <v>473</v>
      </c>
      <c r="B403">
        <v>4000</v>
      </c>
      <c r="C403">
        <v>2</v>
      </c>
      <c r="D403">
        <v>6</v>
      </c>
      <c r="E403">
        <v>3900</v>
      </c>
      <c r="F403">
        <v>100</v>
      </c>
      <c r="G403" t="b">
        <v>0</v>
      </c>
      <c r="H403">
        <v>100</v>
      </c>
    </row>
    <row r="404" spans="1:8" x14ac:dyDescent="0.25">
      <c r="A404" t="s">
        <v>474</v>
      </c>
      <c r="B404">
        <v>17000</v>
      </c>
      <c r="C404">
        <v>6</v>
      </c>
      <c r="D404">
        <v>6</v>
      </c>
      <c r="E404">
        <v>15900</v>
      </c>
      <c r="F404">
        <v>270</v>
      </c>
      <c r="G404" t="b">
        <v>0</v>
      </c>
      <c r="H404">
        <v>270</v>
      </c>
    </row>
    <row r="405" spans="1:8" x14ac:dyDescent="0.25">
      <c r="A405" t="s">
        <v>475</v>
      </c>
      <c r="B405">
        <v>2500</v>
      </c>
      <c r="C405">
        <v>0</v>
      </c>
      <c r="D405">
        <v>1</v>
      </c>
      <c r="E405">
        <v>2500</v>
      </c>
      <c r="F405">
        <v>77</v>
      </c>
      <c r="G405" t="b">
        <v>0</v>
      </c>
      <c r="H405">
        <v>77</v>
      </c>
    </row>
    <row r="406" spans="1:8" x14ac:dyDescent="0.25">
      <c r="A406" t="s">
        <v>476</v>
      </c>
      <c r="B406">
        <v>11000</v>
      </c>
      <c r="C406">
        <v>6</v>
      </c>
      <c r="D406">
        <v>6</v>
      </c>
      <c r="E406">
        <v>10300</v>
      </c>
      <c r="F406">
        <v>500</v>
      </c>
      <c r="G406" t="b">
        <v>0</v>
      </c>
      <c r="H406">
        <v>500</v>
      </c>
    </row>
    <row r="407" spans="1:8" x14ac:dyDescent="0.25">
      <c r="A407" t="s">
        <v>385</v>
      </c>
      <c r="B407">
        <v>27000</v>
      </c>
      <c r="C407">
        <v>7</v>
      </c>
      <c r="D407">
        <v>6</v>
      </c>
      <c r="E407">
        <v>25100</v>
      </c>
      <c r="F407">
        <v>50</v>
      </c>
      <c r="G407" t="b">
        <v>0</v>
      </c>
      <c r="H407">
        <v>50</v>
      </c>
    </row>
    <row r="408" spans="1:8" x14ac:dyDescent="0.25">
      <c r="A408" t="s">
        <v>477</v>
      </c>
      <c r="B408">
        <v>29500</v>
      </c>
      <c r="C408">
        <v>0</v>
      </c>
      <c r="D408">
        <v>4</v>
      </c>
      <c r="E408">
        <v>29500</v>
      </c>
      <c r="F408">
        <v>500</v>
      </c>
      <c r="G408" t="b">
        <v>0</v>
      </c>
      <c r="H408">
        <v>500</v>
      </c>
    </row>
    <row r="409" spans="1:8" x14ac:dyDescent="0.25">
      <c r="A409" t="s">
        <v>478</v>
      </c>
      <c r="B409">
        <v>25000</v>
      </c>
      <c r="C409">
        <v>0</v>
      </c>
      <c r="D409">
        <v>5</v>
      </c>
      <c r="E409">
        <v>25000</v>
      </c>
      <c r="F409">
        <v>400</v>
      </c>
      <c r="G409" t="b">
        <v>0</v>
      </c>
      <c r="H409">
        <v>400</v>
      </c>
    </row>
    <row r="410" spans="1:8" x14ac:dyDescent="0.25">
      <c r="A410" t="s">
        <v>479</v>
      </c>
      <c r="B410">
        <v>49000</v>
      </c>
      <c r="C410">
        <v>11</v>
      </c>
      <c r="D410">
        <v>6</v>
      </c>
      <c r="E410">
        <v>43600</v>
      </c>
      <c r="F410">
        <v>2000</v>
      </c>
      <c r="G410" t="b">
        <v>0</v>
      </c>
      <c r="H410">
        <v>2</v>
      </c>
    </row>
    <row r="411" spans="1:8" x14ac:dyDescent="0.25">
      <c r="A411" t="s">
        <v>480</v>
      </c>
      <c r="B411">
        <v>14000</v>
      </c>
      <c r="C411">
        <v>0</v>
      </c>
      <c r="D411">
        <v>6</v>
      </c>
      <c r="E411">
        <v>14000</v>
      </c>
      <c r="F411">
        <v>500</v>
      </c>
      <c r="G411" t="b">
        <v>0</v>
      </c>
      <c r="H411">
        <v>500</v>
      </c>
    </row>
    <row r="412" spans="1:8" x14ac:dyDescent="0.25">
      <c r="A412" t="s">
        <v>285</v>
      </c>
      <c r="B412">
        <v>18500</v>
      </c>
      <c r="C412">
        <v>5</v>
      </c>
      <c r="D412">
        <v>3</v>
      </c>
      <c r="E412">
        <v>17500</v>
      </c>
      <c r="F412">
        <v>300</v>
      </c>
      <c r="G412" t="b">
        <v>0</v>
      </c>
      <c r="H412">
        <v>300</v>
      </c>
    </row>
    <row r="413" spans="1:8" x14ac:dyDescent="0.25">
      <c r="A413" t="s">
        <v>481</v>
      </c>
      <c r="B413">
        <v>25000</v>
      </c>
      <c r="C413">
        <v>14</v>
      </c>
      <c r="D413">
        <v>6</v>
      </c>
      <c r="E413">
        <v>21300</v>
      </c>
      <c r="F413">
        <v>410</v>
      </c>
      <c r="G413" t="b">
        <v>0</v>
      </c>
      <c r="H413">
        <v>410</v>
      </c>
    </row>
    <row r="414" spans="1:8" x14ac:dyDescent="0.25">
      <c r="A414" t="s">
        <v>482</v>
      </c>
      <c r="B414">
        <v>17500</v>
      </c>
      <c r="C414">
        <v>10</v>
      </c>
      <c r="D414">
        <v>6</v>
      </c>
      <c r="E414">
        <v>15600</v>
      </c>
      <c r="F414">
        <v>225</v>
      </c>
      <c r="G414" t="b">
        <v>0</v>
      </c>
      <c r="H414">
        <v>225</v>
      </c>
    </row>
    <row r="415" spans="1:8" x14ac:dyDescent="0.25">
      <c r="A415" t="s">
        <v>483</v>
      </c>
      <c r="B415">
        <v>20000</v>
      </c>
      <c r="C415">
        <v>0</v>
      </c>
      <c r="D415">
        <v>6</v>
      </c>
      <c r="E415">
        <v>20000</v>
      </c>
      <c r="F415">
        <v>450</v>
      </c>
      <c r="G415" t="b">
        <v>0</v>
      </c>
      <c r="H415">
        <v>450</v>
      </c>
    </row>
    <row r="416" spans="1:8" x14ac:dyDescent="0.25">
      <c r="A416" t="s">
        <v>484</v>
      </c>
      <c r="B416">
        <v>8000</v>
      </c>
      <c r="C416">
        <v>0</v>
      </c>
      <c r="D416">
        <v>6</v>
      </c>
      <c r="E416">
        <v>8000</v>
      </c>
      <c r="F416">
        <v>100</v>
      </c>
      <c r="G416" t="b">
        <v>0</v>
      </c>
      <c r="H416">
        <v>100</v>
      </c>
    </row>
    <row r="417" spans="1:8" x14ac:dyDescent="0.25">
      <c r="A417" t="s">
        <v>485</v>
      </c>
      <c r="B417">
        <v>6600</v>
      </c>
      <c r="C417">
        <v>0</v>
      </c>
      <c r="D417">
        <v>6</v>
      </c>
      <c r="E417">
        <v>6600</v>
      </c>
      <c r="F417">
        <v>50</v>
      </c>
      <c r="G417" t="b">
        <v>0</v>
      </c>
      <c r="H417">
        <v>50</v>
      </c>
    </row>
    <row r="418" spans="1:8" x14ac:dyDescent="0.25">
      <c r="A418" t="s">
        <v>486</v>
      </c>
      <c r="B418">
        <v>13500</v>
      </c>
      <c r="C418">
        <v>0</v>
      </c>
      <c r="D418">
        <v>6</v>
      </c>
      <c r="E418">
        <v>13500</v>
      </c>
      <c r="F418">
        <v>500</v>
      </c>
      <c r="G418" t="b">
        <v>0</v>
      </c>
      <c r="H418">
        <v>500</v>
      </c>
    </row>
    <row r="419" spans="1:8" x14ac:dyDescent="0.25">
      <c r="A419" t="s">
        <v>362</v>
      </c>
      <c r="B419">
        <v>19900</v>
      </c>
      <c r="C419">
        <v>10</v>
      </c>
      <c r="D419">
        <v>6</v>
      </c>
      <c r="E419">
        <v>17900</v>
      </c>
      <c r="F419">
        <v>240</v>
      </c>
      <c r="G419" t="b">
        <v>0</v>
      </c>
      <c r="H419">
        <v>240</v>
      </c>
    </row>
    <row r="420" spans="1:8" x14ac:dyDescent="0.25">
      <c r="A420" t="s">
        <v>221</v>
      </c>
      <c r="B420">
        <v>105000</v>
      </c>
      <c r="C420">
        <v>0</v>
      </c>
      <c r="D420">
        <v>2</v>
      </c>
      <c r="E420">
        <v>105000</v>
      </c>
      <c r="F420">
        <v>5000</v>
      </c>
      <c r="G420" t="b">
        <v>0</v>
      </c>
      <c r="H420">
        <v>5</v>
      </c>
    </row>
    <row r="421" spans="1:8" x14ac:dyDescent="0.25">
      <c r="A421" t="s">
        <v>487</v>
      </c>
      <c r="B421">
        <v>47500</v>
      </c>
      <c r="C421">
        <v>10</v>
      </c>
      <c r="D421">
        <v>6</v>
      </c>
      <c r="E421">
        <v>42300</v>
      </c>
      <c r="F421">
        <v>5000</v>
      </c>
      <c r="G421" t="b">
        <v>0</v>
      </c>
      <c r="H421">
        <v>5</v>
      </c>
    </row>
    <row r="422" spans="1:8" x14ac:dyDescent="0.25">
      <c r="A422" t="s">
        <v>488</v>
      </c>
      <c r="B422">
        <v>13000</v>
      </c>
      <c r="C422">
        <v>7</v>
      </c>
      <c r="D422">
        <v>6</v>
      </c>
      <c r="E422">
        <v>12000</v>
      </c>
      <c r="F422">
        <v>500</v>
      </c>
      <c r="G422" t="b">
        <v>0</v>
      </c>
      <c r="H422">
        <v>500</v>
      </c>
    </row>
    <row r="423" spans="1:8" x14ac:dyDescent="0.25">
      <c r="A423" t="s">
        <v>489</v>
      </c>
      <c r="B423">
        <v>7000</v>
      </c>
      <c r="C423">
        <v>0</v>
      </c>
      <c r="D423">
        <v>6</v>
      </c>
      <c r="E423">
        <v>7000</v>
      </c>
      <c r="F423">
        <v>100</v>
      </c>
      <c r="G423" t="b">
        <v>0</v>
      </c>
      <c r="H423">
        <v>100</v>
      </c>
    </row>
    <row r="424" spans="1:8" x14ac:dyDescent="0.25">
      <c r="A424" t="s">
        <v>490</v>
      </c>
      <c r="B424">
        <v>10000</v>
      </c>
      <c r="C424">
        <v>11</v>
      </c>
      <c r="D424">
        <v>6</v>
      </c>
      <c r="E424">
        <v>8900</v>
      </c>
      <c r="F424">
        <v>500</v>
      </c>
      <c r="G424" t="b">
        <v>0</v>
      </c>
      <c r="H424">
        <v>500</v>
      </c>
    </row>
    <row r="425" spans="1:8" x14ac:dyDescent="0.25">
      <c r="A425" t="s">
        <v>491</v>
      </c>
      <c r="B425">
        <v>29500</v>
      </c>
      <c r="C425">
        <v>0</v>
      </c>
      <c r="D425">
        <v>6</v>
      </c>
      <c r="E425">
        <v>29500</v>
      </c>
      <c r="F425">
        <v>475</v>
      </c>
      <c r="G425" t="b">
        <v>0</v>
      </c>
      <c r="H425">
        <v>475</v>
      </c>
    </row>
    <row r="426" spans="1:8" x14ac:dyDescent="0.25">
      <c r="A426" t="s">
        <v>492</v>
      </c>
      <c r="B426">
        <v>260000</v>
      </c>
      <c r="C426">
        <v>46</v>
      </c>
      <c r="D426">
        <v>6</v>
      </c>
      <c r="E426">
        <v>139900</v>
      </c>
      <c r="F426">
        <v>2000</v>
      </c>
      <c r="G426" t="b">
        <v>0</v>
      </c>
      <c r="H426">
        <v>2</v>
      </c>
    </row>
    <row r="427" spans="1:8" x14ac:dyDescent="0.25">
      <c r="A427" t="s">
        <v>493</v>
      </c>
      <c r="B427">
        <v>6000</v>
      </c>
      <c r="C427">
        <v>0</v>
      </c>
      <c r="D427">
        <v>6</v>
      </c>
      <c r="E427">
        <v>6000</v>
      </c>
      <c r="F427">
        <v>20</v>
      </c>
      <c r="G427" t="b">
        <v>0</v>
      </c>
      <c r="H427">
        <v>20</v>
      </c>
    </row>
    <row r="428" spans="1:8" x14ac:dyDescent="0.25">
      <c r="A428" t="s">
        <v>494</v>
      </c>
      <c r="B428">
        <v>9500</v>
      </c>
      <c r="C428">
        <v>0</v>
      </c>
      <c r="D428">
        <v>6</v>
      </c>
      <c r="E428">
        <v>9500</v>
      </c>
      <c r="F428">
        <v>100</v>
      </c>
      <c r="G428" t="b">
        <v>0</v>
      </c>
      <c r="H428">
        <v>100</v>
      </c>
    </row>
    <row r="429" spans="1:8" x14ac:dyDescent="0.25">
      <c r="A429" t="s">
        <v>495</v>
      </c>
      <c r="B429">
        <v>70000</v>
      </c>
      <c r="C429">
        <v>10</v>
      </c>
      <c r="D429">
        <v>3</v>
      </c>
      <c r="E429">
        <v>63000</v>
      </c>
      <c r="F429">
        <v>5000</v>
      </c>
      <c r="G429" t="b">
        <v>0</v>
      </c>
      <c r="H429">
        <v>5</v>
      </c>
    </row>
    <row r="430" spans="1:8" x14ac:dyDescent="0.25">
      <c r="A430" t="s">
        <v>496</v>
      </c>
      <c r="B430">
        <v>5000</v>
      </c>
      <c r="C430">
        <v>0</v>
      </c>
      <c r="D430">
        <v>6</v>
      </c>
      <c r="E430">
        <v>5000</v>
      </c>
      <c r="F430">
        <v>20</v>
      </c>
      <c r="G430" t="b">
        <v>0</v>
      </c>
      <c r="H430">
        <v>20</v>
      </c>
    </row>
    <row r="431" spans="1:8" x14ac:dyDescent="0.25">
      <c r="A431" t="s">
        <v>497</v>
      </c>
      <c r="B431">
        <v>20000</v>
      </c>
      <c r="C431">
        <v>0</v>
      </c>
      <c r="D431">
        <v>1</v>
      </c>
      <c r="E431">
        <v>20000</v>
      </c>
      <c r="F431">
        <v>500</v>
      </c>
      <c r="G431" t="b">
        <v>0</v>
      </c>
      <c r="H431">
        <v>500</v>
      </c>
    </row>
    <row r="432" spans="1:8" x14ac:dyDescent="0.25">
      <c r="A432" t="s">
        <v>498</v>
      </c>
      <c r="B432">
        <v>9900</v>
      </c>
      <c r="C432">
        <v>0</v>
      </c>
      <c r="D432">
        <v>6</v>
      </c>
      <c r="E432">
        <v>9900</v>
      </c>
      <c r="F432">
        <v>30</v>
      </c>
      <c r="G432" t="b">
        <v>0</v>
      </c>
      <c r="H432">
        <v>30</v>
      </c>
    </row>
    <row r="433" spans="1:8" x14ac:dyDescent="0.25">
      <c r="A433" t="s">
        <v>499</v>
      </c>
      <c r="B433">
        <v>7000</v>
      </c>
      <c r="C433">
        <v>0</v>
      </c>
      <c r="D433">
        <v>6</v>
      </c>
      <c r="E433">
        <v>7000</v>
      </c>
      <c r="F433">
        <v>500</v>
      </c>
      <c r="G433" t="b">
        <v>0</v>
      </c>
      <c r="H433">
        <v>500</v>
      </c>
    </row>
    <row r="434" spans="1:8" x14ac:dyDescent="0.25">
      <c r="A434" t="s">
        <v>500</v>
      </c>
      <c r="B434">
        <v>9900</v>
      </c>
      <c r="C434">
        <v>0</v>
      </c>
      <c r="D434">
        <v>6</v>
      </c>
      <c r="E434">
        <v>9900</v>
      </c>
      <c r="F434">
        <v>28</v>
      </c>
      <c r="G434" t="b">
        <v>0</v>
      </c>
      <c r="H434">
        <v>28</v>
      </c>
    </row>
    <row r="435" spans="1:8" x14ac:dyDescent="0.25">
      <c r="A435" t="s">
        <v>501</v>
      </c>
      <c r="B435">
        <v>12000</v>
      </c>
      <c r="C435">
        <v>30</v>
      </c>
      <c r="D435">
        <v>4</v>
      </c>
      <c r="E435">
        <v>8400</v>
      </c>
      <c r="F435">
        <v>285</v>
      </c>
      <c r="G435" t="b">
        <v>0</v>
      </c>
      <c r="H435">
        <v>285</v>
      </c>
    </row>
    <row r="436" spans="1:8" x14ac:dyDescent="0.25">
      <c r="A436" t="s">
        <v>502</v>
      </c>
      <c r="B436">
        <v>29500</v>
      </c>
      <c r="C436">
        <v>0</v>
      </c>
      <c r="D436">
        <v>6</v>
      </c>
      <c r="E436">
        <v>29500</v>
      </c>
      <c r="F436">
        <v>500</v>
      </c>
      <c r="G436" t="b">
        <v>0</v>
      </c>
      <c r="H436">
        <v>500</v>
      </c>
    </row>
    <row r="437" spans="1:8" x14ac:dyDescent="0.25">
      <c r="A437" t="s">
        <v>503</v>
      </c>
      <c r="B437">
        <v>9500</v>
      </c>
      <c r="C437">
        <v>0</v>
      </c>
      <c r="D437">
        <v>6</v>
      </c>
      <c r="E437">
        <v>9500</v>
      </c>
      <c r="F437">
        <v>150</v>
      </c>
      <c r="G437" t="b">
        <v>0</v>
      </c>
      <c r="H437">
        <v>150</v>
      </c>
    </row>
    <row r="438" spans="1:8" x14ac:dyDescent="0.25">
      <c r="A438" t="s">
        <v>504</v>
      </c>
      <c r="B438">
        <v>16500</v>
      </c>
      <c r="C438">
        <v>10</v>
      </c>
      <c r="D438">
        <v>6</v>
      </c>
      <c r="E438">
        <v>14700</v>
      </c>
      <c r="F438">
        <v>1000</v>
      </c>
      <c r="G438" t="b">
        <v>0</v>
      </c>
      <c r="H438">
        <v>1</v>
      </c>
    </row>
    <row r="439" spans="1:8" x14ac:dyDescent="0.25">
      <c r="A439" t="s">
        <v>505</v>
      </c>
      <c r="B439">
        <v>29500</v>
      </c>
      <c r="C439">
        <v>0</v>
      </c>
      <c r="D439">
        <v>6</v>
      </c>
      <c r="E439">
        <v>29500</v>
      </c>
      <c r="F439">
        <v>500</v>
      </c>
      <c r="G439" t="b">
        <v>0</v>
      </c>
      <c r="H439">
        <v>500</v>
      </c>
    </row>
    <row r="440" spans="1:8" x14ac:dyDescent="0.25">
      <c r="A440" t="s">
        <v>506</v>
      </c>
      <c r="B440">
        <v>7500</v>
      </c>
      <c r="C440">
        <v>0</v>
      </c>
      <c r="D440">
        <v>2</v>
      </c>
      <c r="E440">
        <v>7500</v>
      </c>
      <c r="F440">
        <v>100</v>
      </c>
      <c r="G440" t="b">
        <v>0</v>
      </c>
      <c r="H440">
        <v>100</v>
      </c>
    </row>
    <row r="441" spans="1:8" x14ac:dyDescent="0.25">
      <c r="A441" t="s">
        <v>507</v>
      </c>
      <c r="B441">
        <v>9900</v>
      </c>
      <c r="C441">
        <v>0</v>
      </c>
      <c r="D441">
        <v>6</v>
      </c>
      <c r="E441">
        <v>9900</v>
      </c>
      <c r="F441">
        <v>75</v>
      </c>
      <c r="G441" t="b">
        <v>0</v>
      </c>
      <c r="H441">
        <v>75</v>
      </c>
    </row>
    <row r="442" spans="1:8" x14ac:dyDescent="0.25">
      <c r="A442" t="s">
        <v>508</v>
      </c>
      <c r="B442">
        <v>8900</v>
      </c>
      <c r="C442">
        <v>10</v>
      </c>
      <c r="D442">
        <v>6</v>
      </c>
      <c r="E442">
        <v>8000</v>
      </c>
      <c r="F442">
        <v>100</v>
      </c>
      <c r="G442" t="b">
        <v>0</v>
      </c>
      <c r="H442">
        <v>100</v>
      </c>
    </row>
    <row r="443" spans="1:8" x14ac:dyDescent="0.25">
      <c r="A443" t="s">
        <v>509</v>
      </c>
      <c r="B443">
        <v>4500</v>
      </c>
      <c r="C443">
        <v>2</v>
      </c>
      <c r="D443">
        <v>6</v>
      </c>
      <c r="E443">
        <v>4400</v>
      </c>
      <c r="F443">
        <v>90</v>
      </c>
      <c r="G443" t="b">
        <v>0</v>
      </c>
      <c r="H443">
        <v>90</v>
      </c>
    </row>
    <row r="444" spans="1:8" x14ac:dyDescent="0.25">
      <c r="A444" t="s">
        <v>510</v>
      </c>
      <c r="B444">
        <v>19000</v>
      </c>
      <c r="C444">
        <v>11</v>
      </c>
      <c r="D444">
        <v>6</v>
      </c>
      <c r="E444">
        <v>16900</v>
      </c>
      <c r="F444">
        <v>500</v>
      </c>
      <c r="G444" t="b">
        <v>0</v>
      </c>
      <c r="H444">
        <v>500</v>
      </c>
    </row>
    <row r="445" spans="1:8" x14ac:dyDescent="0.25">
      <c r="A445" t="s">
        <v>511</v>
      </c>
      <c r="B445">
        <v>8900</v>
      </c>
      <c r="C445">
        <v>0</v>
      </c>
      <c r="D445">
        <v>6</v>
      </c>
      <c r="E445">
        <v>8900</v>
      </c>
      <c r="F445">
        <v>100</v>
      </c>
      <c r="G445" t="b">
        <v>0</v>
      </c>
      <c r="H445">
        <v>100</v>
      </c>
    </row>
    <row r="446" spans="1:8" x14ac:dyDescent="0.25">
      <c r="A446" t="s">
        <v>512</v>
      </c>
      <c r="B446">
        <v>39900</v>
      </c>
      <c r="C446">
        <v>20</v>
      </c>
      <c r="D446">
        <v>6</v>
      </c>
      <c r="E446">
        <v>31900</v>
      </c>
      <c r="F446">
        <v>200</v>
      </c>
      <c r="G446" t="b">
        <v>0</v>
      </c>
      <c r="H446">
        <v>200</v>
      </c>
    </row>
    <row r="447" spans="1:8" x14ac:dyDescent="0.25">
      <c r="A447" t="s">
        <v>417</v>
      </c>
      <c r="B447">
        <v>20500</v>
      </c>
      <c r="C447">
        <v>0</v>
      </c>
      <c r="D447">
        <v>6</v>
      </c>
      <c r="E447">
        <v>20500</v>
      </c>
      <c r="F447">
        <v>50</v>
      </c>
      <c r="G447" t="b">
        <v>0</v>
      </c>
      <c r="H447">
        <v>20</v>
      </c>
    </row>
    <row r="448" spans="1:8" x14ac:dyDescent="0.25">
      <c r="A448" t="s">
        <v>513</v>
      </c>
      <c r="B448">
        <v>13900</v>
      </c>
      <c r="C448">
        <v>10</v>
      </c>
      <c r="D448">
        <v>6</v>
      </c>
      <c r="E448">
        <v>12500</v>
      </c>
      <c r="F448">
        <v>100</v>
      </c>
      <c r="G448" t="b">
        <v>0</v>
      </c>
      <c r="H448">
        <v>100</v>
      </c>
    </row>
    <row r="449" spans="1:8" x14ac:dyDescent="0.25">
      <c r="A449" t="s">
        <v>514</v>
      </c>
      <c r="B449">
        <v>4500</v>
      </c>
      <c r="C449">
        <v>0</v>
      </c>
      <c r="D449">
        <v>4</v>
      </c>
      <c r="E449">
        <v>4500</v>
      </c>
      <c r="F449">
        <v>80</v>
      </c>
      <c r="G449" t="b">
        <v>0</v>
      </c>
      <c r="H449">
        <v>80</v>
      </c>
    </row>
    <row r="450" spans="1:8" x14ac:dyDescent="0.25">
      <c r="A450" t="s">
        <v>515</v>
      </c>
      <c r="B450">
        <v>13900</v>
      </c>
      <c r="C450">
        <v>0</v>
      </c>
      <c r="D450">
        <v>6</v>
      </c>
      <c r="E450">
        <v>13900</v>
      </c>
      <c r="F450">
        <v>45</v>
      </c>
      <c r="G450" t="b">
        <v>0</v>
      </c>
      <c r="H450">
        <v>45</v>
      </c>
    </row>
    <row r="451" spans="1:8" x14ac:dyDescent="0.25">
      <c r="A451" t="s">
        <v>516</v>
      </c>
      <c r="B451">
        <v>32500</v>
      </c>
      <c r="C451">
        <v>8</v>
      </c>
      <c r="D451">
        <v>1</v>
      </c>
      <c r="E451">
        <v>29900</v>
      </c>
      <c r="F451">
        <v>200</v>
      </c>
      <c r="G451" t="b">
        <v>0</v>
      </c>
      <c r="H451">
        <v>200</v>
      </c>
    </row>
    <row r="452" spans="1:8" x14ac:dyDescent="0.25">
      <c r="A452" t="s">
        <v>517</v>
      </c>
      <c r="B452">
        <v>6000</v>
      </c>
      <c r="C452">
        <v>6</v>
      </c>
      <c r="D452">
        <v>0</v>
      </c>
      <c r="E452">
        <v>5600</v>
      </c>
      <c r="F452">
        <v>1000</v>
      </c>
      <c r="G452" t="b">
        <v>1</v>
      </c>
      <c r="H452">
        <v>1</v>
      </c>
    </row>
    <row r="453" spans="1:8" x14ac:dyDescent="0.25">
      <c r="A453" t="s">
        <v>113</v>
      </c>
      <c r="B453">
        <v>6300</v>
      </c>
      <c r="C453">
        <v>0</v>
      </c>
      <c r="D453">
        <v>0</v>
      </c>
      <c r="E453">
        <v>6300</v>
      </c>
      <c r="F453">
        <v>250</v>
      </c>
      <c r="G453" t="b">
        <v>1</v>
      </c>
      <c r="H453">
        <v>250</v>
      </c>
    </row>
    <row r="454" spans="1:8" x14ac:dyDescent="0.25">
      <c r="A454" t="s">
        <v>518</v>
      </c>
      <c r="B454">
        <v>29500</v>
      </c>
      <c r="C454">
        <v>9</v>
      </c>
      <c r="D454">
        <v>0</v>
      </c>
      <c r="E454">
        <v>26600</v>
      </c>
      <c r="F454">
        <v>5000</v>
      </c>
      <c r="G454" t="b">
        <v>1</v>
      </c>
      <c r="H454">
        <v>5</v>
      </c>
    </row>
    <row r="455" spans="1:8" x14ac:dyDescent="0.25">
      <c r="A455" t="s">
        <v>519</v>
      </c>
      <c r="B455">
        <v>3500</v>
      </c>
      <c r="C455">
        <v>8</v>
      </c>
      <c r="D455">
        <v>0</v>
      </c>
      <c r="E455">
        <v>3200</v>
      </c>
      <c r="F455">
        <v>500</v>
      </c>
      <c r="G455" t="b">
        <v>1</v>
      </c>
      <c r="H455">
        <v>500</v>
      </c>
    </row>
    <row r="456" spans="1:8" x14ac:dyDescent="0.25">
      <c r="A456" t="s">
        <v>520</v>
      </c>
      <c r="B456">
        <v>5300</v>
      </c>
      <c r="C456">
        <v>1</v>
      </c>
      <c r="D456">
        <v>0</v>
      </c>
      <c r="E456">
        <v>5200</v>
      </c>
      <c r="F456">
        <v>1000</v>
      </c>
      <c r="G456" t="b">
        <v>1</v>
      </c>
      <c r="H456">
        <v>1</v>
      </c>
    </row>
    <row r="457" spans="1:8" x14ac:dyDescent="0.25">
      <c r="A457" t="s">
        <v>116</v>
      </c>
      <c r="B457">
        <v>21000</v>
      </c>
      <c r="C457">
        <v>13</v>
      </c>
      <c r="D457">
        <v>0</v>
      </c>
      <c r="E457">
        <v>18100</v>
      </c>
      <c r="F457">
        <v>1000</v>
      </c>
      <c r="G457" t="b">
        <v>1</v>
      </c>
      <c r="H457">
        <v>1</v>
      </c>
    </row>
    <row r="458" spans="1:8" x14ac:dyDescent="0.25">
      <c r="A458" t="s">
        <v>521</v>
      </c>
      <c r="B458">
        <v>5800</v>
      </c>
      <c r="C458">
        <v>6</v>
      </c>
      <c r="D458">
        <v>0</v>
      </c>
      <c r="E458">
        <v>5400</v>
      </c>
      <c r="F458">
        <v>72</v>
      </c>
      <c r="G458" t="b">
        <v>1</v>
      </c>
      <c r="H458">
        <v>72</v>
      </c>
    </row>
    <row r="459" spans="1:8" x14ac:dyDescent="0.25">
      <c r="A459" t="s">
        <v>522</v>
      </c>
      <c r="B459">
        <v>2200</v>
      </c>
      <c r="C459">
        <v>13</v>
      </c>
      <c r="D459">
        <v>0</v>
      </c>
      <c r="E459">
        <v>1900</v>
      </c>
      <c r="F459">
        <v>1000</v>
      </c>
      <c r="G459" t="b">
        <v>1</v>
      </c>
      <c r="H459">
        <v>1</v>
      </c>
    </row>
    <row r="460" spans="1:8" x14ac:dyDescent="0.25">
      <c r="A460" t="s">
        <v>523</v>
      </c>
      <c r="B460">
        <v>4400</v>
      </c>
      <c r="C460">
        <v>0</v>
      </c>
      <c r="D460">
        <v>0</v>
      </c>
      <c r="E460">
        <v>4400</v>
      </c>
      <c r="F460">
        <v>280</v>
      </c>
      <c r="G460" t="b">
        <v>1</v>
      </c>
      <c r="H460">
        <v>280</v>
      </c>
    </row>
    <row r="461" spans="1:8" x14ac:dyDescent="0.25">
      <c r="A461" t="s">
        <v>524</v>
      </c>
      <c r="B461">
        <v>15000</v>
      </c>
      <c r="C461">
        <v>14</v>
      </c>
      <c r="D461">
        <v>0</v>
      </c>
      <c r="E461">
        <v>12800</v>
      </c>
      <c r="F461">
        <v>100</v>
      </c>
      <c r="G461" t="b">
        <v>1</v>
      </c>
      <c r="H461">
        <v>100</v>
      </c>
    </row>
    <row r="462" spans="1:8" x14ac:dyDescent="0.25">
      <c r="A462" t="s">
        <v>525</v>
      </c>
      <c r="B462">
        <v>31500</v>
      </c>
      <c r="C462">
        <v>8</v>
      </c>
      <c r="D462">
        <v>0</v>
      </c>
      <c r="E462">
        <v>28700</v>
      </c>
      <c r="F462">
        <v>5000</v>
      </c>
      <c r="G462" t="b">
        <v>1</v>
      </c>
      <c r="H462">
        <v>5</v>
      </c>
    </row>
    <row r="463" spans="1:8" x14ac:dyDescent="0.25">
      <c r="A463" t="s">
        <v>526</v>
      </c>
      <c r="B463">
        <v>4400</v>
      </c>
      <c r="C463">
        <v>6</v>
      </c>
      <c r="D463">
        <v>0</v>
      </c>
      <c r="E463">
        <v>4100</v>
      </c>
      <c r="F463">
        <v>500</v>
      </c>
      <c r="G463" t="b">
        <v>1</v>
      </c>
      <c r="H463">
        <v>500</v>
      </c>
    </row>
    <row r="464" spans="1:8" x14ac:dyDescent="0.25">
      <c r="A464" t="s">
        <v>527</v>
      </c>
      <c r="B464">
        <v>12000</v>
      </c>
      <c r="C464">
        <v>0</v>
      </c>
      <c r="D464">
        <v>0</v>
      </c>
      <c r="E464">
        <v>12000</v>
      </c>
      <c r="F464">
        <v>1000</v>
      </c>
      <c r="G464" t="b">
        <v>1</v>
      </c>
      <c r="H464">
        <v>1</v>
      </c>
    </row>
    <row r="465" spans="1:8" x14ac:dyDescent="0.25">
      <c r="A465" t="s">
        <v>111</v>
      </c>
      <c r="B465">
        <v>8000</v>
      </c>
      <c r="C465">
        <v>7</v>
      </c>
      <c r="D465">
        <v>0</v>
      </c>
      <c r="E465">
        <v>7400</v>
      </c>
      <c r="F465">
        <v>500</v>
      </c>
      <c r="G465" t="b">
        <v>1</v>
      </c>
      <c r="H465">
        <v>500</v>
      </c>
    </row>
    <row r="466" spans="1:8" x14ac:dyDescent="0.25">
      <c r="A466" t="s">
        <v>528</v>
      </c>
      <c r="B466">
        <v>4700</v>
      </c>
      <c r="C466">
        <v>2</v>
      </c>
      <c r="D466">
        <v>0</v>
      </c>
      <c r="E466">
        <v>4600</v>
      </c>
      <c r="F466">
        <v>100</v>
      </c>
      <c r="G466" t="b">
        <v>1</v>
      </c>
      <c r="H466">
        <v>100</v>
      </c>
    </row>
    <row r="467" spans="1:8" x14ac:dyDescent="0.25">
      <c r="A467" t="s">
        <v>529</v>
      </c>
      <c r="B467">
        <v>5000</v>
      </c>
      <c r="C467">
        <v>2</v>
      </c>
      <c r="D467">
        <v>0</v>
      </c>
      <c r="E467">
        <v>4900</v>
      </c>
      <c r="F467">
        <v>100</v>
      </c>
      <c r="G467" t="b">
        <v>1</v>
      </c>
      <c r="H467">
        <v>100</v>
      </c>
    </row>
    <row r="468" spans="1:8" x14ac:dyDescent="0.25">
      <c r="A468" t="s">
        <v>530</v>
      </c>
      <c r="B468">
        <v>17900</v>
      </c>
      <c r="C468">
        <v>1</v>
      </c>
      <c r="D468">
        <v>0</v>
      </c>
      <c r="E468">
        <v>17700</v>
      </c>
      <c r="F468">
        <v>1000</v>
      </c>
      <c r="G468" t="b">
        <v>1</v>
      </c>
      <c r="H468">
        <v>200</v>
      </c>
    </row>
    <row r="469" spans="1:8" x14ac:dyDescent="0.25">
      <c r="A469" t="s">
        <v>531</v>
      </c>
      <c r="B469">
        <v>3200</v>
      </c>
      <c r="C469">
        <v>3</v>
      </c>
      <c r="D469">
        <v>0</v>
      </c>
      <c r="E469">
        <v>3100</v>
      </c>
      <c r="F469">
        <v>100</v>
      </c>
      <c r="G469" t="b">
        <v>1</v>
      </c>
      <c r="H469">
        <v>100</v>
      </c>
    </row>
    <row r="470" spans="1:8" x14ac:dyDescent="0.25">
      <c r="A470" t="s">
        <v>532</v>
      </c>
      <c r="B470">
        <v>3800</v>
      </c>
      <c r="C470">
        <v>7</v>
      </c>
      <c r="D470">
        <v>0</v>
      </c>
      <c r="E470">
        <v>3500</v>
      </c>
      <c r="F470">
        <v>500</v>
      </c>
      <c r="G470" t="b">
        <v>1</v>
      </c>
      <c r="H470">
        <v>500</v>
      </c>
    </row>
    <row r="471" spans="1:8" x14ac:dyDescent="0.25">
      <c r="A471" t="s">
        <v>533</v>
      </c>
      <c r="B471">
        <v>7500</v>
      </c>
      <c r="C471">
        <v>0</v>
      </c>
      <c r="D471">
        <v>0</v>
      </c>
      <c r="E471">
        <v>7500</v>
      </c>
      <c r="F471">
        <v>1000</v>
      </c>
      <c r="G471" t="b">
        <v>1</v>
      </c>
      <c r="H471">
        <v>1</v>
      </c>
    </row>
    <row r="472" spans="1:8" x14ac:dyDescent="0.25">
      <c r="A472" t="s">
        <v>534</v>
      </c>
      <c r="B472">
        <v>6400</v>
      </c>
      <c r="C472">
        <v>0</v>
      </c>
      <c r="D472">
        <v>0</v>
      </c>
      <c r="E472">
        <v>6400</v>
      </c>
      <c r="F472">
        <v>500</v>
      </c>
      <c r="G472" t="b">
        <v>1</v>
      </c>
      <c r="H472">
        <v>500</v>
      </c>
    </row>
    <row r="473" spans="1:8" x14ac:dyDescent="0.25">
      <c r="A473" t="s">
        <v>535</v>
      </c>
      <c r="B473">
        <v>11900</v>
      </c>
      <c r="C473">
        <v>6</v>
      </c>
      <c r="D473">
        <v>0</v>
      </c>
      <c r="E473">
        <v>11100</v>
      </c>
      <c r="F473">
        <v>500</v>
      </c>
      <c r="G473" t="b">
        <v>1</v>
      </c>
      <c r="H473">
        <v>500</v>
      </c>
    </row>
    <row r="474" spans="1:8" x14ac:dyDescent="0.25">
      <c r="A474" t="s">
        <v>536</v>
      </c>
      <c r="B474">
        <v>8800</v>
      </c>
      <c r="C474">
        <v>6</v>
      </c>
      <c r="D474">
        <v>0</v>
      </c>
      <c r="E474">
        <v>8200</v>
      </c>
      <c r="F474">
        <v>500</v>
      </c>
      <c r="G474" t="b">
        <v>1</v>
      </c>
      <c r="H474">
        <v>500</v>
      </c>
    </row>
    <row r="475" spans="1:8" x14ac:dyDescent="0.25">
      <c r="A475" t="s">
        <v>537</v>
      </c>
      <c r="B475">
        <v>9100</v>
      </c>
      <c r="C475">
        <v>2</v>
      </c>
      <c r="D475">
        <v>0</v>
      </c>
      <c r="E475">
        <v>8900</v>
      </c>
      <c r="F475">
        <v>500</v>
      </c>
      <c r="G475" t="b">
        <v>1</v>
      </c>
      <c r="H475">
        <v>500</v>
      </c>
    </row>
    <row r="476" spans="1:8" x14ac:dyDescent="0.25">
      <c r="A476" t="s">
        <v>538</v>
      </c>
      <c r="B476">
        <v>1000</v>
      </c>
      <c r="C476">
        <v>0</v>
      </c>
      <c r="D476">
        <v>0</v>
      </c>
      <c r="E476">
        <v>1000</v>
      </c>
      <c r="F476">
        <v>20</v>
      </c>
      <c r="G476" t="b">
        <v>1</v>
      </c>
      <c r="H476">
        <v>20</v>
      </c>
    </row>
    <row r="477" spans="1:8" x14ac:dyDescent="0.25">
      <c r="A477" t="s">
        <v>539</v>
      </c>
      <c r="B477">
        <v>6500</v>
      </c>
      <c r="C477">
        <v>9</v>
      </c>
      <c r="D477">
        <v>0</v>
      </c>
      <c r="E477">
        <v>5900</v>
      </c>
      <c r="F477">
        <v>100</v>
      </c>
      <c r="G477" t="b">
        <v>1</v>
      </c>
      <c r="H477">
        <v>100</v>
      </c>
    </row>
    <row r="478" spans="1:8" x14ac:dyDescent="0.25">
      <c r="A478" t="s">
        <v>540</v>
      </c>
      <c r="B478">
        <v>5500</v>
      </c>
      <c r="C478">
        <v>9</v>
      </c>
      <c r="D478">
        <v>0</v>
      </c>
      <c r="E478">
        <v>5000</v>
      </c>
      <c r="F478">
        <v>500</v>
      </c>
      <c r="G478" t="b">
        <v>1</v>
      </c>
      <c r="H478">
        <v>500</v>
      </c>
    </row>
    <row r="479" spans="1:8" x14ac:dyDescent="0.25">
      <c r="A479" t="s">
        <v>126</v>
      </c>
      <c r="B479">
        <v>5000</v>
      </c>
      <c r="C479">
        <v>6</v>
      </c>
      <c r="D479">
        <v>0</v>
      </c>
      <c r="E479">
        <v>4700</v>
      </c>
      <c r="F479">
        <v>200</v>
      </c>
      <c r="G479" t="b">
        <v>1</v>
      </c>
      <c r="H479">
        <v>200</v>
      </c>
    </row>
    <row r="480" spans="1:8" x14ac:dyDescent="0.25">
      <c r="A480" t="s">
        <v>541</v>
      </c>
      <c r="B480">
        <v>10700</v>
      </c>
      <c r="C480">
        <v>0</v>
      </c>
      <c r="D480">
        <v>0</v>
      </c>
      <c r="E480">
        <v>10700</v>
      </c>
      <c r="F480">
        <v>600</v>
      </c>
      <c r="G480" t="b">
        <v>1</v>
      </c>
      <c r="H480">
        <v>600</v>
      </c>
    </row>
    <row r="481" spans="1:8" x14ac:dyDescent="0.25">
      <c r="A481" t="s">
        <v>542</v>
      </c>
      <c r="B481">
        <v>1500</v>
      </c>
      <c r="C481">
        <v>0</v>
      </c>
      <c r="D481">
        <v>0</v>
      </c>
      <c r="E481">
        <v>1500</v>
      </c>
      <c r="F481">
        <v>38</v>
      </c>
      <c r="G481" t="b">
        <v>1</v>
      </c>
      <c r="H481">
        <v>38</v>
      </c>
    </row>
    <row r="482" spans="1:8" x14ac:dyDescent="0.25">
      <c r="A482" t="s">
        <v>543</v>
      </c>
      <c r="B482">
        <v>31000</v>
      </c>
      <c r="C482">
        <v>10</v>
      </c>
      <c r="D482">
        <v>0</v>
      </c>
      <c r="E482">
        <v>27900</v>
      </c>
      <c r="F482">
        <v>500</v>
      </c>
      <c r="G482" t="b">
        <v>1</v>
      </c>
      <c r="H482">
        <v>500</v>
      </c>
    </row>
    <row r="483" spans="1:8" x14ac:dyDescent="0.25">
      <c r="A483" t="s">
        <v>544</v>
      </c>
      <c r="B483">
        <v>6000</v>
      </c>
      <c r="C483">
        <v>10</v>
      </c>
      <c r="D483">
        <v>0</v>
      </c>
      <c r="E483">
        <v>5400</v>
      </c>
      <c r="F483">
        <v>100</v>
      </c>
      <c r="G483" t="b">
        <v>1</v>
      </c>
      <c r="H483">
        <v>100</v>
      </c>
    </row>
    <row r="484" spans="1:8" x14ac:dyDescent="0.25">
      <c r="A484" t="s">
        <v>545</v>
      </c>
      <c r="B484">
        <v>7900</v>
      </c>
      <c r="C484">
        <v>0</v>
      </c>
      <c r="D484">
        <v>0</v>
      </c>
      <c r="E484">
        <v>7900</v>
      </c>
      <c r="F484">
        <v>1000</v>
      </c>
      <c r="G484" t="b">
        <v>1</v>
      </c>
      <c r="H484">
        <v>1</v>
      </c>
    </row>
    <row r="485" spans="1:8" x14ac:dyDescent="0.25">
      <c r="A485" t="s">
        <v>546</v>
      </c>
      <c r="B485">
        <v>3000</v>
      </c>
      <c r="C485">
        <v>3</v>
      </c>
      <c r="D485">
        <v>0</v>
      </c>
      <c r="E485">
        <v>2900</v>
      </c>
      <c r="F485">
        <v>50</v>
      </c>
      <c r="G485" t="b">
        <v>1</v>
      </c>
      <c r="H485">
        <v>50</v>
      </c>
    </row>
    <row r="486" spans="1:8" x14ac:dyDescent="0.25">
      <c r="A486" t="s">
        <v>547</v>
      </c>
      <c r="B486">
        <v>3400</v>
      </c>
      <c r="C486">
        <v>2</v>
      </c>
      <c r="D486">
        <v>0</v>
      </c>
      <c r="E486">
        <v>3300</v>
      </c>
      <c r="F486">
        <v>50</v>
      </c>
      <c r="G486" t="b">
        <v>1</v>
      </c>
      <c r="H486">
        <v>50</v>
      </c>
    </row>
    <row r="487" spans="1:8" x14ac:dyDescent="0.25">
      <c r="A487" t="s">
        <v>548</v>
      </c>
      <c r="B487">
        <v>5000</v>
      </c>
      <c r="C487">
        <v>0</v>
      </c>
      <c r="D487">
        <v>0</v>
      </c>
      <c r="E487">
        <v>5000</v>
      </c>
      <c r="F487">
        <v>70</v>
      </c>
      <c r="G487" t="b">
        <v>1</v>
      </c>
      <c r="H487">
        <v>70</v>
      </c>
    </row>
    <row r="488" spans="1:8" x14ac:dyDescent="0.25">
      <c r="A488" t="s">
        <v>549</v>
      </c>
      <c r="B488">
        <v>2000</v>
      </c>
      <c r="C488">
        <v>0</v>
      </c>
      <c r="D488">
        <v>0</v>
      </c>
      <c r="E488">
        <v>2000</v>
      </c>
      <c r="F488">
        <v>100</v>
      </c>
      <c r="G488" t="b">
        <v>1</v>
      </c>
      <c r="H488">
        <v>100</v>
      </c>
    </row>
    <row r="489" spans="1:8" x14ac:dyDescent="0.25">
      <c r="A489" t="s">
        <v>550</v>
      </c>
      <c r="B489">
        <v>56500</v>
      </c>
      <c r="C489">
        <v>0</v>
      </c>
      <c r="D489">
        <v>0</v>
      </c>
      <c r="E489">
        <v>56500</v>
      </c>
      <c r="F489">
        <v>1000</v>
      </c>
      <c r="G489" t="b">
        <v>1</v>
      </c>
      <c r="H489">
        <v>1</v>
      </c>
    </row>
    <row r="490" spans="1:8" x14ac:dyDescent="0.25">
      <c r="A490" t="s">
        <v>551</v>
      </c>
      <c r="B490">
        <v>4200</v>
      </c>
      <c r="C490">
        <v>2</v>
      </c>
      <c r="D490">
        <v>0</v>
      </c>
      <c r="E490">
        <v>4100</v>
      </c>
      <c r="F490">
        <v>50</v>
      </c>
      <c r="G490" t="b">
        <v>1</v>
      </c>
      <c r="H490">
        <v>50</v>
      </c>
    </row>
    <row r="491" spans="1:8" x14ac:dyDescent="0.25">
      <c r="A491" t="s">
        <v>552</v>
      </c>
      <c r="B491">
        <v>18500</v>
      </c>
      <c r="C491">
        <v>8</v>
      </c>
      <c r="D491">
        <v>0</v>
      </c>
      <c r="E491">
        <v>16900</v>
      </c>
      <c r="F491">
        <v>1000</v>
      </c>
      <c r="G491" t="b">
        <v>1</v>
      </c>
      <c r="H491">
        <v>1</v>
      </c>
    </row>
    <row r="492" spans="1:8" x14ac:dyDescent="0.25">
      <c r="A492" t="s">
        <v>553</v>
      </c>
      <c r="B492">
        <v>6000</v>
      </c>
      <c r="C492">
        <v>10</v>
      </c>
      <c r="D492">
        <v>0</v>
      </c>
      <c r="E492">
        <v>5400</v>
      </c>
      <c r="F492">
        <v>500</v>
      </c>
      <c r="G492" t="b">
        <v>1</v>
      </c>
      <c r="H492">
        <v>500</v>
      </c>
    </row>
    <row r="493" spans="1:8" x14ac:dyDescent="0.25">
      <c r="A493" t="s">
        <v>554</v>
      </c>
      <c r="B493">
        <v>4000</v>
      </c>
      <c r="C493">
        <v>0</v>
      </c>
      <c r="D493">
        <v>0</v>
      </c>
      <c r="E493">
        <v>4000</v>
      </c>
      <c r="F493">
        <v>500</v>
      </c>
      <c r="G493" t="b">
        <v>1</v>
      </c>
      <c r="H493">
        <v>500</v>
      </c>
    </row>
    <row r="494" spans="1:8" x14ac:dyDescent="0.25">
      <c r="A494" t="s">
        <v>531</v>
      </c>
      <c r="B494">
        <v>7000</v>
      </c>
      <c r="C494">
        <v>10</v>
      </c>
      <c r="D494">
        <v>0</v>
      </c>
      <c r="E494">
        <v>6300</v>
      </c>
      <c r="F494">
        <v>200</v>
      </c>
      <c r="G494" t="b">
        <v>1</v>
      </c>
      <c r="H494">
        <v>200</v>
      </c>
    </row>
    <row r="495" spans="1:8" x14ac:dyDescent="0.25">
      <c r="A495" t="s">
        <v>555</v>
      </c>
      <c r="B495">
        <v>4800</v>
      </c>
      <c r="C495">
        <v>6</v>
      </c>
      <c r="D495">
        <v>0</v>
      </c>
      <c r="E495">
        <v>4500</v>
      </c>
      <c r="F495">
        <v>240</v>
      </c>
      <c r="G495" t="b">
        <v>1</v>
      </c>
      <c r="H495">
        <v>240</v>
      </c>
    </row>
    <row r="496" spans="1:8" x14ac:dyDescent="0.25">
      <c r="A496" t="s">
        <v>556</v>
      </c>
      <c r="B496">
        <v>3500</v>
      </c>
      <c r="C496">
        <v>0</v>
      </c>
      <c r="D496">
        <v>0</v>
      </c>
      <c r="E496">
        <v>3500</v>
      </c>
      <c r="F496">
        <v>100</v>
      </c>
      <c r="G496" t="b">
        <v>1</v>
      </c>
      <c r="H496">
        <v>200</v>
      </c>
    </row>
    <row r="497" spans="1:8" x14ac:dyDescent="0.25">
      <c r="A497" t="s">
        <v>557</v>
      </c>
      <c r="B497">
        <v>9000</v>
      </c>
      <c r="C497">
        <v>1</v>
      </c>
      <c r="D497">
        <v>0</v>
      </c>
      <c r="E497">
        <v>8900</v>
      </c>
      <c r="F497">
        <v>1000</v>
      </c>
      <c r="G497" t="b">
        <v>1</v>
      </c>
      <c r="H497">
        <v>1</v>
      </c>
    </row>
    <row r="498" spans="1:8" x14ac:dyDescent="0.25">
      <c r="A498" t="s">
        <v>558</v>
      </c>
      <c r="B498">
        <v>9100</v>
      </c>
      <c r="C498">
        <v>9</v>
      </c>
      <c r="D498">
        <v>0</v>
      </c>
      <c r="E498">
        <v>8200</v>
      </c>
      <c r="F498">
        <v>560</v>
      </c>
      <c r="G498" t="b">
        <v>1</v>
      </c>
      <c r="H498">
        <v>560</v>
      </c>
    </row>
    <row r="499" spans="1:8" x14ac:dyDescent="0.25">
      <c r="A499" t="s">
        <v>559</v>
      </c>
      <c r="B499">
        <v>6700</v>
      </c>
      <c r="C499">
        <v>10</v>
      </c>
      <c r="D499">
        <v>0</v>
      </c>
      <c r="E499">
        <v>6000</v>
      </c>
      <c r="F499">
        <v>200</v>
      </c>
      <c r="G499" t="b">
        <v>1</v>
      </c>
      <c r="H499">
        <v>200</v>
      </c>
    </row>
    <row r="500" spans="1:8" x14ac:dyDescent="0.25">
      <c r="A500" t="s">
        <v>560</v>
      </c>
      <c r="B500">
        <v>12500</v>
      </c>
      <c r="C500">
        <v>9</v>
      </c>
      <c r="D500">
        <v>0</v>
      </c>
      <c r="E500">
        <v>11300</v>
      </c>
      <c r="F500">
        <v>500</v>
      </c>
      <c r="G500" t="b">
        <v>1</v>
      </c>
      <c r="H500">
        <v>500</v>
      </c>
    </row>
    <row r="501" spans="1:8" x14ac:dyDescent="0.25">
      <c r="A501" t="s">
        <v>561</v>
      </c>
      <c r="B501">
        <v>10900</v>
      </c>
      <c r="C501">
        <v>11</v>
      </c>
      <c r="D501">
        <v>0</v>
      </c>
      <c r="E501">
        <v>9700</v>
      </c>
      <c r="F501">
        <v>80</v>
      </c>
      <c r="G501" t="b">
        <v>1</v>
      </c>
      <c r="H501">
        <v>80</v>
      </c>
    </row>
    <row r="502" spans="1:8" x14ac:dyDescent="0.25">
      <c r="A502" t="s">
        <v>562</v>
      </c>
      <c r="B502">
        <v>16000</v>
      </c>
      <c r="C502">
        <v>50</v>
      </c>
      <c r="D502">
        <v>0</v>
      </c>
      <c r="E502">
        <v>8000</v>
      </c>
      <c r="F502">
        <v>500</v>
      </c>
      <c r="G502" t="b">
        <v>1</v>
      </c>
      <c r="H502">
        <v>500</v>
      </c>
    </row>
    <row r="503" spans="1:8" x14ac:dyDescent="0.25">
      <c r="A503" t="s">
        <v>204</v>
      </c>
      <c r="B503">
        <v>12500</v>
      </c>
      <c r="C503">
        <v>0</v>
      </c>
      <c r="D503">
        <v>0</v>
      </c>
      <c r="E503">
        <v>12500</v>
      </c>
      <c r="F503">
        <v>1000</v>
      </c>
      <c r="G503" t="b">
        <v>1</v>
      </c>
      <c r="H503">
        <v>1</v>
      </c>
    </row>
    <row r="504" spans="1:8" x14ac:dyDescent="0.25">
      <c r="A504" t="s">
        <v>563</v>
      </c>
      <c r="B504">
        <v>21000</v>
      </c>
      <c r="C504">
        <v>0</v>
      </c>
      <c r="D504">
        <v>0</v>
      </c>
      <c r="E504">
        <v>21000</v>
      </c>
      <c r="F504">
        <v>1000</v>
      </c>
      <c r="G504" t="b">
        <v>1</v>
      </c>
      <c r="H504">
        <v>1</v>
      </c>
    </row>
    <row r="505" spans="1:8" x14ac:dyDescent="0.25">
      <c r="A505" t="s">
        <v>564</v>
      </c>
      <c r="B505">
        <v>6400</v>
      </c>
      <c r="C505">
        <v>7</v>
      </c>
      <c r="D505">
        <v>0</v>
      </c>
      <c r="E505">
        <v>5900</v>
      </c>
      <c r="F505">
        <v>1000</v>
      </c>
      <c r="G505" t="b">
        <v>1</v>
      </c>
      <c r="H505">
        <v>1</v>
      </c>
    </row>
    <row r="506" spans="1:8" x14ac:dyDescent="0.25">
      <c r="A506" t="s">
        <v>565</v>
      </c>
      <c r="B506">
        <v>19000</v>
      </c>
      <c r="C506">
        <v>0</v>
      </c>
      <c r="D506">
        <v>0</v>
      </c>
      <c r="E506">
        <v>19000</v>
      </c>
      <c r="F506">
        <v>300</v>
      </c>
      <c r="G506" t="b">
        <v>1</v>
      </c>
      <c r="H506">
        <v>300</v>
      </c>
    </row>
    <row r="507" spans="1:8" x14ac:dyDescent="0.25">
      <c r="A507" t="s">
        <v>566</v>
      </c>
      <c r="B507">
        <v>2800</v>
      </c>
      <c r="C507">
        <v>17</v>
      </c>
      <c r="D507">
        <v>0</v>
      </c>
      <c r="E507">
        <v>2300</v>
      </c>
      <c r="F507">
        <v>65</v>
      </c>
      <c r="G507" t="b">
        <v>1</v>
      </c>
      <c r="H507">
        <v>65</v>
      </c>
    </row>
    <row r="508" spans="1:8" x14ac:dyDescent="0.25">
      <c r="A508" t="s">
        <v>567</v>
      </c>
      <c r="B508">
        <v>9900</v>
      </c>
      <c r="C508">
        <v>40</v>
      </c>
      <c r="D508">
        <v>0</v>
      </c>
      <c r="E508">
        <v>5900</v>
      </c>
      <c r="F508">
        <v>500</v>
      </c>
      <c r="G508" t="b">
        <v>1</v>
      </c>
      <c r="H508">
        <v>500</v>
      </c>
    </row>
    <row r="509" spans="1:8" x14ac:dyDescent="0.25">
      <c r="A509" t="s">
        <v>568</v>
      </c>
      <c r="B509">
        <v>6000</v>
      </c>
      <c r="C509">
        <v>15</v>
      </c>
      <c r="D509">
        <v>0</v>
      </c>
      <c r="E509">
        <v>5100</v>
      </c>
      <c r="F509">
        <v>100</v>
      </c>
      <c r="G509" t="b">
        <v>1</v>
      </c>
      <c r="H509">
        <v>100</v>
      </c>
    </row>
    <row r="510" spans="1:8" x14ac:dyDescent="0.25">
      <c r="A510" t="s">
        <v>569</v>
      </c>
      <c r="B510">
        <v>9500</v>
      </c>
      <c r="C510">
        <v>0</v>
      </c>
      <c r="D510">
        <v>0</v>
      </c>
      <c r="E510">
        <v>9500</v>
      </c>
      <c r="F510">
        <v>250</v>
      </c>
      <c r="G510" t="b">
        <v>1</v>
      </c>
      <c r="H510">
        <v>250</v>
      </c>
    </row>
    <row r="511" spans="1:8" x14ac:dyDescent="0.25">
      <c r="A511" t="s">
        <v>570</v>
      </c>
      <c r="B511">
        <v>4900</v>
      </c>
      <c r="C511">
        <v>2</v>
      </c>
      <c r="D511">
        <v>0</v>
      </c>
      <c r="E511">
        <v>4800</v>
      </c>
      <c r="F511">
        <v>200</v>
      </c>
      <c r="G511" t="b">
        <v>1</v>
      </c>
      <c r="H511">
        <v>200</v>
      </c>
    </row>
    <row r="512" spans="1:8" x14ac:dyDescent="0.25">
      <c r="A512" t="s">
        <v>571</v>
      </c>
      <c r="B512">
        <v>10200</v>
      </c>
      <c r="C512">
        <v>7</v>
      </c>
      <c r="D512">
        <v>0</v>
      </c>
      <c r="E512">
        <v>9400</v>
      </c>
      <c r="F512">
        <v>1000</v>
      </c>
      <c r="G512" t="b">
        <v>1</v>
      </c>
      <c r="H512">
        <v>1</v>
      </c>
    </row>
    <row r="513" spans="1:8" x14ac:dyDescent="0.25">
      <c r="A513" t="s">
        <v>572</v>
      </c>
      <c r="B513">
        <v>7200</v>
      </c>
      <c r="C513">
        <v>0</v>
      </c>
      <c r="D513">
        <v>0</v>
      </c>
      <c r="E513">
        <v>7200</v>
      </c>
      <c r="F513">
        <v>280</v>
      </c>
      <c r="G513" t="b">
        <v>1</v>
      </c>
      <c r="H513">
        <v>280</v>
      </c>
    </row>
    <row r="514" spans="1:8" x14ac:dyDescent="0.25">
      <c r="A514" t="s">
        <v>573</v>
      </c>
      <c r="B514">
        <v>15000</v>
      </c>
      <c r="C514">
        <v>4</v>
      </c>
      <c r="D514">
        <v>0</v>
      </c>
      <c r="E514">
        <v>14300</v>
      </c>
      <c r="F514">
        <v>250</v>
      </c>
      <c r="G514" t="b">
        <v>1</v>
      </c>
      <c r="H514">
        <v>250</v>
      </c>
    </row>
    <row r="515" spans="1:8" x14ac:dyDescent="0.25">
      <c r="A515" t="s">
        <v>574</v>
      </c>
      <c r="B515">
        <v>12000</v>
      </c>
      <c r="C515">
        <v>0</v>
      </c>
      <c r="D515">
        <v>0</v>
      </c>
      <c r="E515">
        <v>12000</v>
      </c>
      <c r="F515">
        <v>1</v>
      </c>
      <c r="G515" t="b">
        <v>1</v>
      </c>
      <c r="H515">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Y94"/>
  <sheetViews>
    <sheetView topLeftCell="A79" workbookViewId="0">
      <selection activeCell="A2" sqref="A2:H130"/>
    </sheetView>
  </sheetViews>
  <sheetFormatPr defaultRowHeight="15" x14ac:dyDescent="0.25"/>
  <cols>
    <col min="1" max="1" width="30" bestFit="1" customWidth="1"/>
    <col min="2" max="2" width="11.5703125" bestFit="1" customWidth="1"/>
    <col min="3" max="3" width="15.5703125" bestFit="1" customWidth="1"/>
    <col min="4" max="4" width="16.85546875" bestFit="1" customWidth="1"/>
    <col min="5" max="5" width="21.7109375" bestFit="1" customWidth="1"/>
    <col min="6" max="6" width="12.85546875" bestFit="1" customWidth="1"/>
    <col min="7" max="7" width="10.85546875" bestFit="1" customWidth="1"/>
    <col min="8" max="8" width="8.42578125" bestFit="1" customWidth="1"/>
    <col min="14" max="14" width="21.7109375" bestFit="1" customWidth="1"/>
    <col min="15" max="15" width="12.7109375" bestFit="1" customWidth="1"/>
  </cols>
  <sheetData>
    <row r="1" spans="1:25" x14ac:dyDescent="0.25">
      <c r="A1" s="1" t="s">
        <v>0</v>
      </c>
      <c r="B1" s="1" t="s">
        <v>1</v>
      </c>
      <c r="C1" s="1" t="s">
        <v>2</v>
      </c>
      <c r="D1" s="1" t="s">
        <v>3</v>
      </c>
      <c r="E1" s="1" t="s">
        <v>4</v>
      </c>
      <c r="F1" s="1" t="s">
        <v>5</v>
      </c>
      <c r="G1" s="1" t="s">
        <v>6</v>
      </c>
      <c r="H1" s="1" t="s">
        <v>7</v>
      </c>
      <c r="J1" t="str">
        <f>PROPER(A1)</f>
        <v>Name</v>
      </c>
      <c r="K1" t="str">
        <f t="shared" ref="K1:V1" si="0">PROPER(B1)</f>
        <v>Mrp</v>
      </c>
      <c r="L1" t="str">
        <f t="shared" si="0"/>
        <v>Discountpercent</v>
      </c>
      <c r="M1" t="str">
        <f t="shared" si="0"/>
        <v>Availablequantity</v>
      </c>
      <c r="N1" t="str">
        <f>PROPER(E1)</f>
        <v>Discountedsellingprice</v>
      </c>
      <c r="O1" t="str">
        <f t="shared" si="0"/>
        <v>Weightingms</v>
      </c>
      <c r="P1" t="str">
        <f t="shared" si="0"/>
        <v>Outofstock</v>
      </c>
      <c r="Q1" t="str">
        <f t="shared" si="0"/>
        <v>Quantity</v>
      </c>
      <c r="R1" t="str">
        <f t="shared" si="0"/>
        <v/>
      </c>
      <c r="S1" t="str">
        <f t="shared" si="0"/>
        <v>Name</v>
      </c>
      <c r="T1" t="str">
        <f t="shared" si="0"/>
        <v>Mrp</v>
      </c>
      <c r="U1" t="str">
        <f t="shared" si="0"/>
        <v>Discountpercent</v>
      </c>
      <c r="V1" t="str">
        <f t="shared" si="0"/>
        <v>Availablequantity</v>
      </c>
      <c r="W1" t="str">
        <f>PROPER(N1)</f>
        <v>Discountedsellingprice</v>
      </c>
      <c r="X1" t="str">
        <f t="shared" ref="X1" si="1">PROPER(O1)</f>
        <v>Weightingms</v>
      </c>
      <c r="Y1" t="str">
        <f>PROPER(P1)</f>
        <v>Outofstock</v>
      </c>
    </row>
    <row r="2" spans="1:25" x14ac:dyDescent="0.25">
      <c r="A2" t="s">
        <v>8</v>
      </c>
      <c r="B2">
        <v>2500</v>
      </c>
      <c r="C2">
        <v>16</v>
      </c>
      <c r="D2">
        <v>3</v>
      </c>
      <c r="E2">
        <v>2100</v>
      </c>
      <c r="F2">
        <v>1000</v>
      </c>
      <c r="G2" t="b">
        <v>0</v>
      </c>
      <c r="H2">
        <v>1</v>
      </c>
    </row>
    <row r="3" spans="1:25" x14ac:dyDescent="0.25">
      <c r="A3" t="s">
        <v>9</v>
      </c>
      <c r="B3">
        <v>4200</v>
      </c>
      <c r="C3">
        <v>16</v>
      </c>
      <c r="D3">
        <v>3</v>
      </c>
      <c r="E3">
        <v>3500</v>
      </c>
      <c r="F3">
        <v>1000</v>
      </c>
      <c r="G3" t="b">
        <v>0</v>
      </c>
      <c r="H3">
        <v>1</v>
      </c>
    </row>
    <row r="4" spans="1:25" x14ac:dyDescent="0.25">
      <c r="A4" t="s">
        <v>10</v>
      </c>
      <c r="B4">
        <v>5100</v>
      </c>
      <c r="C4">
        <v>15</v>
      </c>
      <c r="D4">
        <v>3</v>
      </c>
      <c r="E4">
        <v>4300</v>
      </c>
      <c r="F4">
        <v>58</v>
      </c>
      <c r="G4" t="b">
        <v>0</v>
      </c>
      <c r="H4">
        <v>1</v>
      </c>
    </row>
    <row r="5" spans="1:25" x14ac:dyDescent="0.25">
      <c r="A5" t="s">
        <v>11</v>
      </c>
      <c r="B5">
        <v>2000</v>
      </c>
      <c r="C5">
        <v>15</v>
      </c>
      <c r="D5">
        <v>3</v>
      </c>
      <c r="E5">
        <v>1700</v>
      </c>
      <c r="F5">
        <v>100</v>
      </c>
      <c r="G5" t="b">
        <v>0</v>
      </c>
      <c r="H5">
        <v>100</v>
      </c>
    </row>
    <row r="6" spans="1:25" x14ac:dyDescent="0.25">
      <c r="A6" t="s">
        <v>12</v>
      </c>
      <c r="B6">
        <v>1400</v>
      </c>
      <c r="C6">
        <v>14</v>
      </c>
      <c r="D6">
        <v>3</v>
      </c>
      <c r="E6">
        <v>1200</v>
      </c>
      <c r="F6">
        <v>250</v>
      </c>
      <c r="G6" t="b">
        <v>0</v>
      </c>
      <c r="H6">
        <v>250</v>
      </c>
    </row>
    <row r="7" spans="1:25" x14ac:dyDescent="0.25">
      <c r="A7" t="s">
        <v>13</v>
      </c>
      <c r="B7">
        <v>3500</v>
      </c>
      <c r="C7">
        <v>17</v>
      </c>
      <c r="D7">
        <v>3</v>
      </c>
      <c r="E7">
        <v>2900</v>
      </c>
      <c r="F7">
        <v>1000</v>
      </c>
      <c r="G7" t="b">
        <v>0</v>
      </c>
      <c r="H7">
        <v>1</v>
      </c>
    </row>
    <row r="8" spans="1:25" x14ac:dyDescent="0.25">
      <c r="A8" t="s">
        <v>14</v>
      </c>
      <c r="B8">
        <v>7500</v>
      </c>
      <c r="C8">
        <v>16</v>
      </c>
      <c r="D8">
        <v>3</v>
      </c>
      <c r="E8">
        <v>6300</v>
      </c>
      <c r="F8">
        <v>200</v>
      </c>
      <c r="G8" t="b">
        <v>0</v>
      </c>
      <c r="H8">
        <v>200</v>
      </c>
    </row>
    <row r="9" spans="1:25" x14ac:dyDescent="0.25">
      <c r="A9" t="s">
        <v>15</v>
      </c>
      <c r="B9">
        <v>5800</v>
      </c>
      <c r="C9">
        <v>15</v>
      </c>
      <c r="D9">
        <v>3</v>
      </c>
      <c r="E9">
        <v>4900</v>
      </c>
      <c r="F9">
        <v>58</v>
      </c>
      <c r="G9" t="b">
        <v>0</v>
      </c>
      <c r="H9">
        <v>1</v>
      </c>
    </row>
    <row r="10" spans="1:25" x14ac:dyDescent="0.25">
      <c r="A10" t="s">
        <v>16</v>
      </c>
      <c r="B10">
        <v>2300</v>
      </c>
      <c r="C10">
        <v>17</v>
      </c>
      <c r="D10">
        <v>3</v>
      </c>
      <c r="E10">
        <v>1900</v>
      </c>
      <c r="F10">
        <v>250</v>
      </c>
      <c r="G10" t="b">
        <v>0</v>
      </c>
      <c r="H10">
        <v>250</v>
      </c>
    </row>
    <row r="11" spans="1:25" x14ac:dyDescent="0.25">
      <c r="A11" t="s">
        <v>17</v>
      </c>
      <c r="B11">
        <v>1900</v>
      </c>
      <c r="C11">
        <v>15</v>
      </c>
      <c r="D11">
        <v>3</v>
      </c>
      <c r="E11">
        <v>1600</v>
      </c>
      <c r="F11">
        <v>100</v>
      </c>
      <c r="G11" t="b">
        <v>0</v>
      </c>
      <c r="H11">
        <v>100</v>
      </c>
    </row>
    <row r="12" spans="1:25" x14ac:dyDescent="0.25">
      <c r="A12" t="s">
        <v>18</v>
      </c>
      <c r="B12">
        <v>2900</v>
      </c>
      <c r="C12">
        <v>17</v>
      </c>
      <c r="D12">
        <v>3</v>
      </c>
      <c r="E12">
        <v>2400</v>
      </c>
      <c r="F12">
        <v>348</v>
      </c>
      <c r="G12" t="b">
        <v>0</v>
      </c>
      <c r="H12">
        <v>6</v>
      </c>
    </row>
    <row r="13" spans="1:25" x14ac:dyDescent="0.25">
      <c r="A13" t="s">
        <v>19</v>
      </c>
      <c r="B13">
        <v>1100</v>
      </c>
      <c r="C13">
        <v>18</v>
      </c>
      <c r="D13">
        <v>3</v>
      </c>
      <c r="E13">
        <v>900</v>
      </c>
      <c r="F13">
        <v>100</v>
      </c>
      <c r="G13" t="b">
        <v>0</v>
      </c>
      <c r="H13">
        <v>100</v>
      </c>
    </row>
    <row r="14" spans="1:25" x14ac:dyDescent="0.25">
      <c r="A14" t="s">
        <v>20</v>
      </c>
      <c r="B14">
        <v>2600</v>
      </c>
      <c r="C14">
        <v>15</v>
      </c>
      <c r="D14">
        <v>3</v>
      </c>
      <c r="E14">
        <v>2200</v>
      </c>
      <c r="F14">
        <v>58</v>
      </c>
      <c r="G14" t="b">
        <v>0</v>
      </c>
      <c r="H14">
        <v>1</v>
      </c>
    </row>
    <row r="15" spans="1:25" x14ac:dyDescent="0.25">
      <c r="A15" t="s">
        <v>21</v>
      </c>
      <c r="B15">
        <v>1400</v>
      </c>
      <c r="C15">
        <v>14</v>
      </c>
      <c r="D15">
        <v>3</v>
      </c>
      <c r="E15">
        <v>1200</v>
      </c>
      <c r="F15">
        <v>200</v>
      </c>
      <c r="G15" t="b">
        <v>0</v>
      </c>
      <c r="H15">
        <v>200</v>
      </c>
    </row>
    <row r="16" spans="1:25" x14ac:dyDescent="0.25">
      <c r="A16" t="s">
        <v>22</v>
      </c>
      <c r="B16">
        <v>1900</v>
      </c>
      <c r="C16">
        <v>15</v>
      </c>
      <c r="D16">
        <v>3</v>
      </c>
      <c r="E16">
        <v>1600</v>
      </c>
      <c r="F16">
        <v>250</v>
      </c>
      <c r="G16" t="b">
        <v>0</v>
      </c>
      <c r="H16">
        <v>250</v>
      </c>
    </row>
    <row r="17" spans="1:8" x14ac:dyDescent="0.25">
      <c r="A17" t="s">
        <v>23</v>
      </c>
      <c r="B17">
        <v>4200</v>
      </c>
      <c r="C17">
        <v>16</v>
      </c>
      <c r="D17">
        <v>3</v>
      </c>
      <c r="E17">
        <v>3500</v>
      </c>
      <c r="F17">
        <v>58</v>
      </c>
      <c r="G17" t="b">
        <v>0</v>
      </c>
      <c r="H17">
        <v>1</v>
      </c>
    </row>
    <row r="18" spans="1:8" x14ac:dyDescent="0.25">
      <c r="A18" t="s">
        <v>24</v>
      </c>
      <c r="B18">
        <v>1500</v>
      </c>
      <c r="C18">
        <v>13</v>
      </c>
      <c r="D18">
        <v>3</v>
      </c>
      <c r="E18">
        <v>1300</v>
      </c>
      <c r="F18">
        <v>58</v>
      </c>
      <c r="G18" t="b">
        <v>0</v>
      </c>
      <c r="H18">
        <v>1</v>
      </c>
    </row>
    <row r="19" spans="1:8" x14ac:dyDescent="0.25">
      <c r="A19" t="s">
        <v>25</v>
      </c>
      <c r="B19">
        <v>3000</v>
      </c>
      <c r="C19">
        <v>16</v>
      </c>
      <c r="D19">
        <v>3</v>
      </c>
      <c r="E19">
        <v>2500</v>
      </c>
      <c r="F19">
        <v>250</v>
      </c>
      <c r="G19" t="b">
        <v>0</v>
      </c>
      <c r="H19">
        <v>250</v>
      </c>
    </row>
    <row r="20" spans="1:8" x14ac:dyDescent="0.25">
      <c r="A20" t="s">
        <v>26</v>
      </c>
      <c r="B20">
        <v>3600</v>
      </c>
      <c r="C20">
        <v>16</v>
      </c>
      <c r="D20">
        <v>3</v>
      </c>
      <c r="E20">
        <v>3000</v>
      </c>
      <c r="F20">
        <v>500</v>
      </c>
      <c r="G20" t="b">
        <v>0</v>
      </c>
      <c r="H20">
        <v>500</v>
      </c>
    </row>
    <row r="21" spans="1:8" x14ac:dyDescent="0.25">
      <c r="A21" t="s">
        <v>27</v>
      </c>
      <c r="B21">
        <v>3000</v>
      </c>
      <c r="C21">
        <v>16</v>
      </c>
      <c r="D21">
        <v>3</v>
      </c>
      <c r="E21">
        <v>2500</v>
      </c>
      <c r="F21">
        <v>348</v>
      </c>
      <c r="G21" t="b">
        <v>0</v>
      </c>
      <c r="H21">
        <v>6</v>
      </c>
    </row>
    <row r="22" spans="1:8" x14ac:dyDescent="0.25">
      <c r="A22" t="s">
        <v>8</v>
      </c>
      <c r="B22">
        <v>6800</v>
      </c>
      <c r="C22">
        <v>16</v>
      </c>
      <c r="D22">
        <v>3</v>
      </c>
      <c r="E22">
        <v>5700</v>
      </c>
      <c r="F22">
        <v>3000</v>
      </c>
      <c r="G22" t="b">
        <v>0</v>
      </c>
      <c r="H22">
        <v>3</v>
      </c>
    </row>
    <row r="23" spans="1:8" x14ac:dyDescent="0.25">
      <c r="A23" t="s">
        <v>13</v>
      </c>
      <c r="B23">
        <v>10000</v>
      </c>
      <c r="C23">
        <v>16</v>
      </c>
      <c r="D23">
        <v>3</v>
      </c>
      <c r="E23">
        <v>8400</v>
      </c>
      <c r="F23">
        <v>3000</v>
      </c>
      <c r="G23" t="b">
        <v>0</v>
      </c>
      <c r="H23">
        <v>3</v>
      </c>
    </row>
    <row r="24" spans="1:8" x14ac:dyDescent="0.25">
      <c r="A24" t="s">
        <v>28</v>
      </c>
      <c r="B24">
        <v>8200</v>
      </c>
      <c r="C24">
        <v>15</v>
      </c>
      <c r="D24">
        <v>3</v>
      </c>
      <c r="E24">
        <v>6900</v>
      </c>
      <c r="F24">
        <v>232</v>
      </c>
      <c r="G24" t="b">
        <v>0</v>
      </c>
      <c r="H24">
        <v>4</v>
      </c>
    </row>
    <row r="25" spans="1:8" x14ac:dyDescent="0.25">
      <c r="A25" t="s">
        <v>29</v>
      </c>
      <c r="B25">
        <v>1100</v>
      </c>
      <c r="C25">
        <v>18</v>
      </c>
      <c r="D25">
        <v>3</v>
      </c>
      <c r="E25">
        <v>900</v>
      </c>
      <c r="F25">
        <v>100</v>
      </c>
      <c r="G25" t="b">
        <v>0</v>
      </c>
      <c r="H25">
        <v>100</v>
      </c>
    </row>
    <row r="26" spans="1:8" x14ac:dyDescent="0.25">
      <c r="A26" t="s">
        <v>30</v>
      </c>
      <c r="B26">
        <v>3300</v>
      </c>
      <c r="C26">
        <v>15</v>
      </c>
      <c r="D26">
        <v>3</v>
      </c>
      <c r="E26">
        <v>2800</v>
      </c>
      <c r="F26">
        <v>250</v>
      </c>
      <c r="G26" t="b">
        <v>0</v>
      </c>
      <c r="H26">
        <v>250</v>
      </c>
    </row>
    <row r="27" spans="1:8" x14ac:dyDescent="0.25">
      <c r="A27" t="s">
        <v>31</v>
      </c>
      <c r="B27">
        <v>2600</v>
      </c>
      <c r="C27">
        <v>15</v>
      </c>
      <c r="D27">
        <v>3</v>
      </c>
      <c r="E27">
        <v>2200</v>
      </c>
      <c r="F27">
        <v>58</v>
      </c>
      <c r="G27" t="b">
        <v>0</v>
      </c>
      <c r="H27">
        <v>1</v>
      </c>
    </row>
    <row r="28" spans="1:8" x14ac:dyDescent="0.25">
      <c r="A28" t="s">
        <v>32</v>
      </c>
      <c r="B28">
        <v>5800</v>
      </c>
      <c r="C28">
        <v>15</v>
      </c>
      <c r="D28">
        <v>3</v>
      </c>
      <c r="E28">
        <v>4900</v>
      </c>
      <c r="F28">
        <v>348</v>
      </c>
      <c r="G28" t="b">
        <v>0</v>
      </c>
      <c r="H28">
        <v>6</v>
      </c>
    </row>
    <row r="29" spans="1:8" x14ac:dyDescent="0.25">
      <c r="A29" t="s">
        <v>33</v>
      </c>
      <c r="B29">
        <v>3600</v>
      </c>
      <c r="C29">
        <v>16</v>
      </c>
      <c r="D29">
        <v>3</v>
      </c>
      <c r="E29">
        <v>3000</v>
      </c>
      <c r="F29">
        <v>58</v>
      </c>
      <c r="G29" t="b">
        <v>0</v>
      </c>
      <c r="H29">
        <v>1</v>
      </c>
    </row>
    <row r="30" spans="1:8" x14ac:dyDescent="0.25">
      <c r="A30" t="s">
        <v>34</v>
      </c>
      <c r="B30">
        <v>1300</v>
      </c>
      <c r="C30">
        <v>15</v>
      </c>
      <c r="D30">
        <v>3</v>
      </c>
      <c r="E30">
        <v>1100</v>
      </c>
      <c r="F30">
        <v>50</v>
      </c>
      <c r="G30" t="b">
        <v>0</v>
      </c>
      <c r="H30">
        <v>50</v>
      </c>
    </row>
    <row r="31" spans="1:8" x14ac:dyDescent="0.25">
      <c r="A31" t="s">
        <v>35</v>
      </c>
      <c r="B31">
        <v>1900</v>
      </c>
      <c r="C31">
        <v>15</v>
      </c>
      <c r="D31">
        <v>3</v>
      </c>
      <c r="E31">
        <v>1600</v>
      </c>
      <c r="F31">
        <v>58</v>
      </c>
      <c r="G31" t="b">
        <v>0</v>
      </c>
      <c r="H31">
        <v>1</v>
      </c>
    </row>
    <row r="32" spans="1:8" x14ac:dyDescent="0.25">
      <c r="A32" t="s">
        <v>36</v>
      </c>
      <c r="B32">
        <v>2500</v>
      </c>
      <c r="C32">
        <v>16</v>
      </c>
      <c r="D32">
        <v>3</v>
      </c>
      <c r="E32">
        <v>2100</v>
      </c>
      <c r="F32">
        <v>250</v>
      </c>
      <c r="G32" t="b">
        <v>0</v>
      </c>
      <c r="H32">
        <v>250</v>
      </c>
    </row>
    <row r="33" spans="1:8" x14ac:dyDescent="0.25">
      <c r="A33" t="s">
        <v>37</v>
      </c>
      <c r="B33">
        <v>5400</v>
      </c>
      <c r="C33">
        <v>16</v>
      </c>
      <c r="D33">
        <v>3</v>
      </c>
      <c r="E33">
        <v>4500</v>
      </c>
      <c r="F33">
        <v>58</v>
      </c>
      <c r="G33" t="b">
        <v>0</v>
      </c>
      <c r="H33">
        <v>1</v>
      </c>
    </row>
    <row r="34" spans="1:8" x14ac:dyDescent="0.25">
      <c r="A34" t="s">
        <v>38</v>
      </c>
      <c r="B34">
        <v>14200</v>
      </c>
      <c r="C34">
        <v>16</v>
      </c>
      <c r="D34">
        <v>3</v>
      </c>
      <c r="E34">
        <v>11900</v>
      </c>
      <c r="F34">
        <v>232</v>
      </c>
      <c r="G34" t="b">
        <v>0</v>
      </c>
      <c r="H34">
        <v>4</v>
      </c>
    </row>
    <row r="35" spans="1:8" x14ac:dyDescent="0.25">
      <c r="A35" t="s">
        <v>39</v>
      </c>
      <c r="B35">
        <v>1800</v>
      </c>
      <c r="C35">
        <v>16</v>
      </c>
      <c r="D35">
        <v>3</v>
      </c>
      <c r="E35">
        <v>1500</v>
      </c>
      <c r="F35">
        <v>250</v>
      </c>
      <c r="G35" t="b">
        <v>0</v>
      </c>
      <c r="H35">
        <v>250</v>
      </c>
    </row>
    <row r="36" spans="1:8" x14ac:dyDescent="0.25">
      <c r="A36" t="s">
        <v>40</v>
      </c>
      <c r="B36">
        <v>1800</v>
      </c>
      <c r="C36">
        <v>16</v>
      </c>
      <c r="D36">
        <v>3</v>
      </c>
      <c r="E36">
        <v>1500</v>
      </c>
      <c r="F36">
        <v>250</v>
      </c>
      <c r="G36" t="b">
        <v>0</v>
      </c>
      <c r="H36">
        <v>250</v>
      </c>
    </row>
    <row r="37" spans="1:8" x14ac:dyDescent="0.25">
      <c r="A37" t="s">
        <v>41</v>
      </c>
      <c r="B37">
        <v>3600</v>
      </c>
      <c r="C37">
        <v>16</v>
      </c>
      <c r="D37">
        <v>3</v>
      </c>
      <c r="E37">
        <v>3000</v>
      </c>
      <c r="F37">
        <v>116</v>
      </c>
      <c r="G37" t="b">
        <v>0</v>
      </c>
      <c r="H37">
        <v>2</v>
      </c>
    </row>
    <row r="38" spans="1:8" x14ac:dyDescent="0.25">
      <c r="A38" t="s">
        <v>42</v>
      </c>
      <c r="B38">
        <v>1800</v>
      </c>
      <c r="C38">
        <v>16</v>
      </c>
      <c r="D38">
        <v>3</v>
      </c>
      <c r="E38">
        <v>1500</v>
      </c>
      <c r="F38">
        <v>250</v>
      </c>
      <c r="G38" t="b">
        <v>0</v>
      </c>
      <c r="H38">
        <v>250</v>
      </c>
    </row>
    <row r="39" spans="1:8" x14ac:dyDescent="0.25">
      <c r="A39" t="s">
        <v>43</v>
      </c>
      <c r="B39">
        <v>11800</v>
      </c>
      <c r="C39">
        <v>16</v>
      </c>
      <c r="D39">
        <v>3</v>
      </c>
      <c r="E39">
        <v>9900</v>
      </c>
      <c r="F39">
        <v>116</v>
      </c>
      <c r="G39" t="b">
        <v>0</v>
      </c>
      <c r="H39">
        <v>2</v>
      </c>
    </row>
    <row r="40" spans="1:8" x14ac:dyDescent="0.25">
      <c r="A40" t="s">
        <v>44</v>
      </c>
      <c r="B40">
        <v>10600</v>
      </c>
      <c r="C40">
        <v>16</v>
      </c>
      <c r="D40">
        <v>3</v>
      </c>
      <c r="E40">
        <v>8900</v>
      </c>
      <c r="F40">
        <v>116</v>
      </c>
      <c r="G40" t="b">
        <v>0</v>
      </c>
      <c r="H40">
        <v>2</v>
      </c>
    </row>
    <row r="41" spans="1:8" x14ac:dyDescent="0.25">
      <c r="A41" t="s">
        <v>45</v>
      </c>
      <c r="B41">
        <v>3000</v>
      </c>
      <c r="C41">
        <v>16</v>
      </c>
      <c r="D41">
        <v>3</v>
      </c>
      <c r="E41">
        <v>2500</v>
      </c>
      <c r="F41">
        <v>116</v>
      </c>
      <c r="G41" t="b">
        <v>0</v>
      </c>
      <c r="H41">
        <v>2</v>
      </c>
    </row>
    <row r="42" spans="1:8" x14ac:dyDescent="0.25">
      <c r="A42" t="s">
        <v>46</v>
      </c>
      <c r="B42">
        <v>1900</v>
      </c>
      <c r="C42">
        <v>15</v>
      </c>
      <c r="D42">
        <v>3</v>
      </c>
      <c r="E42">
        <v>1600</v>
      </c>
      <c r="F42">
        <v>500</v>
      </c>
      <c r="G42" t="b">
        <v>0</v>
      </c>
      <c r="H42">
        <v>500</v>
      </c>
    </row>
    <row r="43" spans="1:8" x14ac:dyDescent="0.25">
      <c r="A43" t="s">
        <v>47</v>
      </c>
      <c r="B43">
        <v>3200</v>
      </c>
      <c r="C43">
        <v>15</v>
      </c>
      <c r="D43">
        <v>3</v>
      </c>
      <c r="E43">
        <v>2700</v>
      </c>
      <c r="F43">
        <v>250</v>
      </c>
      <c r="G43" t="b">
        <v>0</v>
      </c>
      <c r="H43">
        <v>250</v>
      </c>
    </row>
    <row r="44" spans="1:8" x14ac:dyDescent="0.25">
      <c r="A44" t="s">
        <v>48</v>
      </c>
      <c r="B44">
        <v>5400</v>
      </c>
      <c r="C44">
        <v>16</v>
      </c>
      <c r="D44">
        <v>3</v>
      </c>
      <c r="E44">
        <v>4500</v>
      </c>
      <c r="F44">
        <v>232</v>
      </c>
      <c r="G44" t="b">
        <v>0</v>
      </c>
      <c r="H44">
        <v>4</v>
      </c>
    </row>
    <row r="45" spans="1:8" x14ac:dyDescent="0.25">
      <c r="A45" t="s">
        <v>49</v>
      </c>
      <c r="B45">
        <v>17700</v>
      </c>
      <c r="C45">
        <v>15</v>
      </c>
      <c r="D45">
        <v>3</v>
      </c>
      <c r="E45">
        <v>14900</v>
      </c>
      <c r="F45">
        <v>232</v>
      </c>
      <c r="G45" t="b">
        <v>0</v>
      </c>
      <c r="H45">
        <v>4</v>
      </c>
    </row>
    <row r="46" spans="1:8" x14ac:dyDescent="0.25">
      <c r="A46" t="s">
        <v>50</v>
      </c>
      <c r="B46">
        <v>3200</v>
      </c>
      <c r="C46">
        <v>15</v>
      </c>
      <c r="D46">
        <v>3</v>
      </c>
      <c r="E46">
        <v>2700</v>
      </c>
      <c r="F46">
        <v>250</v>
      </c>
      <c r="G46" t="b">
        <v>0</v>
      </c>
      <c r="H46">
        <v>250</v>
      </c>
    </row>
    <row r="47" spans="1:8" x14ac:dyDescent="0.25">
      <c r="A47" t="s">
        <v>51</v>
      </c>
      <c r="B47">
        <v>3000</v>
      </c>
      <c r="C47">
        <v>16</v>
      </c>
      <c r="D47">
        <v>3</v>
      </c>
      <c r="E47">
        <v>2500</v>
      </c>
      <c r="F47">
        <v>250</v>
      </c>
      <c r="G47" t="b">
        <v>0</v>
      </c>
      <c r="H47">
        <v>250</v>
      </c>
    </row>
    <row r="48" spans="1:8" x14ac:dyDescent="0.25">
      <c r="A48" t="s">
        <v>52</v>
      </c>
      <c r="B48">
        <v>18900</v>
      </c>
      <c r="C48">
        <v>15</v>
      </c>
      <c r="D48">
        <v>3</v>
      </c>
      <c r="E48">
        <v>15900</v>
      </c>
      <c r="F48">
        <v>232</v>
      </c>
      <c r="G48" t="b">
        <v>0</v>
      </c>
      <c r="H48">
        <v>4</v>
      </c>
    </row>
    <row r="49" spans="1:8" x14ac:dyDescent="0.25">
      <c r="A49" t="s">
        <v>53</v>
      </c>
      <c r="B49">
        <v>3000</v>
      </c>
      <c r="C49">
        <v>16</v>
      </c>
      <c r="D49">
        <v>3</v>
      </c>
      <c r="E49">
        <v>2500</v>
      </c>
      <c r="F49">
        <v>250</v>
      </c>
      <c r="G49" t="b">
        <v>0</v>
      </c>
      <c r="H49">
        <v>250</v>
      </c>
    </row>
    <row r="50" spans="1:8" x14ac:dyDescent="0.25">
      <c r="A50" t="s">
        <v>54</v>
      </c>
      <c r="B50">
        <v>2300</v>
      </c>
      <c r="C50">
        <v>17</v>
      </c>
      <c r="D50">
        <v>3</v>
      </c>
      <c r="E50">
        <v>1900</v>
      </c>
      <c r="F50">
        <v>100</v>
      </c>
      <c r="G50" t="b">
        <v>0</v>
      </c>
      <c r="H50">
        <v>100</v>
      </c>
    </row>
    <row r="51" spans="1:8" x14ac:dyDescent="0.25">
      <c r="A51" t="s">
        <v>55</v>
      </c>
      <c r="B51">
        <v>3500</v>
      </c>
      <c r="C51">
        <v>17</v>
      </c>
      <c r="D51">
        <v>3</v>
      </c>
      <c r="E51">
        <v>2900</v>
      </c>
      <c r="F51">
        <v>250</v>
      </c>
      <c r="G51" t="b">
        <v>0</v>
      </c>
      <c r="H51">
        <v>250</v>
      </c>
    </row>
    <row r="52" spans="1:8" x14ac:dyDescent="0.25">
      <c r="A52" t="s">
        <v>56</v>
      </c>
      <c r="B52">
        <v>3500</v>
      </c>
      <c r="C52">
        <v>17</v>
      </c>
      <c r="D52">
        <v>3</v>
      </c>
      <c r="E52">
        <v>2900</v>
      </c>
      <c r="F52">
        <v>200</v>
      </c>
      <c r="G52" t="b">
        <v>0</v>
      </c>
      <c r="H52">
        <v>200</v>
      </c>
    </row>
    <row r="53" spans="1:8" x14ac:dyDescent="0.25">
      <c r="A53" t="s">
        <v>57</v>
      </c>
      <c r="B53">
        <v>3500</v>
      </c>
      <c r="C53">
        <v>17</v>
      </c>
      <c r="D53">
        <v>3</v>
      </c>
      <c r="E53">
        <v>2900</v>
      </c>
      <c r="F53">
        <v>250</v>
      </c>
      <c r="G53" t="b">
        <v>0</v>
      </c>
      <c r="H53">
        <v>250</v>
      </c>
    </row>
    <row r="54" spans="1:8" x14ac:dyDescent="0.25">
      <c r="A54" t="s">
        <v>58</v>
      </c>
      <c r="B54">
        <v>4200</v>
      </c>
      <c r="C54">
        <v>16</v>
      </c>
      <c r="D54">
        <v>3</v>
      </c>
      <c r="E54">
        <v>3500</v>
      </c>
      <c r="F54">
        <v>250</v>
      </c>
      <c r="G54" t="b">
        <v>0</v>
      </c>
      <c r="H54">
        <v>250</v>
      </c>
    </row>
    <row r="55" spans="1:8" x14ac:dyDescent="0.25">
      <c r="A55" t="s">
        <v>59</v>
      </c>
      <c r="B55">
        <v>2000</v>
      </c>
      <c r="C55">
        <v>15</v>
      </c>
      <c r="D55">
        <v>6</v>
      </c>
      <c r="E55">
        <v>1700</v>
      </c>
      <c r="F55">
        <v>500</v>
      </c>
      <c r="G55" t="b">
        <v>0</v>
      </c>
      <c r="H55">
        <v>500</v>
      </c>
    </row>
    <row r="56" spans="1:8" x14ac:dyDescent="0.25">
      <c r="A56" t="s">
        <v>60</v>
      </c>
      <c r="B56">
        <v>2900</v>
      </c>
      <c r="C56">
        <v>17</v>
      </c>
      <c r="D56">
        <v>6</v>
      </c>
      <c r="E56">
        <v>2400</v>
      </c>
      <c r="F56">
        <v>500</v>
      </c>
      <c r="G56" t="b">
        <v>0</v>
      </c>
      <c r="H56">
        <v>500</v>
      </c>
    </row>
    <row r="57" spans="1:8" x14ac:dyDescent="0.25">
      <c r="A57" t="s">
        <v>61</v>
      </c>
      <c r="B57">
        <v>3500</v>
      </c>
      <c r="C57">
        <v>17</v>
      </c>
      <c r="D57">
        <v>3</v>
      </c>
      <c r="E57">
        <v>2900</v>
      </c>
      <c r="F57">
        <v>200</v>
      </c>
      <c r="G57" t="b">
        <v>0</v>
      </c>
      <c r="H57">
        <v>200</v>
      </c>
    </row>
    <row r="58" spans="1:8" x14ac:dyDescent="0.25">
      <c r="A58" t="s">
        <v>62</v>
      </c>
      <c r="B58">
        <v>3800</v>
      </c>
      <c r="C58">
        <v>15</v>
      </c>
      <c r="D58">
        <v>3</v>
      </c>
      <c r="E58">
        <v>3200</v>
      </c>
      <c r="F58">
        <v>500</v>
      </c>
      <c r="G58" t="b">
        <v>0</v>
      </c>
      <c r="H58">
        <v>500</v>
      </c>
    </row>
    <row r="59" spans="1:8" x14ac:dyDescent="0.25">
      <c r="A59" t="s">
        <v>63</v>
      </c>
      <c r="B59">
        <v>8900</v>
      </c>
      <c r="C59">
        <v>15</v>
      </c>
      <c r="D59">
        <v>3</v>
      </c>
      <c r="E59">
        <v>7500</v>
      </c>
      <c r="F59">
        <v>200</v>
      </c>
      <c r="G59" t="b">
        <v>0</v>
      </c>
      <c r="H59">
        <v>200</v>
      </c>
    </row>
    <row r="60" spans="1:8" x14ac:dyDescent="0.25">
      <c r="A60" t="s">
        <v>64</v>
      </c>
      <c r="B60">
        <v>5400</v>
      </c>
      <c r="C60">
        <v>16</v>
      </c>
      <c r="D60">
        <v>3</v>
      </c>
      <c r="E60">
        <v>4500</v>
      </c>
      <c r="F60">
        <v>116</v>
      </c>
      <c r="G60" t="b">
        <v>0</v>
      </c>
      <c r="H60">
        <v>2</v>
      </c>
    </row>
    <row r="61" spans="1:8" x14ac:dyDescent="0.25">
      <c r="A61" t="s">
        <v>65</v>
      </c>
      <c r="B61">
        <v>7000</v>
      </c>
      <c r="C61">
        <v>15</v>
      </c>
      <c r="D61">
        <v>3</v>
      </c>
      <c r="E61">
        <v>5900</v>
      </c>
      <c r="F61">
        <v>58</v>
      </c>
      <c r="G61" t="b">
        <v>0</v>
      </c>
      <c r="H61">
        <v>1</v>
      </c>
    </row>
    <row r="62" spans="1:8" x14ac:dyDescent="0.25">
      <c r="A62" t="s">
        <v>66</v>
      </c>
      <c r="B62">
        <v>4200</v>
      </c>
      <c r="C62">
        <v>16</v>
      </c>
      <c r="D62">
        <v>3</v>
      </c>
      <c r="E62">
        <v>3500</v>
      </c>
      <c r="F62">
        <v>250</v>
      </c>
      <c r="G62" t="b">
        <v>0</v>
      </c>
      <c r="H62">
        <v>500</v>
      </c>
    </row>
    <row r="63" spans="1:8" x14ac:dyDescent="0.25">
      <c r="A63" t="s">
        <v>67</v>
      </c>
      <c r="B63">
        <v>14200</v>
      </c>
      <c r="C63">
        <v>16</v>
      </c>
      <c r="D63">
        <v>6</v>
      </c>
      <c r="E63">
        <v>11900</v>
      </c>
      <c r="F63">
        <v>232</v>
      </c>
      <c r="G63" t="b">
        <v>0</v>
      </c>
      <c r="H63">
        <v>4</v>
      </c>
    </row>
    <row r="64" spans="1:8" x14ac:dyDescent="0.25">
      <c r="A64" t="s">
        <v>68</v>
      </c>
      <c r="B64">
        <v>9400</v>
      </c>
      <c r="C64">
        <v>15</v>
      </c>
      <c r="D64">
        <v>3</v>
      </c>
      <c r="E64">
        <v>7900</v>
      </c>
      <c r="F64">
        <v>58</v>
      </c>
      <c r="G64" t="b">
        <v>0</v>
      </c>
      <c r="H64">
        <v>1</v>
      </c>
    </row>
    <row r="65" spans="1:8" x14ac:dyDescent="0.25">
      <c r="A65" t="s">
        <v>69</v>
      </c>
      <c r="B65">
        <v>2000</v>
      </c>
      <c r="C65">
        <v>15</v>
      </c>
      <c r="D65">
        <v>3</v>
      </c>
      <c r="E65">
        <v>1700</v>
      </c>
      <c r="F65">
        <v>100</v>
      </c>
      <c r="G65" t="b">
        <v>0</v>
      </c>
      <c r="H65">
        <v>100</v>
      </c>
    </row>
    <row r="66" spans="1:8" x14ac:dyDescent="0.25">
      <c r="A66" t="s">
        <v>70</v>
      </c>
      <c r="B66">
        <v>1700</v>
      </c>
      <c r="C66">
        <v>17</v>
      </c>
      <c r="D66">
        <v>3</v>
      </c>
      <c r="E66">
        <v>1400</v>
      </c>
      <c r="F66">
        <v>100</v>
      </c>
      <c r="G66" t="b">
        <v>0</v>
      </c>
      <c r="H66">
        <v>100</v>
      </c>
    </row>
    <row r="67" spans="1:8" x14ac:dyDescent="0.25">
      <c r="A67" t="s">
        <v>71</v>
      </c>
      <c r="B67">
        <v>3000</v>
      </c>
      <c r="C67">
        <v>16</v>
      </c>
      <c r="D67">
        <v>3</v>
      </c>
      <c r="E67">
        <v>2500</v>
      </c>
      <c r="F67">
        <v>500</v>
      </c>
      <c r="G67" t="b">
        <v>0</v>
      </c>
      <c r="H67">
        <v>500</v>
      </c>
    </row>
    <row r="68" spans="1:8" x14ac:dyDescent="0.25">
      <c r="A68" t="s">
        <v>72</v>
      </c>
      <c r="B68">
        <v>4600</v>
      </c>
      <c r="C68">
        <v>15</v>
      </c>
      <c r="D68">
        <v>3</v>
      </c>
      <c r="E68">
        <v>3900</v>
      </c>
      <c r="F68">
        <v>200</v>
      </c>
      <c r="G68" t="b">
        <v>0</v>
      </c>
      <c r="H68">
        <v>200</v>
      </c>
    </row>
    <row r="69" spans="1:8" x14ac:dyDescent="0.25">
      <c r="A69" t="s">
        <v>73</v>
      </c>
      <c r="B69">
        <v>5800</v>
      </c>
      <c r="C69">
        <v>15</v>
      </c>
      <c r="D69">
        <v>2</v>
      </c>
      <c r="E69">
        <v>4900</v>
      </c>
      <c r="F69">
        <v>100</v>
      </c>
      <c r="G69" t="b">
        <v>0</v>
      </c>
      <c r="H69">
        <v>100</v>
      </c>
    </row>
    <row r="70" spans="1:8" x14ac:dyDescent="0.25">
      <c r="A70" t="s">
        <v>74</v>
      </c>
      <c r="B70">
        <v>8200</v>
      </c>
      <c r="C70">
        <v>15</v>
      </c>
      <c r="D70">
        <v>3</v>
      </c>
      <c r="E70">
        <v>6900</v>
      </c>
      <c r="F70">
        <v>116</v>
      </c>
      <c r="G70" t="b">
        <v>0</v>
      </c>
      <c r="H70">
        <v>2</v>
      </c>
    </row>
    <row r="71" spans="1:8" x14ac:dyDescent="0.25">
      <c r="A71" t="s">
        <v>75</v>
      </c>
      <c r="B71">
        <v>7000</v>
      </c>
      <c r="C71">
        <v>15</v>
      </c>
      <c r="D71">
        <v>3</v>
      </c>
      <c r="E71">
        <v>5900</v>
      </c>
      <c r="F71">
        <v>116</v>
      </c>
      <c r="G71" t="b">
        <v>0</v>
      </c>
      <c r="H71">
        <v>2</v>
      </c>
    </row>
    <row r="72" spans="1:8" x14ac:dyDescent="0.25">
      <c r="A72" t="s">
        <v>76</v>
      </c>
      <c r="B72">
        <v>2000</v>
      </c>
      <c r="C72">
        <v>15</v>
      </c>
      <c r="D72">
        <v>3</v>
      </c>
      <c r="E72">
        <v>1700</v>
      </c>
      <c r="F72">
        <v>100</v>
      </c>
      <c r="G72" t="b">
        <v>0</v>
      </c>
      <c r="H72">
        <v>100</v>
      </c>
    </row>
    <row r="73" spans="1:8" x14ac:dyDescent="0.25">
      <c r="A73" t="s">
        <v>77</v>
      </c>
      <c r="B73">
        <v>6000</v>
      </c>
      <c r="C73">
        <v>16</v>
      </c>
      <c r="D73">
        <v>3</v>
      </c>
      <c r="E73">
        <v>5000</v>
      </c>
      <c r="F73">
        <v>500</v>
      </c>
      <c r="G73" t="b">
        <v>0</v>
      </c>
      <c r="H73">
        <v>500</v>
      </c>
    </row>
    <row r="74" spans="1:8" x14ac:dyDescent="0.25">
      <c r="A74" t="s">
        <v>78</v>
      </c>
      <c r="B74">
        <v>5800</v>
      </c>
      <c r="C74">
        <v>15</v>
      </c>
      <c r="D74">
        <v>3</v>
      </c>
      <c r="E74">
        <v>4900</v>
      </c>
      <c r="F74">
        <v>250</v>
      </c>
      <c r="G74" t="b">
        <v>0</v>
      </c>
      <c r="H74">
        <v>250</v>
      </c>
    </row>
    <row r="75" spans="1:8" x14ac:dyDescent="0.25">
      <c r="A75" t="s">
        <v>79</v>
      </c>
      <c r="B75">
        <v>5400</v>
      </c>
      <c r="C75">
        <v>16</v>
      </c>
      <c r="D75">
        <v>6</v>
      </c>
      <c r="E75">
        <v>4500</v>
      </c>
      <c r="F75">
        <v>500</v>
      </c>
      <c r="G75" t="b">
        <v>0</v>
      </c>
      <c r="H75">
        <v>500</v>
      </c>
    </row>
    <row r="76" spans="1:8" x14ac:dyDescent="0.25">
      <c r="A76" t="s">
        <v>80</v>
      </c>
      <c r="B76">
        <v>3000</v>
      </c>
      <c r="C76">
        <v>16</v>
      </c>
      <c r="D76">
        <v>3</v>
      </c>
      <c r="E76">
        <v>2500</v>
      </c>
      <c r="F76">
        <v>200</v>
      </c>
      <c r="G76" t="b">
        <v>0</v>
      </c>
      <c r="H76">
        <v>200</v>
      </c>
    </row>
    <row r="77" spans="1:8" x14ac:dyDescent="0.25">
      <c r="A77" t="s">
        <v>81</v>
      </c>
      <c r="B77">
        <v>5400</v>
      </c>
      <c r="C77">
        <v>16</v>
      </c>
      <c r="D77">
        <v>6</v>
      </c>
      <c r="E77">
        <v>4500</v>
      </c>
      <c r="F77">
        <v>500</v>
      </c>
      <c r="G77" t="b">
        <v>0</v>
      </c>
      <c r="H77">
        <v>500</v>
      </c>
    </row>
    <row r="78" spans="1:8" x14ac:dyDescent="0.25">
      <c r="A78" t="s">
        <v>82</v>
      </c>
      <c r="B78">
        <v>2300</v>
      </c>
      <c r="C78">
        <v>17</v>
      </c>
      <c r="D78">
        <v>6</v>
      </c>
      <c r="E78">
        <v>1900</v>
      </c>
      <c r="F78">
        <v>500</v>
      </c>
      <c r="G78" t="b">
        <v>0</v>
      </c>
      <c r="H78">
        <v>500</v>
      </c>
    </row>
    <row r="79" spans="1:8" x14ac:dyDescent="0.25">
      <c r="A79" t="s">
        <v>83</v>
      </c>
      <c r="B79">
        <v>17700</v>
      </c>
      <c r="C79">
        <v>15</v>
      </c>
      <c r="D79">
        <v>3</v>
      </c>
      <c r="E79">
        <v>14900</v>
      </c>
      <c r="F79">
        <v>58</v>
      </c>
      <c r="G79" t="b">
        <v>0</v>
      </c>
      <c r="H79">
        <v>1</v>
      </c>
    </row>
    <row r="80" spans="1:8" x14ac:dyDescent="0.25">
      <c r="A80" t="s">
        <v>84</v>
      </c>
      <c r="B80">
        <v>1200</v>
      </c>
      <c r="C80">
        <v>16</v>
      </c>
      <c r="D80">
        <v>2</v>
      </c>
      <c r="E80">
        <v>1000</v>
      </c>
      <c r="F80">
        <v>58</v>
      </c>
      <c r="G80" t="b">
        <v>0</v>
      </c>
      <c r="H80">
        <v>1</v>
      </c>
    </row>
    <row r="81" spans="1:8" x14ac:dyDescent="0.25">
      <c r="A81" t="s">
        <v>85</v>
      </c>
      <c r="B81">
        <v>2500</v>
      </c>
      <c r="C81">
        <v>16</v>
      </c>
      <c r="D81">
        <v>2</v>
      </c>
      <c r="E81">
        <v>2100</v>
      </c>
      <c r="F81">
        <v>300</v>
      </c>
      <c r="G81" t="b">
        <v>0</v>
      </c>
      <c r="H81">
        <v>300</v>
      </c>
    </row>
    <row r="82" spans="1:8" x14ac:dyDescent="0.25">
      <c r="A82" t="s">
        <v>86</v>
      </c>
      <c r="B82">
        <v>2000</v>
      </c>
      <c r="C82">
        <v>15</v>
      </c>
      <c r="D82">
        <v>3</v>
      </c>
      <c r="E82">
        <v>1700</v>
      </c>
      <c r="F82">
        <v>250</v>
      </c>
      <c r="G82" t="b">
        <v>0</v>
      </c>
      <c r="H82">
        <v>250</v>
      </c>
    </row>
    <row r="83" spans="1:8" x14ac:dyDescent="0.25">
      <c r="A83" t="s">
        <v>87</v>
      </c>
      <c r="B83">
        <v>11000</v>
      </c>
      <c r="C83">
        <v>4</v>
      </c>
      <c r="D83">
        <v>2</v>
      </c>
      <c r="E83">
        <v>10500</v>
      </c>
      <c r="F83">
        <v>1000</v>
      </c>
      <c r="G83" t="b">
        <v>0</v>
      </c>
      <c r="H83">
        <v>1</v>
      </c>
    </row>
    <row r="84" spans="1:8" x14ac:dyDescent="0.25">
      <c r="A84" t="s">
        <v>88</v>
      </c>
      <c r="B84">
        <v>3700</v>
      </c>
      <c r="C84">
        <v>16</v>
      </c>
      <c r="D84">
        <v>3</v>
      </c>
      <c r="E84">
        <v>3100</v>
      </c>
      <c r="F84">
        <v>250</v>
      </c>
      <c r="G84" t="b">
        <v>0</v>
      </c>
      <c r="H84">
        <v>250</v>
      </c>
    </row>
    <row r="85" spans="1:8" x14ac:dyDescent="0.25">
      <c r="A85" t="s">
        <v>89</v>
      </c>
      <c r="B85">
        <v>1600</v>
      </c>
      <c r="C85">
        <v>18</v>
      </c>
      <c r="D85">
        <v>3</v>
      </c>
      <c r="E85">
        <v>1300</v>
      </c>
      <c r="F85">
        <v>500</v>
      </c>
      <c r="G85" t="b">
        <v>0</v>
      </c>
      <c r="H85">
        <v>500</v>
      </c>
    </row>
    <row r="86" spans="1:8" x14ac:dyDescent="0.25">
      <c r="A86" t="s">
        <v>90</v>
      </c>
      <c r="B86">
        <v>2600</v>
      </c>
      <c r="C86">
        <v>19</v>
      </c>
      <c r="D86">
        <v>3</v>
      </c>
      <c r="E86">
        <v>2100</v>
      </c>
      <c r="F86">
        <v>500</v>
      </c>
      <c r="G86" t="b">
        <v>0</v>
      </c>
      <c r="H86">
        <v>500</v>
      </c>
    </row>
    <row r="87" spans="1:8" x14ac:dyDescent="0.25">
      <c r="A87" t="s">
        <v>91</v>
      </c>
      <c r="B87">
        <v>1900</v>
      </c>
      <c r="C87">
        <v>21</v>
      </c>
      <c r="D87">
        <v>3</v>
      </c>
      <c r="E87">
        <v>1500</v>
      </c>
      <c r="F87">
        <v>500</v>
      </c>
      <c r="G87" t="b">
        <v>0</v>
      </c>
      <c r="H87">
        <v>500</v>
      </c>
    </row>
    <row r="88" spans="1:8" x14ac:dyDescent="0.25">
      <c r="A88" t="s">
        <v>92</v>
      </c>
      <c r="B88">
        <v>1700</v>
      </c>
      <c r="C88">
        <v>23</v>
      </c>
      <c r="D88">
        <v>3</v>
      </c>
      <c r="E88">
        <v>1300</v>
      </c>
      <c r="F88">
        <v>200</v>
      </c>
      <c r="G88" t="b">
        <v>0</v>
      </c>
      <c r="H88">
        <v>200</v>
      </c>
    </row>
    <row r="89" spans="1:8" x14ac:dyDescent="0.25">
      <c r="A89" t="s">
        <v>91</v>
      </c>
      <c r="B89">
        <v>1300</v>
      </c>
      <c r="C89">
        <v>15</v>
      </c>
      <c r="D89">
        <v>0</v>
      </c>
      <c r="E89">
        <v>1100</v>
      </c>
      <c r="F89">
        <v>250</v>
      </c>
      <c r="G89" t="b">
        <v>1</v>
      </c>
      <c r="H89">
        <v>200</v>
      </c>
    </row>
    <row r="90" spans="1:8" x14ac:dyDescent="0.25">
      <c r="A90" t="s">
        <v>89</v>
      </c>
      <c r="B90">
        <v>1100</v>
      </c>
      <c r="C90">
        <v>18</v>
      </c>
      <c r="D90">
        <v>0</v>
      </c>
      <c r="E90">
        <v>900</v>
      </c>
      <c r="F90">
        <v>250</v>
      </c>
      <c r="G90" t="b">
        <v>1</v>
      </c>
      <c r="H90">
        <v>250</v>
      </c>
    </row>
    <row r="91" spans="1:8" x14ac:dyDescent="0.25">
      <c r="A91" t="s">
        <v>93</v>
      </c>
      <c r="B91">
        <v>3500</v>
      </c>
      <c r="C91">
        <v>17</v>
      </c>
      <c r="D91">
        <v>0</v>
      </c>
      <c r="E91">
        <v>2900</v>
      </c>
      <c r="F91">
        <v>200</v>
      </c>
      <c r="G91" t="b">
        <v>1</v>
      </c>
      <c r="H91">
        <v>200</v>
      </c>
    </row>
    <row r="92" spans="1:8" x14ac:dyDescent="0.25">
      <c r="A92" t="s">
        <v>94</v>
      </c>
      <c r="B92">
        <v>6000</v>
      </c>
      <c r="C92">
        <v>5</v>
      </c>
      <c r="D92">
        <v>0</v>
      </c>
      <c r="E92">
        <v>5700</v>
      </c>
      <c r="F92">
        <v>500</v>
      </c>
      <c r="G92" t="b">
        <v>1</v>
      </c>
      <c r="H92">
        <v>500</v>
      </c>
    </row>
    <row r="93" spans="1:8" x14ac:dyDescent="0.25">
      <c r="A93" t="s">
        <v>95</v>
      </c>
      <c r="B93">
        <v>4100</v>
      </c>
      <c r="C93">
        <v>4</v>
      </c>
      <c r="D93">
        <v>0</v>
      </c>
      <c r="E93">
        <v>3900</v>
      </c>
      <c r="F93">
        <v>200</v>
      </c>
      <c r="G93" t="b">
        <v>1</v>
      </c>
      <c r="H93">
        <v>200</v>
      </c>
    </row>
    <row r="94" spans="1:8" x14ac:dyDescent="0.25">
      <c r="A94" t="s">
        <v>96</v>
      </c>
      <c r="B94">
        <v>16000</v>
      </c>
      <c r="C94">
        <v>5</v>
      </c>
      <c r="D94">
        <v>0</v>
      </c>
      <c r="E94">
        <v>15200</v>
      </c>
      <c r="F94">
        <v>1000</v>
      </c>
      <c r="G94" t="b">
        <v>1</v>
      </c>
      <c r="H94">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H130"/>
  <sheetViews>
    <sheetView topLeftCell="A103"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575</v>
      </c>
      <c r="B2">
        <v>2500</v>
      </c>
      <c r="C2">
        <v>0</v>
      </c>
      <c r="D2">
        <v>4</v>
      </c>
      <c r="E2">
        <v>2500</v>
      </c>
      <c r="F2">
        <v>500</v>
      </c>
      <c r="G2" t="b">
        <v>0</v>
      </c>
      <c r="H2">
        <v>500</v>
      </c>
    </row>
    <row r="3" spans="1:8" x14ac:dyDescent="0.25">
      <c r="A3" t="s">
        <v>576</v>
      </c>
      <c r="B3">
        <v>3000</v>
      </c>
      <c r="C3">
        <v>3</v>
      </c>
      <c r="D3">
        <v>6</v>
      </c>
      <c r="E3">
        <v>2900</v>
      </c>
      <c r="F3">
        <v>400</v>
      </c>
      <c r="G3" t="b">
        <v>0</v>
      </c>
      <c r="H3">
        <v>400</v>
      </c>
    </row>
    <row r="4" spans="1:8" x14ac:dyDescent="0.25">
      <c r="A4" t="s">
        <v>577</v>
      </c>
      <c r="B4">
        <v>3100</v>
      </c>
      <c r="C4">
        <v>0</v>
      </c>
      <c r="D4">
        <v>4</v>
      </c>
      <c r="E4">
        <v>3100</v>
      </c>
      <c r="F4">
        <v>500</v>
      </c>
      <c r="G4" t="b">
        <v>0</v>
      </c>
      <c r="H4">
        <v>500</v>
      </c>
    </row>
    <row r="5" spans="1:8" x14ac:dyDescent="0.25">
      <c r="A5" t="s">
        <v>578</v>
      </c>
      <c r="B5">
        <v>5000</v>
      </c>
      <c r="C5">
        <v>2</v>
      </c>
      <c r="D5">
        <v>6</v>
      </c>
      <c r="E5">
        <v>4900</v>
      </c>
      <c r="F5">
        <v>100</v>
      </c>
      <c r="G5" t="b">
        <v>0</v>
      </c>
      <c r="H5">
        <v>100</v>
      </c>
    </row>
    <row r="6" spans="1:8" x14ac:dyDescent="0.25">
      <c r="A6" t="s">
        <v>579</v>
      </c>
      <c r="B6">
        <v>3300</v>
      </c>
      <c r="C6">
        <v>0</v>
      </c>
      <c r="D6">
        <v>4</v>
      </c>
      <c r="E6">
        <v>3300</v>
      </c>
      <c r="F6">
        <v>350</v>
      </c>
      <c r="G6" t="b">
        <v>0</v>
      </c>
      <c r="H6">
        <v>350</v>
      </c>
    </row>
    <row r="7" spans="1:8" x14ac:dyDescent="0.25">
      <c r="A7" t="s">
        <v>580</v>
      </c>
      <c r="B7">
        <v>3500</v>
      </c>
      <c r="C7">
        <v>2</v>
      </c>
      <c r="D7">
        <v>6</v>
      </c>
      <c r="E7">
        <v>3400</v>
      </c>
      <c r="F7">
        <v>400</v>
      </c>
      <c r="G7" t="b">
        <v>0</v>
      </c>
      <c r="H7">
        <v>400</v>
      </c>
    </row>
    <row r="8" spans="1:8" x14ac:dyDescent="0.25">
      <c r="A8" t="s">
        <v>98</v>
      </c>
      <c r="B8">
        <v>8000</v>
      </c>
      <c r="C8">
        <v>15</v>
      </c>
      <c r="D8">
        <v>6</v>
      </c>
      <c r="E8">
        <v>6800</v>
      </c>
      <c r="F8">
        <v>1000</v>
      </c>
      <c r="G8" t="b">
        <v>0</v>
      </c>
      <c r="H8">
        <v>1</v>
      </c>
    </row>
    <row r="9" spans="1:8" x14ac:dyDescent="0.25">
      <c r="A9" t="s">
        <v>581</v>
      </c>
      <c r="B9">
        <v>4500</v>
      </c>
      <c r="C9">
        <v>0</v>
      </c>
      <c r="D9">
        <v>4</v>
      </c>
      <c r="E9">
        <v>4500</v>
      </c>
      <c r="F9">
        <v>450</v>
      </c>
      <c r="G9" t="b">
        <v>0</v>
      </c>
      <c r="H9">
        <v>450</v>
      </c>
    </row>
    <row r="10" spans="1:8" x14ac:dyDescent="0.25">
      <c r="A10" t="s">
        <v>582</v>
      </c>
      <c r="B10">
        <v>4000</v>
      </c>
      <c r="C10">
        <v>0</v>
      </c>
      <c r="D10">
        <v>4</v>
      </c>
      <c r="E10">
        <v>4000</v>
      </c>
      <c r="F10">
        <v>450</v>
      </c>
      <c r="G10" t="b">
        <v>0</v>
      </c>
      <c r="H10">
        <v>450</v>
      </c>
    </row>
    <row r="11" spans="1:8" x14ac:dyDescent="0.25">
      <c r="A11" t="s">
        <v>583</v>
      </c>
      <c r="B11">
        <v>8900</v>
      </c>
      <c r="C11">
        <v>8</v>
      </c>
      <c r="D11">
        <v>6</v>
      </c>
      <c r="E11">
        <v>8100</v>
      </c>
      <c r="F11">
        <v>200</v>
      </c>
      <c r="G11" t="b">
        <v>0</v>
      </c>
      <c r="H11">
        <v>200</v>
      </c>
    </row>
    <row r="12" spans="1:8" x14ac:dyDescent="0.25">
      <c r="A12" t="s">
        <v>584</v>
      </c>
      <c r="B12">
        <v>10600</v>
      </c>
      <c r="C12">
        <v>4</v>
      </c>
      <c r="D12">
        <v>6</v>
      </c>
      <c r="E12">
        <v>10100</v>
      </c>
      <c r="F12">
        <v>200</v>
      </c>
      <c r="G12" t="b">
        <v>0</v>
      </c>
      <c r="H12">
        <v>200</v>
      </c>
    </row>
    <row r="13" spans="1:8" x14ac:dyDescent="0.25">
      <c r="A13" t="s">
        <v>585</v>
      </c>
      <c r="B13">
        <v>2200</v>
      </c>
      <c r="C13">
        <v>0</v>
      </c>
      <c r="D13">
        <v>4</v>
      </c>
      <c r="E13">
        <v>2200</v>
      </c>
      <c r="F13">
        <v>250</v>
      </c>
      <c r="G13" t="b">
        <v>0</v>
      </c>
      <c r="H13">
        <v>250</v>
      </c>
    </row>
    <row r="14" spans="1:8" x14ac:dyDescent="0.25">
      <c r="A14" t="s">
        <v>578</v>
      </c>
      <c r="B14">
        <v>24500</v>
      </c>
      <c r="C14">
        <v>2</v>
      </c>
      <c r="D14">
        <v>6</v>
      </c>
      <c r="E14">
        <v>24000</v>
      </c>
      <c r="F14">
        <v>500</v>
      </c>
      <c r="G14" t="b">
        <v>0</v>
      </c>
      <c r="H14">
        <v>500</v>
      </c>
    </row>
    <row r="15" spans="1:8" x14ac:dyDescent="0.25">
      <c r="A15" t="s">
        <v>100</v>
      </c>
      <c r="B15">
        <v>9700</v>
      </c>
      <c r="C15">
        <v>0</v>
      </c>
      <c r="D15">
        <v>4</v>
      </c>
      <c r="E15">
        <v>9700</v>
      </c>
      <c r="F15">
        <v>696</v>
      </c>
      <c r="G15" t="b">
        <v>0</v>
      </c>
      <c r="H15">
        <v>12</v>
      </c>
    </row>
    <row r="16" spans="1:8" x14ac:dyDescent="0.25">
      <c r="A16" t="s">
        <v>100</v>
      </c>
      <c r="B16">
        <v>6500</v>
      </c>
      <c r="C16">
        <v>15</v>
      </c>
      <c r="D16">
        <v>4</v>
      </c>
      <c r="E16">
        <v>5500</v>
      </c>
      <c r="F16">
        <v>348</v>
      </c>
      <c r="G16" t="b">
        <v>0</v>
      </c>
      <c r="H16">
        <v>6</v>
      </c>
    </row>
    <row r="17" spans="1:8" x14ac:dyDescent="0.25">
      <c r="A17" t="s">
        <v>586</v>
      </c>
      <c r="B17">
        <v>3500</v>
      </c>
      <c r="C17">
        <v>2</v>
      </c>
      <c r="D17">
        <v>6</v>
      </c>
      <c r="E17">
        <v>3400</v>
      </c>
      <c r="F17">
        <v>200</v>
      </c>
      <c r="G17" t="b">
        <v>0</v>
      </c>
      <c r="H17">
        <v>200</v>
      </c>
    </row>
    <row r="18" spans="1:8" x14ac:dyDescent="0.25">
      <c r="A18" t="s">
        <v>587</v>
      </c>
      <c r="B18">
        <v>1500</v>
      </c>
      <c r="C18">
        <v>0</v>
      </c>
      <c r="D18">
        <v>4</v>
      </c>
      <c r="E18">
        <v>1500</v>
      </c>
      <c r="F18">
        <v>100</v>
      </c>
      <c r="G18" t="b">
        <v>0</v>
      </c>
      <c r="H18">
        <v>100</v>
      </c>
    </row>
    <row r="19" spans="1:8" x14ac:dyDescent="0.25">
      <c r="A19" t="s">
        <v>588</v>
      </c>
      <c r="B19">
        <v>7500</v>
      </c>
      <c r="C19">
        <v>2</v>
      </c>
      <c r="D19">
        <v>6</v>
      </c>
      <c r="E19">
        <v>7300</v>
      </c>
      <c r="F19">
        <v>200</v>
      </c>
      <c r="G19" t="b">
        <v>0</v>
      </c>
      <c r="H19">
        <v>200</v>
      </c>
    </row>
    <row r="20" spans="1:8" x14ac:dyDescent="0.25">
      <c r="A20" t="s">
        <v>589</v>
      </c>
      <c r="B20">
        <v>10500</v>
      </c>
      <c r="C20">
        <v>5</v>
      </c>
      <c r="D20">
        <v>6</v>
      </c>
      <c r="E20">
        <v>9900</v>
      </c>
      <c r="F20">
        <v>200</v>
      </c>
      <c r="G20" t="b">
        <v>0</v>
      </c>
      <c r="H20">
        <v>200</v>
      </c>
    </row>
    <row r="21" spans="1:8" x14ac:dyDescent="0.25">
      <c r="A21" t="s">
        <v>590</v>
      </c>
      <c r="B21">
        <v>1700</v>
      </c>
      <c r="C21">
        <v>0</v>
      </c>
      <c r="D21">
        <v>3</v>
      </c>
      <c r="E21">
        <v>1700</v>
      </c>
      <c r="F21">
        <v>100</v>
      </c>
      <c r="G21" t="b">
        <v>0</v>
      </c>
      <c r="H21">
        <v>100</v>
      </c>
    </row>
    <row r="22" spans="1:8" x14ac:dyDescent="0.25">
      <c r="A22" t="s">
        <v>591</v>
      </c>
      <c r="B22">
        <v>12200</v>
      </c>
      <c r="C22">
        <v>1</v>
      </c>
      <c r="D22">
        <v>6</v>
      </c>
      <c r="E22">
        <v>12000</v>
      </c>
      <c r="F22">
        <v>200</v>
      </c>
      <c r="G22" t="b">
        <v>0</v>
      </c>
      <c r="H22">
        <v>200</v>
      </c>
    </row>
    <row r="23" spans="1:8" x14ac:dyDescent="0.25">
      <c r="A23" t="s">
        <v>592</v>
      </c>
      <c r="B23">
        <v>6000</v>
      </c>
      <c r="C23">
        <v>0</v>
      </c>
      <c r="D23">
        <v>6</v>
      </c>
      <c r="E23">
        <v>6000</v>
      </c>
      <c r="F23">
        <v>400</v>
      </c>
      <c r="G23" t="b">
        <v>0</v>
      </c>
      <c r="H23">
        <v>400</v>
      </c>
    </row>
    <row r="24" spans="1:8" x14ac:dyDescent="0.25">
      <c r="A24" t="s">
        <v>593</v>
      </c>
      <c r="B24">
        <v>3000</v>
      </c>
      <c r="C24">
        <v>0</v>
      </c>
      <c r="D24">
        <v>1</v>
      </c>
      <c r="E24">
        <v>3000</v>
      </c>
      <c r="F24">
        <v>400</v>
      </c>
      <c r="G24" t="b">
        <v>0</v>
      </c>
      <c r="H24">
        <v>400</v>
      </c>
    </row>
    <row r="25" spans="1:8" x14ac:dyDescent="0.25">
      <c r="A25" t="s">
        <v>594</v>
      </c>
      <c r="B25">
        <v>5500</v>
      </c>
      <c r="C25">
        <v>0</v>
      </c>
      <c r="D25">
        <v>4</v>
      </c>
      <c r="E25">
        <v>5500</v>
      </c>
      <c r="F25">
        <v>400</v>
      </c>
      <c r="G25" t="b">
        <v>0</v>
      </c>
      <c r="H25">
        <v>400</v>
      </c>
    </row>
    <row r="26" spans="1:8" x14ac:dyDescent="0.25">
      <c r="A26" t="s">
        <v>595</v>
      </c>
      <c r="B26">
        <v>10600</v>
      </c>
      <c r="C26">
        <v>0</v>
      </c>
      <c r="D26">
        <v>6</v>
      </c>
      <c r="E26">
        <v>10600</v>
      </c>
      <c r="F26">
        <v>200</v>
      </c>
      <c r="G26" t="b">
        <v>0</v>
      </c>
      <c r="H26">
        <v>200</v>
      </c>
    </row>
    <row r="27" spans="1:8" x14ac:dyDescent="0.25">
      <c r="A27" t="s">
        <v>586</v>
      </c>
      <c r="B27">
        <v>7000</v>
      </c>
      <c r="C27">
        <v>2</v>
      </c>
      <c r="D27">
        <v>6</v>
      </c>
      <c r="E27">
        <v>6800</v>
      </c>
      <c r="F27">
        <v>400</v>
      </c>
      <c r="G27" t="b">
        <v>0</v>
      </c>
      <c r="H27">
        <v>400</v>
      </c>
    </row>
    <row r="28" spans="1:8" x14ac:dyDescent="0.25">
      <c r="A28" t="s">
        <v>104</v>
      </c>
      <c r="B28">
        <v>8500</v>
      </c>
      <c r="C28">
        <v>7</v>
      </c>
      <c r="D28">
        <v>4</v>
      </c>
      <c r="E28">
        <v>7900</v>
      </c>
      <c r="F28">
        <v>348</v>
      </c>
      <c r="G28" t="b">
        <v>0</v>
      </c>
      <c r="H28">
        <v>6</v>
      </c>
    </row>
    <row r="29" spans="1:8" x14ac:dyDescent="0.25">
      <c r="A29" t="s">
        <v>596</v>
      </c>
      <c r="B29">
        <v>3000</v>
      </c>
      <c r="C29">
        <v>0</v>
      </c>
      <c r="D29">
        <v>6</v>
      </c>
      <c r="E29">
        <v>3000</v>
      </c>
      <c r="F29">
        <v>85</v>
      </c>
      <c r="G29" t="b">
        <v>0</v>
      </c>
      <c r="H29">
        <v>85</v>
      </c>
    </row>
    <row r="30" spans="1:8" x14ac:dyDescent="0.25">
      <c r="A30" t="s">
        <v>597</v>
      </c>
      <c r="B30">
        <v>24500</v>
      </c>
      <c r="C30">
        <v>2</v>
      </c>
      <c r="D30">
        <v>6</v>
      </c>
      <c r="E30">
        <v>24000</v>
      </c>
      <c r="F30">
        <v>500</v>
      </c>
      <c r="G30" t="b">
        <v>0</v>
      </c>
      <c r="H30">
        <v>500</v>
      </c>
    </row>
    <row r="31" spans="1:8" x14ac:dyDescent="0.25">
      <c r="A31" t="s">
        <v>598</v>
      </c>
      <c r="B31">
        <v>5900</v>
      </c>
      <c r="C31">
        <v>3</v>
      </c>
      <c r="D31">
        <v>6</v>
      </c>
      <c r="E31">
        <v>5700</v>
      </c>
      <c r="F31">
        <v>100</v>
      </c>
      <c r="G31" t="b">
        <v>0</v>
      </c>
      <c r="H31">
        <v>100</v>
      </c>
    </row>
    <row r="32" spans="1:8" x14ac:dyDescent="0.25">
      <c r="A32" t="s">
        <v>599</v>
      </c>
      <c r="B32">
        <v>4200</v>
      </c>
      <c r="C32">
        <v>0</v>
      </c>
      <c r="D32">
        <v>4</v>
      </c>
      <c r="E32">
        <v>4200</v>
      </c>
      <c r="F32">
        <v>400</v>
      </c>
      <c r="G32" t="b">
        <v>0</v>
      </c>
      <c r="H32">
        <v>400</v>
      </c>
    </row>
    <row r="33" spans="1:8" x14ac:dyDescent="0.25">
      <c r="A33" t="s">
        <v>113</v>
      </c>
      <c r="B33">
        <v>19700</v>
      </c>
      <c r="C33">
        <v>3</v>
      </c>
      <c r="D33">
        <v>3</v>
      </c>
      <c r="E33">
        <v>19100</v>
      </c>
      <c r="F33">
        <v>1000</v>
      </c>
      <c r="G33" t="b">
        <v>0</v>
      </c>
      <c r="H33">
        <v>1</v>
      </c>
    </row>
    <row r="34" spans="1:8" x14ac:dyDescent="0.25">
      <c r="A34" t="s">
        <v>600</v>
      </c>
      <c r="B34">
        <v>4500</v>
      </c>
      <c r="C34">
        <v>0</v>
      </c>
      <c r="D34">
        <v>6</v>
      </c>
      <c r="E34">
        <v>4500</v>
      </c>
      <c r="F34">
        <v>90</v>
      </c>
      <c r="G34" t="b">
        <v>0</v>
      </c>
      <c r="H34">
        <v>90</v>
      </c>
    </row>
    <row r="35" spans="1:8" x14ac:dyDescent="0.25">
      <c r="A35" t="s">
        <v>601</v>
      </c>
      <c r="B35">
        <v>3000</v>
      </c>
      <c r="C35">
        <v>0</v>
      </c>
      <c r="D35">
        <v>1</v>
      </c>
      <c r="E35">
        <v>3000</v>
      </c>
      <c r="F35">
        <v>150</v>
      </c>
      <c r="G35" t="b">
        <v>0</v>
      </c>
      <c r="H35">
        <v>150</v>
      </c>
    </row>
    <row r="36" spans="1:8" x14ac:dyDescent="0.25">
      <c r="A36" t="s">
        <v>602</v>
      </c>
      <c r="B36">
        <v>1800</v>
      </c>
      <c r="C36">
        <v>5</v>
      </c>
      <c r="D36">
        <v>6</v>
      </c>
      <c r="E36">
        <v>1700</v>
      </c>
      <c r="F36">
        <v>100</v>
      </c>
      <c r="G36" t="b">
        <v>0</v>
      </c>
      <c r="H36">
        <v>100</v>
      </c>
    </row>
    <row r="37" spans="1:8" x14ac:dyDescent="0.25">
      <c r="A37" t="s">
        <v>124</v>
      </c>
      <c r="B37">
        <v>5400</v>
      </c>
      <c r="C37">
        <v>5</v>
      </c>
      <c r="D37">
        <v>6</v>
      </c>
      <c r="E37">
        <v>5100</v>
      </c>
      <c r="F37">
        <v>200</v>
      </c>
      <c r="G37" t="b">
        <v>0</v>
      </c>
      <c r="H37">
        <v>200</v>
      </c>
    </row>
    <row r="38" spans="1:8" x14ac:dyDescent="0.25">
      <c r="A38" t="s">
        <v>603</v>
      </c>
      <c r="B38">
        <v>7800</v>
      </c>
      <c r="C38">
        <v>3</v>
      </c>
      <c r="D38">
        <v>5</v>
      </c>
      <c r="E38">
        <v>7500</v>
      </c>
      <c r="F38">
        <v>400</v>
      </c>
      <c r="G38" t="b">
        <v>0</v>
      </c>
      <c r="H38">
        <v>400</v>
      </c>
    </row>
    <row r="39" spans="1:8" x14ac:dyDescent="0.25">
      <c r="A39" t="s">
        <v>604</v>
      </c>
      <c r="B39">
        <v>6000</v>
      </c>
      <c r="C39">
        <v>5</v>
      </c>
      <c r="D39">
        <v>5</v>
      </c>
      <c r="E39">
        <v>5700</v>
      </c>
      <c r="F39">
        <v>200</v>
      </c>
      <c r="G39" t="b">
        <v>0</v>
      </c>
      <c r="H39">
        <v>200</v>
      </c>
    </row>
    <row r="40" spans="1:8" x14ac:dyDescent="0.25">
      <c r="A40" t="s">
        <v>602</v>
      </c>
      <c r="B40">
        <v>8800</v>
      </c>
      <c r="C40">
        <v>2</v>
      </c>
      <c r="D40">
        <v>2</v>
      </c>
      <c r="E40">
        <v>8600</v>
      </c>
      <c r="F40">
        <v>500</v>
      </c>
      <c r="G40" t="b">
        <v>0</v>
      </c>
      <c r="H40">
        <v>500</v>
      </c>
    </row>
    <row r="41" spans="1:8" x14ac:dyDescent="0.25">
      <c r="A41" t="s">
        <v>144</v>
      </c>
      <c r="B41">
        <v>5600</v>
      </c>
      <c r="C41">
        <v>3</v>
      </c>
      <c r="D41">
        <v>4</v>
      </c>
      <c r="E41">
        <v>5400</v>
      </c>
      <c r="F41">
        <v>200</v>
      </c>
      <c r="G41" t="b">
        <v>0</v>
      </c>
      <c r="H41">
        <v>200</v>
      </c>
    </row>
    <row r="42" spans="1:8" x14ac:dyDescent="0.25">
      <c r="A42" t="s">
        <v>148</v>
      </c>
      <c r="B42">
        <v>11000</v>
      </c>
      <c r="C42">
        <v>13</v>
      </c>
      <c r="D42">
        <v>4</v>
      </c>
      <c r="E42">
        <v>9500</v>
      </c>
      <c r="F42">
        <v>348</v>
      </c>
      <c r="G42" t="b">
        <v>0</v>
      </c>
      <c r="H42">
        <v>6</v>
      </c>
    </row>
    <row r="43" spans="1:8" x14ac:dyDescent="0.25">
      <c r="A43" t="s">
        <v>605</v>
      </c>
      <c r="B43">
        <v>8500</v>
      </c>
      <c r="C43">
        <v>3</v>
      </c>
      <c r="D43">
        <v>6</v>
      </c>
      <c r="E43">
        <v>8200</v>
      </c>
      <c r="F43">
        <v>200</v>
      </c>
      <c r="G43" t="b">
        <v>0</v>
      </c>
      <c r="H43">
        <v>200</v>
      </c>
    </row>
    <row r="44" spans="1:8" x14ac:dyDescent="0.25">
      <c r="A44" t="s">
        <v>606</v>
      </c>
      <c r="B44">
        <v>8500</v>
      </c>
      <c r="C44">
        <v>5</v>
      </c>
      <c r="D44">
        <v>6</v>
      </c>
      <c r="E44">
        <v>8000</v>
      </c>
      <c r="F44">
        <v>180</v>
      </c>
      <c r="G44" t="b">
        <v>0</v>
      </c>
      <c r="H44">
        <v>180</v>
      </c>
    </row>
    <row r="45" spans="1:8" x14ac:dyDescent="0.25">
      <c r="A45" t="s">
        <v>607</v>
      </c>
      <c r="B45">
        <v>4000</v>
      </c>
      <c r="C45">
        <v>0</v>
      </c>
      <c r="D45">
        <v>1</v>
      </c>
      <c r="E45">
        <v>4000</v>
      </c>
      <c r="F45">
        <v>200</v>
      </c>
      <c r="G45" t="b">
        <v>0</v>
      </c>
      <c r="H45">
        <v>200</v>
      </c>
    </row>
    <row r="46" spans="1:8" x14ac:dyDescent="0.25">
      <c r="A46" t="s">
        <v>608</v>
      </c>
      <c r="B46">
        <v>36000</v>
      </c>
      <c r="C46">
        <v>0</v>
      </c>
      <c r="D46">
        <v>1</v>
      </c>
      <c r="E46">
        <v>35900</v>
      </c>
      <c r="F46">
        <v>750</v>
      </c>
      <c r="G46" t="b">
        <v>0</v>
      </c>
      <c r="H46">
        <v>750</v>
      </c>
    </row>
    <row r="47" spans="1:8" x14ac:dyDescent="0.25">
      <c r="A47" t="s">
        <v>609</v>
      </c>
      <c r="B47">
        <v>7200</v>
      </c>
      <c r="C47">
        <v>13</v>
      </c>
      <c r="D47">
        <v>3</v>
      </c>
      <c r="E47">
        <v>6200</v>
      </c>
      <c r="F47">
        <v>348</v>
      </c>
      <c r="G47" t="b">
        <v>0</v>
      </c>
      <c r="H47">
        <v>6</v>
      </c>
    </row>
    <row r="48" spans="1:8" x14ac:dyDescent="0.25">
      <c r="A48" t="s">
        <v>610</v>
      </c>
      <c r="B48">
        <v>7500</v>
      </c>
      <c r="C48">
        <v>4</v>
      </c>
      <c r="D48">
        <v>1</v>
      </c>
      <c r="E48">
        <v>7200</v>
      </c>
      <c r="F48">
        <v>200</v>
      </c>
      <c r="G48" t="b">
        <v>0</v>
      </c>
      <c r="H48">
        <v>200</v>
      </c>
    </row>
    <row r="49" spans="1:8" x14ac:dyDescent="0.25">
      <c r="A49" t="s">
        <v>189</v>
      </c>
      <c r="B49">
        <v>21000</v>
      </c>
      <c r="C49">
        <v>0</v>
      </c>
      <c r="D49">
        <v>4</v>
      </c>
      <c r="E49">
        <v>21000</v>
      </c>
      <c r="F49">
        <v>400</v>
      </c>
      <c r="G49" t="b">
        <v>0</v>
      </c>
      <c r="H49">
        <v>400</v>
      </c>
    </row>
    <row r="50" spans="1:8" x14ac:dyDescent="0.25">
      <c r="A50" t="s">
        <v>611</v>
      </c>
      <c r="B50">
        <v>10900</v>
      </c>
      <c r="C50">
        <v>4</v>
      </c>
      <c r="D50">
        <v>6</v>
      </c>
      <c r="E50">
        <v>10400</v>
      </c>
      <c r="F50">
        <v>200</v>
      </c>
      <c r="G50" t="b">
        <v>0</v>
      </c>
      <c r="H50">
        <v>200</v>
      </c>
    </row>
    <row r="51" spans="1:8" x14ac:dyDescent="0.25">
      <c r="A51" t="s">
        <v>199</v>
      </c>
      <c r="B51">
        <v>11000</v>
      </c>
      <c r="C51">
        <v>4</v>
      </c>
      <c r="D51">
        <v>6</v>
      </c>
      <c r="E51">
        <v>10500</v>
      </c>
      <c r="F51">
        <v>250</v>
      </c>
      <c r="G51" t="b">
        <v>0</v>
      </c>
      <c r="H51">
        <v>500</v>
      </c>
    </row>
    <row r="52" spans="1:8" x14ac:dyDescent="0.25">
      <c r="A52" t="s">
        <v>612</v>
      </c>
      <c r="B52">
        <v>4000</v>
      </c>
      <c r="C52">
        <v>2</v>
      </c>
      <c r="D52">
        <v>5</v>
      </c>
      <c r="E52">
        <v>3900</v>
      </c>
      <c r="F52">
        <v>100</v>
      </c>
      <c r="G52" t="b">
        <v>0</v>
      </c>
      <c r="H52">
        <v>100</v>
      </c>
    </row>
    <row r="53" spans="1:8" x14ac:dyDescent="0.25">
      <c r="A53" t="s">
        <v>613</v>
      </c>
      <c r="B53">
        <v>14000</v>
      </c>
      <c r="C53">
        <v>5</v>
      </c>
      <c r="D53">
        <v>6</v>
      </c>
      <c r="E53">
        <v>13300</v>
      </c>
      <c r="F53">
        <v>200</v>
      </c>
      <c r="G53" t="b">
        <v>0</v>
      </c>
      <c r="H53">
        <v>200</v>
      </c>
    </row>
    <row r="54" spans="1:8" x14ac:dyDescent="0.25">
      <c r="A54" t="s">
        <v>222</v>
      </c>
      <c r="B54">
        <v>9900</v>
      </c>
      <c r="C54">
        <v>5</v>
      </c>
      <c r="D54">
        <v>6</v>
      </c>
      <c r="E54">
        <v>9400</v>
      </c>
      <c r="F54">
        <v>165</v>
      </c>
      <c r="G54" t="b">
        <v>0</v>
      </c>
      <c r="H54">
        <v>165</v>
      </c>
    </row>
    <row r="55" spans="1:8" x14ac:dyDescent="0.25">
      <c r="A55" t="s">
        <v>614</v>
      </c>
      <c r="B55">
        <v>27500</v>
      </c>
      <c r="C55">
        <v>50</v>
      </c>
      <c r="D55">
        <v>4</v>
      </c>
      <c r="E55">
        <v>13700</v>
      </c>
      <c r="F55">
        <v>200</v>
      </c>
      <c r="G55" t="b">
        <v>0</v>
      </c>
      <c r="H55">
        <v>200</v>
      </c>
    </row>
    <row r="56" spans="1:8" x14ac:dyDescent="0.25">
      <c r="A56" t="s">
        <v>615</v>
      </c>
      <c r="B56">
        <v>10000</v>
      </c>
      <c r="C56">
        <v>5</v>
      </c>
      <c r="D56">
        <v>4</v>
      </c>
      <c r="E56">
        <v>9500</v>
      </c>
      <c r="F56">
        <v>100</v>
      </c>
      <c r="G56" t="b">
        <v>0</v>
      </c>
      <c r="H56">
        <v>100</v>
      </c>
    </row>
    <row r="57" spans="1:8" x14ac:dyDescent="0.25">
      <c r="A57" t="s">
        <v>616</v>
      </c>
      <c r="B57">
        <v>7200</v>
      </c>
      <c r="C57">
        <v>13</v>
      </c>
      <c r="D57">
        <v>4</v>
      </c>
      <c r="E57">
        <v>6200</v>
      </c>
      <c r="F57">
        <v>348</v>
      </c>
      <c r="G57" t="b">
        <v>0</v>
      </c>
      <c r="H57">
        <v>6</v>
      </c>
    </row>
    <row r="58" spans="1:8" x14ac:dyDescent="0.25">
      <c r="A58" t="s">
        <v>617</v>
      </c>
      <c r="B58">
        <v>10000</v>
      </c>
      <c r="C58">
        <v>5</v>
      </c>
      <c r="D58">
        <v>6</v>
      </c>
      <c r="E58">
        <v>9500</v>
      </c>
      <c r="F58">
        <v>160</v>
      </c>
      <c r="G58" t="b">
        <v>0</v>
      </c>
      <c r="H58">
        <v>160</v>
      </c>
    </row>
    <row r="59" spans="1:8" x14ac:dyDescent="0.25">
      <c r="A59" t="s">
        <v>618</v>
      </c>
      <c r="B59">
        <v>20000</v>
      </c>
      <c r="C59">
        <v>0</v>
      </c>
      <c r="D59">
        <v>1</v>
      </c>
      <c r="E59">
        <v>20000</v>
      </c>
      <c r="F59">
        <v>400</v>
      </c>
      <c r="G59" t="b">
        <v>0</v>
      </c>
      <c r="H59">
        <v>400</v>
      </c>
    </row>
    <row r="60" spans="1:8" x14ac:dyDescent="0.25">
      <c r="A60" t="s">
        <v>619</v>
      </c>
      <c r="B60">
        <v>24500</v>
      </c>
      <c r="C60">
        <v>2</v>
      </c>
      <c r="D60">
        <v>6</v>
      </c>
      <c r="E60">
        <v>23800</v>
      </c>
      <c r="F60">
        <v>500</v>
      </c>
      <c r="G60" t="b">
        <v>0</v>
      </c>
      <c r="H60">
        <v>500</v>
      </c>
    </row>
    <row r="61" spans="1:8" x14ac:dyDescent="0.25">
      <c r="A61" t="s">
        <v>620</v>
      </c>
      <c r="B61">
        <v>23500</v>
      </c>
      <c r="C61">
        <v>25</v>
      </c>
      <c r="D61">
        <v>6</v>
      </c>
      <c r="E61">
        <v>17400</v>
      </c>
      <c r="F61">
        <v>325</v>
      </c>
      <c r="G61" t="b">
        <v>0</v>
      </c>
      <c r="H61">
        <v>325</v>
      </c>
    </row>
    <row r="62" spans="1:8" x14ac:dyDescent="0.25">
      <c r="A62" t="s">
        <v>621</v>
      </c>
      <c r="B62">
        <v>15500</v>
      </c>
      <c r="C62">
        <v>0</v>
      </c>
      <c r="D62">
        <v>2</v>
      </c>
      <c r="E62">
        <v>15500</v>
      </c>
      <c r="F62">
        <v>200</v>
      </c>
      <c r="G62" t="b">
        <v>0</v>
      </c>
      <c r="H62">
        <v>200</v>
      </c>
    </row>
    <row r="63" spans="1:8" x14ac:dyDescent="0.25">
      <c r="A63" t="s">
        <v>622</v>
      </c>
      <c r="B63">
        <v>30000</v>
      </c>
      <c r="C63">
        <v>33</v>
      </c>
      <c r="D63">
        <v>4</v>
      </c>
      <c r="E63">
        <v>19900</v>
      </c>
      <c r="F63">
        <v>1000</v>
      </c>
      <c r="G63" t="b">
        <v>0</v>
      </c>
      <c r="H63">
        <v>1</v>
      </c>
    </row>
    <row r="64" spans="1:8" x14ac:dyDescent="0.25">
      <c r="A64" t="s">
        <v>623</v>
      </c>
      <c r="B64">
        <v>9900</v>
      </c>
      <c r="C64">
        <v>5</v>
      </c>
      <c r="D64">
        <v>6</v>
      </c>
      <c r="E64">
        <v>9400</v>
      </c>
      <c r="F64">
        <v>200</v>
      </c>
      <c r="G64" t="b">
        <v>0</v>
      </c>
      <c r="H64">
        <v>200</v>
      </c>
    </row>
    <row r="65" spans="1:8" x14ac:dyDescent="0.25">
      <c r="A65" t="s">
        <v>624</v>
      </c>
      <c r="B65">
        <v>7000</v>
      </c>
      <c r="C65">
        <v>0</v>
      </c>
      <c r="D65">
        <v>4</v>
      </c>
      <c r="E65">
        <v>7000</v>
      </c>
      <c r="F65">
        <v>200</v>
      </c>
      <c r="G65" t="b">
        <v>0</v>
      </c>
      <c r="H65">
        <v>200</v>
      </c>
    </row>
    <row r="66" spans="1:8" x14ac:dyDescent="0.25">
      <c r="A66" t="s">
        <v>625</v>
      </c>
      <c r="B66">
        <v>7500</v>
      </c>
      <c r="C66">
        <v>0</v>
      </c>
      <c r="D66">
        <v>5</v>
      </c>
      <c r="E66">
        <v>7500</v>
      </c>
      <c r="F66">
        <v>200</v>
      </c>
      <c r="G66" t="b">
        <v>0</v>
      </c>
      <c r="H66">
        <v>200</v>
      </c>
    </row>
    <row r="67" spans="1:8" x14ac:dyDescent="0.25">
      <c r="A67" t="s">
        <v>626</v>
      </c>
      <c r="B67">
        <v>16900</v>
      </c>
      <c r="C67">
        <v>4</v>
      </c>
      <c r="D67">
        <v>4</v>
      </c>
      <c r="E67">
        <v>16100</v>
      </c>
      <c r="F67">
        <v>150</v>
      </c>
      <c r="G67" t="b">
        <v>0</v>
      </c>
      <c r="H67">
        <v>150</v>
      </c>
    </row>
    <row r="68" spans="1:8" x14ac:dyDescent="0.25">
      <c r="A68" t="s">
        <v>627</v>
      </c>
      <c r="B68">
        <v>19900</v>
      </c>
      <c r="C68">
        <v>5</v>
      </c>
      <c r="D68">
        <v>6</v>
      </c>
      <c r="E68">
        <v>18900</v>
      </c>
      <c r="F68">
        <v>200</v>
      </c>
      <c r="G68" t="b">
        <v>0</v>
      </c>
      <c r="H68">
        <v>200</v>
      </c>
    </row>
    <row r="69" spans="1:8" x14ac:dyDescent="0.25">
      <c r="A69" t="s">
        <v>628</v>
      </c>
      <c r="B69">
        <v>7200</v>
      </c>
      <c r="C69">
        <v>13</v>
      </c>
      <c r="D69">
        <v>4</v>
      </c>
      <c r="E69">
        <v>6200</v>
      </c>
      <c r="F69">
        <v>348</v>
      </c>
      <c r="G69" t="b">
        <v>0</v>
      </c>
      <c r="H69">
        <v>6</v>
      </c>
    </row>
    <row r="70" spans="1:8" x14ac:dyDescent="0.25">
      <c r="A70" t="s">
        <v>629</v>
      </c>
      <c r="B70">
        <v>9900</v>
      </c>
      <c r="C70">
        <v>5</v>
      </c>
      <c r="D70">
        <v>6</v>
      </c>
      <c r="E70">
        <v>9400</v>
      </c>
      <c r="F70">
        <v>200</v>
      </c>
      <c r="G70" t="b">
        <v>0</v>
      </c>
      <c r="H70">
        <v>200</v>
      </c>
    </row>
    <row r="71" spans="1:8" x14ac:dyDescent="0.25">
      <c r="A71" t="s">
        <v>630</v>
      </c>
      <c r="B71">
        <v>14000</v>
      </c>
      <c r="C71">
        <v>5</v>
      </c>
      <c r="D71">
        <v>6</v>
      </c>
      <c r="E71">
        <v>13300</v>
      </c>
      <c r="F71">
        <v>200</v>
      </c>
      <c r="G71" t="b">
        <v>0</v>
      </c>
      <c r="H71">
        <v>200</v>
      </c>
    </row>
    <row r="72" spans="1:8" x14ac:dyDescent="0.25">
      <c r="A72" t="s">
        <v>631</v>
      </c>
      <c r="B72">
        <v>29500</v>
      </c>
      <c r="C72">
        <v>50</v>
      </c>
      <c r="D72">
        <v>6</v>
      </c>
      <c r="E72">
        <v>14700</v>
      </c>
      <c r="F72">
        <v>200</v>
      </c>
      <c r="G72" t="b">
        <v>0</v>
      </c>
      <c r="H72">
        <v>200</v>
      </c>
    </row>
    <row r="73" spans="1:8" x14ac:dyDescent="0.25">
      <c r="A73" t="s">
        <v>632</v>
      </c>
      <c r="B73">
        <v>21500</v>
      </c>
      <c r="C73">
        <v>9</v>
      </c>
      <c r="D73">
        <v>6</v>
      </c>
      <c r="E73">
        <v>19400</v>
      </c>
      <c r="F73">
        <v>325</v>
      </c>
      <c r="G73" t="b">
        <v>0</v>
      </c>
      <c r="H73">
        <v>325</v>
      </c>
    </row>
    <row r="74" spans="1:8" x14ac:dyDescent="0.25">
      <c r="A74" t="s">
        <v>633</v>
      </c>
      <c r="B74">
        <v>12000</v>
      </c>
      <c r="C74">
        <v>43</v>
      </c>
      <c r="D74">
        <v>4</v>
      </c>
      <c r="E74">
        <v>6800</v>
      </c>
      <c r="F74">
        <v>348</v>
      </c>
      <c r="G74" t="b">
        <v>0</v>
      </c>
      <c r="H74">
        <v>6</v>
      </c>
    </row>
    <row r="75" spans="1:8" x14ac:dyDescent="0.25">
      <c r="A75" t="s">
        <v>326</v>
      </c>
      <c r="B75">
        <v>15000</v>
      </c>
      <c r="C75">
        <v>4</v>
      </c>
      <c r="D75">
        <v>4</v>
      </c>
      <c r="E75">
        <v>14300</v>
      </c>
      <c r="F75">
        <v>400</v>
      </c>
      <c r="G75" t="b">
        <v>0</v>
      </c>
      <c r="H75">
        <v>400</v>
      </c>
    </row>
    <row r="76" spans="1:8" x14ac:dyDescent="0.25">
      <c r="A76" t="s">
        <v>634</v>
      </c>
      <c r="B76">
        <v>27500</v>
      </c>
      <c r="C76">
        <v>50</v>
      </c>
      <c r="D76">
        <v>6</v>
      </c>
      <c r="E76">
        <v>13700</v>
      </c>
      <c r="F76">
        <v>200</v>
      </c>
      <c r="G76" t="b">
        <v>0</v>
      </c>
      <c r="H76">
        <v>200</v>
      </c>
    </row>
    <row r="77" spans="1:8" x14ac:dyDescent="0.25">
      <c r="A77" t="s">
        <v>635</v>
      </c>
      <c r="B77">
        <v>14500</v>
      </c>
      <c r="C77">
        <v>5</v>
      </c>
      <c r="D77">
        <v>6</v>
      </c>
      <c r="E77">
        <v>13700</v>
      </c>
      <c r="F77">
        <v>200</v>
      </c>
      <c r="G77" t="b">
        <v>0</v>
      </c>
      <c r="H77">
        <v>200</v>
      </c>
    </row>
    <row r="78" spans="1:8" x14ac:dyDescent="0.25">
      <c r="A78" t="s">
        <v>636</v>
      </c>
      <c r="B78">
        <v>27500</v>
      </c>
      <c r="C78">
        <v>50</v>
      </c>
      <c r="D78">
        <v>6</v>
      </c>
      <c r="E78">
        <v>13700</v>
      </c>
      <c r="F78">
        <v>200</v>
      </c>
      <c r="G78" t="b">
        <v>0</v>
      </c>
      <c r="H78">
        <v>200</v>
      </c>
    </row>
    <row r="79" spans="1:8" x14ac:dyDescent="0.25">
      <c r="A79" t="s">
        <v>637</v>
      </c>
      <c r="B79">
        <v>15000</v>
      </c>
      <c r="C79">
        <v>0</v>
      </c>
      <c r="D79">
        <v>4</v>
      </c>
      <c r="E79">
        <v>15000</v>
      </c>
      <c r="F79">
        <v>200</v>
      </c>
      <c r="G79" t="b">
        <v>0</v>
      </c>
      <c r="H79">
        <v>200</v>
      </c>
    </row>
    <row r="80" spans="1:8" x14ac:dyDescent="0.25">
      <c r="A80" t="s">
        <v>638</v>
      </c>
      <c r="B80">
        <v>22900</v>
      </c>
      <c r="C80">
        <v>10</v>
      </c>
      <c r="D80">
        <v>6</v>
      </c>
      <c r="E80">
        <v>20600</v>
      </c>
      <c r="F80">
        <v>400</v>
      </c>
      <c r="G80" t="b">
        <v>0</v>
      </c>
      <c r="H80">
        <v>400</v>
      </c>
    </row>
    <row r="81" spans="1:8" x14ac:dyDescent="0.25">
      <c r="A81" t="s">
        <v>639</v>
      </c>
      <c r="B81">
        <v>25000</v>
      </c>
      <c r="C81">
        <v>50</v>
      </c>
      <c r="D81">
        <v>4</v>
      </c>
      <c r="E81">
        <v>12500</v>
      </c>
      <c r="F81">
        <v>200</v>
      </c>
      <c r="G81" t="b">
        <v>0</v>
      </c>
      <c r="H81">
        <v>200</v>
      </c>
    </row>
    <row r="82" spans="1:8" x14ac:dyDescent="0.25">
      <c r="A82" t="s">
        <v>640</v>
      </c>
      <c r="B82">
        <v>23500</v>
      </c>
      <c r="C82">
        <v>20</v>
      </c>
      <c r="D82">
        <v>5</v>
      </c>
      <c r="E82">
        <v>18800</v>
      </c>
      <c r="F82">
        <v>325</v>
      </c>
      <c r="G82" t="b">
        <v>0</v>
      </c>
      <c r="H82">
        <v>325</v>
      </c>
    </row>
    <row r="83" spans="1:8" x14ac:dyDescent="0.25">
      <c r="A83" t="s">
        <v>641</v>
      </c>
      <c r="B83">
        <v>12500</v>
      </c>
      <c r="C83">
        <v>5</v>
      </c>
      <c r="D83">
        <v>6</v>
      </c>
      <c r="E83">
        <v>11800</v>
      </c>
      <c r="F83">
        <v>200</v>
      </c>
      <c r="G83" t="b">
        <v>0</v>
      </c>
      <c r="H83">
        <v>200</v>
      </c>
    </row>
    <row r="84" spans="1:8" x14ac:dyDescent="0.25">
      <c r="A84" t="s">
        <v>642</v>
      </c>
      <c r="B84">
        <v>16900</v>
      </c>
      <c r="C84">
        <v>7</v>
      </c>
      <c r="D84">
        <v>1</v>
      </c>
      <c r="E84">
        <v>15600</v>
      </c>
      <c r="F84">
        <v>400</v>
      </c>
      <c r="G84" t="b">
        <v>0</v>
      </c>
      <c r="H84">
        <v>400</v>
      </c>
    </row>
    <row r="85" spans="1:8" x14ac:dyDescent="0.25">
      <c r="A85" t="s">
        <v>643</v>
      </c>
      <c r="B85">
        <v>23500</v>
      </c>
      <c r="C85">
        <v>1</v>
      </c>
      <c r="D85">
        <v>6</v>
      </c>
      <c r="E85">
        <v>23200</v>
      </c>
      <c r="F85">
        <v>500</v>
      </c>
      <c r="G85" t="b">
        <v>0</v>
      </c>
      <c r="H85">
        <v>500</v>
      </c>
    </row>
    <row r="86" spans="1:8" x14ac:dyDescent="0.25">
      <c r="A86" t="s">
        <v>644</v>
      </c>
      <c r="B86">
        <v>9900</v>
      </c>
      <c r="C86">
        <v>5</v>
      </c>
      <c r="D86">
        <v>6</v>
      </c>
      <c r="E86">
        <v>9400</v>
      </c>
      <c r="F86">
        <v>200</v>
      </c>
      <c r="G86" t="b">
        <v>0</v>
      </c>
      <c r="H86">
        <v>200</v>
      </c>
    </row>
    <row r="87" spans="1:8" x14ac:dyDescent="0.25">
      <c r="A87" t="s">
        <v>369</v>
      </c>
      <c r="B87">
        <v>23500</v>
      </c>
      <c r="C87">
        <v>27</v>
      </c>
      <c r="D87">
        <v>5</v>
      </c>
      <c r="E87">
        <v>17100</v>
      </c>
      <c r="F87">
        <v>1000</v>
      </c>
      <c r="G87" t="b">
        <v>0</v>
      </c>
      <c r="H87">
        <v>1</v>
      </c>
    </row>
    <row r="88" spans="1:8" x14ac:dyDescent="0.25">
      <c r="A88" t="s">
        <v>403</v>
      </c>
      <c r="B88">
        <v>38000</v>
      </c>
      <c r="C88">
        <v>2</v>
      </c>
      <c r="D88">
        <v>4</v>
      </c>
      <c r="E88">
        <v>37200</v>
      </c>
      <c r="F88">
        <v>1000</v>
      </c>
      <c r="G88" t="b">
        <v>0</v>
      </c>
      <c r="H88">
        <v>1</v>
      </c>
    </row>
    <row r="89" spans="1:8" x14ac:dyDescent="0.25">
      <c r="A89" t="s">
        <v>645</v>
      </c>
      <c r="B89">
        <v>11000</v>
      </c>
      <c r="C89">
        <v>0</v>
      </c>
      <c r="D89">
        <v>6</v>
      </c>
      <c r="E89">
        <v>11000</v>
      </c>
      <c r="F89">
        <v>120</v>
      </c>
      <c r="G89" t="b">
        <v>0</v>
      </c>
      <c r="H89">
        <v>120</v>
      </c>
    </row>
    <row r="90" spans="1:8" x14ac:dyDescent="0.25">
      <c r="A90" t="s">
        <v>646</v>
      </c>
      <c r="B90">
        <v>21500</v>
      </c>
      <c r="C90">
        <v>20</v>
      </c>
      <c r="D90">
        <v>6</v>
      </c>
      <c r="E90">
        <v>17200</v>
      </c>
      <c r="F90">
        <v>325</v>
      </c>
      <c r="G90" t="b">
        <v>0</v>
      </c>
      <c r="H90">
        <v>325</v>
      </c>
    </row>
    <row r="91" spans="1:8" x14ac:dyDescent="0.25">
      <c r="A91" t="s">
        <v>647</v>
      </c>
      <c r="B91">
        <v>12500</v>
      </c>
      <c r="C91">
        <v>4</v>
      </c>
      <c r="D91">
        <v>6</v>
      </c>
      <c r="E91">
        <v>11900</v>
      </c>
      <c r="F91">
        <v>200</v>
      </c>
      <c r="G91" t="b">
        <v>0</v>
      </c>
      <c r="H91">
        <v>200</v>
      </c>
    </row>
    <row r="92" spans="1:8" x14ac:dyDescent="0.25">
      <c r="A92" t="s">
        <v>648</v>
      </c>
      <c r="B92">
        <v>24900</v>
      </c>
      <c r="C92">
        <v>4</v>
      </c>
      <c r="D92">
        <v>6</v>
      </c>
      <c r="E92">
        <v>23700</v>
      </c>
      <c r="F92">
        <v>400</v>
      </c>
      <c r="G92" t="b">
        <v>0</v>
      </c>
      <c r="H92">
        <v>400</v>
      </c>
    </row>
    <row r="93" spans="1:8" x14ac:dyDescent="0.25">
      <c r="A93" t="s">
        <v>649</v>
      </c>
      <c r="B93">
        <v>34500</v>
      </c>
      <c r="C93">
        <v>31</v>
      </c>
      <c r="D93">
        <v>6</v>
      </c>
      <c r="E93">
        <v>23700</v>
      </c>
      <c r="F93">
        <v>100</v>
      </c>
      <c r="G93" t="b">
        <v>0</v>
      </c>
      <c r="H93">
        <v>100</v>
      </c>
    </row>
    <row r="94" spans="1:8" x14ac:dyDescent="0.25">
      <c r="A94" t="s">
        <v>650</v>
      </c>
      <c r="B94">
        <v>35500</v>
      </c>
      <c r="C94">
        <v>50</v>
      </c>
      <c r="D94">
        <v>6</v>
      </c>
      <c r="E94">
        <v>17700</v>
      </c>
      <c r="F94">
        <v>200</v>
      </c>
      <c r="G94" t="b">
        <v>0</v>
      </c>
      <c r="H94">
        <v>200</v>
      </c>
    </row>
    <row r="95" spans="1:8" x14ac:dyDescent="0.25">
      <c r="A95" t="s">
        <v>651</v>
      </c>
      <c r="B95">
        <v>19900</v>
      </c>
      <c r="C95">
        <v>5</v>
      </c>
      <c r="D95">
        <v>6</v>
      </c>
      <c r="E95">
        <v>18900</v>
      </c>
      <c r="F95">
        <v>200</v>
      </c>
      <c r="G95" t="b">
        <v>0</v>
      </c>
      <c r="H95">
        <v>200</v>
      </c>
    </row>
    <row r="96" spans="1:8" x14ac:dyDescent="0.25">
      <c r="A96" t="s">
        <v>652</v>
      </c>
      <c r="B96">
        <v>16900</v>
      </c>
      <c r="C96">
        <v>0</v>
      </c>
      <c r="D96">
        <v>1</v>
      </c>
      <c r="E96">
        <v>16900</v>
      </c>
      <c r="F96">
        <v>400</v>
      </c>
      <c r="G96" t="b">
        <v>0</v>
      </c>
      <c r="H96">
        <v>400</v>
      </c>
    </row>
    <row r="97" spans="1:8" x14ac:dyDescent="0.25">
      <c r="A97" t="s">
        <v>450</v>
      </c>
      <c r="B97">
        <v>15000</v>
      </c>
      <c r="C97">
        <v>0</v>
      </c>
      <c r="D97">
        <v>4</v>
      </c>
      <c r="E97">
        <v>15000</v>
      </c>
      <c r="F97">
        <v>400</v>
      </c>
      <c r="G97" t="b">
        <v>0</v>
      </c>
      <c r="H97">
        <v>400</v>
      </c>
    </row>
    <row r="98" spans="1:8" x14ac:dyDescent="0.25">
      <c r="A98" t="s">
        <v>653</v>
      </c>
      <c r="B98">
        <v>14500</v>
      </c>
      <c r="C98">
        <v>0</v>
      </c>
      <c r="D98">
        <v>6</v>
      </c>
      <c r="E98">
        <v>14500</v>
      </c>
      <c r="F98">
        <v>200</v>
      </c>
      <c r="G98" t="b">
        <v>0</v>
      </c>
      <c r="H98">
        <v>200</v>
      </c>
    </row>
    <row r="99" spans="1:8" x14ac:dyDescent="0.25">
      <c r="A99" t="s">
        <v>654</v>
      </c>
      <c r="B99">
        <v>5400</v>
      </c>
      <c r="C99">
        <v>0</v>
      </c>
      <c r="D99">
        <v>6</v>
      </c>
      <c r="E99">
        <v>5400</v>
      </c>
      <c r="F99">
        <v>100</v>
      </c>
      <c r="G99" t="b">
        <v>0</v>
      </c>
      <c r="H99">
        <v>100</v>
      </c>
    </row>
    <row r="100" spans="1:8" x14ac:dyDescent="0.25">
      <c r="A100" t="s">
        <v>655</v>
      </c>
      <c r="B100">
        <v>15000</v>
      </c>
      <c r="C100">
        <v>0</v>
      </c>
      <c r="D100">
        <v>6</v>
      </c>
      <c r="E100">
        <v>15000</v>
      </c>
      <c r="F100">
        <v>200</v>
      </c>
      <c r="G100" t="b">
        <v>0</v>
      </c>
      <c r="H100">
        <v>200</v>
      </c>
    </row>
    <row r="101" spans="1:8" x14ac:dyDescent="0.25">
      <c r="A101" t="s">
        <v>656</v>
      </c>
      <c r="B101">
        <v>24900</v>
      </c>
      <c r="C101">
        <v>0</v>
      </c>
      <c r="D101">
        <v>4</v>
      </c>
      <c r="E101">
        <v>24900</v>
      </c>
      <c r="F101">
        <v>400</v>
      </c>
      <c r="G101" t="b">
        <v>0</v>
      </c>
      <c r="H101">
        <v>400</v>
      </c>
    </row>
    <row r="102" spans="1:8" x14ac:dyDescent="0.25">
      <c r="A102" t="s">
        <v>657</v>
      </c>
      <c r="B102">
        <v>11000</v>
      </c>
      <c r="C102">
        <v>0</v>
      </c>
      <c r="D102">
        <v>6</v>
      </c>
      <c r="E102">
        <v>11000</v>
      </c>
      <c r="F102">
        <v>180</v>
      </c>
      <c r="G102" t="b">
        <v>0</v>
      </c>
      <c r="H102">
        <v>180</v>
      </c>
    </row>
    <row r="103" spans="1:8" x14ac:dyDescent="0.25">
      <c r="A103" t="s">
        <v>658</v>
      </c>
      <c r="B103">
        <v>7600</v>
      </c>
      <c r="C103">
        <v>3</v>
      </c>
      <c r="D103">
        <v>0</v>
      </c>
      <c r="E103">
        <v>7300</v>
      </c>
      <c r="F103">
        <v>200</v>
      </c>
      <c r="G103" t="b">
        <v>1</v>
      </c>
      <c r="H103">
        <v>200</v>
      </c>
    </row>
    <row r="104" spans="1:8" x14ac:dyDescent="0.25">
      <c r="A104" t="s">
        <v>659</v>
      </c>
      <c r="B104">
        <v>6600</v>
      </c>
      <c r="C104">
        <v>3</v>
      </c>
      <c r="D104">
        <v>0</v>
      </c>
      <c r="E104">
        <v>6400</v>
      </c>
      <c r="F104">
        <v>1000</v>
      </c>
      <c r="G104" t="b">
        <v>1</v>
      </c>
      <c r="H104">
        <v>1</v>
      </c>
    </row>
    <row r="105" spans="1:8" x14ac:dyDescent="0.25">
      <c r="A105" t="s">
        <v>113</v>
      </c>
      <c r="B105">
        <v>6300</v>
      </c>
      <c r="C105">
        <v>0</v>
      </c>
      <c r="D105">
        <v>0</v>
      </c>
      <c r="E105">
        <v>6300</v>
      </c>
      <c r="F105">
        <v>250</v>
      </c>
      <c r="G105" t="b">
        <v>1</v>
      </c>
      <c r="H105">
        <v>250</v>
      </c>
    </row>
    <row r="106" spans="1:8" x14ac:dyDescent="0.25">
      <c r="A106" t="s">
        <v>660</v>
      </c>
      <c r="B106">
        <v>2500</v>
      </c>
      <c r="C106">
        <v>4</v>
      </c>
      <c r="D106">
        <v>0</v>
      </c>
      <c r="E106">
        <v>2400</v>
      </c>
      <c r="F106">
        <v>250</v>
      </c>
      <c r="G106" t="b">
        <v>1</v>
      </c>
      <c r="H106">
        <v>250</v>
      </c>
    </row>
    <row r="107" spans="1:8" x14ac:dyDescent="0.25">
      <c r="A107" t="s">
        <v>661</v>
      </c>
      <c r="B107">
        <v>4000</v>
      </c>
      <c r="C107">
        <v>0</v>
      </c>
      <c r="D107">
        <v>0</v>
      </c>
      <c r="E107">
        <v>4000</v>
      </c>
      <c r="F107">
        <v>400</v>
      </c>
      <c r="G107" t="b">
        <v>1</v>
      </c>
      <c r="H107">
        <v>400</v>
      </c>
    </row>
    <row r="108" spans="1:8" x14ac:dyDescent="0.25">
      <c r="A108" t="s">
        <v>662</v>
      </c>
      <c r="B108">
        <v>7500</v>
      </c>
      <c r="C108">
        <v>0</v>
      </c>
      <c r="D108">
        <v>0</v>
      </c>
      <c r="E108">
        <v>7500</v>
      </c>
      <c r="F108">
        <v>1000</v>
      </c>
      <c r="G108" t="b">
        <v>1</v>
      </c>
      <c r="H108">
        <v>1</v>
      </c>
    </row>
    <row r="109" spans="1:8" x14ac:dyDescent="0.25">
      <c r="A109" t="s">
        <v>608</v>
      </c>
      <c r="B109">
        <v>7100</v>
      </c>
      <c r="C109">
        <v>1</v>
      </c>
      <c r="D109">
        <v>0</v>
      </c>
      <c r="E109">
        <v>7000</v>
      </c>
      <c r="F109">
        <v>100</v>
      </c>
      <c r="G109" t="b">
        <v>1</v>
      </c>
      <c r="H109">
        <v>100</v>
      </c>
    </row>
    <row r="110" spans="1:8" x14ac:dyDescent="0.25">
      <c r="A110" t="s">
        <v>663</v>
      </c>
      <c r="B110">
        <v>10000</v>
      </c>
      <c r="C110">
        <v>1</v>
      </c>
      <c r="D110">
        <v>0</v>
      </c>
      <c r="E110">
        <v>9900</v>
      </c>
      <c r="F110">
        <v>200</v>
      </c>
      <c r="G110" t="b">
        <v>1</v>
      </c>
      <c r="H110">
        <v>200</v>
      </c>
    </row>
    <row r="111" spans="1:8" x14ac:dyDescent="0.25">
      <c r="A111" t="s">
        <v>664</v>
      </c>
      <c r="B111">
        <v>3000</v>
      </c>
      <c r="C111">
        <v>0</v>
      </c>
      <c r="D111">
        <v>0</v>
      </c>
      <c r="E111">
        <v>3000</v>
      </c>
      <c r="F111">
        <v>150</v>
      </c>
      <c r="G111" t="b">
        <v>1</v>
      </c>
      <c r="H111">
        <v>150</v>
      </c>
    </row>
    <row r="112" spans="1:8" x14ac:dyDescent="0.25">
      <c r="A112" t="s">
        <v>665</v>
      </c>
      <c r="B112">
        <v>7800</v>
      </c>
      <c r="C112">
        <v>3</v>
      </c>
      <c r="D112">
        <v>0</v>
      </c>
      <c r="E112">
        <v>7500</v>
      </c>
      <c r="F112">
        <v>400</v>
      </c>
      <c r="G112" t="b">
        <v>1</v>
      </c>
      <c r="H112">
        <v>400</v>
      </c>
    </row>
    <row r="113" spans="1:8" x14ac:dyDescent="0.25">
      <c r="A113" t="s">
        <v>666</v>
      </c>
      <c r="B113">
        <v>3500</v>
      </c>
      <c r="C113">
        <v>0</v>
      </c>
      <c r="D113">
        <v>0</v>
      </c>
      <c r="E113">
        <v>3500</v>
      </c>
      <c r="F113">
        <v>300</v>
      </c>
      <c r="G113" t="b">
        <v>1</v>
      </c>
      <c r="H113">
        <v>300</v>
      </c>
    </row>
    <row r="114" spans="1:8" x14ac:dyDescent="0.25">
      <c r="A114" t="s">
        <v>667</v>
      </c>
      <c r="B114">
        <v>4000</v>
      </c>
      <c r="C114">
        <v>0</v>
      </c>
      <c r="D114">
        <v>0</v>
      </c>
      <c r="E114">
        <v>4000</v>
      </c>
      <c r="F114">
        <v>200</v>
      </c>
      <c r="G114" t="b">
        <v>1</v>
      </c>
      <c r="H114">
        <v>200</v>
      </c>
    </row>
    <row r="115" spans="1:8" x14ac:dyDescent="0.25">
      <c r="A115" t="s">
        <v>668</v>
      </c>
      <c r="B115">
        <v>8500</v>
      </c>
      <c r="C115">
        <v>0</v>
      </c>
      <c r="D115">
        <v>0</v>
      </c>
      <c r="E115">
        <v>8500</v>
      </c>
      <c r="F115">
        <v>200</v>
      </c>
      <c r="G115" t="b">
        <v>1</v>
      </c>
      <c r="H115">
        <v>200</v>
      </c>
    </row>
    <row r="116" spans="1:8" x14ac:dyDescent="0.25">
      <c r="A116" t="s">
        <v>669</v>
      </c>
      <c r="B116">
        <v>3000</v>
      </c>
      <c r="C116">
        <v>0</v>
      </c>
      <c r="D116">
        <v>0</v>
      </c>
      <c r="E116">
        <v>3000</v>
      </c>
      <c r="F116">
        <v>250</v>
      </c>
      <c r="G116" t="b">
        <v>1</v>
      </c>
      <c r="H116">
        <v>250</v>
      </c>
    </row>
    <row r="117" spans="1:8" x14ac:dyDescent="0.25">
      <c r="A117" t="s">
        <v>670</v>
      </c>
      <c r="B117">
        <v>6200</v>
      </c>
      <c r="C117">
        <v>0</v>
      </c>
      <c r="D117">
        <v>0</v>
      </c>
      <c r="E117">
        <v>6200</v>
      </c>
      <c r="F117">
        <v>696</v>
      </c>
      <c r="G117" t="b">
        <v>1</v>
      </c>
      <c r="H117">
        <v>12</v>
      </c>
    </row>
    <row r="118" spans="1:8" x14ac:dyDescent="0.25">
      <c r="A118" t="s">
        <v>671</v>
      </c>
      <c r="B118">
        <v>6500</v>
      </c>
      <c r="C118">
        <v>0</v>
      </c>
      <c r="D118">
        <v>0</v>
      </c>
      <c r="E118">
        <v>6500</v>
      </c>
      <c r="F118">
        <v>400</v>
      </c>
      <c r="G118" t="b">
        <v>1</v>
      </c>
      <c r="H118">
        <v>400</v>
      </c>
    </row>
    <row r="119" spans="1:8" x14ac:dyDescent="0.25">
      <c r="A119" t="s">
        <v>672</v>
      </c>
      <c r="B119">
        <v>8900</v>
      </c>
      <c r="C119">
        <v>0</v>
      </c>
      <c r="D119">
        <v>0</v>
      </c>
      <c r="E119">
        <v>8900</v>
      </c>
      <c r="F119">
        <v>1000</v>
      </c>
      <c r="G119" t="b">
        <v>1</v>
      </c>
      <c r="H119">
        <v>1</v>
      </c>
    </row>
    <row r="120" spans="1:8" x14ac:dyDescent="0.25">
      <c r="A120" t="s">
        <v>673</v>
      </c>
      <c r="B120">
        <v>12500</v>
      </c>
      <c r="C120">
        <v>5</v>
      </c>
      <c r="D120">
        <v>0</v>
      </c>
      <c r="E120">
        <v>11800</v>
      </c>
      <c r="F120">
        <v>200</v>
      </c>
      <c r="G120" t="b">
        <v>1</v>
      </c>
      <c r="H120">
        <v>200</v>
      </c>
    </row>
    <row r="121" spans="1:8" x14ac:dyDescent="0.25">
      <c r="A121" t="s">
        <v>674</v>
      </c>
      <c r="B121">
        <v>18500</v>
      </c>
      <c r="C121">
        <v>20</v>
      </c>
      <c r="D121">
        <v>0</v>
      </c>
      <c r="E121">
        <v>14800</v>
      </c>
      <c r="F121">
        <v>325</v>
      </c>
      <c r="G121" t="b">
        <v>1</v>
      </c>
      <c r="H121">
        <v>325</v>
      </c>
    </row>
    <row r="122" spans="1:8" x14ac:dyDescent="0.25">
      <c r="A122" t="s">
        <v>675</v>
      </c>
      <c r="B122">
        <v>8500</v>
      </c>
      <c r="C122">
        <v>3</v>
      </c>
      <c r="D122">
        <v>0</v>
      </c>
      <c r="E122">
        <v>8200</v>
      </c>
      <c r="F122">
        <v>200</v>
      </c>
      <c r="G122" t="b">
        <v>1</v>
      </c>
      <c r="H122">
        <v>200</v>
      </c>
    </row>
    <row r="123" spans="1:8" x14ac:dyDescent="0.25">
      <c r="A123" t="s">
        <v>676</v>
      </c>
      <c r="B123">
        <v>2000</v>
      </c>
      <c r="C123">
        <v>0</v>
      </c>
      <c r="D123">
        <v>0</v>
      </c>
      <c r="E123">
        <v>2000</v>
      </c>
      <c r="F123">
        <v>100</v>
      </c>
      <c r="G123" t="b">
        <v>1</v>
      </c>
      <c r="H123">
        <v>100</v>
      </c>
    </row>
    <row r="124" spans="1:8" x14ac:dyDescent="0.25">
      <c r="A124" t="s">
        <v>677</v>
      </c>
      <c r="B124">
        <v>10000</v>
      </c>
      <c r="C124">
        <v>5</v>
      </c>
      <c r="D124">
        <v>0</v>
      </c>
      <c r="E124">
        <v>9500</v>
      </c>
      <c r="F124">
        <v>140</v>
      </c>
      <c r="G124" t="b">
        <v>1</v>
      </c>
      <c r="H124">
        <v>140</v>
      </c>
    </row>
    <row r="125" spans="1:8" x14ac:dyDescent="0.25">
      <c r="A125" t="s">
        <v>587</v>
      </c>
      <c r="B125">
        <v>3000</v>
      </c>
      <c r="C125">
        <v>0</v>
      </c>
      <c r="D125">
        <v>0</v>
      </c>
      <c r="E125">
        <v>3000</v>
      </c>
      <c r="F125">
        <v>200</v>
      </c>
      <c r="G125" t="b">
        <v>1</v>
      </c>
      <c r="H125">
        <v>200</v>
      </c>
    </row>
    <row r="126" spans="1:8" x14ac:dyDescent="0.25">
      <c r="A126" t="s">
        <v>678</v>
      </c>
      <c r="B126">
        <v>7500</v>
      </c>
      <c r="C126">
        <v>17</v>
      </c>
      <c r="D126">
        <v>0</v>
      </c>
      <c r="E126">
        <v>6200</v>
      </c>
      <c r="F126">
        <v>348</v>
      </c>
      <c r="G126" t="b">
        <v>1</v>
      </c>
      <c r="H126">
        <v>6</v>
      </c>
    </row>
    <row r="127" spans="1:8" x14ac:dyDescent="0.25">
      <c r="A127" t="s">
        <v>679</v>
      </c>
      <c r="B127">
        <v>9900</v>
      </c>
      <c r="C127">
        <v>11</v>
      </c>
      <c r="D127">
        <v>0</v>
      </c>
      <c r="E127">
        <v>8800</v>
      </c>
      <c r="F127">
        <v>162</v>
      </c>
      <c r="G127" t="b">
        <v>1</v>
      </c>
      <c r="H127">
        <v>162</v>
      </c>
    </row>
    <row r="128" spans="1:8" x14ac:dyDescent="0.25">
      <c r="A128" t="s">
        <v>680</v>
      </c>
      <c r="B128">
        <v>8000</v>
      </c>
      <c r="C128">
        <v>0</v>
      </c>
      <c r="D128">
        <v>0</v>
      </c>
      <c r="E128">
        <v>8000</v>
      </c>
      <c r="F128">
        <v>200</v>
      </c>
      <c r="G128" t="b">
        <v>1</v>
      </c>
      <c r="H128">
        <v>200</v>
      </c>
    </row>
    <row r="129" spans="1:8" x14ac:dyDescent="0.25">
      <c r="A129" t="s">
        <v>681</v>
      </c>
      <c r="B129">
        <v>7200</v>
      </c>
      <c r="C129">
        <v>16</v>
      </c>
      <c r="D129">
        <v>0</v>
      </c>
      <c r="E129">
        <v>6000</v>
      </c>
      <c r="F129">
        <v>348</v>
      </c>
      <c r="G129" t="b">
        <v>1</v>
      </c>
      <c r="H129">
        <v>6</v>
      </c>
    </row>
    <row r="130" spans="1:8" x14ac:dyDescent="0.25">
      <c r="A130" t="s">
        <v>682</v>
      </c>
      <c r="B130">
        <v>29500</v>
      </c>
      <c r="C130">
        <v>50</v>
      </c>
      <c r="D130">
        <v>0</v>
      </c>
      <c r="E130">
        <v>14700</v>
      </c>
      <c r="F130">
        <v>200</v>
      </c>
      <c r="G130" t="b">
        <v>1</v>
      </c>
      <c r="H130">
        <v>200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H130"/>
  <sheetViews>
    <sheetView topLeftCell="A115"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575</v>
      </c>
      <c r="B2">
        <v>2500</v>
      </c>
      <c r="C2">
        <v>0</v>
      </c>
      <c r="D2">
        <v>4</v>
      </c>
      <c r="E2">
        <v>2500</v>
      </c>
      <c r="F2">
        <v>500</v>
      </c>
      <c r="G2" t="b">
        <v>0</v>
      </c>
      <c r="H2">
        <v>500</v>
      </c>
    </row>
    <row r="3" spans="1:8" x14ac:dyDescent="0.25">
      <c r="A3" t="s">
        <v>576</v>
      </c>
      <c r="B3">
        <v>3000</v>
      </c>
      <c r="C3">
        <v>3</v>
      </c>
      <c r="D3">
        <v>6</v>
      </c>
      <c r="E3">
        <v>2900</v>
      </c>
      <c r="F3">
        <v>400</v>
      </c>
      <c r="G3" t="b">
        <v>0</v>
      </c>
      <c r="H3">
        <v>400</v>
      </c>
    </row>
    <row r="4" spans="1:8" x14ac:dyDescent="0.25">
      <c r="A4" t="s">
        <v>577</v>
      </c>
      <c r="B4">
        <v>3100</v>
      </c>
      <c r="C4">
        <v>0</v>
      </c>
      <c r="D4">
        <v>4</v>
      </c>
      <c r="E4">
        <v>3100</v>
      </c>
      <c r="F4">
        <v>500</v>
      </c>
      <c r="G4" t="b">
        <v>0</v>
      </c>
      <c r="H4">
        <v>500</v>
      </c>
    </row>
    <row r="5" spans="1:8" x14ac:dyDescent="0.25">
      <c r="A5" t="s">
        <v>578</v>
      </c>
      <c r="B5">
        <v>5000</v>
      </c>
      <c r="C5">
        <v>2</v>
      </c>
      <c r="D5">
        <v>6</v>
      </c>
      <c r="E5">
        <v>4900</v>
      </c>
      <c r="F5">
        <v>100</v>
      </c>
      <c r="G5" t="b">
        <v>0</v>
      </c>
      <c r="H5">
        <v>100</v>
      </c>
    </row>
    <row r="6" spans="1:8" x14ac:dyDescent="0.25">
      <c r="A6" t="s">
        <v>579</v>
      </c>
      <c r="B6">
        <v>3300</v>
      </c>
      <c r="C6">
        <v>0</v>
      </c>
      <c r="D6">
        <v>4</v>
      </c>
      <c r="E6">
        <v>3300</v>
      </c>
      <c r="F6">
        <v>350</v>
      </c>
      <c r="G6" t="b">
        <v>0</v>
      </c>
      <c r="H6">
        <v>350</v>
      </c>
    </row>
    <row r="7" spans="1:8" x14ac:dyDescent="0.25">
      <c r="A7" t="s">
        <v>580</v>
      </c>
      <c r="B7">
        <v>3500</v>
      </c>
      <c r="C7">
        <v>2</v>
      </c>
      <c r="D7">
        <v>6</v>
      </c>
      <c r="E7">
        <v>3400</v>
      </c>
      <c r="F7">
        <v>400</v>
      </c>
      <c r="G7" t="b">
        <v>0</v>
      </c>
      <c r="H7">
        <v>400</v>
      </c>
    </row>
    <row r="8" spans="1:8" x14ac:dyDescent="0.25">
      <c r="A8" t="s">
        <v>98</v>
      </c>
      <c r="B8">
        <v>8000</v>
      </c>
      <c r="C8">
        <v>15</v>
      </c>
      <c r="D8">
        <v>6</v>
      </c>
      <c r="E8">
        <v>6800</v>
      </c>
      <c r="F8">
        <v>1000</v>
      </c>
      <c r="G8" t="b">
        <v>0</v>
      </c>
      <c r="H8">
        <v>1</v>
      </c>
    </row>
    <row r="9" spans="1:8" x14ac:dyDescent="0.25">
      <c r="A9" t="s">
        <v>581</v>
      </c>
      <c r="B9">
        <v>4500</v>
      </c>
      <c r="C9">
        <v>0</v>
      </c>
      <c r="D9">
        <v>4</v>
      </c>
      <c r="E9">
        <v>4500</v>
      </c>
      <c r="F9">
        <v>450</v>
      </c>
      <c r="G9" t="b">
        <v>0</v>
      </c>
      <c r="H9">
        <v>450</v>
      </c>
    </row>
    <row r="10" spans="1:8" x14ac:dyDescent="0.25">
      <c r="A10" t="s">
        <v>582</v>
      </c>
      <c r="B10">
        <v>4000</v>
      </c>
      <c r="C10">
        <v>0</v>
      </c>
      <c r="D10">
        <v>4</v>
      </c>
      <c r="E10">
        <v>4000</v>
      </c>
      <c r="F10">
        <v>450</v>
      </c>
      <c r="G10" t="b">
        <v>0</v>
      </c>
      <c r="H10">
        <v>450</v>
      </c>
    </row>
    <row r="11" spans="1:8" x14ac:dyDescent="0.25">
      <c r="A11" t="s">
        <v>583</v>
      </c>
      <c r="B11">
        <v>8900</v>
      </c>
      <c r="C11">
        <v>8</v>
      </c>
      <c r="D11">
        <v>6</v>
      </c>
      <c r="E11">
        <v>8100</v>
      </c>
      <c r="F11">
        <v>200</v>
      </c>
      <c r="G11" t="b">
        <v>0</v>
      </c>
      <c r="H11">
        <v>200</v>
      </c>
    </row>
    <row r="12" spans="1:8" x14ac:dyDescent="0.25">
      <c r="A12" t="s">
        <v>584</v>
      </c>
      <c r="B12">
        <v>10600</v>
      </c>
      <c r="C12">
        <v>4</v>
      </c>
      <c r="D12">
        <v>6</v>
      </c>
      <c r="E12">
        <v>10100</v>
      </c>
      <c r="F12">
        <v>200</v>
      </c>
      <c r="G12" t="b">
        <v>0</v>
      </c>
      <c r="H12">
        <v>200</v>
      </c>
    </row>
    <row r="13" spans="1:8" x14ac:dyDescent="0.25">
      <c r="A13" t="s">
        <v>585</v>
      </c>
      <c r="B13">
        <v>2200</v>
      </c>
      <c r="C13">
        <v>0</v>
      </c>
      <c r="D13">
        <v>4</v>
      </c>
      <c r="E13">
        <v>2200</v>
      </c>
      <c r="F13">
        <v>250</v>
      </c>
      <c r="G13" t="b">
        <v>0</v>
      </c>
      <c r="H13">
        <v>250</v>
      </c>
    </row>
    <row r="14" spans="1:8" x14ac:dyDescent="0.25">
      <c r="A14" t="s">
        <v>578</v>
      </c>
      <c r="B14">
        <v>24500</v>
      </c>
      <c r="C14">
        <v>2</v>
      </c>
      <c r="D14">
        <v>6</v>
      </c>
      <c r="E14">
        <v>24000</v>
      </c>
      <c r="F14">
        <v>500</v>
      </c>
      <c r="G14" t="b">
        <v>0</v>
      </c>
      <c r="H14">
        <v>500</v>
      </c>
    </row>
    <row r="15" spans="1:8" x14ac:dyDescent="0.25">
      <c r="A15" t="s">
        <v>100</v>
      </c>
      <c r="B15">
        <v>9700</v>
      </c>
      <c r="C15">
        <v>0</v>
      </c>
      <c r="D15">
        <v>4</v>
      </c>
      <c r="E15">
        <v>9700</v>
      </c>
      <c r="F15">
        <v>696</v>
      </c>
      <c r="G15" t="b">
        <v>0</v>
      </c>
      <c r="H15">
        <v>12</v>
      </c>
    </row>
    <row r="16" spans="1:8" x14ac:dyDescent="0.25">
      <c r="A16" t="s">
        <v>100</v>
      </c>
      <c r="B16">
        <v>6500</v>
      </c>
      <c r="C16">
        <v>15</v>
      </c>
      <c r="D16">
        <v>4</v>
      </c>
      <c r="E16">
        <v>5500</v>
      </c>
      <c r="F16">
        <v>348</v>
      </c>
      <c r="G16" t="b">
        <v>0</v>
      </c>
      <c r="H16">
        <v>6</v>
      </c>
    </row>
    <row r="17" spans="1:8" x14ac:dyDescent="0.25">
      <c r="A17" t="s">
        <v>586</v>
      </c>
      <c r="B17">
        <v>3500</v>
      </c>
      <c r="C17">
        <v>2</v>
      </c>
      <c r="D17">
        <v>6</v>
      </c>
      <c r="E17">
        <v>3400</v>
      </c>
      <c r="F17">
        <v>200</v>
      </c>
      <c r="G17" t="b">
        <v>0</v>
      </c>
      <c r="H17">
        <v>200</v>
      </c>
    </row>
    <row r="18" spans="1:8" x14ac:dyDescent="0.25">
      <c r="A18" t="s">
        <v>587</v>
      </c>
      <c r="B18">
        <v>1500</v>
      </c>
      <c r="C18">
        <v>0</v>
      </c>
      <c r="D18">
        <v>4</v>
      </c>
      <c r="E18">
        <v>1500</v>
      </c>
      <c r="F18">
        <v>100</v>
      </c>
      <c r="G18" t="b">
        <v>0</v>
      </c>
      <c r="H18">
        <v>100</v>
      </c>
    </row>
    <row r="19" spans="1:8" x14ac:dyDescent="0.25">
      <c r="A19" t="s">
        <v>588</v>
      </c>
      <c r="B19">
        <v>7500</v>
      </c>
      <c r="C19">
        <v>2</v>
      </c>
      <c r="D19">
        <v>6</v>
      </c>
      <c r="E19">
        <v>7300</v>
      </c>
      <c r="F19">
        <v>200</v>
      </c>
      <c r="G19" t="b">
        <v>0</v>
      </c>
      <c r="H19">
        <v>200</v>
      </c>
    </row>
    <row r="20" spans="1:8" x14ac:dyDescent="0.25">
      <c r="A20" t="s">
        <v>589</v>
      </c>
      <c r="B20">
        <v>10500</v>
      </c>
      <c r="C20">
        <v>5</v>
      </c>
      <c r="D20">
        <v>6</v>
      </c>
      <c r="E20">
        <v>9900</v>
      </c>
      <c r="F20">
        <v>200</v>
      </c>
      <c r="G20" t="b">
        <v>0</v>
      </c>
      <c r="H20">
        <v>200</v>
      </c>
    </row>
    <row r="21" spans="1:8" x14ac:dyDescent="0.25">
      <c r="A21" t="s">
        <v>590</v>
      </c>
      <c r="B21">
        <v>1700</v>
      </c>
      <c r="C21">
        <v>0</v>
      </c>
      <c r="D21">
        <v>3</v>
      </c>
      <c r="E21">
        <v>1700</v>
      </c>
      <c r="F21">
        <v>100</v>
      </c>
      <c r="G21" t="b">
        <v>0</v>
      </c>
      <c r="H21">
        <v>100</v>
      </c>
    </row>
    <row r="22" spans="1:8" x14ac:dyDescent="0.25">
      <c r="A22" t="s">
        <v>591</v>
      </c>
      <c r="B22">
        <v>12200</v>
      </c>
      <c r="C22">
        <v>1</v>
      </c>
      <c r="D22">
        <v>6</v>
      </c>
      <c r="E22">
        <v>12000</v>
      </c>
      <c r="F22">
        <v>200</v>
      </c>
      <c r="G22" t="b">
        <v>0</v>
      </c>
      <c r="H22">
        <v>200</v>
      </c>
    </row>
    <row r="23" spans="1:8" x14ac:dyDescent="0.25">
      <c r="A23" t="s">
        <v>592</v>
      </c>
      <c r="B23">
        <v>6000</v>
      </c>
      <c r="C23">
        <v>0</v>
      </c>
      <c r="D23">
        <v>6</v>
      </c>
      <c r="E23">
        <v>6000</v>
      </c>
      <c r="F23">
        <v>400</v>
      </c>
      <c r="G23" t="b">
        <v>0</v>
      </c>
      <c r="H23">
        <v>400</v>
      </c>
    </row>
    <row r="24" spans="1:8" x14ac:dyDescent="0.25">
      <c r="A24" t="s">
        <v>593</v>
      </c>
      <c r="B24">
        <v>3000</v>
      </c>
      <c r="C24">
        <v>0</v>
      </c>
      <c r="D24">
        <v>1</v>
      </c>
      <c r="E24">
        <v>3000</v>
      </c>
      <c r="F24">
        <v>400</v>
      </c>
      <c r="G24" t="b">
        <v>0</v>
      </c>
      <c r="H24">
        <v>400</v>
      </c>
    </row>
    <row r="25" spans="1:8" x14ac:dyDescent="0.25">
      <c r="A25" t="s">
        <v>594</v>
      </c>
      <c r="B25">
        <v>5500</v>
      </c>
      <c r="C25">
        <v>0</v>
      </c>
      <c r="D25">
        <v>4</v>
      </c>
      <c r="E25">
        <v>5500</v>
      </c>
      <c r="F25">
        <v>400</v>
      </c>
      <c r="G25" t="b">
        <v>0</v>
      </c>
      <c r="H25">
        <v>400</v>
      </c>
    </row>
    <row r="26" spans="1:8" x14ac:dyDescent="0.25">
      <c r="A26" t="s">
        <v>595</v>
      </c>
      <c r="B26">
        <v>10600</v>
      </c>
      <c r="C26">
        <v>0</v>
      </c>
      <c r="D26">
        <v>6</v>
      </c>
      <c r="E26">
        <v>10600</v>
      </c>
      <c r="F26">
        <v>200</v>
      </c>
      <c r="G26" t="b">
        <v>0</v>
      </c>
      <c r="H26">
        <v>200</v>
      </c>
    </row>
    <row r="27" spans="1:8" x14ac:dyDescent="0.25">
      <c r="A27" t="s">
        <v>586</v>
      </c>
      <c r="B27">
        <v>7000</v>
      </c>
      <c r="C27">
        <v>2</v>
      </c>
      <c r="D27">
        <v>6</v>
      </c>
      <c r="E27">
        <v>6800</v>
      </c>
      <c r="F27">
        <v>400</v>
      </c>
      <c r="G27" t="b">
        <v>0</v>
      </c>
      <c r="H27">
        <v>400</v>
      </c>
    </row>
    <row r="28" spans="1:8" x14ac:dyDescent="0.25">
      <c r="A28" t="s">
        <v>104</v>
      </c>
      <c r="B28">
        <v>8500</v>
      </c>
      <c r="C28">
        <v>7</v>
      </c>
      <c r="D28">
        <v>4</v>
      </c>
      <c r="E28">
        <v>7900</v>
      </c>
      <c r="F28">
        <v>348</v>
      </c>
      <c r="G28" t="b">
        <v>0</v>
      </c>
      <c r="H28">
        <v>6</v>
      </c>
    </row>
    <row r="29" spans="1:8" x14ac:dyDescent="0.25">
      <c r="A29" t="s">
        <v>596</v>
      </c>
      <c r="B29">
        <v>3000</v>
      </c>
      <c r="C29">
        <v>0</v>
      </c>
      <c r="D29">
        <v>6</v>
      </c>
      <c r="E29">
        <v>3000</v>
      </c>
      <c r="F29">
        <v>85</v>
      </c>
      <c r="G29" t="b">
        <v>0</v>
      </c>
      <c r="H29">
        <v>85</v>
      </c>
    </row>
    <row r="30" spans="1:8" x14ac:dyDescent="0.25">
      <c r="A30" t="s">
        <v>597</v>
      </c>
      <c r="B30">
        <v>24500</v>
      </c>
      <c r="C30">
        <v>2</v>
      </c>
      <c r="D30">
        <v>6</v>
      </c>
      <c r="E30">
        <v>24000</v>
      </c>
      <c r="F30">
        <v>500</v>
      </c>
      <c r="G30" t="b">
        <v>0</v>
      </c>
      <c r="H30">
        <v>500</v>
      </c>
    </row>
    <row r="31" spans="1:8" x14ac:dyDescent="0.25">
      <c r="A31" t="s">
        <v>598</v>
      </c>
      <c r="B31">
        <v>5900</v>
      </c>
      <c r="C31">
        <v>3</v>
      </c>
      <c r="D31">
        <v>6</v>
      </c>
      <c r="E31">
        <v>5700</v>
      </c>
      <c r="F31">
        <v>100</v>
      </c>
      <c r="G31" t="b">
        <v>0</v>
      </c>
      <c r="H31">
        <v>100</v>
      </c>
    </row>
    <row r="32" spans="1:8" x14ac:dyDescent="0.25">
      <c r="A32" t="s">
        <v>599</v>
      </c>
      <c r="B32">
        <v>4200</v>
      </c>
      <c r="C32">
        <v>0</v>
      </c>
      <c r="D32">
        <v>4</v>
      </c>
      <c r="E32">
        <v>4200</v>
      </c>
      <c r="F32">
        <v>400</v>
      </c>
      <c r="G32" t="b">
        <v>0</v>
      </c>
      <c r="H32">
        <v>400</v>
      </c>
    </row>
    <row r="33" spans="1:8" x14ac:dyDescent="0.25">
      <c r="A33" t="s">
        <v>113</v>
      </c>
      <c r="B33">
        <v>19700</v>
      </c>
      <c r="C33">
        <v>3</v>
      </c>
      <c r="D33">
        <v>3</v>
      </c>
      <c r="E33">
        <v>19100</v>
      </c>
      <c r="F33">
        <v>1000</v>
      </c>
      <c r="G33" t="b">
        <v>0</v>
      </c>
      <c r="H33">
        <v>1</v>
      </c>
    </row>
    <row r="34" spans="1:8" x14ac:dyDescent="0.25">
      <c r="A34" t="s">
        <v>600</v>
      </c>
      <c r="B34">
        <v>4500</v>
      </c>
      <c r="C34">
        <v>0</v>
      </c>
      <c r="D34">
        <v>6</v>
      </c>
      <c r="E34">
        <v>4500</v>
      </c>
      <c r="F34">
        <v>90</v>
      </c>
      <c r="G34" t="b">
        <v>0</v>
      </c>
      <c r="H34">
        <v>90</v>
      </c>
    </row>
    <row r="35" spans="1:8" x14ac:dyDescent="0.25">
      <c r="A35" t="s">
        <v>601</v>
      </c>
      <c r="B35">
        <v>3000</v>
      </c>
      <c r="C35">
        <v>0</v>
      </c>
      <c r="D35">
        <v>1</v>
      </c>
      <c r="E35">
        <v>3000</v>
      </c>
      <c r="F35">
        <v>150</v>
      </c>
      <c r="G35" t="b">
        <v>0</v>
      </c>
      <c r="H35">
        <v>150</v>
      </c>
    </row>
    <row r="36" spans="1:8" x14ac:dyDescent="0.25">
      <c r="A36" t="s">
        <v>602</v>
      </c>
      <c r="B36">
        <v>1800</v>
      </c>
      <c r="C36">
        <v>5</v>
      </c>
      <c r="D36">
        <v>6</v>
      </c>
      <c r="E36">
        <v>1700</v>
      </c>
      <c r="F36">
        <v>100</v>
      </c>
      <c r="G36" t="b">
        <v>0</v>
      </c>
      <c r="H36">
        <v>100</v>
      </c>
    </row>
    <row r="37" spans="1:8" x14ac:dyDescent="0.25">
      <c r="A37" t="s">
        <v>124</v>
      </c>
      <c r="B37">
        <v>5400</v>
      </c>
      <c r="C37">
        <v>5</v>
      </c>
      <c r="D37">
        <v>6</v>
      </c>
      <c r="E37">
        <v>5100</v>
      </c>
      <c r="F37">
        <v>200</v>
      </c>
      <c r="G37" t="b">
        <v>0</v>
      </c>
      <c r="H37">
        <v>200</v>
      </c>
    </row>
    <row r="38" spans="1:8" x14ac:dyDescent="0.25">
      <c r="A38" t="s">
        <v>603</v>
      </c>
      <c r="B38">
        <v>7800</v>
      </c>
      <c r="C38">
        <v>3</v>
      </c>
      <c r="D38">
        <v>5</v>
      </c>
      <c r="E38">
        <v>7500</v>
      </c>
      <c r="F38">
        <v>400</v>
      </c>
      <c r="G38" t="b">
        <v>0</v>
      </c>
      <c r="H38">
        <v>400</v>
      </c>
    </row>
    <row r="39" spans="1:8" x14ac:dyDescent="0.25">
      <c r="A39" t="s">
        <v>604</v>
      </c>
      <c r="B39">
        <v>6000</v>
      </c>
      <c r="C39">
        <v>5</v>
      </c>
      <c r="D39">
        <v>5</v>
      </c>
      <c r="E39">
        <v>5700</v>
      </c>
      <c r="F39">
        <v>200</v>
      </c>
      <c r="G39" t="b">
        <v>0</v>
      </c>
      <c r="H39">
        <v>200</v>
      </c>
    </row>
    <row r="40" spans="1:8" x14ac:dyDescent="0.25">
      <c r="A40" t="s">
        <v>602</v>
      </c>
      <c r="B40">
        <v>8800</v>
      </c>
      <c r="C40">
        <v>2</v>
      </c>
      <c r="D40">
        <v>2</v>
      </c>
      <c r="E40">
        <v>8600</v>
      </c>
      <c r="F40">
        <v>500</v>
      </c>
      <c r="G40" t="b">
        <v>0</v>
      </c>
      <c r="H40">
        <v>500</v>
      </c>
    </row>
    <row r="41" spans="1:8" x14ac:dyDescent="0.25">
      <c r="A41" t="s">
        <v>144</v>
      </c>
      <c r="B41">
        <v>5600</v>
      </c>
      <c r="C41">
        <v>3</v>
      </c>
      <c r="D41">
        <v>4</v>
      </c>
      <c r="E41">
        <v>5400</v>
      </c>
      <c r="F41">
        <v>200</v>
      </c>
      <c r="G41" t="b">
        <v>0</v>
      </c>
      <c r="H41">
        <v>200</v>
      </c>
    </row>
    <row r="42" spans="1:8" x14ac:dyDescent="0.25">
      <c r="A42" t="s">
        <v>148</v>
      </c>
      <c r="B42">
        <v>11000</v>
      </c>
      <c r="C42">
        <v>13</v>
      </c>
      <c r="D42">
        <v>4</v>
      </c>
      <c r="E42">
        <v>9500</v>
      </c>
      <c r="F42">
        <v>348</v>
      </c>
      <c r="G42" t="b">
        <v>0</v>
      </c>
      <c r="H42">
        <v>6</v>
      </c>
    </row>
    <row r="43" spans="1:8" x14ac:dyDescent="0.25">
      <c r="A43" t="s">
        <v>605</v>
      </c>
      <c r="B43">
        <v>8500</v>
      </c>
      <c r="C43">
        <v>3</v>
      </c>
      <c r="D43">
        <v>6</v>
      </c>
      <c r="E43">
        <v>8200</v>
      </c>
      <c r="F43">
        <v>200</v>
      </c>
      <c r="G43" t="b">
        <v>0</v>
      </c>
      <c r="H43">
        <v>200</v>
      </c>
    </row>
    <row r="44" spans="1:8" x14ac:dyDescent="0.25">
      <c r="A44" t="s">
        <v>606</v>
      </c>
      <c r="B44">
        <v>8500</v>
      </c>
      <c r="C44">
        <v>5</v>
      </c>
      <c r="D44">
        <v>6</v>
      </c>
      <c r="E44">
        <v>8000</v>
      </c>
      <c r="F44">
        <v>180</v>
      </c>
      <c r="G44" t="b">
        <v>0</v>
      </c>
      <c r="H44">
        <v>180</v>
      </c>
    </row>
    <row r="45" spans="1:8" x14ac:dyDescent="0.25">
      <c r="A45" t="s">
        <v>607</v>
      </c>
      <c r="B45">
        <v>4000</v>
      </c>
      <c r="C45">
        <v>0</v>
      </c>
      <c r="D45">
        <v>1</v>
      </c>
      <c r="E45">
        <v>4000</v>
      </c>
      <c r="F45">
        <v>200</v>
      </c>
      <c r="G45" t="b">
        <v>0</v>
      </c>
      <c r="H45">
        <v>200</v>
      </c>
    </row>
    <row r="46" spans="1:8" x14ac:dyDescent="0.25">
      <c r="A46" t="s">
        <v>608</v>
      </c>
      <c r="B46">
        <v>36000</v>
      </c>
      <c r="C46">
        <v>0</v>
      </c>
      <c r="D46">
        <v>1</v>
      </c>
      <c r="E46">
        <v>35900</v>
      </c>
      <c r="F46">
        <v>750</v>
      </c>
      <c r="G46" t="b">
        <v>0</v>
      </c>
      <c r="H46">
        <v>750</v>
      </c>
    </row>
    <row r="47" spans="1:8" x14ac:dyDescent="0.25">
      <c r="A47" t="s">
        <v>609</v>
      </c>
      <c r="B47">
        <v>7200</v>
      </c>
      <c r="C47">
        <v>13</v>
      </c>
      <c r="D47">
        <v>3</v>
      </c>
      <c r="E47">
        <v>6200</v>
      </c>
      <c r="F47">
        <v>348</v>
      </c>
      <c r="G47" t="b">
        <v>0</v>
      </c>
      <c r="H47">
        <v>6</v>
      </c>
    </row>
    <row r="48" spans="1:8" x14ac:dyDescent="0.25">
      <c r="A48" t="s">
        <v>610</v>
      </c>
      <c r="B48">
        <v>7500</v>
      </c>
      <c r="C48">
        <v>4</v>
      </c>
      <c r="D48">
        <v>1</v>
      </c>
      <c r="E48">
        <v>7200</v>
      </c>
      <c r="F48">
        <v>200</v>
      </c>
      <c r="G48" t="b">
        <v>0</v>
      </c>
      <c r="H48">
        <v>200</v>
      </c>
    </row>
    <row r="49" spans="1:8" x14ac:dyDescent="0.25">
      <c r="A49" t="s">
        <v>189</v>
      </c>
      <c r="B49">
        <v>21000</v>
      </c>
      <c r="C49">
        <v>0</v>
      </c>
      <c r="D49">
        <v>4</v>
      </c>
      <c r="E49">
        <v>21000</v>
      </c>
      <c r="F49">
        <v>400</v>
      </c>
      <c r="G49" t="b">
        <v>0</v>
      </c>
      <c r="H49">
        <v>400</v>
      </c>
    </row>
    <row r="50" spans="1:8" x14ac:dyDescent="0.25">
      <c r="A50" t="s">
        <v>611</v>
      </c>
      <c r="B50">
        <v>10900</v>
      </c>
      <c r="C50">
        <v>4</v>
      </c>
      <c r="D50">
        <v>6</v>
      </c>
      <c r="E50">
        <v>10400</v>
      </c>
      <c r="F50">
        <v>200</v>
      </c>
      <c r="G50" t="b">
        <v>0</v>
      </c>
      <c r="H50">
        <v>200</v>
      </c>
    </row>
    <row r="51" spans="1:8" x14ac:dyDescent="0.25">
      <c r="A51" t="s">
        <v>199</v>
      </c>
      <c r="B51">
        <v>11000</v>
      </c>
      <c r="C51">
        <v>4</v>
      </c>
      <c r="D51">
        <v>6</v>
      </c>
      <c r="E51">
        <v>10500</v>
      </c>
      <c r="F51">
        <v>250</v>
      </c>
      <c r="G51" t="b">
        <v>0</v>
      </c>
      <c r="H51">
        <v>500</v>
      </c>
    </row>
    <row r="52" spans="1:8" x14ac:dyDescent="0.25">
      <c r="A52" t="s">
        <v>612</v>
      </c>
      <c r="B52">
        <v>4000</v>
      </c>
      <c r="C52">
        <v>2</v>
      </c>
      <c r="D52">
        <v>5</v>
      </c>
      <c r="E52">
        <v>3900</v>
      </c>
      <c r="F52">
        <v>100</v>
      </c>
      <c r="G52" t="b">
        <v>0</v>
      </c>
      <c r="H52">
        <v>100</v>
      </c>
    </row>
    <row r="53" spans="1:8" x14ac:dyDescent="0.25">
      <c r="A53" t="s">
        <v>613</v>
      </c>
      <c r="B53">
        <v>14000</v>
      </c>
      <c r="C53">
        <v>5</v>
      </c>
      <c r="D53">
        <v>6</v>
      </c>
      <c r="E53">
        <v>13300</v>
      </c>
      <c r="F53">
        <v>200</v>
      </c>
      <c r="G53" t="b">
        <v>0</v>
      </c>
      <c r="H53">
        <v>200</v>
      </c>
    </row>
    <row r="54" spans="1:8" x14ac:dyDescent="0.25">
      <c r="A54" t="s">
        <v>222</v>
      </c>
      <c r="B54">
        <v>9900</v>
      </c>
      <c r="C54">
        <v>5</v>
      </c>
      <c r="D54">
        <v>6</v>
      </c>
      <c r="E54">
        <v>9400</v>
      </c>
      <c r="F54">
        <v>165</v>
      </c>
      <c r="G54" t="b">
        <v>0</v>
      </c>
      <c r="H54">
        <v>165</v>
      </c>
    </row>
    <row r="55" spans="1:8" x14ac:dyDescent="0.25">
      <c r="A55" t="s">
        <v>614</v>
      </c>
      <c r="B55">
        <v>27500</v>
      </c>
      <c r="C55">
        <v>50</v>
      </c>
      <c r="D55">
        <v>4</v>
      </c>
      <c r="E55">
        <v>13700</v>
      </c>
      <c r="F55">
        <v>200</v>
      </c>
      <c r="G55" t="b">
        <v>0</v>
      </c>
      <c r="H55">
        <v>200</v>
      </c>
    </row>
    <row r="56" spans="1:8" x14ac:dyDescent="0.25">
      <c r="A56" t="s">
        <v>615</v>
      </c>
      <c r="B56">
        <v>10000</v>
      </c>
      <c r="C56">
        <v>5</v>
      </c>
      <c r="D56">
        <v>4</v>
      </c>
      <c r="E56">
        <v>9500</v>
      </c>
      <c r="F56">
        <v>100</v>
      </c>
      <c r="G56" t="b">
        <v>0</v>
      </c>
      <c r="H56">
        <v>100</v>
      </c>
    </row>
    <row r="57" spans="1:8" x14ac:dyDescent="0.25">
      <c r="A57" t="s">
        <v>616</v>
      </c>
      <c r="B57">
        <v>7200</v>
      </c>
      <c r="C57">
        <v>13</v>
      </c>
      <c r="D57">
        <v>4</v>
      </c>
      <c r="E57">
        <v>6200</v>
      </c>
      <c r="F57">
        <v>348</v>
      </c>
      <c r="G57" t="b">
        <v>0</v>
      </c>
      <c r="H57">
        <v>6</v>
      </c>
    </row>
    <row r="58" spans="1:8" x14ac:dyDescent="0.25">
      <c r="A58" t="s">
        <v>617</v>
      </c>
      <c r="B58">
        <v>10000</v>
      </c>
      <c r="C58">
        <v>5</v>
      </c>
      <c r="D58">
        <v>6</v>
      </c>
      <c r="E58">
        <v>9500</v>
      </c>
      <c r="F58">
        <v>160</v>
      </c>
      <c r="G58" t="b">
        <v>0</v>
      </c>
      <c r="H58">
        <v>160</v>
      </c>
    </row>
    <row r="59" spans="1:8" x14ac:dyDescent="0.25">
      <c r="A59" t="s">
        <v>618</v>
      </c>
      <c r="B59">
        <v>20000</v>
      </c>
      <c r="C59">
        <v>0</v>
      </c>
      <c r="D59">
        <v>1</v>
      </c>
      <c r="E59">
        <v>20000</v>
      </c>
      <c r="F59">
        <v>400</v>
      </c>
      <c r="G59" t="b">
        <v>0</v>
      </c>
      <c r="H59">
        <v>400</v>
      </c>
    </row>
    <row r="60" spans="1:8" x14ac:dyDescent="0.25">
      <c r="A60" t="s">
        <v>619</v>
      </c>
      <c r="B60">
        <v>24500</v>
      </c>
      <c r="C60">
        <v>2</v>
      </c>
      <c r="D60">
        <v>6</v>
      </c>
      <c r="E60">
        <v>23800</v>
      </c>
      <c r="F60">
        <v>500</v>
      </c>
      <c r="G60" t="b">
        <v>0</v>
      </c>
      <c r="H60">
        <v>500</v>
      </c>
    </row>
    <row r="61" spans="1:8" x14ac:dyDescent="0.25">
      <c r="A61" t="s">
        <v>620</v>
      </c>
      <c r="B61">
        <v>23500</v>
      </c>
      <c r="C61">
        <v>25</v>
      </c>
      <c r="D61">
        <v>6</v>
      </c>
      <c r="E61">
        <v>17400</v>
      </c>
      <c r="F61">
        <v>325</v>
      </c>
      <c r="G61" t="b">
        <v>0</v>
      </c>
      <c r="H61">
        <v>325</v>
      </c>
    </row>
    <row r="62" spans="1:8" x14ac:dyDescent="0.25">
      <c r="A62" t="s">
        <v>621</v>
      </c>
      <c r="B62">
        <v>15500</v>
      </c>
      <c r="C62">
        <v>0</v>
      </c>
      <c r="D62">
        <v>2</v>
      </c>
      <c r="E62">
        <v>15500</v>
      </c>
      <c r="F62">
        <v>200</v>
      </c>
      <c r="G62" t="b">
        <v>0</v>
      </c>
      <c r="H62">
        <v>200</v>
      </c>
    </row>
    <row r="63" spans="1:8" x14ac:dyDescent="0.25">
      <c r="A63" t="s">
        <v>622</v>
      </c>
      <c r="B63">
        <v>30000</v>
      </c>
      <c r="C63">
        <v>33</v>
      </c>
      <c r="D63">
        <v>4</v>
      </c>
      <c r="E63">
        <v>19900</v>
      </c>
      <c r="F63">
        <v>1000</v>
      </c>
      <c r="G63" t="b">
        <v>0</v>
      </c>
      <c r="H63">
        <v>1</v>
      </c>
    </row>
    <row r="64" spans="1:8" x14ac:dyDescent="0.25">
      <c r="A64" t="s">
        <v>623</v>
      </c>
      <c r="B64">
        <v>9900</v>
      </c>
      <c r="C64">
        <v>5</v>
      </c>
      <c r="D64">
        <v>6</v>
      </c>
      <c r="E64">
        <v>9400</v>
      </c>
      <c r="F64">
        <v>200</v>
      </c>
      <c r="G64" t="b">
        <v>0</v>
      </c>
      <c r="H64">
        <v>200</v>
      </c>
    </row>
    <row r="65" spans="1:8" x14ac:dyDescent="0.25">
      <c r="A65" t="s">
        <v>624</v>
      </c>
      <c r="B65">
        <v>7000</v>
      </c>
      <c r="C65">
        <v>0</v>
      </c>
      <c r="D65">
        <v>4</v>
      </c>
      <c r="E65">
        <v>7000</v>
      </c>
      <c r="F65">
        <v>200</v>
      </c>
      <c r="G65" t="b">
        <v>0</v>
      </c>
      <c r="H65">
        <v>200</v>
      </c>
    </row>
    <row r="66" spans="1:8" x14ac:dyDescent="0.25">
      <c r="A66" t="s">
        <v>625</v>
      </c>
      <c r="B66">
        <v>7500</v>
      </c>
      <c r="C66">
        <v>0</v>
      </c>
      <c r="D66">
        <v>5</v>
      </c>
      <c r="E66">
        <v>7500</v>
      </c>
      <c r="F66">
        <v>200</v>
      </c>
      <c r="G66" t="b">
        <v>0</v>
      </c>
      <c r="H66">
        <v>200</v>
      </c>
    </row>
    <row r="67" spans="1:8" x14ac:dyDescent="0.25">
      <c r="A67" t="s">
        <v>626</v>
      </c>
      <c r="B67">
        <v>16900</v>
      </c>
      <c r="C67">
        <v>4</v>
      </c>
      <c r="D67">
        <v>4</v>
      </c>
      <c r="E67">
        <v>16100</v>
      </c>
      <c r="F67">
        <v>150</v>
      </c>
      <c r="G67" t="b">
        <v>0</v>
      </c>
      <c r="H67">
        <v>150</v>
      </c>
    </row>
    <row r="68" spans="1:8" x14ac:dyDescent="0.25">
      <c r="A68" t="s">
        <v>627</v>
      </c>
      <c r="B68">
        <v>19900</v>
      </c>
      <c r="C68">
        <v>5</v>
      </c>
      <c r="D68">
        <v>6</v>
      </c>
      <c r="E68">
        <v>18900</v>
      </c>
      <c r="F68">
        <v>200</v>
      </c>
      <c r="G68" t="b">
        <v>0</v>
      </c>
      <c r="H68">
        <v>200</v>
      </c>
    </row>
    <row r="69" spans="1:8" x14ac:dyDescent="0.25">
      <c r="A69" t="s">
        <v>628</v>
      </c>
      <c r="B69">
        <v>7200</v>
      </c>
      <c r="C69">
        <v>13</v>
      </c>
      <c r="D69">
        <v>4</v>
      </c>
      <c r="E69">
        <v>6200</v>
      </c>
      <c r="F69">
        <v>348</v>
      </c>
      <c r="G69" t="b">
        <v>0</v>
      </c>
      <c r="H69">
        <v>6</v>
      </c>
    </row>
    <row r="70" spans="1:8" x14ac:dyDescent="0.25">
      <c r="A70" t="s">
        <v>629</v>
      </c>
      <c r="B70">
        <v>9900</v>
      </c>
      <c r="C70">
        <v>5</v>
      </c>
      <c r="D70">
        <v>6</v>
      </c>
      <c r="E70">
        <v>9400</v>
      </c>
      <c r="F70">
        <v>200</v>
      </c>
      <c r="G70" t="b">
        <v>0</v>
      </c>
      <c r="H70">
        <v>200</v>
      </c>
    </row>
    <row r="71" spans="1:8" x14ac:dyDescent="0.25">
      <c r="A71" t="s">
        <v>630</v>
      </c>
      <c r="B71">
        <v>14000</v>
      </c>
      <c r="C71">
        <v>5</v>
      </c>
      <c r="D71">
        <v>6</v>
      </c>
      <c r="E71">
        <v>13300</v>
      </c>
      <c r="F71">
        <v>200</v>
      </c>
      <c r="G71" t="b">
        <v>0</v>
      </c>
      <c r="H71">
        <v>200</v>
      </c>
    </row>
    <row r="72" spans="1:8" x14ac:dyDescent="0.25">
      <c r="A72" t="s">
        <v>631</v>
      </c>
      <c r="B72">
        <v>29500</v>
      </c>
      <c r="C72">
        <v>50</v>
      </c>
      <c r="D72">
        <v>6</v>
      </c>
      <c r="E72">
        <v>14700</v>
      </c>
      <c r="F72">
        <v>200</v>
      </c>
      <c r="G72" t="b">
        <v>0</v>
      </c>
      <c r="H72">
        <v>200</v>
      </c>
    </row>
    <row r="73" spans="1:8" x14ac:dyDescent="0.25">
      <c r="A73" t="s">
        <v>632</v>
      </c>
      <c r="B73">
        <v>21500</v>
      </c>
      <c r="C73">
        <v>9</v>
      </c>
      <c r="D73">
        <v>6</v>
      </c>
      <c r="E73">
        <v>19400</v>
      </c>
      <c r="F73">
        <v>325</v>
      </c>
      <c r="G73" t="b">
        <v>0</v>
      </c>
      <c r="H73">
        <v>325</v>
      </c>
    </row>
    <row r="74" spans="1:8" x14ac:dyDescent="0.25">
      <c r="A74" t="s">
        <v>633</v>
      </c>
      <c r="B74">
        <v>12000</v>
      </c>
      <c r="C74">
        <v>43</v>
      </c>
      <c r="D74">
        <v>4</v>
      </c>
      <c r="E74">
        <v>6800</v>
      </c>
      <c r="F74">
        <v>348</v>
      </c>
      <c r="G74" t="b">
        <v>0</v>
      </c>
      <c r="H74">
        <v>6</v>
      </c>
    </row>
    <row r="75" spans="1:8" x14ac:dyDescent="0.25">
      <c r="A75" t="s">
        <v>326</v>
      </c>
      <c r="B75">
        <v>15000</v>
      </c>
      <c r="C75">
        <v>4</v>
      </c>
      <c r="D75">
        <v>4</v>
      </c>
      <c r="E75">
        <v>14300</v>
      </c>
      <c r="F75">
        <v>400</v>
      </c>
      <c r="G75" t="b">
        <v>0</v>
      </c>
      <c r="H75">
        <v>400</v>
      </c>
    </row>
    <row r="76" spans="1:8" x14ac:dyDescent="0.25">
      <c r="A76" t="s">
        <v>634</v>
      </c>
      <c r="B76">
        <v>27500</v>
      </c>
      <c r="C76">
        <v>50</v>
      </c>
      <c r="D76">
        <v>6</v>
      </c>
      <c r="E76">
        <v>13700</v>
      </c>
      <c r="F76">
        <v>200</v>
      </c>
      <c r="G76" t="b">
        <v>0</v>
      </c>
      <c r="H76">
        <v>200</v>
      </c>
    </row>
    <row r="77" spans="1:8" x14ac:dyDescent="0.25">
      <c r="A77" t="s">
        <v>635</v>
      </c>
      <c r="B77">
        <v>14500</v>
      </c>
      <c r="C77">
        <v>5</v>
      </c>
      <c r="D77">
        <v>6</v>
      </c>
      <c r="E77">
        <v>13700</v>
      </c>
      <c r="F77">
        <v>200</v>
      </c>
      <c r="G77" t="b">
        <v>0</v>
      </c>
      <c r="H77">
        <v>200</v>
      </c>
    </row>
    <row r="78" spans="1:8" x14ac:dyDescent="0.25">
      <c r="A78" t="s">
        <v>636</v>
      </c>
      <c r="B78">
        <v>27500</v>
      </c>
      <c r="C78">
        <v>50</v>
      </c>
      <c r="D78">
        <v>6</v>
      </c>
      <c r="E78">
        <v>13700</v>
      </c>
      <c r="F78">
        <v>200</v>
      </c>
      <c r="G78" t="b">
        <v>0</v>
      </c>
      <c r="H78">
        <v>200</v>
      </c>
    </row>
    <row r="79" spans="1:8" x14ac:dyDescent="0.25">
      <c r="A79" t="s">
        <v>637</v>
      </c>
      <c r="B79">
        <v>15000</v>
      </c>
      <c r="C79">
        <v>0</v>
      </c>
      <c r="D79">
        <v>4</v>
      </c>
      <c r="E79">
        <v>15000</v>
      </c>
      <c r="F79">
        <v>200</v>
      </c>
      <c r="G79" t="b">
        <v>0</v>
      </c>
      <c r="H79">
        <v>200</v>
      </c>
    </row>
    <row r="80" spans="1:8" x14ac:dyDescent="0.25">
      <c r="A80" t="s">
        <v>638</v>
      </c>
      <c r="B80">
        <v>22900</v>
      </c>
      <c r="C80">
        <v>10</v>
      </c>
      <c r="D80">
        <v>6</v>
      </c>
      <c r="E80">
        <v>20600</v>
      </c>
      <c r="F80">
        <v>400</v>
      </c>
      <c r="G80" t="b">
        <v>0</v>
      </c>
      <c r="H80">
        <v>400</v>
      </c>
    </row>
    <row r="81" spans="1:8" x14ac:dyDescent="0.25">
      <c r="A81" t="s">
        <v>639</v>
      </c>
      <c r="B81">
        <v>25000</v>
      </c>
      <c r="C81">
        <v>50</v>
      </c>
      <c r="D81">
        <v>4</v>
      </c>
      <c r="E81">
        <v>12500</v>
      </c>
      <c r="F81">
        <v>200</v>
      </c>
      <c r="G81" t="b">
        <v>0</v>
      </c>
      <c r="H81">
        <v>200</v>
      </c>
    </row>
    <row r="82" spans="1:8" x14ac:dyDescent="0.25">
      <c r="A82" t="s">
        <v>640</v>
      </c>
      <c r="B82">
        <v>23500</v>
      </c>
      <c r="C82">
        <v>20</v>
      </c>
      <c r="D82">
        <v>5</v>
      </c>
      <c r="E82">
        <v>18800</v>
      </c>
      <c r="F82">
        <v>325</v>
      </c>
      <c r="G82" t="b">
        <v>0</v>
      </c>
      <c r="H82">
        <v>325</v>
      </c>
    </row>
    <row r="83" spans="1:8" x14ac:dyDescent="0.25">
      <c r="A83" t="s">
        <v>641</v>
      </c>
      <c r="B83">
        <v>12500</v>
      </c>
      <c r="C83">
        <v>5</v>
      </c>
      <c r="D83">
        <v>6</v>
      </c>
      <c r="E83">
        <v>11800</v>
      </c>
      <c r="F83">
        <v>200</v>
      </c>
      <c r="G83" t="b">
        <v>0</v>
      </c>
      <c r="H83">
        <v>200</v>
      </c>
    </row>
    <row r="84" spans="1:8" x14ac:dyDescent="0.25">
      <c r="A84" t="s">
        <v>642</v>
      </c>
      <c r="B84">
        <v>16900</v>
      </c>
      <c r="C84">
        <v>7</v>
      </c>
      <c r="D84">
        <v>1</v>
      </c>
      <c r="E84">
        <v>15600</v>
      </c>
      <c r="F84">
        <v>400</v>
      </c>
      <c r="G84" t="b">
        <v>0</v>
      </c>
      <c r="H84">
        <v>400</v>
      </c>
    </row>
    <row r="85" spans="1:8" x14ac:dyDescent="0.25">
      <c r="A85" t="s">
        <v>643</v>
      </c>
      <c r="B85">
        <v>23500</v>
      </c>
      <c r="C85">
        <v>1</v>
      </c>
      <c r="D85">
        <v>6</v>
      </c>
      <c r="E85">
        <v>23200</v>
      </c>
      <c r="F85">
        <v>500</v>
      </c>
      <c r="G85" t="b">
        <v>0</v>
      </c>
      <c r="H85">
        <v>500</v>
      </c>
    </row>
    <row r="86" spans="1:8" x14ac:dyDescent="0.25">
      <c r="A86" t="s">
        <v>644</v>
      </c>
      <c r="B86">
        <v>9900</v>
      </c>
      <c r="C86">
        <v>5</v>
      </c>
      <c r="D86">
        <v>6</v>
      </c>
      <c r="E86">
        <v>9400</v>
      </c>
      <c r="F86">
        <v>200</v>
      </c>
      <c r="G86" t="b">
        <v>0</v>
      </c>
      <c r="H86">
        <v>200</v>
      </c>
    </row>
    <row r="87" spans="1:8" x14ac:dyDescent="0.25">
      <c r="A87" t="s">
        <v>369</v>
      </c>
      <c r="B87">
        <v>23500</v>
      </c>
      <c r="C87">
        <v>27</v>
      </c>
      <c r="D87">
        <v>5</v>
      </c>
      <c r="E87">
        <v>17100</v>
      </c>
      <c r="F87">
        <v>1000</v>
      </c>
      <c r="G87" t="b">
        <v>0</v>
      </c>
      <c r="H87">
        <v>1</v>
      </c>
    </row>
    <row r="88" spans="1:8" x14ac:dyDescent="0.25">
      <c r="A88" t="s">
        <v>403</v>
      </c>
      <c r="B88">
        <v>38000</v>
      </c>
      <c r="C88">
        <v>2</v>
      </c>
      <c r="D88">
        <v>4</v>
      </c>
      <c r="E88">
        <v>37200</v>
      </c>
      <c r="F88">
        <v>1000</v>
      </c>
      <c r="G88" t="b">
        <v>0</v>
      </c>
      <c r="H88">
        <v>1</v>
      </c>
    </row>
    <row r="89" spans="1:8" x14ac:dyDescent="0.25">
      <c r="A89" t="s">
        <v>645</v>
      </c>
      <c r="B89">
        <v>11000</v>
      </c>
      <c r="C89">
        <v>0</v>
      </c>
      <c r="D89">
        <v>6</v>
      </c>
      <c r="E89">
        <v>11000</v>
      </c>
      <c r="F89">
        <v>120</v>
      </c>
      <c r="G89" t="b">
        <v>0</v>
      </c>
      <c r="H89">
        <v>120</v>
      </c>
    </row>
    <row r="90" spans="1:8" x14ac:dyDescent="0.25">
      <c r="A90" t="s">
        <v>646</v>
      </c>
      <c r="B90">
        <v>21500</v>
      </c>
      <c r="C90">
        <v>20</v>
      </c>
      <c r="D90">
        <v>6</v>
      </c>
      <c r="E90">
        <v>17200</v>
      </c>
      <c r="F90">
        <v>325</v>
      </c>
      <c r="G90" t="b">
        <v>0</v>
      </c>
      <c r="H90">
        <v>325</v>
      </c>
    </row>
    <row r="91" spans="1:8" x14ac:dyDescent="0.25">
      <c r="A91" t="s">
        <v>647</v>
      </c>
      <c r="B91">
        <v>12500</v>
      </c>
      <c r="C91">
        <v>4</v>
      </c>
      <c r="D91">
        <v>6</v>
      </c>
      <c r="E91">
        <v>11900</v>
      </c>
      <c r="F91">
        <v>200</v>
      </c>
      <c r="G91" t="b">
        <v>0</v>
      </c>
      <c r="H91">
        <v>200</v>
      </c>
    </row>
    <row r="92" spans="1:8" x14ac:dyDescent="0.25">
      <c r="A92" t="s">
        <v>648</v>
      </c>
      <c r="B92">
        <v>24900</v>
      </c>
      <c r="C92">
        <v>4</v>
      </c>
      <c r="D92">
        <v>6</v>
      </c>
      <c r="E92">
        <v>23700</v>
      </c>
      <c r="F92">
        <v>400</v>
      </c>
      <c r="G92" t="b">
        <v>0</v>
      </c>
      <c r="H92">
        <v>400</v>
      </c>
    </row>
    <row r="93" spans="1:8" x14ac:dyDescent="0.25">
      <c r="A93" t="s">
        <v>649</v>
      </c>
      <c r="B93">
        <v>34500</v>
      </c>
      <c r="C93">
        <v>31</v>
      </c>
      <c r="D93">
        <v>6</v>
      </c>
      <c r="E93">
        <v>23700</v>
      </c>
      <c r="F93">
        <v>100</v>
      </c>
      <c r="G93" t="b">
        <v>0</v>
      </c>
      <c r="H93">
        <v>100</v>
      </c>
    </row>
    <row r="94" spans="1:8" x14ac:dyDescent="0.25">
      <c r="A94" t="s">
        <v>650</v>
      </c>
      <c r="B94">
        <v>35500</v>
      </c>
      <c r="C94">
        <v>50</v>
      </c>
      <c r="D94">
        <v>6</v>
      </c>
      <c r="E94">
        <v>17700</v>
      </c>
      <c r="F94">
        <v>200</v>
      </c>
      <c r="G94" t="b">
        <v>0</v>
      </c>
      <c r="H94">
        <v>200</v>
      </c>
    </row>
    <row r="95" spans="1:8" x14ac:dyDescent="0.25">
      <c r="A95" t="s">
        <v>651</v>
      </c>
      <c r="B95">
        <v>19900</v>
      </c>
      <c r="C95">
        <v>5</v>
      </c>
      <c r="D95">
        <v>6</v>
      </c>
      <c r="E95">
        <v>18900</v>
      </c>
      <c r="F95">
        <v>200</v>
      </c>
      <c r="G95" t="b">
        <v>0</v>
      </c>
      <c r="H95">
        <v>200</v>
      </c>
    </row>
    <row r="96" spans="1:8" x14ac:dyDescent="0.25">
      <c r="A96" t="s">
        <v>652</v>
      </c>
      <c r="B96">
        <v>16900</v>
      </c>
      <c r="C96">
        <v>0</v>
      </c>
      <c r="D96">
        <v>1</v>
      </c>
      <c r="E96">
        <v>16900</v>
      </c>
      <c r="F96">
        <v>400</v>
      </c>
      <c r="G96" t="b">
        <v>0</v>
      </c>
      <c r="H96">
        <v>400</v>
      </c>
    </row>
    <row r="97" spans="1:8" x14ac:dyDescent="0.25">
      <c r="A97" t="s">
        <v>450</v>
      </c>
      <c r="B97">
        <v>15000</v>
      </c>
      <c r="C97">
        <v>0</v>
      </c>
      <c r="D97">
        <v>4</v>
      </c>
      <c r="E97">
        <v>15000</v>
      </c>
      <c r="F97">
        <v>400</v>
      </c>
      <c r="G97" t="b">
        <v>0</v>
      </c>
      <c r="H97">
        <v>400</v>
      </c>
    </row>
    <row r="98" spans="1:8" x14ac:dyDescent="0.25">
      <c r="A98" t="s">
        <v>653</v>
      </c>
      <c r="B98">
        <v>14500</v>
      </c>
      <c r="C98">
        <v>0</v>
      </c>
      <c r="D98">
        <v>6</v>
      </c>
      <c r="E98">
        <v>14500</v>
      </c>
      <c r="F98">
        <v>200</v>
      </c>
      <c r="G98" t="b">
        <v>0</v>
      </c>
      <c r="H98">
        <v>200</v>
      </c>
    </row>
    <row r="99" spans="1:8" x14ac:dyDescent="0.25">
      <c r="A99" t="s">
        <v>654</v>
      </c>
      <c r="B99">
        <v>5400</v>
      </c>
      <c r="C99">
        <v>0</v>
      </c>
      <c r="D99">
        <v>6</v>
      </c>
      <c r="E99">
        <v>5400</v>
      </c>
      <c r="F99">
        <v>100</v>
      </c>
      <c r="G99" t="b">
        <v>0</v>
      </c>
      <c r="H99">
        <v>100</v>
      </c>
    </row>
    <row r="100" spans="1:8" x14ac:dyDescent="0.25">
      <c r="A100" t="s">
        <v>655</v>
      </c>
      <c r="B100">
        <v>15000</v>
      </c>
      <c r="C100">
        <v>0</v>
      </c>
      <c r="D100">
        <v>6</v>
      </c>
      <c r="E100">
        <v>15000</v>
      </c>
      <c r="F100">
        <v>200</v>
      </c>
      <c r="G100" t="b">
        <v>0</v>
      </c>
      <c r="H100">
        <v>200</v>
      </c>
    </row>
    <row r="101" spans="1:8" x14ac:dyDescent="0.25">
      <c r="A101" t="s">
        <v>656</v>
      </c>
      <c r="B101">
        <v>24900</v>
      </c>
      <c r="C101">
        <v>0</v>
      </c>
      <c r="D101">
        <v>4</v>
      </c>
      <c r="E101">
        <v>24900</v>
      </c>
      <c r="F101">
        <v>400</v>
      </c>
      <c r="G101" t="b">
        <v>0</v>
      </c>
      <c r="H101">
        <v>400</v>
      </c>
    </row>
    <row r="102" spans="1:8" x14ac:dyDescent="0.25">
      <c r="A102" t="s">
        <v>657</v>
      </c>
      <c r="B102">
        <v>11000</v>
      </c>
      <c r="C102">
        <v>0</v>
      </c>
      <c r="D102">
        <v>6</v>
      </c>
      <c r="E102">
        <v>11000</v>
      </c>
      <c r="F102">
        <v>180</v>
      </c>
      <c r="G102" t="b">
        <v>0</v>
      </c>
      <c r="H102">
        <v>180</v>
      </c>
    </row>
    <row r="103" spans="1:8" x14ac:dyDescent="0.25">
      <c r="A103" t="s">
        <v>658</v>
      </c>
      <c r="B103">
        <v>7600</v>
      </c>
      <c r="C103">
        <v>3</v>
      </c>
      <c r="D103">
        <v>0</v>
      </c>
      <c r="E103">
        <v>7300</v>
      </c>
      <c r="F103">
        <v>200</v>
      </c>
      <c r="G103" t="b">
        <v>1</v>
      </c>
      <c r="H103">
        <v>200</v>
      </c>
    </row>
    <row r="104" spans="1:8" x14ac:dyDescent="0.25">
      <c r="A104" t="s">
        <v>659</v>
      </c>
      <c r="B104">
        <v>6600</v>
      </c>
      <c r="C104">
        <v>3</v>
      </c>
      <c r="D104">
        <v>0</v>
      </c>
      <c r="E104">
        <v>6400</v>
      </c>
      <c r="F104">
        <v>1000</v>
      </c>
      <c r="G104" t="b">
        <v>1</v>
      </c>
      <c r="H104">
        <v>1</v>
      </c>
    </row>
    <row r="105" spans="1:8" x14ac:dyDescent="0.25">
      <c r="A105" t="s">
        <v>113</v>
      </c>
      <c r="B105">
        <v>6300</v>
      </c>
      <c r="C105">
        <v>0</v>
      </c>
      <c r="D105">
        <v>0</v>
      </c>
      <c r="E105">
        <v>6300</v>
      </c>
      <c r="F105">
        <v>250</v>
      </c>
      <c r="G105" t="b">
        <v>1</v>
      </c>
      <c r="H105">
        <v>250</v>
      </c>
    </row>
    <row r="106" spans="1:8" x14ac:dyDescent="0.25">
      <c r="A106" t="s">
        <v>660</v>
      </c>
      <c r="B106">
        <v>2500</v>
      </c>
      <c r="C106">
        <v>4</v>
      </c>
      <c r="D106">
        <v>0</v>
      </c>
      <c r="E106">
        <v>2400</v>
      </c>
      <c r="F106">
        <v>250</v>
      </c>
      <c r="G106" t="b">
        <v>1</v>
      </c>
      <c r="H106">
        <v>250</v>
      </c>
    </row>
    <row r="107" spans="1:8" x14ac:dyDescent="0.25">
      <c r="A107" t="s">
        <v>661</v>
      </c>
      <c r="B107">
        <v>4000</v>
      </c>
      <c r="C107">
        <v>0</v>
      </c>
      <c r="D107">
        <v>0</v>
      </c>
      <c r="E107">
        <v>4000</v>
      </c>
      <c r="F107">
        <v>400</v>
      </c>
      <c r="G107" t="b">
        <v>1</v>
      </c>
      <c r="H107">
        <v>400</v>
      </c>
    </row>
    <row r="108" spans="1:8" x14ac:dyDescent="0.25">
      <c r="A108" t="s">
        <v>662</v>
      </c>
      <c r="B108">
        <v>7500</v>
      </c>
      <c r="C108">
        <v>0</v>
      </c>
      <c r="D108">
        <v>0</v>
      </c>
      <c r="E108">
        <v>7500</v>
      </c>
      <c r="F108">
        <v>1000</v>
      </c>
      <c r="G108" t="b">
        <v>1</v>
      </c>
      <c r="H108">
        <v>1</v>
      </c>
    </row>
    <row r="109" spans="1:8" x14ac:dyDescent="0.25">
      <c r="A109" t="s">
        <v>608</v>
      </c>
      <c r="B109">
        <v>7100</v>
      </c>
      <c r="C109">
        <v>1</v>
      </c>
      <c r="D109">
        <v>0</v>
      </c>
      <c r="E109">
        <v>7000</v>
      </c>
      <c r="F109">
        <v>100</v>
      </c>
      <c r="G109" t="b">
        <v>1</v>
      </c>
      <c r="H109">
        <v>100</v>
      </c>
    </row>
    <row r="110" spans="1:8" x14ac:dyDescent="0.25">
      <c r="A110" t="s">
        <v>663</v>
      </c>
      <c r="B110">
        <v>10000</v>
      </c>
      <c r="C110">
        <v>1</v>
      </c>
      <c r="D110">
        <v>0</v>
      </c>
      <c r="E110">
        <v>9900</v>
      </c>
      <c r="F110">
        <v>200</v>
      </c>
      <c r="G110" t="b">
        <v>1</v>
      </c>
      <c r="H110">
        <v>200</v>
      </c>
    </row>
    <row r="111" spans="1:8" x14ac:dyDescent="0.25">
      <c r="A111" t="s">
        <v>664</v>
      </c>
      <c r="B111">
        <v>3000</v>
      </c>
      <c r="C111">
        <v>0</v>
      </c>
      <c r="D111">
        <v>0</v>
      </c>
      <c r="E111">
        <v>3000</v>
      </c>
      <c r="F111">
        <v>150</v>
      </c>
      <c r="G111" t="b">
        <v>1</v>
      </c>
      <c r="H111">
        <v>150</v>
      </c>
    </row>
    <row r="112" spans="1:8" x14ac:dyDescent="0.25">
      <c r="A112" t="s">
        <v>665</v>
      </c>
      <c r="B112">
        <v>7800</v>
      </c>
      <c r="C112">
        <v>3</v>
      </c>
      <c r="D112">
        <v>0</v>
      </c>
      <c r="E112">
        <v>7500</v>
      </c>
      <c r="F112">
        <v>400</v>
      </c>
      <c r="G112" t="b">
        <v>1</v>
      </c>
      <c r="H112">
        <v>400</v>
      </c>
    </row>
    <row r="113" spans="1:8" x14ac:dyDescent="0.25">
      <c r="A113" t="s">
        <v>666</v>
      </c>
      <c r="B113">
        <v>3500</v>
      </c>
      <c r="C113">
        <v>0</v>
      </c>
      <c r="D113">
        <v>0</v>
      </c>
      <c r="E113">
        <v>3500</v>
      </c>
      <c r="F113">
        <v>300</v>
      </c>
      <c r="G113" t="b">
        <v>1</v>
      </c>
      <c r="H113">
        <v>300</v>
      </c>
    </row>
    <row r="114" spans="1:8" x14ac:dyDescent="0.25">
      <c r="A114" t="s">
        <v>667</v>
      </c>
      <c r="B114">
        <v>4000</v>
      </c>
      <c r="C114">
        <v>0</v>
      </c>
      <c r="D114">
        <v>0</v>
      </c>
      <c r="E114">
        <v>4000</v>
      </c>
      <c r="F114">
        <v>200</v>
      </c>
      <c r="G114" t="b">
        <v>1</v>
      </c>
      <c r="H114">
        <v>200</v>
      </c>
    </row>
    <row r="115" spans="1:8" x14ac:dyDescent="0.25">
      <c r="A115" t="s">
        <v>668</v>
      </c>
      <c r="B115">
        <v>8500</v>
      </c>
      <c r="C115">
        <v>0</v>
      </c>
      <c r="D115">
        <v>0</v>
      </c>
      <c r="E115">
        <v>8500</v>
      </c>
      <c r="F115">
        <v>200</v>
      </c>
      <c r="G115" t="b">
        <v>1</v>
      </c>
      <c r="H115">
        <v>200</v>
      </c>
    </row>
    <row r="116" spans="1:8" x14ac:dyDescent="0.25">
      <c r="A116" t="s">
        <v>669</v>
      </c>
      <c r="B116">
        <v>3000</v>
      </c>
      <c r="C116">
        <v>0</v>
      </c>
      <c r="D116">
        <v>0</v>
      </c>
      <c r="E116">
        <v>3000</v>
      </c>
      <c r="F116">
        <v>250</v>
      </c>
      <c r="G116" t="b">
        <v>1</v>
      </c>
      <c r="H116">
        <v>250</v>
      </c>
    </row>
    <row r="117" spans="1:8" x14ac:dyDescent="0.25">
      <c r="A117" t="s">
        <v>670</v>
      </c>
      <c r="B117">
        <v>6200</v>
      </c>
      <c r="C117">
        <v>0</v>
      </c>
      <c r="D117">
        <v>0</v>
      </c>
      <c r="E117">
        <v>6200</v>
      </c>
      <c r="F117">
        <v>696</v>
      </c>
      <c r="G117" t="b">
        <v>1</v>
      </c>
      <c r="H117">
        <v>12</v>
      </c>
    </row>
    <row r="118" spans="1:8" x14ac:dyDescent="0.25">
      <c r="A118" t="s">
        <v>671</v>
      </c>
      <c r="B118">
        <v>6500</v>
      </c>
      <c r="C118">
        <v>0</v>
      </c>
      <c r="D118">
        <v>0</v>
      </c>
      <c r="E118">
        <v>6500</v>
      </c>
      <c r="F118">
        <v>400</v>
      </c>
      <c r="G118" t="b">
        <v>1</v>
      </c>
      <c r="H118">
        <v>400</v>
      </c>
    </row>
    <row r="119" spans="1:8" x14ac:dyDescent="0.25">
      <c r="A119" t="s">
        <v>672</v>
      </c>
      <c r="B119">
        <v>8900</v>
      </c>
      <c r="C119">
        <v>0</v>
      </c>
      <c r="D119">
        <v>0</v>
      </c>
      <c r="E119">
        <v>8900</v>
      </c>
      <c r="F119">
        <v>1000</v>
      </c>
      <c r="G119" t="b">
        <v>1</v>
      </c>
      <c r="H119">
        <v>1</v>
      </c>
    </row>
    <row r="120" spans="1:8" x14ac:dyDescent="0.25">
      <c r="A120" t="s">
        <v>673</v>
      </c>
      <c r="B120">
        <v>12500</v>
      </c>
      <c r="C120">
        <v>5</v>
      </c>
      <c r="D120">
        <v>0</v>
      </c>
      <c r="E120">
        <v>11800</v>
      </c>
      <c r="F120">
        <v>200</v>
      </c>
      <c r="G120" t="b">
        <v>1</v>
      </c>
      <c r="H120">
        <v>200</v>
      </c>
    </row>
    <row r="121" spans="1:8" x14ac:dyDescent="0.25">
      <c r="A121" t="s">
        <v>674</v>
      </c>
      <c r="B121">
        <v>18500</v>
      </c>
      <c r="C121">
        <v>20</v>
      </c>
      <c r="D121">
        <v>0</v>
      </c>
      <c r="E121">
        <v>14800</v>
      </c>
      <c r="F121">
        <v>325</v>
      </c>
      <c r="G121" t="b">
        <v>1</v>
      </c>
      <c r="H121">
        <v>325</v>
      </c>
    </row>
    <row r="122" spans="1:8" x14ac:dyDescent="0.25">
      <c r="A122" t="s">
        <v>675</v>
      </c>
      <c r="B122">
        <v>8500</v>
      </c>
      <c r="C122">
        <v>3</v>
      </c>
      <c r="D122">
        <v>0</v>
      </c>
      <c r="E122">
        <v>8200</v>
      </c>
      <c r="F122">
        <v>200</v>
      </c>
      <c r="G122" t="b">
        <v>1</v>
      </c>
      <c r="H122">
        <v>200</v>
      </c>
    </row>
    <row r="123" spans="1:8" x14ac:dyDescent="0.25">
      <c r="A123" t="s">
        <v>676</v>
      </c>
      <c r="B123">
        <v>2000</v>
      </c>
      <c r="C123">
        <v>0</v>
      </c>
      <c r="D123">
        <v>0</v>
      </c>
      <c r="E123">
        <v>2000</v>
      </c>
      <c r="F123">
        <v>100</v>
      </c>
      <c r="G123" t="b">
        <v>1</v>
      </c>
      <c r="H123">
        <v>100</v>
      </c>
    </row>
    <row r="124" spans="1:8" x14ac:dyDescent="0.25">
      <c r="A124" t="s">
        <v>677</v>
      </c>
      <c r="B124">
        <v>10000</v>
      </c>
      <c r="C124">
        <v>5</v>
      </c>
      <c r="D124">
        <v>0</v>
      </c>
      <c r="E124">
        <v>9500</v>
      </c>
      <c r="F124">
        <v>140</v>
      </c>
      <c r="G124" t="b">
        <v>1</v>
      </c>
      <c r="H124">
        <v>140</v>
      </c>
    </row>
    <row r="125" spans="1:8" x14ac:dyDescent="0.25">
      <c r="A125" t="s">
        <v>587</v>
      </c>
      <c r="B125">
        <v>3000</v>
      </c>
      <c r="C125">
        <v>0</v>
      </c>
      <c r="D125">
        <v>0</v>
      </c>
      <c r="E125">
        <v>3000</v>
      </c>
      <c r="F125">
        <v>200</v>
      </c>
      <c r="G125" t="b">
        <v>1</v>
      </c>
      <c r="H125">
        <v>200</v>
      </c>
    </row>
    <row r="126" spans="1:8" x14ac:dyDescent="0.25">
      <c r="A126" t="s">
        <v>678</v>
      </c>
      <c r="B126">
        <v>7500</v>
      </c>
      <c r="C126">
        <v>17</v>
      </c>
      <c r="D126">
        <v>0</v>
      </c>
      <c r="E126">
        <v>6200</v>
      </c>
      <c r="F126">
        <v>348</v>
      </c>
      <c r="G126" t="b">
        <v>1</v>
      </c>
      <c r="H126">
        <v>6</v>
      </c>
    </row>
    <row r="127" spans="1:8" x14ac:dyDescent="0.25">
      <c r="A127" t="s">
        <v>679</v>
      </c>
      <c r="B127">
        <v>9900</v>
      </c>
      <c r="C127">
        <v>11</v>
      </c>
      <c r="D127">
        <v>0</v>
      </c>
      <c r="E127">
        <v>8800</v>
      </c>
      <c r="F127">
        <v>162</v>
      </c>
      <c r="G127" t="b">
        <v>1</v>
      </c>
      <c r="H127">
        <v>162</v>
      </c>
    </row>
    <row r="128" spans="1:8" x14ac:dyDescent="0.25">
      <c r="A128" t="s">
        <v>680</v>
      </c>
      <c r="B128">
        <v>8000</v>
      </c>
      <c r="C128">
        <v>0</v>
      </c>
      <c r="D128">
        <v>0</v>
      </c>
      <c r="E128">
        <v>8000</v>
      </c>
      <c r="F128">
        <v>200</v>
      </c>
      <c r="G128" t="b">
        <v>1</v>
      </c>
      <c r="H128">
        <v>200</v>
      </c>
    </row>
    <row r="129" spans="1:8" x14ac:dyDescent="0.25">
      <c r="A129" t="s">
        <v>681</v>
      </c>
      <c r="B129">
        <v>7200</v>
      </c>
      <c r="C129">
        <v>16</v>
      </c>
      <c r="D129">
        <v>0</v>
      </c>
      <c r="E129">
        <v>6000</v>
      </c>
      <c r="F129">
        <v>348</v>
      </c>
      <c r="G129" t="b">
        <v>1</v>
      </c>
      <c r="H129">
        <v>6</v>
      </c>
    </row>
    <row r="130" spans="1:8" x14ac:dyDescent="0.25">
      <c r="A130" t="s">
        <v>682</v>
      </c>
      <c r="B130">
        <v>29500</v>
      </c>
      <c r="C130">
        <v>50</v>
      </c>
      <c r="D130">
        <v>0</v>
      </c>
      <c r="E130">
        <v>14700</v>
      </c>
      <c r="F130">
        <v>200</v>
      </c>
      <c r="G130" t="b">
        <v>1</v>
      </c>
      <c r="H130">
        <v>200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H389"/>
  <sheetViews>
    <sheetView topLeftCell="A365"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97</v>
      </c>
      <c r="B2">
        <v>1200</v>
      </c>
      <c r="C2">
        <v>0</v>
      </c>
      <c r="D2">
        <v>6</v>
      </c>
      <c r="E2">
        <v>1200</v>
      </c>
      <c r="F2">
        <v>70</v>
      </c>
      <c r="G2" t="b">
        <v>0</v>
      </c>
      <c r="H2">
        <v>70</v>
      </c>
    </row>
    <row r="3" spans="1:8" x14ac:dyDescent="0.25">
      <c r="A3" t="s">
        <v>98</v>
      </c>
      <c r="B3">
        <v>8000</v>
      </c>
      <c r="C3">
        <v>15</v>
      </c>
      <c r="D3">
        <v>6</v>
      </c>
      <c r="E3">
        <v>6800</v>
      </c>
      <c r="F3">
        <v>1000</v>
      </c>
      <c r="G3" t="b">
        <v>0</v>
      </c>
      <c r="H3">
        <v>1</v>
      </c>
    </row>
    <row r="4" spans="1:8" x14ac:dyDescent="0.25">
      <c r="A4" t="s">
        <v>683</v>
      </c>
      <c r="B4">
        <v>8000</v>
      </c>
      <c r="C4">
        <v>10</v>
      </c>
      <c r="D4">
        <v>4</v>
      </c>
      <c r="E4">
        <v>7200</v>
      </c>
      <c r="F4">
        <v>400</v>
      </c>
      <c r="G4" t="b">
        <v>0</v>
      </c>
      <c r="H4">
        <v>400</v>
      </c>
    </row>
    <row r="5" spans="1:8" x14ac:dyDescent="0.25">
      <c r="A5" t="s">
        <v>684</v>
      </c>
      <c r="B5">
        <v>8000</v>
      </c>
      <c r="C5">
        <v>12</v>
      </c>
      <c r="D5">
        <v>6</v>
      </c>
      <c r="E5">
        <v>7000</v>
      </c>
      <c r="F5">
        <v>400</v>
      </c>
      <c r="G5" t="b">
        <v>0</v>
      </c>
      <c r="H5">
        <v>400</v>
      </c>
    </row>
    <row r="6" spans="1:8" x14ac:dyDescent="0.25">
      <c r="A6" t="s">
        <v>685</v>
      </c>
      <c r="B6">
        <v>11000</v>
      </c>
      <c r="C6">
        <v>4</v>
      </c>
      <c r="D6">
        <v>6</v>
      </c>
      <c r="E6">
        <v>10500</v>
      </c>
      <c r="F6">
        <v>400</v>
      </c>
      <c r="G6" t="b">
        <v>0</v>
      </c>
      <c r="H6">
        <v>400</v>
      </c>
    </row>
    <row r="7" spans="1:8" x14ac:dyDescent="0.25">
      <c r="A7" t="s">
        <v>686</v>
      </c>
      <c r="B7">
        <v>12000</v>
      </c>
      <c r="C7">
        <v>5</v>
      </c>
      <c r="D7">
        <v>6</v>
      </c>
      <c r="E7">
        <v>11400</v>
      </c>
      <c r="F7">
        <v>415</v>
      </c>
      <c r="G7" t="b">
        <v>0</v>
      </c>
      <c r="H7">
        <v>415</v>
      </c>
    </row>
    <row r="8" spans="1:8" x14ac:dyDescent="0.25">
      <c r="A8" t="s">
        <v>687</v>
      </c>
      <c r="B8">
        <v>11500</v>
      </c>
      <c r="C8">
        <v>3</v>
      </c>
      <c r="D8">
        <v>6</v>
      </c>
      <c r="E8">
        <v>11100</v>
      </c>
      <c r="F8">
        <v>360</v>
      </c>
      <c r="G8" t="b">
        <v>0</v>
      </c>
      <c r="H8">
        <v>360</v>
      </c>
    </row>
    <row r="9" spans="1:8" x14ac:dyDescent="0.25">
      <c r="A9" t="s">
        <v>688</v>
      </c>
      <c r="B9">
        <v>11700</v>
      </c>
      <c r="C9">
        <v>5</v>
      </c>
      <c r="D9">
        <v>6</v>
      </c>
      <c r="E9">
        <v>11100</v>
      </c>
      <c r="F9">
        <v>400</v>
      </c>
      <c r="G9" t="b">
        <v>0</v>
      </c>
      <c r="H9">
        <v>400</v>
      </c>
    </row>
    <row r="10" spans="1:8" x14ac:dyDescent="0.25">
      <c r="A10" t="s">
        <v>602</v>
      </c>
      <c r="B10">
        <v>1800</v>
      </c>
      <c r="C10">
        <v>5</v>
      </c>
      <c r="D10">
        <v>6</v>
      </c>
      <c r="E10">
        <v>1700</v>
      </c>
      <c r="F10">
        <v>100</v>
      </c>
      <c r="G10" t="b">
        <v>0</v>
      </c>
      <c r="H10">
        <v>100</v>
      </c>
    </row>
    <row r="11" spans="1:8" x14ac:dyDescent="0.25">
      <c r="A11" t="s">
        <v>689</v>
      </c>
      <c r="B11">
        <v>3500</v>
      </c>
      <c r="C11">
        <v>2</v>
      </c>
      <c r="D11">
        <v>2</v>
      </c>
      <c r="E11">
        <v>3400</v>
      </c>
      <c r="F11">
        <v>85</v>
      </c>
      <c r="G11" t="b">
        <v>0</v>
      </c>
      <c r="H11">
        <v>85</v>
      </c>
    </row>
    <row r="12" spans="1:8" x14ac:dyDescent="0.25">
      <c r="A12" t="s">
        <v>690</v>
      </c>
      <c r="B12">
        <v>12500</v>
      </c>
      <c r="C12">
        <v>5</v>
      </c>
      <c r="D12">
        <v>1</v>
      </c>
      <c r="E12">
        <v>11800</v>
      </c>
      <c r="F12">
        <v>420</v>
      </c>
      <c r="G12" t="b">
        <v>0</v>
      </c>
      <c r="H12">
        <v>420</v>
      </c>
    </row>
    <row r="13" spans="1:8" x14ac:dyDescent="0.25">
      <c r="A13" t="s">
        <v>125</v>
      </c>
      <c r="B13">
        <v>1500</v>
      </c>
      <c r="C13">
        <v>0</v>
      </c>
      <c r="D13">
        <v>3</v>
      </c>
      <c r="E13">
        <v>1500</v>
      </c>
      <c r="F13">
        <v>60</v>
      </c>
      <c r="G13" t="b">
        <v>0</v>
      </c>
      <c r="H13">
        <v>60</v>
      </c>
    </row>
    <row r="14" spans="1:8" x14ac:dyDescent="0.25">
      <c r="A14" t="s">
        <v>691</v>
      </c>
      <c r="B14">
        <v>7900</v>
      </c>
      <c r="C14">
        <v>11</v>
      </c>
      <c r="D14">
        <v>5</v>
      </c>
      <c r="E14">
        <v>7000</v>
      </c>
      <c r="F14">
        <v>250</v>
      </c>
      <c r="G14" t="b">
        <v>0</v>
      </c>
      <c r="H14">
        <v>250</v>
      </c>
    </row>
    <row r="15" spans="1:8" x14ac:dyDescent="0.25">
      <c r="A15" t="s">
        <v>127</v>
      </c>
      <c r="B15">
        <v>1500</v>
      </c>
      <c r="C15">
        <v>0</v>
      </c>
      <c r="D15">
        <v>6</v>
      </c>
      <c r="E15">
        <v>1500</v>
      </c>
      <c r="F15">
        <v>60</v>
      </c>
      <c r="G15" t="b">
        <v>0</v>
      </c>
      <c r="H15">
        <v>60</v>
      </c>
    </row>
    <row r="16" spans="1:8" x14ac:dyDescent="0.25">
      <c r="A16" t="s">
        <v>692</v>
      </c>
      <c r="B16">
        <v>7500</v>
      </c>
      <c r="C16">
        <v>13</v>
      </c>
      <c r="D16">
        <v>5</v>
      </c>
      <c r="E16">
        <v>6500</v>
      </c>
      <c r="F16">
        <v>280</v>
      </c>
      <c r="G16" t="b">
        <v>0</v>
      </c>
      <c r="H16">
        <v>280</v>
      </c>
    </row>
    <row r="17" spans="1:8" x14ac:dyDescent="0.25">
      <c r="A17" t="s">
        <v>133</v>
      </c>
      <c r="B17">
        <v>2000</v>
      </c>
      <c r="C17">
        <v>0</v>
      </c>
      <c r="D17">
        <v>1</v>
      </c>
      <c r="E17">
        <v>2000</v>
      </c>
      <c r="F17">
        <v>70</v>
      </c>
      <c r="G17" t="b">
        <v>0</v>
      </c>
      <c r="H17">
        <v>70</v>
      </c>
    </row>
    <row r="18" spans="1:8" x14ac:dyDescent="0.25">
      <c r="A18" t="s">
        <v>136</v>
      </c>
      <c r="B18">
        <v>1500</v>
      </c>
      <c r="C18">
        <v>0</v>
      </c>
      <c r="D18">
        <v>6</v>
      </c>
      <c r="E18">
        <v>1500</v>
      </c>
      <c r="F18">
        <v>38</v>
      </c>
      <c r="G18" t="b">
        <v>0</v>
      </c>
      <c r="H18">
        <v>38</v>
      </c>
    </row>
    <row r="19" spans="1:8" x14ac:dyDescent="0.25">
      <c r="A19" t="s">
        <v>693</v>
      </c>
      <c r="B19">
        <v>4000</v>
      </c>
      <c r="C19">
        <v>17</v>
      </c>
      <c r="D19">
        <v>4</v>
      </c>
      <c r="E19">
        <v>3300</v>
      </c>
      <c r="F19">
        <v>30</v>
      </c>
      <c r="G19" t="b">
        <v>0</v>
      </c>
      <c r="H19">
        <v>30</v>
      </c>
    </row>
    <row r="20" spans="1:8" x14ac:dyDescent="0.25">
      <c r="A20" t="s">
        <v>138</v>
      </c>
      <c r="B20">
        <v>7900</v>
      </c>
      <c r="C20">
        <v>0</v>
      </c>
      <c r="D20">
        <v>2</v>
      </c>
      <c r="E20">
        <v>7900</v>
      </c>
      <c r="F20">
        <v>400</v>
      </c>
      <c r="G20" t="b">
        <v>0</v>
      </c>
      <c r="H20">
        <v>400</v>
      </c>
    </row>
    <row r="21" spans="1:8" x14ac:dyDescent="0.25">
      <c r="A21" t="s">
        <v>602</v>
      </c>
      <c r="B21">
        <v>8800</v>
      </c>
      <c r="C21">
        <v>2</v>
      </c>
      <c r="D21">
        <v>2</v>
      </c>
      <c r="E21">
        <v>8600</v>
      </c>
      <c r="F21">
        <v>500</v>
      </c>
      <c r="G21" t="b">
        <v>0</v>
      </c>
      <c r="H21">
        <v>500</v>
      </c>
    </row>
    <row r="22" spans="1:8" x14ac:dyDescent="0.25">
      <c r="A22" t="s">
        <v>694</v>
      </c>
      <c r="B22">
        <v>12000</v>
      </c>
      <c r="C22">
        <v>5</v>
      </c>
      <c r="D22">
        <v>1</v>
      </c>
      <c r="E22">
        <v>11400</v>
      </c>
      <c r="F22">
        <v>420</v>
      </c>
      <c r="G22" t="b">
        <v>0</v>
      </c>
      <c r="H22">
        <v>420</v>
      </c>
    </row>
    <row r="23" spans="1:8" x14ac:dyDescent="0.25">
      <c r="A23" t="s">
        <v>695</v>
      </c>
      <c r="B23">
        <v>1000</v>
      </c>
      <c r="C23">
        <v>0</v>
      </c>
      <c r="D23">
        <v>1</v>
      </c>
      <c r="E23">
        <v>1000</v>
      </c>
      <c r="F23">
        <v>15</v>
      </c>
      <c r="G23" t="b">
        <v>0</v>
      </c>
      <c r="H23">
        <v>15</v>
      </c>
    </row>
    <row r="24" spans="1:8" x14ac:dyDescent="0.25">
      <c r="A24" t="s">
        <v>696</v>
      </c>
      <c r="B24">
        <v>13000</v>
      </c>
      <c r="C24">
        <v>4</v>
      </c>
      <c r="D24">
        <v>6</v>
      </c>
      <c r="E24">
        <v>12400</v>
      </c>
      <c r="F24">
        <v>250</v>
      </c>
      <c r="G24" t="b">
        <v>0</v>
      </c>
      <c r="H24">
        <v>250</v>
      </c>
    </row>
    <row r="25" spans="1:8" x14ac:dyDescent="0.25">
      <c r="A25" t="s">
        <v>697</v>
      </c>
      <c r="B25">
        <v>12000</v>
      </c>
      <c r="C25">
        <v>5</v>
      </c>
      <c r="D25">
        <v>3</v>
      </c>
      <c r="E25">
        <v>11400</v>
      </c>
      <c r="F25">
        <v>375</v>
      </c>
      <c r="G25" t="b">
        <v>0</v>
      </c>
      <c r="H25">
        <v>375</v>
      </c>
    </row>
    <row r="26" spans="1:8" x14ac:dyDescent="0.25">
      <c r="A26" t="s">
        <v>698</v>
      </c>
      <c r="B26">
        <v>1500</v>
      </c>
      <c r="C26">
        <v>0</v>
      </c>
      <c r="D26">
        <v>6</v>
      </c>
      <c r="E26">
        <v>1500</v>
      </c>
      <c r="F26">
        <v>20</v>
      </c>
      <c r="G26" t="b">
        <v>0</v>
      </c>
      <c r="H26">
        <v>20</v>
      </c>
    </row>
    <row r="27" spans="1:8" x14ac:dyDescent="0.25">
      <c r="A27" t="s">
        <v>146</v>
      </c>
      <c r="B27">
        <v>12000</v>
      </c>
      <c r="C27">
        <v>1</v>
      </c>
      <c r="D27">
        <v>3</v>
      </c>
      <c r="E27">
        <v>11800</v>
      </c>
      <c r="F27">
        <v>240</v>
      </c>
      <c r="G27" t="b">
        <v>0</v>
      </c>
      <c r="H27">
        <v>240</v>
      </c>
    </row>
    <row r="28" spans="1:8" x14ac:dyDescent="0.25">
      <c r="A28" t="s">
        <v>699</v>
      </c>
      <c r="B28">
        <v>13000</v>
      </c>
      <c r="C28">
        <v>4</v>
      </c>
      <c r="D28">
        <v>1</v>
      </c>
      <c r="E28">
        <v>12400</v>
      </c>
      <c r="F28">
        <v>250</v>
      </c>
      <c r="G28" t="b">
        <v>0</v>
      </c>
      <c r="H28">
        <v>250</v>
      </c>
    </row>
    <row r="29" spans="1:8" x14ac:dyDescent="0.25">
      <c r="A29" t="s">
        <v>700</v>
      </c>
      <c r="B29">
        <v>43000</v>
      </c>
      <c r="C29">
        <v>10</v>
      </c>
      <c r="D29">
        <v>6</v>
      </c>
      <c r="E29">
        <v>38700</v>
      </c>
      <c r="F29">
        <v>1200</v>
      </c>
      <c r="G29" t="b">
        <v>0</v>
      </c>
      <c r="H29">
        <v>1</v>
      </c>
    </row>
    <row r="30" spans="1:8" x14ac:dyDescent="0.25">
      <c r="A30" t="s">
        <v>701</v>
      </c>
      <c r="B30">
        <v>1000</v>
      </c>
      <c r="C30">
        <v>0</v>
      </c>
      <c r="D30">
        <v>1</v>
      </c>
      <c r="E30">
        <v>1000</v>
      </c>
      <c r="F30">
        <v>15</v>
      </c>
      <c r="G30" t="b">
        <v>0</v>
      </c>
      <c r="H30">
        <v>15</v>
      </c>
    </row>
    <row r="31" spans="1:8" x14ac:dyDescent="0.25">
      <c r="A31" t="s">
        <v>702</v>
      </c>
      <c r="B31">
        <v>19700</v>
      </c>
      <c r="C31">
        <v>2</v>
      </c>
      <c r="D31">
        <v>6</v>
      </c>
      <c r="E31">
        <v>19300</v>
      </c>
      <c r="F31">
        <v>500</v>
      </c>
      <c r="G31" t="b">
        <v>0</v>
      </c>
      <c r="H31">
        <v>500</v>
      </c>
    </row>
    <row r="32" spans="1:8" x14ac:dyDescent="0.25">
      <c r="A32" t="s">
        <v>703</v>
      </c>
      <c r="B32">
        <v>12000</v>
      </c>
      <c r="C32">
        <v>5</v>
      </c>
      <c r="D32">
        <v>3</v>
      </c>
      <c r="E32">
        <v>11400</v>
      </c>
      <c r="F32">
        <v>375</v>
      </c>
      <c r="G32" t="b">
        <v>0</v>
      </c>
      <c r="H32">
        <v>375</v>
      </c>
    </row>
    <row r="33" spans="1:8" x14ac:dyDescent="0.25">
      <c r="A33" t="s">
        <v>704</v>
      </c>
      <c r="B33">
        <v>17500</v>
      </c>
      <c r="C33">
        <v>4</v>
      </c>
      <c r="D33">
        <v>3</v>
      </c>
      <c r="E33">
        <v>16700</v>
      </c>
      <c r="F33">
        <v>750</v>
      </c>
      <c r="G33" t="b">
        <v>0</v>
      </c>
      <c r="H33">
        <v>750</v>
      </c>
    </row>
    <row r="34" spans="1:8" x14ac:dyDescent="0.25">
      <c r="A34" t="s">
        <v>705</v>
      </c>
      <c r="B34">
        <v>22000</v>
      </c>
      <c r="C34">
        <v>5</v>
      </c>
      <c r="D34">
        <v>2</v>
      </c>
      <c r="E34">
        <v>20700</v>
      </c>
      <c r="F34">
        <v>180</v>
      </c>
      <c r="G34" t="b">
        <v>0</v>
      </c>
      <c r="H34">
        <v>180</v>
      </c>
    </row>
    <row r="35" spans="1:8" x14ac:dyDescent="0.25">
      <c r="A35" t="s">
        <v>706</v>
      </c>
      <c r="B35">
        <v>6000</v>
      </c>
      <c r="C35">
        <v>5</v>
      </c>
      <c r="D35">
        <v>5</v>
      </c>
      <c r="E35">
        <v>5700</v>
      </c>
      <c r="F35">
        <v>200</v>
      </c>
      <c r="G35" t="b">
        <v>0</v>
      </c>
      <c r="H35">
        <v>200</v>
      </c>
    </row>
    <row r="36" spans="1:8" x14ac:dyDescent="0.25">
      <c r="A36" t="s">
        <v>707</v>
      </c>
      <c r="B36">
        <v>9000</v>
      </c>
      <c r="C36">
        <v>4</v>
      </c>
      <c r="D36">
        <v>6</v>
      </c>
      <c r="E36">
        <v>8600</v>
      </c>
      <c r="F36">
        <v>50</v>
      </c>
      <c r="G36" t="b">
        <v>0</v>
      </c>
      <c r="H36">
        <v>50</v>
      </c>
    </row>
    <row r="37" spans="1:8" x14ac:dyDescent="0.25">
      <c r="A37" t="s">
        <v>606</v>
      </c>
      <c r="B37">
        <v>8500</v>
      </c>
      <c r="C37">
        <v>5</v>
      </c>
      <c r="D37">
        <v>6</v>
      </c>
      <c r="E37">
        <v>8000</v>
      </c>
      <c r="F37">
        <v>180</v>
      </c>
      <c r="G37" t="b">
        <v>0</v>
      </c>
      <c r="H37">
        <v>180</v>
      </c>
    </row>
    <row r="38" spans="1:8" x14ac:dyDescent="0.25">
      <c r="A38" t="s">
        <v>708</v>
      </c>
      <c r="B38">
        <v>2200</v>
      </c>
      <c r="C38">
        <v>0</v>
      </c>
      <c r="D38">
        <v>6</v>
      </c>
      <c r="E38">
        <v>2200</v>
      </c>
      <c r="F38">
        <v>90</v>
      </c>
      <c r="G38" t="b">
        <v>0</v>
      </c>
      <c r="H38">
        <v>90</v>
      </c>
    </row>
    <row r="39" spans="1:8" x14ac:dyDescent="0.25">
      <c r="A39" t="s">
        <v>709</v>
      </c>
      <c r="B39">
        <v>38500</v>
      </c>
      <c r="C39">
        <v>9</v>
      </c>
      <c r="D39">
        <v>5</v>
      </c>
      <c r="E39">
        <v>34700</v>
      </c>
      <c r="F39">
        <v>1100</v>
      </c>
      <c r="G39" t="b">
        <v>0</v>
      </c>
      <c r="H39">
        <v>1100</v>
      </c>
    </row>
    <row r="40" spans="1:8" x14ac:dyDescent="0.25">
      <c r="A40" t="s">
        <v>710</v>
      </c>
      <c r="B40">
        <v>1000</v>
      </c>
      <c r="C40">
        <v>0</v>
      </c>
      <c r="D40">
        <v>2</v>
      </c>
      <c r="E40">
        <v>1000</v>
      </c>
      <c r="F40">
        <v>15</v>
      </c>
      <c r="G40" t="b">
        <v>0</v>
      </c>
      <c r="H40">
        <v>15</v>
      </c>
    </row>
    <row r="41" spans="1:8" x14ac:dyDescent="0.25">
      <c r="A41" t="s">
        <v>711</v>
      </c>
      <c r="B41">
        <v>3500</v>
      </c>
      <c r="C41">
        <v>5</v>
      </c>
      <c r="D41">
        <v>2</v>
      </c>
      <c r="E41">
        <v>3300</v>
      </c>
      <c r="F41">
        <v>85</v>
      </c>
      <c r="G41" t="b">
        <v>0</v>
      </c>
      <c r="H41">
        <v>85</v>
      </c>
    </row>
    <row r="42" spans="1:8" x14ac:dyDescent="0.25">
      <c r="A42" t="s">
        <v>712</v>
      </c>
      <c r="B42">
        <v>12000</v>
      </c>
      <c r="C42">
        <v>5</v>
      </c>
      <c r="D42">
        <v>6</v>
      </c>
      <c r="E42">
        <v>11400</v>
      </c>
      <c r="F42">
        <v>400</v>
      </c>
      <c r="G42" t="b">
        <v>0</v>
      </c>
      <c r="H42">
        <v>400</v>
      </c>
    </row>
    <row r="43" spans="1:8" x14ac:dyDescent="0.25">
      <c r="A43" t="s">
        <v>713</v>
      </c>
      <c r="B43">
        <v>10000</v>
      </c>
      <c r="C43">
        <v>10</v>
      </c>
      <c r="D43">
        <v>6</v>
      </c>
      <c r="E43">
        <v>9000</v>
      </c>
      <c r="F43">
        <v>52</v>
      </c>
      <c r="G43" t="b">
        <v>0</v>
      </c>
      <c r="H43">
        <v>52</v>
      </c>
    </row>
    <row r="44" spans="1:8" x14ac:dyDescent="0.25">
      <c r="A44" t="s">
        <v>714</v>
      </c>
      <c r="B44">
        <v>6800</v>
      </c>
      <c r="C44">
        <v>4</v>
      </c>
      <c r="D44">
        <v>1</v>
      </c>
      <c r="E44">
        <v>6500</v>
      </c>
      <c r="F44">
        <v>425</v>
      </c>
      <c r="G44" t="b">
        <v>0</v>
      </c>
      <c r="H44">
        <v>425</v>
      </c>
    </row>
    <row r="45" spans="1:8" x14ac:dyDescent="0.25">
      <c r="A45" t="s">
        <v>715</v>
      </c>
      <c r="B45">
        <v>38000</v>
      </c>
      <c r="C45">
        <v>6</v>
      </c>
      <c r="D45">
        <v>5</v>
      </c>
      <c r="E45">
        <v>35700</v>
      </c>
      <c r="F45">
        <v>350</v>
      </c>
      <c r="G45" t="b">
        <v>0</v>
      </c>
      <c r="H45">
        <v>350</v>
      </c>
    </row>
    <row r="46" spans="1:8" x14ac:dyDescent="0.25">
      <c r="A46" t="s">
        <v>716</v>
      </c>
      <c r="B46">
        <v>16100</v>
      </c>
      <c r="C46">
        <v>7</v>
      </c>
      <c r="D46">
        <v>4</v>
      </c>
      <c r="E46">
        <v>14900</v>
      </c>
      <c r="F46">
        <v>300</v>
      </c>
      <c r="G46" t="b">
        <v>0</v>
      </c>
      <c r="H46">
        <v>300</v>
      </c>
    </row>
    <row r="47" spans="1:8" x14ac:dyDescent="0.25">
      <c r="A47" t="s">
        <v>717</v>
      </c>
      <c r="B47">
        <v>1500</v>
      </c>
      <c r="C47">
        <v>0</v>
      </c>
      <c r="D47">
        <v>6</v>
      </c>
      <c r="E47">
        <v>1500</v>
      </c>
      <c r="F47">
        <v>20</v>
      </c>
      <c r="G47" t="b">
        <v>0</v>
      </c>
      <c r="H47">
        <v>20</v>
      </c>
    </row>
    <row r="48" spans="1:8" x14ac:dyDescent="0.25">
      <c r="A48" t="s">
        <v>718</v>
      </c>
      <c r="B48">
        <v>5000</v>
      </c>
      <c r="C48">
        <v>12</v>
      </c>
      <c r="D48">
        <v>1</v>
      </c>
      <c r="E48">
        <v>4400</v>
      </c>
      <c r="F48">
        <v>50</v>
      </c>
      <c r="G48" t="b">
        <v>0</v>
      </c>
      <c r="H48">
        <v>50</v>
      </c>
    </row>
    <row r="49" spans="1:8" x14ac:dyDescent="0.25">
      <c r="A49" t="s">
        <v>138</v>
      </c>
      <c r="B49">
        <v>19900</v>
      </c>
      <c r="C49">
        <v>7</v>
      </c>
      <c r="D49">
        <v>6</v>
      </c>
      <c r="E49">
        <v>18400</v>
      </c>
      <c r="F49">
        <v>1000</v>
      </c>
      <c r="G49" t="b">
        <v>0</v>
      </c>
      <c r="H49">
        <v>1</v>
      </c>
    </row>
    <row r="50" spans="1:8" x14ac:dyDescent="0.25">
      <c r="A50" t="s">
        <v>719</v>
      </c>
      <c r="B50">
        <v>5500</v>
      </c>
      <c r="C50">
        <v>25</v>
      </c>
      <c r="D50">
        <v>6</v>
      </c>
      <c r="E50">
        <v>4100</v>
      </c>
      <c r="F50">
        <v>27</v>
      </c>
      <c r="G50" t="b">
        <v>0</v>
      </c>
      <c r="H50">
        <v>27</v>
      </c>
    </row>
    <row r="51" spans="1:8" x14ac:dyDescent="0.25">
      <c r="A51" t="s">
        <v>720</v>
      </c>
      <c r="B51">
        <v>9000</v>
      </c>
      <c r="C51">
        <v>4</v>
      </c>
      <c r="D51">
        <v>6</v>
      </c>
      <c r="E51">
        <v>8600</v>
      </c>
      <c r="F51">
        <v>1160</v>
      </c>
      <c r="G51" t="b">
        <v>0</v>
      </c>
      <c r="H51">
        <v>20</v>
      </c>
    </row>
    <row r="52" spans="1:8" x14ac:dyDescent="0.25">
      <c r="A52" t="s">
        <v>721</v>
      </c>
      <c r="B52">
        <v>4000</v>
      </c>
      <c r="C52">
        <v>17</v>
      </c>
      <c r="D52">
        <v>6</v>
      </c>
      <c r="E52">
        <v>3300</v>
      </c>
      <c r="F52">
        <v>30</v>
      </c>
      <c r="G52" t="b">
        <v>0</v>
      </c>
      <c r="H52">
        <v>30</v>
      </c>
    </row>
    <row r="53" spans="1:8" x14ac:dyDescent="0.25">
      <c r="A53" t="s">
        <v>722</v>
      </c>
      <c r="B53">
        <v>1000</v>
      </c>
      <c r="C53">
        <v>0</v>
      </c>
      <c r="D53">
        <v>1</v>
      </c>
      <c r="E53">
        <v>1000</v>
      </c>
      <c r="F53">
        <v>16</v>
      </c>
      <c r="G53" t="b">
        <v>0</v>
      </c>
      <c r="H53">
        <v>15</v>
      </c>
    </row>
    <row r="54" spans="1:8" x14ac:dyDescent="0.25">
      <c r="A54" t="s">
        <v>196</v>
      </c>
      <c r="B54">
        <v>16000</v>
      </c>
      <c r="C54">
        <v>50</v>
      </c>
      <c r="D54">
        <v>6</v>
      </c>
      <c r="E54">
        <v>8000</v>
      </c>
      <c r="F54">
        <v>500</v>
      </c>
      <c r="G54" t="b">
        <v>0</v>
      </c>
      <c r="H54">
        <v>500</v>
      </c>
    </row>
    <row r="55" spans="1:8" x14ac:dyDescent="0.25">
      <c r="A55" t="s">
        <v>195</v>
      </c>
      <c r="B55">
        <v>6000</v>
      </c>
      <c r="C55">
        <v>28</v>
      </c>
      <c r="D55">
        <v>3</v>
      </c>
      <c r="E55">
        <v>4300</v>
      </c>
      <c r="F55">
        <v>260</v>
      </c>
      <c r="G55" t="b">
        <v>0</v>
      </c>
      <c r="H55">
        <v>260</v>
      </c>
    </row>
    <row r="56" spans="1:8" x14ac:dyDescent="0.25">
      <c r="A56" t="s">
        <v>197</v>
      </c>
      <c r="B56">
        <v>2500</v>
      </c>
      <c r="C56">
        <v>20</v>
      </c>
      <c r="D56">
        <v>6</v>
      </c>
      <c r="E56">
        <v>2000</v>
      </c>
      <c r="F56">
        <v>60</v>
      </c>
      <c r="G56" t="b">
        <v>0</v>
      </c>
      <c r="H56">
        <v>60</v>
      </c>
    </row>
    <row r="57" spans="1:8" x14ac:dyDescent="0.25">
      <c r="A57" t="s">
        <v>723</v>
      </c>
      <c r="B57">
        <v>44500</v>
      </c>
      <c r="C57">
        <v>9</v>
      </c>
      <c r="D57">
        <v>6</v>
      </c>
      <c r="E57">
        <v>40100</v>
      </c>
      <c r="F57">
        <v>750</v>
      </c>
      <c r="G57" t="b">
        <v>0</v>
      </c>
      <c r="H57">
        <v>750</v>
      </c>
    </row>
    <row r="58" spans="1:8" x14ac:dyDescent="0.25">
      <c r="A58" t="s">
        <v>724</v>
      </c>
      <c r="B58">
        <v>5000</v>
      </c>
      <c r="C58">
        <v>0</v>
      </c>
      <c r="D58">
        <v>4</v>
      </c>
      <c r="E58">
        <v>5000</v>
      </c>
      <c r="F58">
        <v>170</v>
      </c>
      <c r="G58" t="b">
        <v>0</v>
      </c>
      <c r="H58">
        <v>170</v>
      </c>
    </row>
    <row r="59" spans="1:8" x14ac:dyDescent="0.25">
      <c r="A59" t="s">
        <v>725</v>
      </c>
      <c r="B59">
        <v>5500</v>
      </c>
      <c r="C59">
        <v>0</v>
      </c>
      <c r="D59">
        <v>6</v>
      </c>
      <c r="E59">
        <v>5500</v>
      </c>
      <c r="F59">
        <v>200</v>
      </c>
      <c r="G59" t="b">
        <v>0</v>
      </c>
      <c r="H59">
        <v>200</v>
      </c>
    </row>
    <row r="60" spans="1:8" x14ac:dyDescent="0.25">
      <c r="A60" t="s">
        <v>612</v>
      </c>
      <c r="B60">
        <v>4000</v>
      </c>
      <c r="C60">
        <v>2</v>
      </c>
      <c r="D60">
        <v>5</v>
      </c>
      <c r="E60">
        <v>3900</v>
      </c>
      <c r="F60">
        <v>100</v>
      </c>
      <c r="G60" t="b">
        <v>0</v>
      </c>
      <c r="H60">
        <v>100</v>
      </c>
    </row>
    <row r="61" spans="1:8" x14ac:dyDescent="0.25">
      <c r="A61" t="s">
        <v>200</v>
      </c>
      <c r="B61">
        <v>25000</v>
      </c>
      <c r="C61">
        <v>0</v>
      </c>
      <c r="D61">
        <v>3</v>
      </c>
      <c r="E61">
        <v>25000</v>
      </c>
      <c r="F61">
        <v>500</v>
      </c>
      <c r="G61" t="b">
        <v>0</v>
      </c>
      <c r="H61">
        <v>500</v>
      </c>
    </row>
    <row r="62" spans="1:8" x14ac:dyDescent="0.25">
      <c r="A62" t="s">
        <v>726</v>
      </c>
      <c r="B62">
        <v>5500</v>
      </c>
      <c r="C62">
        <v>20</v>
      </c>
      <c r="D62">
        <v>6</v>
      </c>
      <c r="E62">
        <v>4400</v>
      </c>
      <c r="F62">
        <v>27</v>
      </c>
      <c r="G62" t="b">
        <v>0</v>
      </c>
      <c r="H62">
        <v>27</v>
      </c>
    </row>
    <row r="63" spans="1:8" x14ac:dyDescent="0.25">
      <c r="A63" t="s">
        <v>727</v>
      </c>
      <c r="B63">
        <v>5500</v>
      </c>
      <c r="C63">
        <v>20</v>
      </c>
      <c r="D63">
        <v>6</v>
      </c>
      <c r="E63">
        <v>4400</v>
      </c>
      <c r="F63">
        <v>27</v>
      </c>
      <c r="G63" t="b">
        <v>0</v>
      </c>
      <c r="H63">
        <v>27</v>
      </c>
    </row>
    <row r="64" spans="1:8" x14ac:dyDescent="0.25">
      <c r="A64" t="s">
        <v>728</v>
      </c>
      <c r="B64">
        <v>11500</v>
      </c>
      <c r="C64">
        <v>0</v>
      </c>
      <c r="D64">
        <v>1</v>
      </c>
      <c r="E64">
        <v>11500</v>
      </c>
      <c r="F64">
        <v>500</v>
      </c>
      <c r="G64" t="b">
        <v>0</v>
      </c>
      <c r="H64">
        <v>500</v>
      </c>
    </row>
    <row r="65" spans="1:8" x14ac:dyDescent="0.25">
      <c r="A65" t="s">
        <v>729</v>
      </c>
      <c r="B65">
        <v>9600</v>
      </c>
      <c r="C65">
        <v>5</v>
      </c>
      <c r="D65">
        <v>4</v>
      </c>
      <c r="E65">
        <v>9100</v>
      </c>
      <c r="F65">
        <v>540</v>
      </c>
      <c r="G65" t="b">
        <v>0</v>
      </c>
      <c r="H65">
        <v>540</v>
      </c>
    </row>
    <row r="66" spans="1:8" x14ac:dyDescent="0.25">
      <c r="A66" t="s">
        <v>214</v>
      </c>
      <c r="B66">
        <v>16000</v>
      </c>
      <c r="C66">
        <v>50</v>
      </c>
      <c r="D66">
        <v>6</v>
      </c>
      <c r="E66">
        <v>8000</v>
      </c>
      <c r="F66">
        <v>500</v>
      </c>
      <c r="G66" t="b">
        <v>0</v>
      </c>
      <c r="H66">
        <v>500</v>
      </c>
    </row>
    <row r="67" spans="1:8" x14ac:dyDescent="0.25">
      <c r="A67" t="s">
        <v>216</v>
      </c>
      <c r="B67">
        <v>6000</v>
      </c>
      <c r="C67">
        <v>10</v>
      </c>
      <c r="D67">
        <v>1</v>
      </c>
      <c r="E67">
        <v>5400</v>
      </c>
      <c r="F67">
        <v>280</v>
      </c>
      <c r="G67" t="b">
        <v>0</v>
      </c>
      <c r="H67">
        <v>280</v>
      </c>
    </row>
    <row r="68" spans="1:8" x14ac:dyDescent="0.25">
      <c r="A68" t="s">
        <v>730</v>
      </c>
      <c r="B68">
        <v>8900</v>
      </c>
      <c r="C68">
        <v>11</v>
      </c>
      <c r="D68">
        <v>6</v>
      </c>
      <c r="E68">
        <v>7900</v>
      </c>
      <c r="F68">
        <v>275</v>
      </c>
      <c r="G68" t="b">
        <v>0</v>
      </c>
      <c r="H68">
        <v>275</v>
      </c>
    </row>
    <row r="69" spans="1:8" x14ac:dyDescent="0.25">
      <c r="A69" t="s">
        <v>220</v>
      </c>
      <c r="B69">
        <v>4400</v>
      </c>
      <c r="C69">
        <v>0</v>
      </c>
      <c r="D69">
        <v>2</v>
      </c>
      <c r="E69">
        <v>4400</v>
      </c>
      <c r="F69">
        <v>60</v>
      </c>
      <c r="G69" t="b">
        <v>0</v>
      </c>
      <c r="H69">
        <v>60</v>
      </c>
    </row>
    <row r="70" spans="1:8" x14ac:dyDescent="0.25">
      <c r="A70" t="s">
        <v>87</v>
      </c>
      <c r="B70">
        <v>11000</v>
      </c>
      <c r="C70">
        <v>4</v>
      </c>
      <c r="D70">
        <v>2</v>
      </c>
      <c r="E70">
        <v>10500</v>
      </c>
      <c r="F70">
        <v>1000</v>
      </c>
      <c r="G70" t="b">
        <v>0</v>
      </c>
      <c r="H70">
        <v>1</v>
      </c>
    </row>
    <row r="71" spans="1:8" x14ac:dyDescent="0.25">
      <c r="A71" t="s">
        <v>227</v>
      </c>
      <c r="B71">
        <v>2500</v>
      </c>
      <c r="C71">
        <v>0</v>
      </c>
      <c r="D71">
        <v>6</v>
      </c>
      <c r="E71">
        <v>2500</v>
      </c>
      <c r="F71">
        <v>60</v>
      </c>
      <c r="G71" t="b">
        <v>0</v>
      </c>
      <c r="H71">
        <v>60</v>
      </c>
    </row>
    <row r="72" spans="1:8" x14ac:dyDescent="0.25">
      <c r="A72" t="s">
        <v>228</v>
      </c>
      <c r="B72">
        <v>1500</v>
      </c>
      <c r="C72">
        <v>0</v>
      </c>
      <c r="D72">
        <v>5</v>
      </c>
      <c r="E72">
        <v>1500</v>
      </c>
      <c r="F72">
        <v>60</v>
      </c>
      <c r="G72" t="b">
        <v>0</v>
      </c>
      <c r="H72">
        <v>60</v>
      </c>
    </row>
    <row r="73" spans="1:8" x14ac:dyDescent="0.25">
      <c r="A73" t="s">
        <v>731</v>
      </c>
      <c r="B73">
        <v>5500</v>
      </c>
      <c r="C73">
        <v>25</v>
      </c>
      <c r="D73">
        <v>6</v>
      </c>
      <c r="E73">
        <v>4100</v>
      </c>
      <c r="F73">
        <v>27</v>
      </c>
      <c r="G73" t="b">
        <v>0</v>
      </c>
      <c r="H73">
        <v>27</v>
      </c>
    </row>
    <row r="74" spans="1:8" x14ac:dyDescent="0.25">
      <c r="A74" t="s">
        <v>732</v>
      </c>
      <c r="B74">
        <v>11000</v>
      </c>
      <c r="C74">
        <v>22</v>
      </c>
      <c r="D74">
        <v>6</v>
      </c>
      <c r="E74">
        <v>8500</v>
      </c>
      <c r="F74">
        <v>300</v>
      </c>
      <c r="G74" t="b">
        <v>0</v>
      </c>
      <c r="H74">
        <v>300</v>
      </c>
    </row>
    <row r="75" spans="1:8" x14ac:dyDescent="0.25">
      <c r="A75" t="s">
        <v>225</v>
      </c>
      <c r="B75">
        <v>12000</v>
      </c>
      <c r="C75">
        <v>1</v>
      </c>
      <c r="D75">
        <v>2</v>
      </c>
      <c r="E75">
        <v>11800</v>
      </c>
      <c r="F75">
        <v>240</v>
      </c>
      <c r="G75" t="b">
        <v>0</v>
      </c>
      <c r="H75">
        <v>240</v>
      </c>
    </row>
    <row r="76" spans="1:8" x14ac:dyDescent="0.25">
      <c r="A76" t="s">
        <v>733</v>
      </c>
      <c r="B76">
        <v>6000</v>
      </c>
      <c r="C76">
        <v>6</v>
      </c>
      <c r="D76">
        <v>6</v>
      </c>
      <c r="E76">
        <v>5600</v>
      </c>
      <c r="F76">
        <v>200</v>
      </c>
      <c r="G76" t="b">
        <v>0</v>
      </c>
      <c r="H76">
        <v>200</v>
      </c>
    </row>
    <row r="77" spans="1:8" x14ac:dyDescent="0.25">
      <c r="A77" t="s">
        <v>734</v>
      </c>
      <c r="B77">
        <v>12000</v>
      </c>
      <c r="C77">
        <v>5</v>
      </c>
      <c r="D77">
        <v>5</v>
      </c>
      <c r="E77">
        <v>11400</v>
      </c>
      <c r="F77">
        <v>400</v>
      </c>
      <c r="G77" t="b">
        <v>0</v>
      </c>
      <c r="H77">
        <v>400</v>
      </c>
    </row>
    <row r="78" spans="1:8" x14ac:dyDescent="0.25">
      <c r="A78" t="s">
        <v>735</v>
      </c>
      <c r="B78">
        <v>4000</v>
      </c>
      <c r="C78">
        <v>12</v>
      </c>
      <c r="D78">
        <v>4</v>
      </c>
      <c r="E78">
        <v>3500</v>
      </c>
      <c r="F78">
        <v>38</v>
      </c>
      <c r="G78" t="b">
        <v>0</v>
      </c>
      <c r="H78">
        <v>38</v>
      </c>
    </row>
    <row r="79" spans="1:8" x14ac:dyDescent="0.25">
      <c r="A79" t="s">
        <v>736</v>
      </c>
      <c r="B79">
        <v>5500</v>
      </c>
      <c r="C79">
        <v>0</v>
      </c>
      <c r="D79">
        <v>5</v>
      </c>
      <c r="E79">
        <v>5500</v>
      </c>
      <c r="F79">
        <v>190</v>
      </c>
      <c r="G79" t="b">
        <v>0</v>
      </c>
      <c r="H79">
        <v>190</v>
      </c>
    </row>
    <row r="80" spans="1:8" x14ac:dyDescent="0.25">
      <c r="A80" t="s">
        <v>737</v>
      </c>
      <c r="B80">
        <v>7500</v>
      </c>
      <c r="C80">
        <v>6</v>
      </c>
      <c r="D80">
        <v>4</v>
      </c>
      <c r="E80">
        <v>7000</v>
      </c>
      <c r="F80">
        <v>280</v>
      </c>
      <c r="G80" t="b">
        <v>0</v>
      </c>
      <c r="H80">
        <v>280</v>
      </c>
    </row>
    <row r="81" spans="1:8" x14ac:dyDescent="0.25">
      <c r="A81" t="s">
        <v>738</v>
      </c>
      <c r="B81">
        <v>11000</v>
      </c>
      <c r="C81">
        <v>4</v>
      </c>
      <c r="D81">
        <v>6</v>
      </c>
      <c r="E81">
        <v>10500</v>
      </c>
      <c r="F81">
        <v>400</v>
      </c>
      <c r="G81" t="b">
        <v>0</v>
      </c>
      <c r="H81">
        <v>400</v>
      </c>
    </row>
    <row r="82" spans="1:8" x14ac:dyDescent="0.25">
      <c r="A82" t="s">
        <v>739</v>
      </c>
      <c r="B82">
        <v>32500</v>
      </c>
      <c r="C82">
        <v>6</v>
      </c>
      <c r="D82">
        <v>6</v>
      </c>
      <c r="E82">
        <v>30500</v>
      </c>
      <c r="F82">
        <v>500</v>
      </c>
      <c r="G82" t="b">
        <v>0</v>
      </c>
      <c r="H82">
        <v>500</v>
      </c>
    </row>
    <row r="83" spans="1:8" x14ac:dyDescent="0.25">
      <c r="A83" t="s">
        <v>740</v>
      </c>
      <c r="B83">
        <v>5500</v>
      </c>
      <c r="C83">
        <v>20</v>
      </c>
      <c r="D83">
        <v>5</v>
      </c>
      <c r="E83">
        <v>4400</v>
      </c>
      <c r="F83">
        <v>27</v>
      </c>
      <c r="G83" t="b">
        <v>0</v>
      </c>
      <c r="H83">
        <v>27</v>
      </c>
    </row>
    <row r="84" spans="1:8" x14ac:dyDescent="0.25">
      <c r="A84" t="s">
        <v>741</v>
      </c>
      <c r="B84">
        <v>2800</v>
      </c>
      <c r="C84">
        <v>17</v>
      </c>
      <c r="D84">
        <v>1</v>
      </c>
      <c r="E84">
        <v>2300</v>
      </c>
      <c r="F84">
        <v>65</v>
      </c>
      <c r="G84" t="b">
        <v>0</v>
      </c>
      <c r="H84">
        <v>65</v>
      </c>
    </row>
    <row r="85" spans="1:8" x14ac:dyDescent="0.25">
      <c r="A85" t="s">
        <v>742</v>
      </c>
      <c r="B85">
        <v>9900</v>
      </c>
      <c r="C85">
        <v>49</v>
      </c>
      <c r="D85">
        <v>1</v>
      </c>
      <c r="E85">
        <v>5000</v>
      </c>
      <c r="F85">
        <v>130</v>
      </c>
      <c r="G85" t="b">
        <v>0</v>
      </c>
      <c r="H85">
        <v>130</v>
      </c>
    </row>
    <row r="86" spans="1:8" x14ac:dyDescent="0.25">
      <c r="A86" t="s">
        <v>743</v>
      </c>
      <c r="B86">
        <v>10500</v>
      </c>
      <c r="C86">
        <v>4</v>
      </c>
      <c r="D86">
        <v>2</v>
      </c>
      <c r="E86">
        <v>10000</v>
      </c>
      <c r="F86">
        <v>500</v>
      </c>
      <c r="G86" t="b">
        <v>0</v>
      </c>
      <c r="H86">
        <v>500</v>
      </c>
    </row>
    <row r="87" spans="1:8" x14ac:dyDescent="0.25">
      <c r="A87" t="s">
        <v>620</v>
      </c>
      <c r="B87">
        <v>23500</v>
      </c>
      <c r="C87">
        <v>25</v>
      </c>
      <c r="D87">
        <v>6</v>
      </c>
      <c r="E87">
        <v>17400</v>
      </c>
      <c r="F87">
        <v>325</v>
      </c>
      <c r="G87" t="b">
        <v>0</v>
      </c>
      <c r="H87">
        <v>325</v>
      </c>
    </row>
    <row r="88" spans="1:8" x14ac:dyDescent="0.25">
      <c r="A88" t="s">
        <v>245</v>
      </c>
      <c r="B88">
        <v>32500</v>
      </c>
      <c r="C88">
        <v>9</v>
      </c>
      <c r="D88">
        <v>1</v>
      </c>
      <c r="E88">
        <v>29300</v>
      </c>
      <c r="F88">
        <v>500</v>
      </c>
      <c r="G88" t="b">
        <v>0</v>
      </c>
      <c r="H88">
        <v>500</v>
      </c>
    </row>
    <row r="89" spans="1:8" x14ac:dyDescent="0.25">
      <c r="A89" t="s">
        <v>623</v>
      </c>
      <c r="B89">
        <v>9900</v>
      </c>
      <c r="C89">
        <v>5</v>
      </c>
      <c r="D89">
        <v>6</v>
      </c>
      <c r="E89">
        <v>9400</v>
      </c>
      <c r="F89">
        <v>200</v>
      </c>
      <c r="G89" t="b">
        <v>0</v>
      </c>
      <c r="H89">
        <v>200</v>
      </c>
    </row>
    <row r="90" spans="1:8" x14ac:dyDescent="0.25">
      <c r="A90" t="s">
        <v>744</v>
      </c>
      <c r="B90">
        <v>17500</v>
      </c>
      <c r="C90">
        <v>9</v>
      </c>
      <c r="D90">
        <v>6</v>
      </c>
      <c r="E90">
        <v>15800</v>
      </c>
      <c r="F90">
        <v>300</v>
      </c>
      <c r="G90" t="b">
        <v>0</v>
      </c>
      <c r="H90">
        <v>300</v>
      </c>
    </row>
    <row r="91" spans="1:8" x14ac:dyDescent="0.25">
      <c r="A91" t="s">
        <v>745</v>
      </c>
      <c r="B91">
        <v>6000</v>
      </c>
      <c r="C91">
        <v>20</v>
      </c>
      <c r="D91">
        <v>6</v>
      </c>
      <c r="E91">
        <v>4800</v>
      </c>
      <c r="F91">
        <v>40</v>
      </c>
      <c r="G91" t="b">
        <v>0</v>
      </c>
      <c r="H91">
        <v>40</v>
      </c>
    </row>
    <row r="92" spans="1:8" x14ac:dyDescent="0.25">
      <c r="A92" t="s">
        <v>746</v>
      </c>
      <c r="B92">
        <v>27000</v>
      </c>
      <c r="C92">
        <v>0</v>
      </c>
      <c r="D92">
        <v>5</v>
      </c>
      <c r="E92">
        <v>27000</v>
      </c>
      <c r="F92">
        <v>24</v>
      </c>
      <c r="G92" t="b">
        <v>0</v>
      </c>
      <c r="H92">
        <v>24</v>
      </c>
    </row>
    <row r="93" spans="1:8" x14ac:dyDescent="0.25">
      <c r="A93" t="s">
        <v>747</v>
      </c>
      <c r="B93">
        <v>5000</v>
      </c>
      <c r="C93">
        <v>10</v>
      </c>
      <c r="D93">
        <v>6</v>
      </c>
      <c r="E93">
        <v>4500</v>
      </c>
      <c r="F93">
        <v>160</v>
      </c>
      <c r="G93" t="b">
        <v>0</v>
      </c>
      <c r="H93">
        <v>160</v>
      </c>
    </row>
    <row r="94" spans="1:8" x14ac:dyDescent="0.25">
      <c r="A94" t="s">
        <v>253</v>
      </c>
      <c r="B94">
        <v>6000</v>
      </c>
      <c r="C94">
        <v>0</v>
      </c>
      <c r="D94">
        <v>1</v>
      </c>
      <c r="E94">
        <v>6000</v>
      </c>
      <c r="F94">
        <v>240</v>
      </c>
      <c r="G94" t="b">
        <v>0</v>
      </c>
      <c r="H94">
        <v>240</v>
      </c>
    </row>
    <row r="95" spans="1:8" x14ac:dyDescent="0.25">
      <c r="A95" t="s">
        <v>748</v>
      </c>
      <c r="B95">
        <v>10000</v>
      </c>
      <c r="C95">
        <v>26</v>
      </c>
      <c r="D95">
        <v>6</v>
      </c>
      <c r="E95">
        <v>7400</v>
      </c>
      <c r="F95">
        <v>52</v>
      </c>
      <c r="G95" t="b">
        <v>0</v>
      </c>
      <c r="H95">
        <v>52</v>
      </c>
    </row>
    <row r="96" spans="1:8" x14ac:dyDescent="0.25">
      <c r="A96" t="s">
        <v>257</v>
      </c>
      <c r="B96">
        <v>2000</v>
      </c>
      <c r="C96">
        <v>0</v>
      </c>
      <c r="D96">
        <v>2</v>
      </c>
      <c r="E96">
        <v>2000</v>
      </c>
      <c r="F96">
        <v>46</v>
      </c>
      <c r="G96" t="b">
        <v>0</v>
      </c>
      <c r="H96">
        <v>46</v>
      </c>
    </row>
    <row r="97" spans="1:8" x14ac:dyDescent="0.25">
      <c r="A97" t="s">
        <v>749</v>
      </c>
      <c r="B97">
        <v>7400</v>
      </c>
      <c r="C97">
        <v>6</v>
      </c>
      <c r="D97">
        <v>2</v>
      </c>
      <c r="E97">
        <v>6900</v>
      </c>
      <c r="F97">
        <v>300</v>
      </c>
      <c r="G97" t="b">
        <v>0</v>
      </c>
      <c r="H97">
        <v>300</v>
      </c>
    </row>
    <row r="98" spans="1:8" x14ac:dyDescent="0.25">
      <c r="A98" t="s">
        <v>264</v>
      </c>
      <c r="B98">
        <v>4800</v>
      </c>
      <c r="C98">
        <v>6</v>
      </c>
      <c r="D98">
        <v>6</v>
      </c>
      <c r="E98">
        <v>4500</v>
      </c>
      <c r="F98">
        <v>200</v>
      </c>
      <c r="G98" t="b">
        <v>0</v>
      </c>
      <c r="H98">
        <v>200</v>
      </c>
    </row>
    <row r="99" spans="1:8" x14ac:dyDescent="0.25">
      <c r="A99" t="s">
        <v>750</v>
      </c>
      <c r="B99">
        <v>32500</v>
      </c>
      <c r="C99">
        <v>4</v>
      </c>
      <c r="D99">
        <v>6</v>
      </c>
      <c r="E99">
        <v>30900</v>
      </c>
      <c r="F99">
        <v>400</v>
      </c>
      <c r="G99" t="b">
        <v>0</v>
      </c>
      <c r="H99">
        <v>400</v>
      </c>
    </row>
    <row r="100" spans="1:8" x14ac:dyDescent="0.25">
      <c r="A100" t="s">
        <v>751</v>
      </c>
      <c r="B100">
        <v>5500</v>
      </c>
      <c r="C100">
        <v>25</v>
      </c>
      <c r="D100">
        <v>6</v>
      </c>
      <c r="E100">
        <v>4100</v>
      </c>
      <c r="F100">
        <v>27</v>
      </c>
      <c r="G100" t="b">
        <v>0</v>
      </c>
      <c r="H100">
        <v>27</v>
      </c>
    </row>
    <row r="101" spans="1:8" x14ac:dyDescent="0.25">
      <c r="A101" t="s">
        <v>752</v>
      </c>
      <c r="B101">
        <v>17000</v>
      </c>
      <c r="C101">
        <v>4</v>
      </c>
      <c r="D101">
        <v>3</v>
      </c>
      <c r="E101">
        <v>16200</v>
      </c>
      <c r="F101">
        <v>280</v>
      </c>
      <c r="G101" t="b">
        <v>0</v>
      </c>
      <c r="H101">
        <v>280</v>
      </c>
    </row>
    <row r="102" spans="1:8" x14ac:dyDescent="0.25">
      <c r="A102" t="s">
        <v>753</v>
      </c>
      <c r="B102">
        <v>9900</v>
      </c>
      <c r="C102">
        <v>13</v>
      </c>
      <c r="D102">
        <v>6</v>
      </c>
      <c r="E102">
        <v>8600</v>
      </c>
      <c r="F102">
        <v>250</v>
      </c>
      <c r="G102" t="b">
        <v>0</v>
      </c>
      <c r="H102">
        <v>250</v>
      </c>
    </row>
    <row r="103" spans="1:8" x14ac:dyDescent="0.25">
      <c r="A103" t="s">
        <v>269</v>
      </c>
      <c r="B103">
        <v>5000</v>
      </c>
      <c r="C103">
        <v>10</v>
      </c>
      <c r="D103">
        <v>2</v>
      </c>
      <c r="E103">
        <v>4500</v>
      </c>
      <c r="F103">
        <v>70</v>
      </c>
      <c r="G103" t="b">
        <v>0</v>
      </c>
      <c r="H103">
        <v>70</v>
      </c>
    </row>
    <row r="104" spans="1:8" x14ac:dyDescent="0.25">
      <c r="A104" t="s">
        <v>754</v>
      </c>
      <c r="B104">
        <v>4000</v>
      </c>
      <c r="C104">
        <v>0</v>
      </c>
      <c r="D104">
        <v>3</v>
      </c>
      <c r="E104">
        <v>4000</v>
      </c>
      <c r="F104">
        <v>46</v>
      </c>
      <c r="G104" t="b">
        <v>0</v>
      </c>
      <c r="H104">
        <v>46</v>
      </c>
    </row>
    <row r="105" spans="1:8" x14ac:dyDescent="0.25">
      <c r="A105" t="s">
        <v>276</v>
      </c>
      <c r="B105">
        <v>2800</v>
      </c>
      <c r="C105">
        <v>10</v>
      </c>
      <c r="D105">
        <v>1</v>
      </c>
      <c r="E105">
        <v>2500</v>
      </c>
      <c r="F105">
        <v>65</v>
      </c>
      <c r="G105" t="b">
        <v>0</v>
      </c>
      <c r="H105">
        <v>65</v>
      </c>
    </row>
    <row r="106" spans="1:8" x14ac:dyDescent="0.25">
      <c r="A106" t="s">
        <v>755</v>
      </c>
      <c r="B106">
        <v>5500</v>
      </c>
      <c r="C106">
        <v>9</v>
      </c>
      <c r="D106">
        <v>2</v>
      </c>
      <c r="E106">
        <v>5000</v>
      </c>
      <c r="F106">
        <v>200</v>
      </c>
      <c r="G106" t="b">
        <v>0</v>
      </c>
      <c r="H106">
        <v>200</v>
      </c>
    </row>
    <row r="107" spans="1:8" x14ac:dyDescent="0.25">
      <c r="A107" t="s">
        <v>756</v>
      </c>
      <c r="B107">
        <v>16900</v>
      </c>
      <c r="C107">
        <v>8</v>
      </c>
      <c r="D107">
        <v>4</v>
      </c>
      <c r="E107">
        <v>15500</v>
      </c>
      <c r="F107">
        <v>300</v>
      </c>
      <c r="G107" t="b">
        <v>0</v>
      </c>
      <c r="H107">
        <v>300</v>
      </c>
    </row>
    <row r="108" spans="1:8" x14ac:dyDescent="0.25">
      <c r="A108" t="s">
        <v>757</v>
      </c>
      <c r="B108">
        <v>13000</v>
      </c>
      <c r="C108">
        <v>0</v>
      </c>
      <c r="D108">
        <v>6</v>
      </c>
      <c r="E108">
        <v>12900</v>
      </c>
      <c r="F108">
        <v>415</v>
      </c>
      <c r="G108" t="b">
        <v>0</v>
      </c>
      <c r="H108">
        <v>415</v>
      </c>
    </row>
    <row r="109" spans="1:8" x14ac:dyDescent="0.25">
      <c r="A109" t="s">
        <v>758</v>
      </c>
      <c r="B109">
        <v>6000</v>
      </c>
      <c r="C109">
        <v>26</v>
      </c>
      <c r="D109">
        <v>6</v>
      </c>
      <c r="E109">
        <v>4400</v>
      </c>
      <c r="F109">
        <v>40</v>
      </c>
      <c r="G109" t="b">
        <v>0</v>
      </c>
      <c r="H109">
        <v>40</v>
      </c>
    </row>
    <row r="110" spans="1:8" x14ac:dyDescent="0.25">
      <c r="A110" t="s">
        <v>759</v>
      </c>
      <c r="B110">
        <v>26000</v>
      </c>
      <c r="C110">
        <v>10</v>
      </c>
      <c r="D110">
        <v>4</v>
      </c>
      <c r="E110">
        <v>23400</v>
      </c>
      <c r="F110">
        <v>400</v>
      </c>
      <c r="G110" t="b">
        <v>0</v>
      </c>
      <c r="H110">
        <v>400</v>
      </c>
    </row>
    <row r="111" spans="1:8" x14ac:dyDescent="0.25">
      <c r="A111" t="s">
        <v>746</v>
      </c>
      <c r="B111">
        <v>15000</v>
      </c>
      <c r="C111">
        <v>0</v>
      </c>
      <c r="D111">
        <v>5</v>
      </c>
      <c r="E111">
        <v>15000</v>
      </c>
      <c r="F111">
        <v>580</v>
      </c>
      <c r="G111" t="b">
        <v>0</v>
      </c>
      <c r="H111">
        <v>10</v>
      </c>
    </row>
    <row r="112" spans="1:8" x14ac:dyDescent="0.25">
      <c r="A112" t="s">
        <v>760</v>
      </c>
      <c r="B112">
        <v>8500</v>
      </c>
      <c r="C112">
        <v>9</v>
      </c>
      <c r="D112">
        <v>2</v>
      </c>
      <c r="E112">
        <v>7700</v>
      </c>
      <c r="F112">
        <v>300</v>
      </c>
      <c r="G112" t="b">
        <v>0</v>
      </c>
      <c r="H112">
        <v>300</v>
      </c>
    </row>
    <row r="113" spans="1:8" x14ac:dyDescent="0.25">
      <c r="A113" t="s">
        <v>276</v>
      </c>
      <c r="B113">
        <v>2800</v>
      </c>
      <c r="C113">
        <v>17</v>
      </c>
      <c r="D113">
        <v>3</v>
      </c>
      <c r="E113">
        <v>2300</v>
      </c>
      <c r="F113">
        <v>65</v>
      </c>
      <c r="G113" t="b">
        <v>0</v>
      </c>
      <c r="H113">
        <v>65</v>
      </c>
    </row>
    <row r="114" spans="1:8" x14ac:dyDescent="0.25">
      <c r="A114" t="s">
        <v>761</v>
      </c>
      <c r="B114">
        <v>10000</v>
      </c>
      <c r="C114">
        <v>26</v>
      </c>
      <c r="D114">
        <v>6</v>
      </c>
      <c r="E114">
        <v>7400</v>
      </c>
      <c r="F114">
        <v>52</v>
      </c>
      <c r="G114" t="b">
        <v>0</v>
      </c>
      <c r="H114">
        <v>52</v>
      </c>
    </row>
    <row r="115" spans="1:8" x14ac:dyDescent="0.25">
      <c r="A115" t="s">
        <v>762</v>
      </c>
      <c r="B115">
        <v>32500</v>
      </c>
      <c r="C115">
        <v>4</v>
      </c>
      <c r="D115">
        <v>6</v>
      </c>
      <c r="E115">
        <v>30900</v>
      </c>
      <c r="F115">
        <v>400</v>
      </c>
      <c r="G115" t="b">
        <v>0</v>
      </c>
      <c r="H115">
        <v>400</v>
      </c>
    </row>
    <row r="116" spans="1:8" x14ac:dyDescent="0.25">
      <c r="A116" t="s">
        <v>290</v>
      </c>
      <c r="B116">
        <v>7000</v>
      </c>
      <c r="C116">
        <v>10</v>
      </c>
      <c r="D116">
        <v>3</v>
      </c>
      <c r="E116">
        <v>6300</v>
      </c>
      <c r="F116">
        <v>405</v>
      </c>
      <c r="G116" t="b">
        <v>0</v>
      </c>
      <c r="H116">
        <v>405</v>
      </c>
    </row>
    <row r="117" spans="1:8" x14ac:dyDescent="0.25">
      <c r="A117" t="s">
        <v>763</v>
      </c>
      <c r="B117">
        <v>14100</v>
      </c>
      <c r="C117">
        <v>14</v>
      </c>
      <c r="D117">
        <v>4</v>
      </c>
      <c r="E117">
        <v>12100</v>
      </c>
      <c r="F117">
        <v>350</v>
      </c>
      <c r="G117" t="b">
        <v>0</v>
      </c>
      <c r="H117">
        <v>350</v>
      </c>
    </row>
    <row r="118" spans="1:8" x14ac:dyDescent="0.25">
      <c r="A118" t="s">
        <v>294</v>
      </c>
      <c r="B118">
        <v>4900</v>
      </c>
      <c r="C118">
        <v>8</v>
      </c>
      <c r="D118">
        <v>6</v>
      </c>
      <c r="E118">
        <v>4500</v>
      </c>
      <c r="F118">
        <v>200</v>
      </c>
      <c r="G118" t="b">
        <v>0</v>
      </c>
      <c r="H118">
        <v>200</v>
      </c>
    </row>
    <row r="119" spans="1:8" x14ac:dyDescent="0.25">
      <c r="A119" t="s">
        <v>293</v>
      </c>
      <c r="B119">
        <v>5000</v>
      </c>
      <c r="C119">
        <v>2</v>
      </c>
      <c r="D119">
        <v>6</v>
      </c>
      <c r="E119">
        <v>4900</v>
      </c>
      <c r="F119">
        <v>200</v>
      </c>
      <c r="G119" t="b">
        <v>0</v>
      </c>
      <c r="H119">
        <v>200</v>
      </c>
    </row>
    <row r="120" spans="1:8" x14ac:dyDescent="0.25">
      <c r="A120" t="s">
        <v>764</v>
      </c>
      <c r="B120">
        <v>12500</v>
      </c>
      <c r="C120">
        <v>15</v>
      </c>
      <c r="D120">
        <v>4</v>
      </c>
      <c r="E120">
        <v>10600</v>
      </c>
      <c r="F120">
        <v>60</v>
      </c>
      <c r="G120" t="b">
        <v>0</v>
      </c>
      <c r="H120">
        <v>60</v>
      </c>
    </row>
    <row r="121" spans="1:8" x14ac:dyDescent="0.25">
      <c r="A121" t="s">
        <v>765</v>
      </c>
      <c r="B121">
        <v>4000</v>
      </c>
      <c r="C121">
        <v>2</v>
      </c>
      <c r="D121">
        <v>3</v>
      </c>
      <c r="E121">
        <v>3900</v>
      </c>
      <c r="F121">
        <v>400</v>
      </c>
      <c r="G121" t="b">
        <v>0</v>
      </c>
      <c r="H121">
        <v>400</v>
      </c>
    </row>
    <row r="122" spans="1:8" x14ac:dyDescent="0.25">
      <c r="A122" t="s">
        <v>766</v>
      </c>
      <c r="B122">
        <v>1000</v>
      </c>
      <c r="C122">
        <v>0</v>
      </c>
      <c r="D122">
        <v>3</v>
      </c>
      <c r="E122">
        <v>1000</v>
      </c>
      <c r="F122">
        <v>15</v>
      </c>
      <c r="G122" t="b">
        <v>0</v>
      </c>
      <c r="H122">
        <v>15</v>
      </c>
    </row>
    <row r="123" spans="1:8" x14ac:dyDescent="0.25">
      <c r="A123" t="s">
        <v>767</v>
      </c>
      <c r="B123">
        <v>14500</v>
      </c>
      <c r="C123">
        <v>11</v>
      </c>
      <c r="D123">
        <v>3</v>
      </c>
      <c r="E123">
        <v>12900</v>
      </c>
      <c r="F123">
        <v>400</v>
      </c>
      <c r="G123" t="b">
        <v>0</v>
      </c>
      <c r="H123">
        <v>400</v>
      </c>
    </row>
    <row r="124" spans="1:8" x14ac:dyDescent="0.25">
      <c r="A124" t="s">
        <v>768</v>
      </c>
      <c r="B124">
        <v>33500</v>
      </c>
      <c r="C124">
        <v>11</v>
      </c>
      <c r="D124">
        <v>6</v>
      </c>
      <c r="E124">
        <v>29800</v>
      </c>
      <c r="F124">
        <v>500</v>
      </c>
      <c r="G124" t="b">
        <v>0</v>
      </c>
      <c r="H124">
        <v>500</v>
      </c>
    </row>
    <row r="125" spans="1:8" x14ac:dyDescent="0.25">
      <c r="A125" t="s">
        <v>769</v>
      </c>
      <c r="B125">
        <v>11900</v>
      </c>
      <c r="C125">
        <v>6</v>
      </c>
      <c r="D125">
        <v>6</v>
      </c>
      <c r="E125">
        <v>11100</v>
      </c>
      <c r="F125">
        <v>360</v>
      </c>
      <c r="G125" t="b">
        <v>0</v>
      </c>
      <c r="H125">
        <v>360</v>
      </c>
    </row>
    <row r="126" spans="1:8" x14ac:dyDescent="0.25">
      <c r="A126" t="s">
        <v>770</v>
      </c>
      <c r="B126">
        <v>14900</v>
      </c>
      <c r="C126">
        <v>8</v>
      </c>
      <c r="D126">
        <v>6</v>
      </c>
      <c r="E126">
        <v>13700</v>
      </c>
      <c r="F126">
        <v>300</v>
      </c>
      <c r="G126" t="b">
        <v>0</v>
      </c>
      <c r="H126">
        <v>300</v>
      </c>
    </row>
    <row r="127" spans="1:8" x14ac:dyDescent="0.25">
      <c r="A127" t="s">
        <v>771</v>
      </c>
      <c r="B127">
        <v>13000</v>
      </c>
      <c r="C127">
        <v>0</v>
      </c>
      <c r="D127">
        <v>5</v>
      </c>
      <c r="E127">
        <v>13000</v>
      </c>
      <c r="F127">
        <v>200</v>
      </c>
      <c r="G127" t="b">
        <v>0</v>
      </c>
      <c r="H127">
        <v>200</v>
      </c>
    </row>
    <row r="128" spans="1:8" x14ac:dyDescent="0.25">
      <c r="A128" t="s">
        <v>772</v>
      </c>
      <c r="B128">
        <v>5500</v>
      </c>
      <c r="C128">
        <v>3</v>
      </c>
      <c r="D128">
        <v>1</v>
      </c>
      <c r="E128">
        <v>5300</v>
      </c>
      <c r="F128">
        <v>43</v>
      </c>
      <c r="G128" t="b">
        <v>0</v>
      </c>
      <c r="H128">
        <v>43</v>
      </c>
    </row>
    <row r="129" spans="1:8" x14ac:dyDescent="0.25">
      <c r="A129" t="s">
        <v>629</v>
      </c>
      <c r="B129">
        <v>9900</v>
      </c>
      <c r="C129">
        <v>5</v>
      </c>
      <c r="D129">
        <v>6</v>
      </c>
      <c r="E129">
        <v>9400</v>
      </c>
      <c r="F129">
        <v>200</v>
      </c>
      <c r="G129" t="b">
        <v>0</v>
      </c>
      <c r="H129">
        <v>200</v>
      </c>
    </row>
    <row r="130" spans="1:8" x14ac:dyDescent="0.25">
      <c r="A130" t="s">
        <v>632</v>
      </c>
      <c r="B130">
        <v>21500</v>
      </c>
      <c r="C130">
        <v>9</v>
      </c>
      <c r="D130">
        <v>6</v>
      </c>
      <c r="E130">
        <v>19400</v>
      </c>
      <c r="F130">
        <v>325</v>
      </c>
      <c r="G130" t="b">
        <v>0</v>
      </c>
      <c r="H130">
        <v>325</v>
      </c>
    </row>
    <row r="131" spans="1:8" x14ac:dyDescent="0.25">
      <c r="A131" t="s">
        <v>309</v>
      </c>
      <c r="B131">
        <v>20500</v>
      </c>
      <c r="C131">
        <v>5</v>
      </c>
      <c r="D131">
        <v>1</v>
      </c>
      <c r="E131">
        <v>19400</v>
      </c>
      <c r="F131">
        <v>250</v>
      </c>
      <c r="G131" t="b">
        <v>0</v>
      </c>
      <c r="H131">
        <v>250</v>
      </c>
    </row>
    <row r="132" spans="1:8" x14ac:dyDescent="0.25">
      <c r="A132" t="s">
        <v>773</v>
      </c>
      <c r="B132">
        <v>16500</v>
      </c>
      <c r="C132">
        <v>9</v>
      </c>
      <c r="D132">
        <v>1</v>
      </c>
      <c r="E132">
        <v>14900</v>
      </c>
      <c r="F132">
        <v>500</v>
      </c>
      <c r="G132" t="b">
        <v>0</v>
      </c>
      <c r="H132">
        <v>500</v>
      </c>
    </row>
    <row r="133" spans="1:8" x14ac:dyDescent="0.25">
      <c r="A133" t="s">
        <v>774</v>
      </c>
      <c r="B133">
        <v>8900</v>
      </c>
      <c r="C133">
        <v>0</v>
      </c>
      <c r="D133">
        <v>5</v>
      </c>
      <c r="E133">
        <v>8900</v>
      </c>
      <c r="F133">
        <v>480</v>
      </c>
      <c r="G133" t="b">
        <v>0</v>
      </c>
      <c r="H133">
        <v>480</v>
      </c>
    </row>
    <row r="134" spans="1:8" x14ac:dyDescent="0.25">
      <c r="A134" t="s">
        <v>775</v>
      </c>
      <c r="B134">
        <v>65000</v>
      </c>
      <c r="C134">
        <v>0</v>
      </c>
      <c r="D134">
        <v>6</v>
      </c>
      <c r="E134">
        <v>65000</v>
      </c>
      <c r="F134">
        <v>400</v>
      </c>
      <c r="G134" t="b">
        <v>0</v>
      </c>
      <c r="H134">
        <v>400</v>
      </c>
    </row>
    <row r="135" spans="1:8" x14ac:dyDescent="0.25">
      <c r="A135" t="s">
        <v>296</v>
      </c>
      <c r="B135">
        <v>9600</v>
      </c>
      <c r="C135">
        <v>15</v>
      </c>
      <c r="D135">
        <v>6</v>
      </c>
      <c r="E135">
        <v>8100</v>
      </c>
      <c r="F135">
        <v>280</v>
      </c>
      <c r="G135" t="b">
        <v>0</v>
      </c>
      <c r="H135">
        <v>280</v>
      </c>
    </row>
    <row r="136" spans="1:8" x14ac:dyDescent="0.25">
      <c r="A136" t="s">
        <v>776</v>
      </c>
      <c r="B136">
        <v>12000</v>
      </c>
      <c r="C136">
        <v>7</v>
      </c>
      <c r="D136">
        <v>6</v>
      </c>
      <c r="E136">
        <v>11100</v>
      </c>
      <c r="F136">
        <v>400</v>
      </c>
      <c r="G136" t="b">
        <v>0</v>
      </c>
      <c r="H136">
        <v>400</v>
      </c>
    </row>
    <row r="137" spans="1:8" x14ac:dyDescent="0.25">
      <c r="A137" t="s">
        <v>777</v>
      </c>
      <c r="B137">
        <v>33000</v>
      </c>
      <c r="C137">
        <v>10</v>
      </c>
      <c r="D137">
        <v>1</v>
      </c>
      <c r="E137">
        <v>29400</v>
      </c>
      <c r="F137">
        <v>450</v>
      </c>
      <c r="G137" t="b">
        <v>0</v>
      </c>
      <c r="H137">
        <v>450</v>
      </c>
    </row>
    <row r="138" spans="1:8" x14ac:dyDescent="0.25">
      <c r="A138" t="s">
        <v>778</v>
      </c>
      <c r="B138">
        <v>13000</v>
      </c>
      <c r="C138">
        <v>10</v>
      </c>
      <c r="D138">
        <v>6</v>
      </c>
      <c r="E138">
        <v>11700</v>
      </c>
      <c r="F138">
        <v>250</v>
      </c>
      <c r="G138" t="b">
        <v>0</v>
      </c>
      <c r="H138">
        <v>250</v>
      </c>
    </row>
    <row r="139" spans="1:8" x14ac:dyDescent="0.25">
      <c r="A139" t="s">
        <v>779</v>
      </c>
      <c r="B139">
        <v>3200</v>
      </c>
      <c r="C139">
        <v>0</v>
      </c>
      <c r="D139">
        <v>3</v>
      </c>
      <c r="E139">
        <v>3200</v>
      </c>
      <c r="F139">
        <v>150</v>
      </c>
      <c r="G139" t="b">
        <v>0</v>
      </c>
      <c r="H139">
        <v>150</v>
      </c>
    </row>
    <row r="140" spans="1:8" x14ac:dyDescent="0.25">
      <c r="A140" t="s">
        <v>780</v>
      </c>
      <c r="B140">
        <v>6000</v>
      </c>
      <c r="C140">
        <v>20</v>
      </c>
      <c r="D140">
        <v>6</v>
      </c>
      <c r="E140">
        <v>4800</v>
      </c>
      <c r="F140">
        <v>40</v>
      </c>
      <c r="G140" t="b">
        <v>0</v>
      </c>
      <c r="H140">
        <v>40</v>
      </c>
    </row>
    <row r="141" spans="1:8" x14ac:dyDescent="0.25">
      <c r="A141" t="s">
        <v>136</v>
      </c>
      <c r="B141">
        <v>19500</v>
      </c>
      <c r="C141">
        <v>12</v>
      </c>
      <c r="D141">
        <v>2</v>
      </c>
      <c r="E141">
        <v>17100</v>
      </c>
      <c r="F141">
        <v>500</v>
      </c>
      <c r="G141" t="b">
        <v>0</v>
      </c>
      <c r="H141">
        <v>500</v>
      </c>
    </row>
    <row r="142" spans="1:8" x14ac:dyDescent="0.25">
      <c r="A142" t="s">
        <v>781</v>
      </c>
      <c r="B142">
        <v>8000</v>
      </c>
      <c r="C142">
        <v>10</v>
      </c>
      <c r="D142">
        <v>3</v>
      </c>
      <c r="E142">
        <v>7200</v>
      </c>
      <c r="F142">
        <v>320</v>
      </c>
      <c r="G142" t="b">
        <v>0</v>
      </c>
      <c r="H142">
        <v>320</v>
      </c>
    </row>
    <row r="143" spans="1:8" x14ac:dyDescent="0.25">
      <c r="A143" t="s">
        <v>782</v>
      </c>
      <c r="B143">
        <v>4000</v>
      </c>
      <c r="C143">
        <v>0</v>
      </c>
      <c r="D143">
        <v>4</v>
      </c>
      <c r="E143">
        <v>4000</v>
      </c>
      <c r="F143">
        <v>46</v>
      </c>
      <c r="G143" t="b">
        <v>0</v>
      </c>
      <c r="H143">
        <v>46</v>
      </c>
    </row>
    <row r="144" spans="1:8" x14ac:dyDescent="0.25">
      <c r="A144" t="s">
        <v>783</v>
      </c>
      <c r="B144">
        <v>20000</v>
      </c>
      <c r="C144">
        <v>25</v>
      </c>
      <c r="D144">
        <v>1</v>
      </c>
      <c r="E144">
        <v>15000</v>
      </c>
      <c r="F144">
        <v>180</v>
      </c>
      <c r="G144" t="b">
        <v>0</v>
      </c>
      <c r="H144">
        <v>180</v>
      </c>
    </row>
    <row r="145" spans="1:8" x14ac:dyDescent="0.25">
      <c r="A145" t="s">
        <v>744</v>
      </c>
      <c r="B145">
        <v>55000</v>
      </c>
      <c r="C145">
        <v>5</v>
      </c>
      <c r="D145">
        <v>3</v>
      </c>
      <c r="E145">
        <v>52000</v>
      </c>
      <c r="F145">
        <v>1000</v>
      </c>
      <c r="G145" t="b">
        <v>0</v>
      </c>
      <c r="H145">
        <v>1</v>
      </c>
    </row>
    <row r="146" spans="1:8" x14ac:dyDescent="0.25">
      <c r="A146" t="s">
        <v>784</v>
      </c>
      <c r="B146">
        <v>33000</v>
      </c>
      <c r="C146">
        <v>10</v>
      </c>
      <c r="D146">
        <v>3</v>
      </c>
      <c r="E146">
        <v>29400</v>
      </c>
      <c r="F146">
        <v>450</v>
      </c>
      <c r="G146" t="b">
        <v>0</v>
      </c>
      <c r="H146">
        <v>450</v>
      </c>
    </row>
    <row r="147" spans="1:8" x14ac:dyDescent="0.25">
      <c r="A147" t="s">
        <v>785</v>
      </c>
      <c r="B147">
        <v>16000</v>
      </c>
      <c r="C147">
        <v>20</v>
      </c>
      <c r="D147">
        <v>4</v>
      </c>
      <c r="E147">
        <v>12800</v>
      </c>
      <c r="F147">
        <v>180</v>
      </c>
      <c r="G147" t="b">
        <v>0</v>
      </c>
      <c r="H147">
        <v>180</v>
      </c>
    </row>
    <row r="148" spans="1:8" x14ac:dyDescent="0.25">
      <c r="A148" t="s">
        <v>786</v>
      </c>
      <c r="B148">
        <v>1500</v>
      </c>
      <c r="C148">
        <v>0</v>
      </c>
      <c r="D148">
        <v>3</v>
      </c>
      <c r="E148">
        <v>1500</v>
      </c>
      <c r="F148">
        <v>60</v>
      </c>
      <c r="G148" t="b">
        <v>0</v>
      </c>
      <c r="H148">
        <v>60</v>
      </c>
    </row>
    <row r="149" spans="1:8" x14ac:dyDescent="0.25">
      <c r="A149" t="s">
        <v>787</v>
      </c>
      <c r="B149">
        <v>12500</v>
      </c>
      <c r="C149">
        <v>9</v>
      </c>
      <c r="D149">
        <v>6</v>
      </c>
      <c r="E149">
        <v>11300</v>
      </c>
      <c r="F149">
        <v>400</v>
      </c>
      <c r="G149" t="b">
        <v>0</v>
      </c>
      <c r="H149">
        <v>500</v>
      </c>
    </row>
    <row r="150" spans="1:8" x14ac:dyDescent="0.25">
      <c r="A150" t="s">
        <v>320</v>
      </c>
      <c r="B150">
        <v>16000</v>
      </c>
      <c r="C150">
        <v>10</v>
      </c>
      <c r="D150">
        <v>3</v>
      </c>
      <c r="E150">
        <v>14400</v>
      </c>
      <c r="F150">
        <v>250</v>
      </c>
      <c r="G150" t="b">
        <v>0</v>
      </c>
      <c r="H150">
        <v>250</v>
      </c>
    </row>
    <row r="151" spans="1:8" x14ac:dyDescent="0.25">
      <c r="A151" t="s">
        <v>788</v>
      </c>
      <c r="B151">
        <v>17500</v>
      </c>
      <c r="C151">
        <v>20</v>
      </c>
      <c r="D151">
        <v>6</v>
      </c>
      <c r="E151">
        <v>14000</v>
      </c>
      <c r="F151">
        <v>180</v>
      </c>
      <c r="G151" t="b">
        <v>0</v>
      </c>
      <c r="H151">
        <v>180</v>
      </c>
    </row>
    <row r="152" spans="1:8" x14ac:dyDescent="0.25">
      <c r="A152" t="s">
        <v>789</v>
      </c>
      <c r="B152">
        <v>17000</v>
      </c>
      <c r="C152">
        <v>10</v>
      </c>
      <c r="D152">
        <v>1</v>
      </c>
      <c r="E152">
        <v>15300</v>
      </c>
      <c r="F152">
        <v>1000</v>
      </c>
      <c r="G152" t="b">
        <v>0</v>
      </c>
      <c r="H152">
        <v>1</v>
      </c>
    </row>
    <row r="153" spans="1:8" x14ac:dyDescent="0.25">
      <c r="A153" t="s">
        <v>790</v>
      </c>
      <c r="B153">
        <v>1500</v>
      </c>
      <c r="C153">
        <v>0</v>
      </c>
      <c r="D153">
        <v>3</v>
      </c>
      <c r="E153">
        <v>1500</v>
      </c>
      <c r="F153">
        <v>15</v>
      </c>
      <c r="G153" t="b">
        <v>0</v>
      </c>
      <c r="H153">
        <v>15</v>
      </c>
    </row>
    <row r="154" spans="1:8" x14ac:dyDescent="0.25">
      <c r="A154" t="s">
        <v>791</v>
      </c>
      <c r="B154">
        <v>49900</v>
      </c>
      <c r="C154">
        <v>11</v>
      </c>
      <c r="D154">
        <v>6</v>
      </c>
      <c r="E154">
        <v>44400</v>
      </c>
      <c r="F154">
        <v>1200</v>
      </c>
      <c r="G154" t="b">
        <v>0</v>
      </c>
      <c r="H154">
        <v>1</v>
      </c>
    </row>
    <row r="155" spans="1:8" x14ac:dyDescent="0.25">
      <c r="A155" t="s">
        <v>787</v>
      </c>
      <c r="B155">
        <v>14900</v>
      </c>
      <c r="C155">
        <v>26</v>
      </c>
      <c r="D155">
        <v>4</v>
      </c>
      <c r="E155">
        <v>10900</v>
      </c>
      <c r="F155">
        <v>500</v>
      </c>
      <c r="G155" t="b">
        <v>0</v>
      </c>
      <c r="H155">
        <v>500</v>
      </c>
    </row>
    <row r="156" spans="1:8" x14ac:dyDescent="0.25">
      <c r="A156" t="s">
        <v>792</v>
      </c>
      <c r="B156">
        <v>6000</v>
      </c>
      <c r="C156">
        <v>0</v>
      </c>
      <c r="D156">
        <v>6</v>
      </c>
      <c r="E156">
        <v>6000</v>
      </c>
      <c r="F156">
        <v>240</v>
      </c>
      <c r="G156" t="b">
        <v>0</v>
      </c>
      <c r="H156">
        <v>240</v>
      </c>
    </row>
    <row r="157" spans="1:8" x14ac:dyDescent="0.25">
      <c r="A157" t="s">
        <v>793</v>
      </c>
      <c r="B157">
        <v>31000</v>
      </c>
      <c r="C157">
        <v>6</v>
      </c>
      <c r="D157">
        <v>6</v>
      </c>
      <c r="E157">
        <v>29000</v>
      </c>
      <c r="F157">
        <v>875</v>
      </c>
      <c r="G157" t="b">
        <v>0</v>
      </c>
      <c r="H157">
        <v>875</v>
      </c>
    </row>
    <row r="158" spans="1:8" x14ac:dyDescent="0.25">
      <c r="A158" t="s">
        <v>328</v>
      </c>
      <c r="B158">
        <v>6000</v>
      </c>
      <c r="C158">
        <v>0</v>
      </c>
      <c r="D158">
        <v>4</v>
      </c>
      <c r="E158">
        <v>6000</v>
      </c>
      <c r="F158">
        <v>240</v>
      </c>
      <c r="G158" t="b">
        <v>0</v>
      </c>
      <c r="H158">
        <v>240</v>
      </c>
    </row>
    <row r="159" spans="1:8" x14ac:dyDescent="0.25">
      <c r="A159" t="s">
        <v>794</v>
      </c>
      <c r="B159">
        <v>33000</v>
      </c>
      <c r="C159">
        <v>6</v>
      </c>
      <c r="D159">
        <v>6</v>
      </c>
      <c r="E159">
        <v>31000</v>
      </c>
      <c r="F159">
        <v>460</v>
      </c>
      <c r="G159" t="b">
        <v>0</v>
      </c>
      <c r="H159">
        <v>460</v>
      </c>
    </row>
    <row r="160" spans="1:8" x14ac:dyDescent="0.25">
      <c r="A160" t="s">
        <v>795</v>
      </c>
      <c r="B160">
        <v>29200</v>
      </c>
      <c r="C160">
        <v>0</v>
      </c>
      <c r="D160">
        <v>6</v>
      </c>
      <c r="E160">
        <v>29200</v>
      </c>
      <c r="F160">
        <v>300</v>
      </c>
      <c r="G160" t="b">
        <v>0</v>
      </c>
      <c r="H160">
        <v>300</v>
      </c>
    </row>
    <row r="161" spans="1:8" x14ac:dyDescent="0.25">
      <c r="A161" t="s">
        <v>796</v>
      </c>
      <c r="B161">
        <v>2500</v>
      </c>
      <c r="C161">
        <v>0</v>
      </c>
      <c r="D161">
        <v>6</v>
      </c>
      <c r="E161">
        <v>2500</v>
      </c>
      <c r="F161">
        <v>60</v>
      </c>
      <c r="G161" t="b">
        <v>0</v>
      </c>
      <c r="H161">
        <v>60</v>
      </c>
    </row>
    <row r="162" spans="1:8" x14ac:dyDescent="0.25">
      <c r="A162" t="s">
        <v>774</v>
      </c>
      <c r="B162">
        <v>6800</v>
      </c>
      <c r="C162">
        <v>10</v>
      </c>
      <c r="D162">
        <v>5</v>
      </c>
      <c r="E162">
        <v>6100</v>
      </c>
      <c r="F162">
        <v>360</v>
      </c>
      <c r="G162" t="b">
        <v>0</v>
      </c>
      <c r="H162">
        <v>360</v>
      </c>
    </row>
    <row r="163" spans="1:8" x14ac:dyDescent="0.25">
      <c r="A163" t="s">
        <v>797</v>
      </c>
      <c r="B163">
        <v>5500</v>
      </c>
      <c r="C163">
        <v>0</v>
      </c>
      <c r="D163">
        <v>6</v>
      </c>
      <c r="E163">
        <v>5500</v>
      </c>
      <c r="F163">
        <v>53</v>
      </c>
      <c r="G163" t="b">
        <v>0</v>
      </c>
      <c r="H163">
        <v>53</v>
      </c>
    </row>
    <row r="164" spans="1:8" x14ac:dyDescent="0.25">
      <c r="A164" t="s">
        <v>336</v>
      </c>
      <c r="B164">
        <v>29500</v>
      </c>
      <c r="C164">
        <v>9</v>
      </c>
      <c r="D164">
        <v>6</v>
      </c>
      <c r="E164">
        <v>26600</v>
      </c>
      <c r="F164">
        <v>360</v>
      </c>
      <c r="G164" t="b">
        <v>0</v>
      </c>
      <c r="H164">
        <v>360</v>
      </c>
    </row>
    <row r="165" spans="1:8" x14ac:dyDescent="0.25">
      <c r="A165" t="s">
        <v>798</v>
      </c>
      <c r="B165">
        <v>42500</v>
      </c>
      <c r="C165">
        <v>9</v>
      </c>
      <c r="D165">
        <v>1</v>
      </c>
      <c r="E165">
        <v>38300</v>
      </c>
      <c r="F165">
        <v>1000</v>
      </c>
      <c r="G165" t="b">
        <v>0</v>
      </c>
      <c r="H165">
        <v>1</v>
      </c>
    </row>
    <row r="166" spans="1:8" x14ac:dyDescent="0.25">
      <c r="A166" t="s">
        <v>799</v>
      </c>
      <c r="B166">
        <v>17000</v>
      </c>
      <c r="C166">
        <v>5</v>
      </c>
      <c r="D166">
        <v>4</v>
      </c>
      <c r="E166">
        <v>16000</v>
      </c>
      <c r="F166">
        <v>385</v>
      </c>
      <c r="G166" t="b">
        <v>0</v>
      </c>
      <c r="H166">
        <v>385</v>
      </c>
    </row>
    <row r="167" spans="1:8" x14ac:dyDescent="0.25">
      <c r="A167" t="s">
        <v>800</v>
      </c>
      <c r="B167">
        <v>29000</v>
      </c>
      <c r="C167">
        <v>20</v>
      </c>
      <c r="D167">
        <v>6</v>
      </c>
      <c r="E167">
        <v>23200</v>
      </c>
      <c r="F167">
        <v>1200</v>
      </c>
      <c r="G167" t="b">
        <v>0</v>
      </c>
      <c r="H167">
        <v>1200</v>
      </c>
    </row>
    <row r="168" spans="1:8" x14ac:dyDescent="0.25">
      <c r="A168" t="s">
        <v>801</v>
      </c>
      <c r="B168">
        <v>1500</v>
      </c>
      <c r="C168">
        <v>0</v>
      </c>
      <c r="D168">
        <v>5</v>
      </c>
      <c r="E168">
        <v>1500</v>
      </c>
      <c r="F168">
        <v>15</v>
      </c>
      <c r="G168" t="b">
        <v>0</v>
      </c>
      <c r="H168">
        <v>15</v>
      </c>
    </row>
    <row r="169" spans="1:8" x14ac:dyDescent="0.25">
      <c r="A169" t="s">
        <v>802</v>
      </c>
      <c r="B169">
        <v>26100</v>
      </c>
      <c r="C169">
        <v>0</v>
      </c>
      <c r="D169">
        <v>6</v>
      </c>
      <c r="E169">
        <v>26100</v>
      </c>
      <c r="F169">
        <v>300</v>
      </c>
      <c r="G169" t="b">
        <v>0</v>
      </c>
      <c r="H169">
        <v>300</v>
      </c>
    </row>
    <row r="170" spans="1:8" x14ac:dyDescent="0.25">
      <c r="A170" t="s">
        <v>803</v>
      </c>
      <c r="B170">
        <v>66000</v>
      </c>
      <c r="C170">
        <v>40</v>
      </c>
      <c r="D170">
        <v>4</v>
      </c>
      <c r="E170">
        <v>39600</v>
      </c>
      <c r="F170">
        <v>1200</v>
      </c>
      <c r="G170" t="b">
        <v>0</v>
      </c>
      <c r="H170">
        <v>1</v>
      </c>
    </row>
    <row r="171" spans="1:8" x14ac:dyDescent="0.25">
      <c r="A171" t="s">
        <v>804</v>
      </c>
      <c r="B171">
        <v>17000</v>
      </c>
      <c r="C171">
        <v>4</v>
      </c>
      <c r="D171">
        <v>2</v>
      </c>
      <c r="E171">
        <v>16200</v>
      </c>
      <c r="F171">
        <v>210</v>
      </c>
      <c r="G171" t="b">
        <v>0</v>
      </c>
      <c r="H171">
        <v>210</v>
      </c>
    </row>
    <row r="172" spans="1:8" x14ac:dyDescent="0.25">
      <c r="A172" t="s">
        <v>638</v>
      </c>
      <c r="B172">
        <v>22900</v>
      </c>
      <c r="C172">
        <v>10</v>
      </c>
      <c r="D172">
        <v>6</v>
      </c>
      <c r="E172">
        <v>20600</v>
      </c>
      <c r="F172">
        <v>400</v>
      </c>
      <c r="G172" t="b">
        <v>0</v>
      </c>
      <c r="H172">
        <v>400</v>
      </c>
    </row>
    <row r="173" spans="1:8" x14ac:dyDescent="0.25">
      <c r="A173" t="s">
        <v>805</v>
      </c>
      <c r="B173">
        <v>13000</v>
      </c>
      <c r="C173">
        <v>30</v>
      </c>
      <c r="D173">
        <v>6</v>
      </c>
      <c r="E173">
        <v>9100</v>
      </c>
      <c r="F173">
        <v>285</v>
      </c>
      <c r="G173" t="b">
        <v>0</v>
      </c>
      <c r="H173">
        <v>285</v>
      </c>
    </row>
    <row r="174" spans="1:8" x14ac:dyDescent="0.25">
      <c r="A174" t="s">
        <v>806</v>
      </c>
      <c r="B174">
        <v>9900</v>
      </c>
      <c r="C174">
        <v>11</v>
      </c>
      <c r="D174">
        <v>6</v>
      </c>
      <c r="E174">
        <v>8800</v>
      </c>
      <c r="F174">
        <v>175</v>
      </c>
      <c r="G174" t="b">
        <v>0</v>
      </c>
      <c r="H174">
        <v>175</v>
      </c>
    </row>
    <row r="175" spans="1:8" x14ac:dyDescent="0.25">
      <c r="A175" t="s">
        <v>807</v>
      </c>
      <c r="B175">
        <v>16900</v>
      </c>
      <c r="C175">
        <v>5</v>
      </c>
      <c r="D175">
        <v>4</v>
      </c>
      <c r="E175">
        <v>16000</v>
      </c>
      <c r="F175">
        <v>250</v>
      </c>
      <c r="G175" t="b">
        <v>0</v>
      </c>
      <c r="H175">
        <v>250</v>
      </c>
    </row>
    <row r="176" spans="1:8" x14ac:dyDescent="0.25">
      <c r="A176" t="s">
        <v>808</v>
      </c>
      <c r="B176">
        <v>17900</v>
      </c>
      <c r="C176">
        <v>0</v>
      </c>
      <c r="D176">
        <v>6</v>
      </c>
      <c r="E176">
        <v>17900</v>
      </c>
      <c r="F176">
        <v>450</v>
      </c>
      <c r="G176" t="b">
        <v>0</v>
      </c>
      <c r="H176">
        <v>450</v>
      </c>
    </row>
    <row r="177" spans="1:8" x14ac:dyDescent="0.25">
      <c r="A177" t="s">
        <v>809</v>
      </c>
      <c r="B177">
        <v>14900</v>
      </c>
      <c r="C177">
        <v>8</v>
      </c>
      <c r="D177">
        <v>6</v>
      </c>
      <c r="E177">
        <v>13700</v>
      </c>
      <c r="F177">
        <v>330</v>
      </c>
      <c r="G177" t="b">
        <v>0</v>
      </c>
      <c r="H177">
        <v>330</v>
      </c>
    </row>
    <row r="178" spans="1:8" x14ac:dyDescent="0.25">
      <c r="A178" t="s">
        <v>810</v>
      </c>
      <c r="B178">
        <v>6000</v>
      </c>
      <c r="C178">
        <v>20</v>
      </c>
      <c r="D178">
        <v>6</v>
      </c>
      <c r="E178">
        <v>4800</v>
      </c>
      <c r="F178">
        <v>40</v>
      </c>
      <c r="G178" t="b">
        <v>0</v>
      </c>
      <c r="H178">
        <v>40</v>
      </c>
    </row>
    <row r="179" spans="1:8" x14ac:dyDescent="0.25">
      <c r="A179" t="s">
        <v>811</v>
      </c>
      <c r="B179">
        <v>32500</v>
      </c>
      <c r="C179">
        <v>20</v>
      </c>
      <c r="D179">
        <v>6</v>
      </c>
      <c r="E179">
        <v>26000</v>
      </c>
      <c r="F179">
        <v>350</v>
      </c>
      <c r="G179" t="b">
        <v>0</v>
      </c>
      <c r="H179">
        <v>350</v>
      </c>
    </row>
    <row r="180" spans="1:8" x14ac:dyDescent="0.25">
      <c r="A180" t="s">
        <v>812</v>
      </c>
      <c r="B180">
        <v>15000</v>
      </c>
      <c r="C180">
        <v>14</v>
      </c>
      <c r="D180">
        <v>5</v>
      </c>
      <c r="E180">
        <v>12800</v>
      </c>
      <c r="F180">
        <v>114</v>
      </c>
      <c r="G180" t="b">
        <v>0</v>
      </c>
      <c r="H180">
        <v>114</v>
      </c>
    </row>
    <row r="181" spans="1:8" x14ac:dyDescent="0.25">
      <c r="A181" t="s">
        <v>813</v>
      </c>
      <c r="B181">
        <v>21000</v>
      </c>
      <c r="C181">
        <v>8</v>
      </c>
      <c r="D181">
        <v>5</v>
      </c>
      <c r="E181">
        <v>19200</v>
      </c>
      <c r="F181">
        <v>435</v>
      </c>
      <c r="G181" t="b">
        <v>0</v>
      </c>
      <c r="H181">
        <v>435</v>
      </c>
    </row>
    <row r="182" spans="1:8" x14ac:dyDescent="0.25">
      <c r="A182" t="s">
        <v>814</v>
      </c>
      <c r="B182">
        <v>28000</v>
      </c>
      <c r="C182">
        <v>50</v>
      </c>
      <c r="D182">
        <v>5</v>
      </c>
      <c r="E182">
        <v>14000</v>
      </c>
      <c r="F182">
        <v>175</v>
      </c>
      <c r="G182" t="b">
        <v>0</v>
      </c>
      <c r="H182">
        <v>175</v>
      </c>
    </row>
    <row r="183" spans="1:8" x14ac:dyDescent="0.25">
      <c r="A183" t="s">
        <v>815</v>
      </c>
      <c r="B183">
        <v>5000</v>
      </c>
      <c r="C183">
        <v>10</v>
      </c>
      <c r="D183">
        <v>6</v>
      </c>
      <c r="E183">
        <v>4500</v>
      </c>
      <c r="F183">
        <v>100</v>
      </c>
      <c r="G183" t="b">
        <v>0</v>
      </c>
      <c r="H183">
        <v>100</v>
      </c>
    </row>
    <row r="184" spans="1:8" x14ac:dyDescent="0.25">
      <c r="A184" t="s">
        <v>816</v>
      </c>
      <c r="B184">
        <v>8000</v>
      </c>
      <c r="C184">
        <v>10</v>
      </c>
      <c r="D184">
        <v>6</v>
      </c>
      <c r="E184">
        <v>7200</v>
      </c>
      <c r="F184">
        <v>280</v>
      </c>
      <c r="G184" t="b">
        <v>0</v>
      </c>
      <c r="H184">
        <v>280</v>
      </c>
    </row>
    <row r="185" spans="1:8" x14ac:dyDescent="0.25">
      <c r="A185" t="s">
        <v>345</v>
      </c>
      <c r="B185">
        <v>19500</v>
      </c>
      <c r="C185">
        <v>12</v>
      </c>
      <c r="D185">
        <v>6</v>
      </c>
      <c r="E185">
        <v>17100</v>
      </c>
      <c r="F185">
        <v>500</v>
      </c>
      <c r="G185" t="b">
        <v>0</v>
      </c>
      <c r="H185">
        <v>500</v>
      </c>
    </row>
    <row r="186" spans="1:8" x14ac:dyDescent="0.25">
      <c r="A186" t="s">
        <v>344</v>
      </c>
      <c r="B186">
        <v>6000</v>
      </c>
      <c r="C186">
        <v>0</v>
      </c>
      <c r="D186">
        <v>4</v>
      </c>
      <c r="E186">
        <v>6000</v>
      </c>
      <c r="F186">
        <v>240</v>
      </c>
      <c r="G186" t="b">
        <v>0</v>
      </c>
      <c r="H186">
        <v>240</v>
      </c>
    </row>
    <row r="187" spans="1:8" x14ac:dyDescent="0.25">
      <c r="A187" t="s">
        <v>817</v>
      </c>
      <c r="B187">
        <v>20000</v>
      </c>
      <c r="C187">
        <v>30</v>
      </c>
      <c r="D187">
        <v>1</v>
      </c>
      <c r="E187">
        <v>14000</v>
      </c>
      <c r="F187">
        <v>285</v>
      </c>
      <c r="G187" t="b">
        <v>0</v>
      </c>
      <c r="H187">
        <v>285</v>
      </c>
    </row>
    <row r="188" spans="1:8" x14ac:dyDescent="0.25">
      <c r="A188" t="s">
        <v>818</v>
      </c>
      <c r="B188">
        <v>19000</v>
      </c>
      <c r="C188">
        <v>0</v>
      </c>
      <c r="D188">
        <v>6</v>
      </c>
      <c r="E188">
        <v>19000</v>
      </c>
      <c r="F188">
        <v>300</v>
      </c>
      <c r="G188" t="b">
        <v>0</v>
      </c>
      <c r="H188">
        <v>300</v>
      </c>
    </row>
    <row r="189" spans="1:8" x14ac:dyDescent="0.25">
      <c r="A189" t="s">
        <v>819</v>
      </c>
      <c r="B189">
        <v>11900</v>
      </c>
      <c r="C189">
        <v>5</v>
      </c>
      <c r="D189">
        <v>6</v>
      </c>
      <c r="E189">
        <v>11300</v>
      </c>
      <c r="F189">
        <v>400</v>
      </c>
      <c r="G189" t="b">
        <v>0</v>
      </c>
      <c r="H189">
        <v>400</v>
      </c>
    </row>
    <row r="190" spans="1:8" x14ac:dyDescent="0.25">
      <c r="A190" t="s">
        <v>820</v>
      </c>
      <c r="B190">
        <v>17000</v>
      </c>
      <c r="C190">
        <v>4</v>
      </c>
      <c r="D190">
        <v>4</v>
      </c>
      <c r="E190">
        <v>16200</v>
      </c>
      <c r="F190">
        <v>340</v>
      </c>
      <c r="G190" t="b">
        <v>0</v>
      </c>
      <c r="H190">
        <v>340</v>
      </c>
    </row>
    <row r="191" spans="1:8" x14ac:dyDescent="0.25">
      <c r="A191" t="s">
        <v>821</v>
      </c>
      <c r="B191">
        <v>6000</v>
      </c>
      <c r="C191">
        <v>15</v>
      </c>
      <c r="D191">
        <v>1</v>
      </c>
      <c r="E191">
        <v>5100</v>
      </c>
      <c r="F191">
        <v>70</v>
      </c>
      <c r="G191" t="b">
        <v>0</v>
      </c>
      <c r="H191">
        <v>70</v>
      </c>
    </row>
    <row r="192" spans="1:8" x14ac:dyDescent="0.25">
      <c r="A192" t="s">
        <v>822</v>
      </c>
      <c r="B192">
        <v>5500</v>
      </c>
      <c r="C192">
        <v>0</v>
      </c>
      <c r="D192">
        <v>3</v>
      </c>
      <c r="E192">
        <v>5500</v>
      </c>
      <c r="F192">
        <v>55</v>
      </c>
      <c r="G192" t="b">
        <v>0</v>
      </c>
      <c r="H192">
        <v>55</v>
      </c>
    </row>
    <row r="193" spans="1:8" x14ac:dyDescent="0.25">
      <c r="A193" t="s">
        <v>823</v>
      </c>
      <c r="B193">
        <v>8500</v>
      </c>
      <c r="C193">
        <v>10</v>
      </c>
      <c r="D193">
        <v>6</v>
      </c>
      <c r="E193">
        <v>7600</v>
      </c>
      <c r="F193">
        <v>250</v>
      </c>
      <c r="G193" t="b">
        <v>0</v>
      </c>
      <c r="H193">
        <v>250</v>
      </c>
    </row>
    <row r="194" spans="1:8" x14ac:dyDescent="0.25">
      <c r="A194" t="s">
        <v>744</v>
      </c>
      <c r="B194">
        <v>37000</v>
      </c>
      <c r="C194">
        <v>12</v>
      </c>
      <c r="D194">
        <v>3</v>
      </c>
      <c r="E194">
        <v>32400</v>
      </c>
      <c r="F194">
        <v>650</v>
      </c>
      <c r="G194" t="b">
        <v>0</v>
      </c>
      <c r="H194">
        <v>650</v>
      </c>
    </row>
    <row r="195" spans="1:8" x14ac:dyDescent="0.25">
      <c r="A195" t="s">
        <v>824</v>
      </c>
      <c r="B195">
        <v>16000</v>
      </c>
      <c r="C195">
        <v>30</v>
      </c>
      <c r="D195">
        <v>4</v>
      </c>
      <c r="E195">
        <v>11200</v>
      </c>
      <c r="F195">
        <v>285</v>
      </c>
      <c r="G195" t="b">
        <v>0</v>
      </c>
      <c r="H195">
        <v>285</v>
      </c>
    </row>
    <row r="196" spans="1:8" x14ac:dyDescent="0.25">
      <c r="A196" t="s">
        <v>825</v>
      </c>
      <c r="B196">
        <v>3000</v>
      </c>
      <c r="C196">
        <v>0</v>
      </c>
      <c r="D196">
        <v>5</v>
      </c>
      <c r="E196">
        <v>3000</v>
      </c>
      <c r="F196">
        <v>150</v>
      </c>
      <c r="G196" t="b">
        <v>0</v>
      </c>
      <c r="H196">
        <v>150</v>
      </c>
    </row>
    <row r="197" spans="1:8" x14ac:dyDescent="0.25">
      <c r="A197" t="s">
        <v>826</v>
      </c>
      <c r="B197">
        <v>6000</v>
      </c>
      <c r="C197">
        <v>10</v>
      </c>
      <c r="D197">
        <v>2</v>
      </c>
      <c r="E197">
        <v>5400</v>
      </c>
      <c r="F197">
        <v>100</v>
      </c>
      <c r="G197" t="b">
        <v>0</v>
      </c>
      <c r="H197">
        <v>100</v>
      </c>
    </row>
    <row r="198" spans="1:8" x14ac:dyDescent="0.25">
      <c r="A198" t="s">
        <v>640</v>
      </c>
      <c r="B198">
        <v>23500</v>
      </c>
      <c r="C198">
        <v>20</v>
      </c>
      <c r="D198">
        <v>5</v>
      </c>
      <c r="E198">
        <v>18800</v>
      </c>
      <c r="F198">
        <v>325</v>
      </c>
      <c r="G198" t="b">
        <v>0</v>
      </c>
      <c r="H198">
        <v>325</v>
      </c>
    </row>
    <row r="199" spans="1:8" x14ac:dyDescent="0.25">
      <c r="A199" t="s">
        <v>827</v>
      </c>
      <c r="B199">
        <v>5500</v>
      </c>
      <c r="C199">
        <v>9</v>
      </c>
      <c r="D199">
        <v>4</v>
      </c>
      <c r="E199">
        <v>5000</v>
      </c>
      <c r="F199">
        <v>200</v>
      </c>
      <c r="G199" t="b">
        <v>0</v>
      </c>
      <c r="H199">
        <v>200</v>
      </c>
    </row>
    <row r="200" spans="1:8" x14ac:dyDescent="0.25">
      <c r="A200" t="s">
        <v>828</v>
      </c>
      <c r="B200">
        <v>33000</v>
      </c>
      <c r="C200">
        <v>10</v>
      </c>
      <c r="D200">
        <v>6</v>
      </c>
      <c r="E200">
        <v>29400</v>
      </c>
      <c r="F200">
        <v>680</v>
      </c>
      <c r="G200" t="b">
        <v>0</v>
      </c>
      <c r="H200">
        <v>680</v>
      </c>
    </row>
    <row r="201" spans="1:8" x14ac:dyDescent="0.25">
      <c r="A201" t="s">
        <v>829</v>
      </c>
      <c r="B201">
        <v>12000</v>
      </c>
      <c r="C201">
        <v>5</v>
      </c>
      <c r="D201">
        <v>1</v>
      </c>
      <c r="E201">
        <v>11400</v>
      </c>
      <c r="F201">
        <v>400</v>
      </c>
      <c r="G201" t="b">
        <v>0</v>
      </c>
      <c r="H201">
        <v>400</v>
      </c>
    </row>
    <row r="202" spans="1:8" x14ac:dyDescent="0.25">
      <c r="A202" t="s">
        <v>830</v>
      </c>
      <c r="B202">
        <v>11000</v>
      </c>
      <c r="C202">
        <v>30</v>
      </c>
      <c r="D202">
        <v>2</v>
      </c>
      <c r="E202">
        <v>7700</v>
      </c>
      <c r="F202">
        <v>285</v>
      </c>
      <c r="G202" t="b">
        <v>0</v>
      </c>
      <c r="H202">
        <v>285</v>
      </c>
    </row>
    <row r="203" spans="1:8" x14ac:dyDescent="0.25">
      <c r="A203" t="s">
        <v>831</v>
      </c>
      <c r="B203">
        <v>27500</v>
      </c>
      <c r="C203">
        <v>14</v>
      </c>
      <c r="D203">
        <v>5</v>
      </c>
      <c r="E203">
        <v>23400</v>
      </c>
      <c r="F203">
        <v>200</v>
      </c>
      <c r="G203" t="b">
        <v>0</v>
      </c>
      <c r="H203">
        <v>200</v>
      </c>
    </row>
    <row r="204" spans="1:8" x14ac:dyDescent="0.25">
      <c r="A204" t="s">
        <v>832</v>
      </c>
      <c r="B204">
        <v>5500</v>
      </c>
      <c r="C204">
        <v>0</v>
      </c>
      <c r="D204">
        <v>6</v>
      </c>
      <c r="E204">
        <v>5500</v>
      </c>
      <c r="F204">
        <v>55</v>
      </c>
      <c r="G204" t="b">
        <v>0</v>
      </c>
      <c r="H204">
        <v>55</v>
      </c>
    </row>
    <row r="205" spans="1:8" x14ac:dyDescent="0.25">
      <c r="A205" t="s">
        <v>374</v>
      </c>
      <c r="B205">
        <v>8000</v>
      </c>
      <c r="C205">
        <v>0</v>
      </c>
      <c r="D205">
        <v>1</v>
      </c>
      <c r="E205">
        <v>8000</v>
      </c>
      <c r="F205">
        <v>280</v>
      </c>
      <c r="G205" t="b">
        <v>0</v>
      </c>
      <c r="H205">
        <v>280</v>
      </c>
    </row>
    <row r="206" spans="1:8" x14ac:dyDescent="0.25">
      <c r="A206" t="s">
        <v>833</v>
      </c>
      <c r="B206">
        <v>22500</v>
      </c>
      <c r="C206">
        <v>15</v>
      </c>
      <c r="D206">
        <v>5</v>
      </c>
      <c r="E206">
        <v>19100</v>
      </c>
      <c r="F206">
        <v>190</v>
      </c>
      <c r="G206" t="b">
        <v>0</v>
      </c>
      <c r="H206">
        <v>190</v>
      </c>
    </row>
    <row r="207" spans="1:8" x14ac:dyDescent="0.25">
      <c r="A207" t="s">
        <v>834</v>
      </c>
      <c r="B207">
        <v>6500</v>
      </c>
      <c r="C207">
        <v>6</v>
      </c>
      <c r="D207">
        <v>6</v>
      </c>
      <c r="E207">
        <v>6100</v>
      </c>
      <c r="F207">
        <v>200</v>
      </c>
      <c r="G207" t="b">
        <v>0</v>
      </c>
      <c r="H207">
        <v>200</v>
      </c>
    </row>
    <row r="208" spans="1:8" x14ac:dyDescent="0.25">
      <c r="A208" t="s">
        <v>835</v>
      </c>
      <c r="B208">
        <v>4200</v>
      </c>
      <c r="C208">
        <v>0</v>
      </c>
      <c r="D208">
        <v>2</v>
      </c>
      <c r="E208">
        <v>4200</v>
      </c>
      <c r="F208">
        <v>400</v>
      </c>
      <c r="G208" t="b">
        <v>0</v>
      </c>
      <c r="H208">
        <v>400</v>
      </c>
    </row>
    <row r="209" spans="1:8" x14ac:dyDescent="0.25">
      <c r="A209" t="s">
        <v>836</v>
      </c>
      <c r="B209">
        <v>27500</v>
      </c>
      <c r="C209">
        <v>14</v>
      </c>
      <c r="D209">
        <v>4</v>
      </c>
      <c r="E209">
        <v>23400</v>
      </c>
      <c r="F209">
        <v>200</v>
      </c>
      <c r="G209" t="b">
        <v>0</v>
      </c>
      <c r="H209">
        <v>200</v>
      </c>
    </row>
    <row r="210" spans="1:8" x14ac:dyDescent="0.25">
      <c r="A210" t="s">
        <v>644</v>
      </c>
      <c r="B210">
        <v>9900</v>
      </c>
      <c r="C210">
        <v>5</v>
      </c>
      <c r="D210">
        <v>6</v>
      </c>
      <c r="E210">
        <v>9400</v>
      </c>
      <c r="F210">
        <v>200</v>
      </c>
      <c r="G210" t="b">
        <v>0</v>
      </c>
      <c r="H210">
        <v>200</v>
      </c>
    </row>
    <row r="211" spans="1:8" x14ac:dyDescent="0.25">
      <c r="A211" t="s">
        <v>837</v>
      </c>
      <c r="B211">
        <v>13500</v>
      </c>
      <c r="C211">
        <v>9</v>
      </c>
      <c r="D211">
        <v>2</v>
      </c>
      <c r="E211">
        <v>12200</v>
      </c>
      <c r="F211">
        <v>300</v>
      </c>
      <c r="G211" t="b">
        <v>0</v>
      </c>
      <c r="H211">
        <v>300</v>
      </c>
    </row>
    <row r="212" spans="1:8" x14ac:dyDescent="0.25">
      <c r="A212" t="s">
        <v>838</v>
      </c>
      <c r="B212">
        <v>34000</v>
      </c>
      <c r="C212">
        <v>0</v>
      </c>
      <c r="D212">
        <v>2</v>
      </c>
      <c r="E212">
        <v>34000</v>
      </c>
      <c r="F212">
        <v>400</v>
      </c>
      <c r="G212" t="b">
        <v>0</v>
      </c>
      <c r="H212">
        <v>400</v>
      </c>
    </row>
    <row r="213" spans="1:8" x14ac:dyDescent="0.25">
      <c r="A213" t="s">
        <v>839</v>
      </c>
      <c r="B213">
        <v>19000</v>
      </c>
      <c r="C213">
        <v>10</v>
      </c>
      <c r="D213">
        <v>6</v>
      </c>
      <c r="E213">
        <v>17100</v>
      </c>
      <c r="F213">
        <v>375</v>
      </c>
      <c r="G213" t="b">
        <v>0</v>
      </c>
      <c r="H213">
        <v>375</v>
      </c>
    </row>
    <row r="214" spans="1:8" x14ac:dyDescent="0.25">
      <c r="A214" t="s">
        <v>840</v>
      </c>
      <c r="B214">
        <v>10400</v>
      </c>
      <c r="C214">
        <v>20</v>
      </c>
      <c r="D214">
        <v>3</v>
      </c>
      <c r="E214">
        <v>8300</v>
      </c>
      <c r="F214">
        <v>500</v>
      </c>
      <c r="G214" t="b">
        <v>0</v>
      </c>
      <c r="H214">
        <v>500</v>
      </c>
    </row>
    <row r="215" spans="1:8" x14ac:dyDescent="0.25">
      <c r="A215" t="s">
        <v>379</v>
      </c>
      <c r="B215">
        <v>25000</v>
      </c>
      <c r="C215">
        <v>40</v>
      </c>
      <c r="D215">
        <v>6</v>
      </c>
      <c r="E215">
        <v>14900</v>
      </c>
      <c r="F215">
        <v>500</v>
      </c>
      <c r="G215" t="b">
        <v>0</v>
      </c>
      <c r="H215">
        <v>500</v>
      </c>
    </row>
    <row r="216" spans="1:8" x14ac:dyDescent="0.25">
      <c r="A216" t="s">
        <v>642</v>
      </c>
      <c r="B216">
        <v>16900</v>
      </c>
      <c r="C216">
        <v>7</v>
      </c>
      <c r="D216">
        <v>1</v>
      </c>
      <c r="E216">
        <v>15600</v>
      </c>
      <c r="F216">
        <v>400</v>
      </c>
      <c r="G216" t="b">
        <v>0</v>
      </c>
      <c r="H216">
        <v>400</v>
      </c>
    </row>
    <row r="217" spans="1:8" x14ac:dyDescent="0.25">
      <c r="A217" t="s">
        <v>841</v>
      </c>
      <c r="B217">
        <v>6000</v>
      </c>
      <c r="C217">
        <v>0</v>
      </c>
      <c r="D217">
        <v>4</v>
      </c>
      <c r="E217">
        <v>6000</v>
      </c>
      <c r="F217">
        <v>50</v>
      </c>
      <c r="G217" t="b">
        <v>0</v>
      </c>
      <c r="H217">
        <v>50</v>
      </c>
    </row>
    <row r="218" spans="1:8" x14ac:dyDescent="0.25">
      <c r="A218" t="s">
        <v>842</v>
      </c>
      <c r="B218">
        <v>32500</v>
      </c>
      <c r="C218">
        <v>0</v>
      </c>
      <c r="D218">
        <v>6</v>
      </c>
      <c r="E218">
        <v>32500</v>
      </c>
      <c r="F218">
        <v>500</v>
      </c>
      <c r="G218" t="b">
        <v>0</v>
      </c>
      <c r="H218">
        <v>500</v>
      </c>
    </row>
    <row r="219" spans="1:8" x14ac:dyDescent="0.25">
      <c r="A219" t="s">
        <v>843</v>
      </c>
      <c r="B219">
        <v>9900</v>
      </c>
      <c r="C219">
        <v>0</v>
      </c>
      <c r="D219">
        <v>3</v>
      </c>
      <c r="E219">
        <v>9900</v>
      </c>
      <c r="F219">
        <v>400</v>
      </c>
      <c r="G219" t="b">
        <v>0</v>
      </c>
      <c r="H219">
        <v>400</v>
      </c>
    </row>
    <row r="220" spans="1:8" x14ac:dyDescent="0.25">
      <c r="A220" t="s">
        <v>844</v>
      </c>
      <c r="B220">
        <v>22500</v>
      </c>
      <c r="C220">
        <v>15</v>
      </c>
      <c r="D220">
        <v>6</v>
      </c>
      <c r="E220">
        <v>19100</v>
      </c>
      <c r="F220">
        <v>200</v>
      </c>
      <c r="G220" t="b">
        <v>0</v>
      </c>
      <c r="H220">
        <v>200</v>
      </c>
    </row>
    <row r="221" spans="1:8" x14ac:dyDescent="0.25">
      <c r="A221" t="s">
        <v>845</v>
      </c>
      <c r="B221">
        <v>29500</v>
      </c>
      <c r="C221">
        <v>0</v>
      </c>
      <c r="D221">
        <v>3</v>
      </c>
      <c r="E221">
        <v>29500</v>
      </c>
      <c r="F221">
        <v>350</v>
      </c>
      <c r="G221" t="b">
        <v>0</v>
      </c>
      <c r="H221">
        <v>350</v>
      </c>
    </row>
    <row r="222" spans="1:8" x14ac:dyDescent="0.25">
      <c r="A222" t="s">
        <v>846</v>
      </c>
      <c r="B222">
        <v>2500</v>
      </c>
      <c r="C222">
        <v>0</v>
      </c>
      <c r="D222">
        <v>6</v>
      </c>
      <c r="E222">
        <v>2500</v>
      </c>
      <c r="F222">
        <v>65</v>
      </c>
      <c r="G222" t="b">
        <v>0</v>
      </c>
      <c r="H222">
        <v>65</v>
      </c>
    </row>
    <row r="223" spans="1:8" x14ac:dyDescent="0.25">
      <c r="A223" t="s">
        <v>847</v>
      </c>
      <c r="B223">
        <v>9100</v>
      </c>
      <c r="C223">
        <v>0</v>
      </c>
      <c r="D223">
        <v>5</v>
      </c>
      <c r="E223">
        <v>9100</v>
      </c>
      <c r="F223">
        <v>360</v>
      </c>
      <c r="G223" t="b">
        <v>0</v>
      </c>
      <c r="H223">
        <v>360</v>
      </c>
    </row>
    <row r="224" spans="1:8" x14ac:dyDescent="0.25">
      <c r="A224" t="s">
        <v>848</v>
      </c>
      <c r="B224">
        <v>22000</v>
      </c>
      <c r="C224">
        <v>6</v>
      </c>
      <c r="D224">
        <v>5</v>
      </c>
      <c r="E224">
        <v>20500</v>
      </c>
      <c r="F224">
        <v>425</v>
      </c>
      <c r="G224" t="b">
        <v>0</v>
      </c>
      <c r="H224">
        <v>425</v>
      </c>
    </row>
    <row r="225" spans="1:8" x14ac:dyDescent="0.25">
      <c r="A225" t="s">
        <v>849</v>
      </c>
      <c r="B225">
        <v>15000</v>
      </c>
      <c r="C225">
        <v>0</v>
      </c>
      <c r="D225">
        <v>3</v>
      </c>
      <c r="E225">
        <v>15000</v>
      </c>
      <c r="F225">
        <v>250</v>
      </c>
      <c r="G225" t="b">
        <v>0</v>
      </c>
      <c r="H225">
        <v>250</v>
      </c>
    </row>
    <row r="226" spans="1:8" x14ac:dyDescent="0.25">
      <c r="A226" t="s">
        <v>841</v>
      </c>
      <c r="B226">
        <v>15000</v>
      </c>
      <c r="C226">
        <v>14</v>
      </c>
      <c r="D226">
        <v>3</v>
      </c>
      <c r="E226">
        <v>12800</v>
      </c>
      <c r="F226">
        <v>114</v>
      </c>
      <c r="G226" t="b">
        <v>0</v>
      </c>
      <c r="H226">
        <v>114</v>
      </c>
    </row>
    <row r="227" spans="1:8" x14ac:dyDescent="0.25">
      <c r="A227" t="s">
        <v>850</v>
      </c>
      <c r="B227">
        <v>33000</v>
      </c>
      <c r="C227">
        <v>10</v>
      </c>
      <c r="D227">
        <v>6</v>
      </c>
      <c r="E227">
        <v>29700</v>
      </c>
      <c r="F227">
        <v>400</v>
      </c>
      <c r="G227" t="b">
        <v>0</v>
      </c>
      <c r="H227">
        <v>400</v>
      </c>
    </row>
    <row r="228" spans="1:8" x14ac:dyDescent="0.25">
      <c r="A228" t="s">
        <v>408</v>
      </c>
      <c r="B228">
        <v>27600</v>
      </c>
      <c r="C228">
        <v>10</v>
      </c>
      <c r="D228">
        <v>6</v>
      </c>
      <c r="E228">
        <v>24800</v>
      </c>
      <c r="F228">
        <v>1500</v>
      </c>
      <c r="G228" t="b">
        <v>0</v>
      </c>
      <c r="H228">
        <v>1</v>
      </c>
    </row>
    <row r="229" spans="1:8" x14ac:dyDescent="0.25">
      <c r="A229" t="s">
        <v>851</v>
      </c>
      <c r="B229">
        <v>29500</v>
      </c>
      <c r="C229">
        <v>0</v>
      </c>
      <c r="D229">
        <v>6</v>
      </c>
      <c r="E229">
        <v>29500</v>
      </c>
      <c r="F229">
        <v>24</v>
      </c>
      <c r="G229" t="b">
        <v>0</v>
      </c>
      <c r="H229">
        <v>24</v>
      </c>
    </row>
    <row r="230" spans="1:8" x14ac:dyDescent="0.25">
      <c r="A230" t="s">
        <v>852</v>
      </c>
      <c r="B230">
        <v>14900</v>
      </c>
      <c r="C230">
        <v>8</v>
      </c>
      <c r="D230">
        <v>5</v>
      </c>
      <c r="E230">
        <v>13700</v>
      </c>
      <c r="F230">
        <v>320</v>
      </c>
      <c r="G230" t="b">
        <v>0</v>
      </c>
      <c r="H230">
        <v>320</v>
      </c>
    </row>
    <row r="231" spans="1:8" x14ac:dyDescent="0.25">
      <c r="A231" t="s">
        <v>825</v>
      </c>
      <c r="B231">
        <v>11500</v>
      </c>
      <c r="C231">
        <v>0</v>
      </c>
      <c r="D231">
        <v>6</v>
      </c>
      <c r="E231">
        <v>11500</v>
      </c>
      <c r="F231">
        <v>600</v>
      </c>
      <c r="G231" t="b">
        <v>0</v>
      </c>
      <c r="H231">
        <v>600</v>
      </c>
    </row>
    <row r="232" spans="1:8" x14ac:dyDescent="0.25">
      <c r="A232" t="s">
        <v>853</v>
      </c>
      <c r="B232">
        <v>28000</v>
      </c>
      <c r="C232">
        <v>50</v>
      </c>
      <c r="D232">
        <v>5</v>
      </c>
      <c r="E232">
        <v>14000</v>
      </c>
      <c r="F232">
        <v>175</v>
      </c>
      <c r="G232" t="b">
        <v>0</v>
      </c>
      <c r="H232">
        <v>175</v>
      </c>
    </row>
    <row r="233" spans="1:8" x14ac:dyDescent="0.25">
      <c r="A233" t="s">
        <v>854</v>
      </c>
      <c r="B233">
        <v>17900</v>
      </c>
      <c r="C233">
        <v>0</v>
      </c>
      <c r="D233">
        <v>6</v>
      </c>
      <c r="E233">
        <v>17900</v>
      </c>
      <c r="F233">
        <v>450</v>
      </c>
      <c r="G233" t="b">
        <v>0</v>
      </c>
      <c r="H233">
        <v>450</v>
      </c>
    </row>
    <row r="234" spans="1:8" x14ac:dyDescent="0.25">
      <c r="A234" t="s">
        <v>855</v>
      </c>
      <c r="B234">
        <v>14000</v>
      </c>
      <c r="C234">
        <v>10</v>
      </c>
      <c r="D234">
        <v>3</v>
      </c>
      <c r="E234">
        <v>12600</v>
      </c>
      <c r="F234">
        <v>500</v>
      </c>
      <c r="G234" t="b">
        <v>0</v>
      </c>
      <c r="H234">
        <v>500</v>
      </c>
    </row>
    <row r="235" spans="1:8" x14ac:dyDescent="0.25">
      <c r="A235" t="s">
        <v>856</v>
      </c>
      <c r="B235">
        <v>32000</v>
      </c>
      <c r="C235">
        <v>0</v>
      </c>
      <c r="D235">
        <v>6</v>
      </c>
      <c r="E235">
        <v>32000</v>
      </c>
      <c r="F235">
        <v>500</v>
      </c>
      <c r="G235" t="b">
        <v>0</v>
      </c>
      <c r="H235">
        <v>500</v>
      </c>
    </row>
    <row r="236" spans="1:8" x14ac:dyDescent="0.25">
      <c r="A236" t="s">
        <v>397</v>
      </c>
      <c r="B236">
        <v>25000</v>
      </c>
      <c r="C236">
        <v>0</v>
      </c>
      <c r="D236">
        <v>5</v>
      </c>
      <c r="E236">
        <v>25000</v>
      </c>
      <c r="F236">
        <v>500</v>
      </c>
      <c r="G236" t="b">
        <v>0</v>
      </c>
      <c r="H236">
        <v>500</v>
      </c>
    </row>
    <row r="237" spans="1:8" x14ac:dyDescent="0.25">
      <c r="A237" t="s">
        <v>778</v>
      </c>
      <c r="B237">
        <v>29900</v>
      </c>
      <c r="C237">
        <v>10</v>
      </c>
      <c r="D237">
        <v>4</v>
      </c>
      <c r="E237">
        <v>26900</v>
      </c>
      <c r="F237">
        <v>700</v>
      </c>
      <c r="G237" t="b">
        <v>0</v>
      </c>
      <c r="H237">
        <v>700</v>
      </c>
    </row>
    <row r="238" spans="1:8" x14ac:dyDescent="0.25">
      <c r="A238" t="s">
        <v>857</v>
      </c>
      <c r="B238">
        <v>62000</v>
      </c>
      <c r="C238">
        <v>0</v>
      </c>
      <c r="D238">
        <v>1</v>
      </c>
      <c r="E238">
        <v>62000</v>
      </c>
      <c r="F238">
        <v>400</v>
      </c>
      <c r="G238" t="b">
        <v>0</v>
      </c>
      <c r="H238">
        <v>400</v>
      </c>
    </row>
    <row r="239" spans="1:8" x14ac:dyDescent="0.25">
      <c r="A239" t="s">
        <v>858</v>
      </c>
      <c r="B239">
        <v>9900</v>
      </c>
      <c r="C239">
        <v>20</v>
      </c>
      <c r="D239">
        <v>6</v>
      </c>
      <c r="E239">
        <v>7900</v>
      </c>
      <c r="F239">
        <v>500</v>
      </c>
      <c r="G239" t="b">
        <v>0</v>
      </c>
      <c r="H239">
        <v>500</v>
      </c>
    </row>
    <row r="240" spans="1:8" x14ac:dyDescent="0.25">
      <c r="A240" t="s">
        <v>859</v>
      </c>
      <c r="B240">
        <v>8500</v>
      </c>
      <c r="C240">
        <v>4</v>
      </c>
      <c r="D240">
        <v>1</v>
      </c>
      <c r="E240">
        <v>8100</v>
      </c>
      <c r="F240">
        <v>680</v>
      </c>
      <c r="G240" t="b">
        <v>0</v>
      </c>
      <c r="H240">
        <v>680</v>
      </c>
    </row>
    <row r="241" spans="1:8" x14ac:dyDescent="0.25">
      <c r="A241" t="s">
        <v>860</v>
      </c>
      <c r="B241">
        <v>5500</v>
      </c>
      <c r="C241">
        <v>0</v>
      </c>
      <c r="D241">
        <v>1</v>
      </c>
      <c r="E241">
        <v>5500</v>
      </c>
      <c r="F241">
        <v>400</v>
      </c>
      <c r="G241" t="b">
        <v>0</v>
      </c>
      <c r="H241">
        <v>400</v>
      </c>
    </row>
    <row r="242" spans="1:8" x14ac:dyDescent="0.25">
      <c r="A242" t="s">
        <v>861</v>
      </c>
      <c r="B242">
        <v>12000</v>
      </c>
      <c r="C242">
        <v>10</v>
      </c>
      <c r="D242">
        <v>4</v>
      </c>
      <c r="E242">
        <v>10800</v>
      </c>
      <c r="F242">
        <v>400</v>
      </c>
      <c r="G242" t="b">
        <v>0</v>
      </c>
      <c r="H242">
        <v>400</v>
      </c>
    </row>
    <row r="243" spans="1:8" x14ac:dyDescent="0.25">
      <c r="A243" t="s">
        <v>862</v>
      </c>
      <c r="B243">
        <v>11400</v>
      </c>
      <c r="C243">
        <v>0</v>
      </c>
      <c r="D243">
        <v>6</v>
      </c>
      <c r="E243">
        <v>11400</v>
      </c>
      <c r="F243">
        <v>480</v>
      </c>
      <c r="G243" t="b">
        <v>0</v>
      </c>
      <c r="H243">
        <v>480</v>
      </c>
    </row>
    <row r="244" spans="1:8" x14ac:dyDescent="0.25">
      <c r="A244" t="s">
        <v>863</v>
      </c>
      <c r="B244">
        <v>29000</v>
      </c>
      <c r="C244">
        <v>7</v>
      </c>
      <c r="D244">
        <v>5</v>
      </c>
      <c r="E244">
        <v>26700</v>
      </c>
      <c r="F244">
        <v>630</v>
      </c>
      <c r="G244" t="b">
        <v>0</v>
      </c>
      <c r="H244">
        <v>630</v>
      </c>
    </row>
    <row r="245" spans="1:8" x14ac:dyDescent="0.25">
      <c r="A245" t="s">
        <v>864</v>
      </c>
      <c r="B245">
        <v>13000</v>
      </c>
      <c r="C245">
        <v>4</v>
      </c>
      <c r="D245">
        <v>4</v>
      </c>
      <c r="E245">
        <v>12400</v>
      </c>
      <c r="F245">
        <v>230</v>
      </c>
      <c r="G245" t="b">
        <v>0</v>
      </c>
      <c r="H245">
        <v>230</v>
      </c>
    </row>
    <row r="246" spans="1:8" x14ac:dyDescent="0.25">
      <c r="A246" t="s">
        <v>865</v>
      </c>
      <c r="B246">
        <v>18500</v>
      </c>
      <c r="C246">
        <v>10</v>
      </c>
      <c r="D246">
        <v>5</v>
      </c>
      <c r="E246">
        <v>16500</v>
      </c>
      <c r="F246">
        <v>250</v>
      </c>
      <c r="G246" t="b">
        <v>0</v>
      </c>
      <c r="H246">
        <v>250</v>
      </c>
    </row>
    <row r="247" spans="1:8" x14ac:dyDescent="0.25">
      <c r="A247" t="s">
        <v>866</v>
      </c>
      <c r="B247">
        <v>59500</v>
      </c>
      <c r="C247">
        <v>9</v>
      </c>
      <c r="D247">
        <v>2</v>
      </c>
      <c r="E247">
        <v>53600</v>
      </c>
      <c r="F247">
        <v>500</v>
      </c>
      <c r="G247" t="b">
        <v>0</v>
      </c>
      <c r="H247">
        <v>500</v>
      </c>
    </row>
    <row r="248" spans="1:8" x14ac:dyDescent="0.25">
      <c r="A248" t="s">
        <v>434</v>
      </c>
      <c r="B248">
        <v>19500</v>
      </c>
      <c r="C248">
        <v>9</v>
      </c>
      <c r="D248">
        <v>5</v>
      </c>
      <c r="E248">
        <v>17600</v>
      </c>
      <c r="F248">
        <v>500</v>
      </c>
      <c r="G248" t="b">
        <v>0</v>
      </c>
      <c r="H248">
        <v>500</v>
      </c>
    </row>
    <row r="249" spans="1:8" x14ac:dyDescent="0.25">
      <c r="A249" t="s">
        <v>867</v>
      </c>
      <c r="B249">
        <v>20000</v>
      </c>
      <c r="C249">
        <v>0</v>
      </c>
      <c r="D249">
        <v>5</v>
      </c>
      <c r="E249">
        <v>20000</v>
      </c>
      <c r="F249">
        <v>130</v>
      </c>
      <c r="G249" t="b">
        <v>0</v>
      </c>
      <c r="H249">
        <v>130</v>
      </c>
    </row>
    <row r="250" spans="1:8" x14ac:dyDescent="0.25">
      <c r="A250" t="s">
        <v>868</v>
      </c>
      <c r="B250">
        <v>49900</v>
      </c>
      <c r="C250">
        <v>0</v>
      </c>
      <c r="D250">
        <v>5</v>
      </c>
      <c r="E250">
        <v>49900</v>
      </c>
      <c r="F250">
        <v>750</v>
      </c>
      <c r="G250" t="b">
        <v>0</v>
      </c>
      <c r="H250">
        <v>750</v>
      </c>
    </row>
    <row r="251" spans="1:8" x14ac:dyDescent="0.25">
      <c r="A251" t="s">
        <v>869</v>
      </c>
      <c r="B251">
        <v>11000</v>
      </c>
      <c r="C251">
        <v>30</v>
      </c>
      <c r="D251">
        <v>6</v>
      </c>
      <c r="E251">
        <v>7700</v>
      </c>
      <c r="F251">
        <v>285</v>
      </c>
      <c r="G251" t="b">
        <v>0</v>
      </c>
      <c r="H251">
        <v>285</v>
      </c>
    </row>
    <row r="252" spans="1:8" x14ac:dyDescent="0.25">
      <c r="A252" t="s">
        <v>870</v>
      </c>
      <c r="B252">
        <v>16900</v>
      </c>
      <c r="C252">
        <v>5</v>
      </c>
      <c r="D252">
        <v>6</v>
      </c>
      <c r="E252">
        <v>16000</v>
      </c>
      <c r="F252">
        <v>250</v>
      </c>
      <c r="G252" t="b">
        <v>0</v>
      </c>
      <c r="H252">
        <v>250</v>
      </c>
    </row>
    <row r="253" spans="1:8" x14ac:dyDescent="0.25">
      <c r="A253" t="s">
        <v>871</v>
      </c>
      <c r="B253">
        <v>32500</v>
      </c>
      <c r="C253">
        <v>15</v>
      </c>
      <c r="D253">
        <v>6</v>
      </c>
      <c r="E253">
        <v>27600</v>
      </c>
      <c r="F253">
        <v>200</v>
      </c>
      <c r="G253" t="b">
        <v>0</v>
      </c>
      <c r="H253">
        <v>200</v>
      </c>
    </row>
    <row r="254" spans="1:8" x14ac:dyDescent="0.25">
      <c r="A254" t="s">
        <v>872</v>
      </c>
      <c r="B254">
        <v>41000</v>
      </c>
      <c r="C254">
        <v>0</v>
      </c>
      <c r="D254">
        <v>1</v>
      </c>
      <c r="E254">
        <v>41000</v>
      </c>
      <c r="F254">
        <v>1200</v>
      </c>
      <c r="G254" t="b">
        <v>0</v>
      </c>
      <c r="H254">
        <v>1</v>
      </c>
    </row>
    <row r="255" spans="1:8" x14ac:dyDescent="0.25">
      <c r="A255" t="s">
        <v>873</v>
      </c>
      <c r="B255">
        <v>20000</v>
      </c>
      <c r="C255">
        <v>30</v>
      </c>
      <c r="D255">
        <v>4</v>
      </c>
      <c r="E255">
        <v>14000</v>
      </c>
      <c r="F255">
        <v>285</v>
      </c>
      <c r="G255" t="b">
        <v>0</v>
      </c>
      <c r="H255">
        <v>285</v>
      </c>
    </row>
    <row r="256" spans="1:8" x14ac:dyDescent="0.25">
      <c r="A256" t="s">
        <v>874</v>
      </c>
      <c r="B256">
        <v>29900</v>
      </c>
      <c r="C256">
        <v>10</v>
      </c>
      <c r="D256">
        <v>6</v>
      </c>
      <c r="E256">
        <v>26900</v>
      </c>
      <c r="F256">
        <v>400</v>
      </c>
      <c r="G256" t="b">
        <v>0</v>
      </c>
      <c r="H256">
        <v>400</v>
      </c>
    </row>
    <row r="257" spans="1:8" x14ac:dyDescent="0.25">
      <c r="A257" t="s">
        <v>875</v>
      </c>
      <c r="B257">
        <v>4000</v>
      </c>
      <c r="C257">
        <v>0</v>
      </c>
      <c r="D257">
        <v>6</v>
      </c>
      <c r="E257">
        <v>4000</v>
      </c>
      <c r="F257">
        <v>46</v>
      </c>
      <c r="G257" t="b">
        <v>0</v>
      </c>
      <c r="H257">
        <v>46</v>
      </c>
    </row>
    <row r="258" spans="1:8" x14ac:dyDescent="0.25">
      <c r="A258" t="s">
        <v>876</v>
      </c>
      <c r="B258">
        <v>42500</v>
      </c>
      <c r="C258">
        <v>9</v>
      </c>
      <c r="D258">
        <v>3</v>
      </c>
      <c r="E258">
        <v>38300</v>
      </c>
      <c r="F258">
        <v>750</v>
      </c>
      <c r="G258" t="b">
        <v>0</v>
      </c>
      <c r="H258">
        <v>750</v>
      </c>
    </row>
    <row r="259" spans="1:8" x14ac:dyDescent="0.25">
      <c r="A259" t="s">
        <v>436</v>
      </c>
      <c r="B259">
        <v>11000</v>
      </c>
      <c r="C259">
        <v>30</v>
      </c>
      <c r="D259">
        <v>6</v>
      </c>
      <c r="E259">
        <v>7700</v>
      </c>
      <c r="F259">
        <v>285</v>
      </c>
      <c r="G259" t="b">
        <v>0</v>
      </c>
      <c r="H259">
        <v>285</v>
      </c>
    </row>
    <row r="260" spans="1:8" x14ac:dyDescent="0.25">
      <c r="A260" t="s">
        <v>646</v>
      </c>
      <c r="B260">
        <v>21500</v>
      </c>
      <c r="C260">
        <v>20</v>
      </c>
      <c r="D260">
        <v>6</v>
      </c>
      <c r="E260">
        <v>17200</v>
      </c>
      <c r="F260">
        <v>325</v>
      </c>
      <c r="G260" t="b">
        <v>0</v>
      </c>
      <c r="H260">
        <v>325</v>
      </c>
    </row>
    <row r="261" spans="1:8" x14ac:dyDescent="0.25">
      <c r="A261" t="s">
        <v>877</v>
      </c>
      <c r="B261">
        <v>23000</v>
      </c>
      <c r="C261">
        <v>0</v>
      </c>
      <c r="D261">
        <v>6</v>
      </c>
      <c r="E261">
        <v>23000</v>
      </c>
      <c r="F261">
        <v>241</v>
      </c>
      <c r="G261" t="b">
        <v>0</v>
      </c>
      <c r="H261">
        <v>241</v>
      </c>
    </row>
    <row r="262" spans="1:8" x14ac:dyDescent="0.25">
      <c r="A262" t="s">
        <v>859</v>
      </c>
      <c r="B262">
        <v>10500</v>
      </c>
      <c r="C262">
        <v>0</v>
      </c>
      <c r="D262">
        <v>6</v>
      </c>
      <c r="E262">
        <v>10500</v>
      </c>
      <c r="F262">
        <v>425</v>
      </c>
      <c r="G262" t="b">
        <v>0</v>
      </c>
      <c r="H262">
        <v>425</v>
      </c>
    </row>
    <row r="263" spans="1:8" x14ac:dyDescent="0.25">
      <c r="A263" t="s">
        <v>878</v>
      </c>
      <c r="B263">
        <v>59500</v>
      </c>
      <c r="C263">
        <v>0</v>
      </c>
      <c r="D263">
        <v>1</v>
      </c>
      <c r="E263">
        <v>59500</v>
      </c>
      <c r="F263">
        <v>1000</v>
      </c>
      <c r="G263" t="b">
        <v>0</v>
      </c>
      <c r="H263">
        <v>1</v>
      </c>
    </row>
    <row r="264" spans="1:8" x14ac:dyDescent="0.25">
      <c r="A264" t="s">
        <v>879</v>
      </c>
      <c r="B264">
        <v>1500</v>
      </c>
      <c r="C264">
        <v>0</v>
      </c>
      <c r="D264">
        <v>3</v>
      </c>
      <c r="E264">
        <v>1500</v>
      </c>
      <c r="F264">
        <v>20</v>
      </c>
      <c r="G264" t="b">
        <v>0</v>
      </c>
      <c r="H264">
        <v>20</v>
      </c>
    </row>
    <row r="265" spans="1:8" x14ac:dyDescent="0.25">
      <c r="A265" t="s">
        <v>880</v>
      </c>
      <c r="B265">
        <v>14000</v>
      </c>
      <c r="C265">
        <v>5</v>
      </c>
      <c r="D265">
        <v>1</v>
      </c>
      <c r="E265">
        <v>13300</v>
      </c>
      <c r="F265">
        <v>290</v>
      </c>
      <c r="G265" t="b">
        <v>0</v>
      </c>
      <c r="H265">
        <v>290</v>
      </c>
    </row>
    <row r="266" spans="1:8" x14ac:dyDescent="0.25">
      <c r="A266" t="s">
        <v>881</v>
      </c>
      <c r="B266">
        <v>28000</v>
      </c>
      <c r="C266">
        <v>50</v>
      </c>
      <c r="D266">
        <v>5</v>
      </c>
      <c r="E266">
        <v>14000</v>
      </c>
      <c r="F266">
        <v>175</v>
      </c>
      <c r="G266" t="b">
        <v>0</v>
      </c>
      <c r="H266">
        <v>175</v>
      </c>
    </row>
    <row r="267" spans="1:8" x14ac:dyDescent="0.25">
      <c r="A267" t="s">
        <v>882</v>
      </c>
      <c r="B267">
        <v>17500</v>
      </c>
      <c r="C267">
        <v>4</v>
      </c>
      <c r="D267">
        <v>6</v>
      </c>
      <c r="E267">
        <v>16700</v>
      </c>
      <c r="F267">
        <v>150</v>
      </c>
      <c r="G267" t="b">
        <v>0</v>
      </c>
      <c r="H267">
        <v>150</v>
      </c>
    </row>
    <row r="268" spans="1:8" x14ac:dyDescent="0.25">
      <c r="A268" t="s">
        <v>883</v>
      </c>
      <c r="B268">
        <v>10500</v>
      </c>
      <c r="C268">
        <v>0</v>
      </c>
      <c r="D268">
        <v>4</v>
      </c>
      <c r="E268">
        <v>10500</v>
      </c>
      <c r="F268">
        <v>440</v>
      </c>
      <c r="G268" t="b">
        <v>0</v>
      </c>
      <c r="H268">
        <v>440</v>
      </c>
    </row>
    <row r="269" spans="1:8" x14ac:dyDescent="0.25">
      <c r="A269" t="s">
        <v>884</v>
      </c>
      <c r="B269">
        <v>5500</v>
      </c>
      <c r="C269">
        <v>0</v>
      </c>
      <c r="D269">
        <v>5</v>
      </c>
      <c r="E269">
        <v>5500</v>
      </c>
      <c r="F269">
        <v>55</v>
      </c>
      <c r="G269" t="b">
        <v>0</v>
      </c>
      <c r="H269">
        <v>55</v>
      </c>
    </row>
    <row r="270" spans="1:8" x14ac:dyDescent="0.25">
      <c r="A270" t="s">
        <v>885</v>
      </c>
      <c r="B270">
        <v>20000</v>
      </c>
      <c r="C270">
        <v>0</v>
      </c>
      <c r="D270">
        <v>6</v>
      </c>
      <c r="E270">
        <v>20000</v>
      </c>
      <c r="F270">
        <v>130</v>
      </c>
      <c r="G270" t="b">
        <v>0</v>
      </c>
      <c r="H270">
        <v>130</v>
      </c>
    </row>
    <row r="271" spans="1:8" x14ac:dyDescent="0.25">
      <c r="A271" t="s">
        <v>886</v>
      </c>
      <c r="B271">
        <v>5500</v>
      </c>
      <c r="C271">
        <v>30</v>
      </c>
      <c r="D271">
        <v>5</v>
      </c>
      <c r="E271">
        <v>3800</v>
      </c>
      <c r="F271">
        <v>80</v>
      </c>
      <c r="G271" t="b">
        <v>0</v>
      </c>
      <c r="H271">
        <v>80</v>
      </c>
    </row>
    <row r="272" spans="1:8" x14ac:dyDescent="0.25">
      <c r="A272" t="s">
        <v>887</v>
      </c>
      <c r="B272">
        <v>25000</v>
      </c>
      <c r="C272">
        <v>0</v>
      </c>
      <c r="D272">
        <v>1</v>
      </c>
      <c r="E272">
        <v>25000</v>
      </c>
      <c r="F272">
        <v>450</v>
      </c>
      <c r="G272" t="b">
        <v>0</v>
      </c>
      <c r="H272">
        <v>450</v>
      </c>
    </row>
    <row r="273" spans="1:8" x14ac:dyDescent="0.25">
      <c r="A273" t="s">
        <v>888</v>
      </c>
      <c r="B273">
        <v>22000</v>
      </c>
      <c r="C273">
        <v>30</v>
      </c>
      <c r="D273">
        <v>5</v>
      </c>
      <c r="E273">
        <v>15400</v>
      </c>
      <c r="F273">
        <v>285</v>
      </c>
      <c r="G273" t="b">
        <v>0</v>
      </c>
      <c r="H273">
        <v>285</v>
      </c>
    </row>
    <row r="274" spans="1:8" x14ac:dyDescent="0.25">
      <c r="A274" t="s">
        <v>889</v>
      </c>
      <c r="B274">
        <v>28800</v>
      </c>
      <c r="C274">
        <v>0</v>
      </c>
      <c r="D274">
        <v>6</v>
      </c>
      <c r="E274">
        <v>28800</v>
      </c>
      <c r="F274">
        <v>300</v>
      </c>
      <c r="G274" t="b">
        <v>0</v>
      </c>
      <c r="H274">
        <v>300</v>
      </c>
    </row>
    <row r="275" spans="1:8" x14ac:dyDescent="0.25">
      <c r="A275" t="s">
        <v>890</v>
      </c>
      <c r="B275">
        <v>32500</v>
      </c>
      <c r="C275">
        <v>20</v>
      </c>
      <c r="D275">
        <v>6</v>
      </c>
      <c r="E275">
        <v>26000</v>
      </c>
      <c r="F275">
        <v>350</v>
      </c>
      <c r="G275" t="b">
        <v>0</v>
      </c>
      <c r="H275">
        <v>350</v>
      </c>
    </row>
    <row r="276" spans="1:8" x14ac:dyDescent="0.25">
      <c r="A276" t="s">
        <v>891</v>
      </c>
      <c r="B276">
        <v>20000</v>
      </c>
      <c r="C276">
        <v>0</v>
      </c>
      <c r="D276">
        <v>6</v>
      </c>
      <c r="E276">
        <v>20000</v>
      </c>
      <c r="F276">
        <v>130</v>
      </c>
      <c r="G276" t="b">
        <v>0</v>
      </c>
      <c r="H276">
        <v>130</v>
      </c>
    </row>
    <row r="277" spans="1:8" x14ac:dyDescent="0.25">
      <c r="A277" t="s">
        <v>892</v>
      </c>
      <c r="B277">
        <v>7500</v>
      </c>
      <c r="C277">
        <v>0</v>
      </c>
      <c r="D277">
        <v>6</v>
      </c>
      <c r="E277">
        <v>7500</v>
      </c>
      <c r="F277">
        <v>70</v>
      </c>
      <c r="G277" t="b">
        <v>0</v>
      </c>
      <c r="H277">
        <v>70</v>
      </c>
    </row>
    <row r="278" spans="1:8" x14ac:dyDescent="0.25">
      <c r="A278" t="s">
        <v>893</v>
      </c>
      <c r="B278">
        <v>12000</v>
      </c>
      <c r="C278">
        <v>0</v>
      </c>
      <c r="D278">
        <v>1</v>
      </c>
      <c r="E278">
        <v>12000</v>
      </c>
      <c r="F278">
        <v>400</v>
      </c>
      <c r="G278" t="b">
        <v>0</v>
      </c>
      <c r="H278">
        <v>400</v>
      </c>
    </row>
    <row r="279" spans="1:8" x14ac:dyDescent="0.25">
      <c r="A279" t="s">
        <v>894</v>
      </c>
      <c r="B279">
        <v>20000</v>
      </c>
      <c r="C279">
        <v>0</v>
      </c>
      <c r="D279">
        <v>6</v>
      </c>
      <c r="E279">
        <v>20000</v>
      </c>
      <c r="F279">
        <v>130</v>
      </c>
      <c r="G279" t="b">
        <v>0</v>
      </c>
      <c r="H279">
        <v>130</v>
      </c>
    </row>
    <row r="280" spans="1:8" x14ac:dyDescent="0.25">
      <c r="A280" t="s">
        <v>880</v>
      </c>
      <c r="B280">
        <v>39900</v>
      </c>
      <c r="C280">
        <v>11</v>
      </c>
      <c r="D280">
        <v>6</v>
      </c>
      <c r="E280">
        <v>35500</v>
      </c>
      <c r="F280">
        <v>900</v>
      </c>
      <c r="G280" t="b">
        <v>0</v>
      </c>
      <c r="H280">
        <v>900</v>
      </c>
    </row>
    <row r="281" spans="1:8" x14ac:dyDescent="0.25">
      <c r="A281" t="s">
        <v>895</v>
      </c>
      <c r="B281">
        <v>5500</v>
      </c>
      <c r="C281">
        <v>0</v>
      </c>
      <c r="D281">
        <v>2</v>
      </c>
      <c r="E281">
        <v>5500</v>
      </c>
      <c r="F281">
        <v>42</v>
      </c>
      <c r="G281" t="b">
        <v>0</v>
      </c>
      <c r="H281">
        <v>42</v>
      </c>
    </row>
    <row r="282" spans="1:8" x14ac:dyDescent="0.25">
      <c r="A282" t="s">
        <v>896</v>
      </c>
      <c r="B282">
        <v>5500</v>
      </c>
      <c r="C282">
        <v>0</v>
      </c>
      <c r="D282">
        <v>6</v>
      </c>
      <c r="E282">
        <v>5500</v>
      </c>
      <c r="F282">
        <v>55</v>
      </c>
      <c r="G282" t="b">
        <v>0</v>
      </c>
      <c r="H282">
        <v>55</v>
      </c>
    </row>
    <row r="283" spans="1:8" x14ac:dyDescent="0.25">
      <c r="A283" t="s">
        <v>652</v>
      </c>
      <c r="B283">
        <v>16900</v>
      </c>
      <c r="C283">
        <v>0</v>
      </c>
      <c r="D283">
        <v>1</v>
      </c>
      <c r="E283">
        <v>16900</v>
      </c>
      <c r="F283">
        <v>400</v>
      </c>
      <c r="G283" t="b">
        <v>0</v>
      </c>
      <c r="H283">
        <v>400</v>
      </c>
    </row>
    <row r="284" spans="1:8" x14ac:dyDescent="0.25">
      <c r="A284" t="s">
        <v>449</v>
      </c>
      <c r="B284">
        <v>29500</v>
      </c>
      <c r="C284">
        <v>9</v>
      </c>
      <c r="D284">
        <v>6</v>
      </c>
      <c r="E284">
        <v>26600</v>
      </c>
      <c r="F284">
        <v>250</v>
      </c>
      <c r="G284" t="b">
        <v>0</v>
      </c>
      <c r="H284">
        <v>250</v>
      </c>
    </row>
    <row r="285" spans="1:8" x14ac:dyDescent="0.25">
      <c r="A285" t="s">
        <v>897</v>
      </c>
      <c r="B285">
        <v>32000</v>
      </c>
      <c r="C285">
        <v>10</v>
      </c>
      <c r="D285">
        <v>5</v>
      </c>
      <c r="E285">
        <v>28800</v>
      </c>
      <c r="F285">
        <v>500</v>
      </c>
      <c r="G285" t="b">
        <v>0</v>
      </c>
      <c r="H285">
        <v>500</v>
      </c>
    </row>
    <row r="286" spans="1:8" x14ac:dyDescent="0.25">
      <c r="A286" t="s">
        <v>898</v>
      </c>
      <c r="B286">
        <v>6500</v>
      </c>
      <c r="C286">
        <v>6</v>
      </c>
      <c r="D286">
        <v>6</v>
      </c>
      <c r="E286">
        <v>6100</v>
      </c>
      <c r="F286">
        <v>200</v>
      </c>
      <c r="G286" t="b">
        <v>0</v>
      </c>
      <c r="H286">
        <v>200</v>
      </c>
    </row>
    <row r="287" spans="1:8" x14ac:dyDescent="0.25">
      <c r="A287" t="s">
        <v>899</v>
      </c>
      <c r="B287">
        <v>11000</v>
      </c>
      <c r="C287">
        <v>30</v>
      </c>
      <c r="D287">
        <v>1</v>
      </c>
      <c r="E287">
        <v>7700</v>
      </c>
      <c r="F287">
        <v>285</v>
      </c>
      <c r="G287" t="b">
        <v>0</v>
      </c>
      <c r="H287">
        <v>285</v>
      </c>
    </row>
    <row r="288" spans="1:8" x14ac:dyDescent="0.25">
      <c r="A288" t="s">
        <v>892</v>
      </c>
      <c r="B288">
        <v>5500</v>
      </c>
      <c r="C288">
        <v>30</v>
      </c>
      <c r="D288">
        <v>6</v>
      </c>
      <c r="E288">
        <v>3800</v>
      </c>
      <c r="F288">
        <v>80</v>
      </c>
      <c r="G288" t="b">
        <v>0</v>
      </c>
      <c r="H288">
        <v>80</v>
      </c>
    </row>
    <row r="289" spans="1:8" x14ac:dyDescent="0.25">
      <c r="A289" t="s">
        <v>900</v>
      </c>
      <c r="B289">
        <v>5500</v>
      </c>
      <c r="C289">
        <v>0</v>
      </c>
      <c r="D289">
        <v>3</v>
      </c>
      <c r="E289">
        <v>5500</v>
      </c>
      <c r="F289">
        <v>190</v>
      </c>
      <c r="G289" t="b">
        <v>0</v>
      </c>
      <c r="H289">
        <v>190</v>
      </c>
    </row>
    <row r="290" spans="1:8" x14ac:dyDescent="0.25">
      <c r="A290" t="s">
        <v>901</v>
      </c>
      <c r="B290">
        <v>66000</v>
      </c>
      <c r="C290">
        <v>10</v>
      </c>
      <c r="D290">
        <v>1</v>
      </c>
      <c r="E290">
        <v>59400</v>
      </c>
      <c r="F290">
        <v>3000</v>
      </c>
      <c r="G290" t="b">
        <v>0</v>
      </c>
      <c r="H290">
        <v>3</v>
      </c>
    </row>
    <row r="291" spans="1:8" x14ac:dyDescent="0.25">
      <c r="A291" t="s">
        <v>793</v>
      </c>
      <c r="B291">
        <v>18500</v>
      </c>
      <c r="C291">
        <v>5</v>
      </c>
      <c r="D291">
        <v>6</v>
      </c>
      <c r="E291">
        <v>17500</v>
      </c>
      <c r="F291">
        <v>475</v>
      </c>
      <c r="G291" t="b">
        <v>0</v>
      </c>
      <c r="H291">
        <v>475</v>
      </c>
    </row>
    <row r="292" spans="1:8" x14ac:dyDescent="0.25">
      <c r="A292" t="s">
        <v>800</v>
      </c>
      <c r="B292">
        <v>69000</v>
      </c>
      <c r="C292">
        <v>6</v>
      </c>
      <c r="D292">
        <v>2</v>
      </c>
      <c r="E292">
        <v>64800</v>
      </c>
      <c r="F292">
        <v>3000</v>
      </c>
      <c r="G292" t="b">
        <v>0</v>
      </c>
      <c r="H292">
        <v>3</v>
      </c>
    </row>
    <row r="293" spans="1:8" x14ac:dyDescent="0.25">
      <c r="A293" t="s">
        <v>902</v>
      </c>
      <c r="B293">
        <v>11000</v>
      </c>
      <c r="C293">
        <v>30</v>
      </c>
      <c r="D293">
        <v>5</v>
      </c>
      <c r="E293">
        <v>7700</v>
      </c>
      <c r="F293">
        <v>285</v>
      </c>
      <c r="G293" t="b">
        <v>0</v>
      </c>
      <c r="H293">
        <v>285</v>
      </c>
    </row>
    <row r="294" spans="1:8" x14ac:dyDescent="0.25">
      <c r="A294" t="s">
        <v>903</v>
      </c>
      <c r="B294">
        <v>11000</v>
      </c>
      <c r="C294">
        <v>30</v>
      </c>
      <c r="D294">
        <v>2</v>
      </c>
      <c r="E294">
        <v>7700</v>
      </c>
      <c r="F294">
        <v>285</v>
      </c>
      <c r="G294" t="b">
        <v>0</v>
      </c>
      <c r="H294">
        <v>285</v>
      </c>
    </row>
    <row r="295" spans="1:8" x14ac:dyDescent="0.25">
      <c r="A295" t="s">
        <v>904</v>
      </c>
      <c r="B295">
        <v>17900</v>
      </c>
      <c r="C295">
        <v>0</v>
      </c>
      <c r="D295">
        <v>6</v>
      </c>
      <c r="E295">
        <v>17900</v>
      </c>
      <c r="F295">
        <v>450</v>
      </c>
      <c r="G295" t="b">
        <v>0</v>
      </c>
      <c r="H295">
        <v>450</v>
      </c>
    </row>
    <row r="296" spans="1:8" x14ac:dyDescent="0.25">
      <c r="A296" t="s">
        <v>905</v>
      </c>
      <c r="B296">
        <v>14000</v>
      </c>
      <c r="C296">
        <v>15</v>
      </c>
      <c r="D296">
        <v>6</v>
      </c>
      <c r="E296">
        <v>11900</v>
      </c>
      <c r="F296">
        <v>60</v>
      </c>
      <c r="G296" t="b">
        <v>0</v>
      </c>
      <c r="H296">
        <v>60</v>
      </c>
    </row>
    <row r="297" spans="1:8" x14ac:dyDescent="0.25">
      <c r="A297" t="s">
        <v>906</v>
      </c>
      <c r="B297">
        <v>14900</v>
      </c>
      <c r="C297">
        <v>26</v>
      </c>
      <c r="D297">
        <v>6</v>
      </c>
      <c r="E297">
        <v>10900</v>
      </c>
      <c r="F297">
        <v>500</v>
      </c>
      <c r="G297" t="b">
        <v>0</v>
      </c>
      <c r="H297">
        <v>500</v>
      </c>
    </row>
    <row r="298" spans="1:8" x14ac:dyDescent="0.25">
      <c r="A298" t="s">
        <v>907</v>
      </c>
      <c r="B298">
        <v>27900</v>
      </c>
      <c r="C298">
        <v>0</v>
      </c>
      <c r="D298">
        <v>5</v>
      </c>
      <c r="E298">
        <v>27900</v>
      </c>
      <c r="F298">
        <v>300</v>
      </c>
      <c r="G298" t="b">
        <v>0</v>
      </c>
      <c r="H298">
        <v>300</v>
      </c>
    </row>
    <row r="299" spans="1:8" x14ac:dyDescent="0.25">
      <c r="A299" t="s">
        <v>293</v>
      </c>
      <c r="B299">
        <v>5000</v>
      </c>
      <c r="C299">
        <v>2</v>
      </c>
      <c r="D299">
        <v>2</v>
      </c>
      <c r="E299">
        <v>4900</v>
      </c>
      <c r="F299">
        <v>200</v>
      </c>
      <c r="G299" t="b">
        <v>0</v>
      </c>
      <c r="H299">
        <v>200</v>
      </c>
    </row>
    <row r="300" spans="1:8" x14ac:dyDescent="0.25">
      <c r="A300" t="s">
        <v>908</v>
      </c>
      <c r="B300">
        <v>14000</v>
      </c>
      <c r="C300">
        <v>20</v>
      </c>
      <c r="D300">
        <v>6</v>
      </c>
      <c r="E300">
        <v>11200</v>
      </c>
      <c r="F300">
        <v>80</v>
      </c>
      <c r="G300" t="b">
        <v>0</v>
      </c>
      <c r="H300">
        <v>80</v>
      </c>
    </row>
    <row r="301" spans="1:8" x14ac:dyDescent="0.25">
      <c r="A301" t="s">
        <v>909</v>
      </c>
      <c r="B301">
        <v>16100</v>
      </c>
      <c r="C301">
        <v>0</v>
      </c>
      <c r="D301">
        <v>6</v>
      </c>
      <c r="E301">
        <v>16100</v>
      </c>
      <c r="F301">
        <v>300</v>
      </c>
      <c r="G301" t="b">
        <v>0</v>
      </c>
      <c r="H301">
        <v>300</v>
      </c>
    </row>
    <row r="302" spans="1:8" x14ac:dyDescent="0.25">
      <c r="A302" t="s">
        <v>910</v>
      </c>
      <c r="B302">
        <v>22500</v>
      </c>
      <c r="C302">
        <v>15</v>
      </c>
      <c r="D302">
        <v>6</v>
      </c>
      <c r="E302">
        <v>19100</v>
      </c>
      <c r="F302">
        <v>200</v>
      </c>
      <c r="G302" t="b">
        <v>0</v>
      </c>
      <c r="H302">
        <v>200</v>
      </c>
    </row>
    <row r="303" spans="1:8" x14ac:dyDescent="0.25">
      <c r="A303" t="s">
        <v>510</v>
      </c>
      <c r="B303">
        <v>19000</v>
      </c>
      <c r="C303">
        <v>11</v>
      </c>
      <c r="D303">
        <v>6</v>
      </c>
      <c r="E303">
        <v>16900</v>
      </c>
      <c r="F303">
        <v>500</v>
      </c>
      <c r="G303" t="b">
        <v>0</v>
      </c>
      <c r="H303">
        <v>500</v>
      </c>
    </row>
    <row r="304" spans="1:8" x14ac:dyDescent="0.25">
      <c r="A304" t="s">
        <v>911</v>
      </c>
      <c r="B304">
        <v>12300</v>
      </c>
      <c r="C304">
        <v>0</v>
      </c>
      <c r="D304">
        <v>6</v>
      </c>
      <c r="E304">
        <v>12300</v>
      </c>
      <c r="F304">
        <v>600</v>
      </c>
      <c r="G304" t="b">
        <v>0</v>
      </c>
      <c r="H304">
        <v>600</v>
      </c>
    </row>
    <row r="305" spans="1:8" x14ac:dyDescent="0.25">
      <c r="A305" t="s">
        <v>912</v>
      </c>
      <c r="B305">
        <v>27500</v>
      </c>
      <c r="C305">
        <v>10</v>
      </c>
      <c r="D305">
        <v>6</v>
      </c>
      <c r="E305">
        <v>24500</v>
      </c>
      <c r="F305">
        <v>200</v>
      </c>
      <c r="G305" t="b">
        <v>0</v>
      </c>
      <c r="H305">
        <v>200</v>
      </c>
    </row>
    <row r="306" spans="1:8" x14ac:dyDescent="0.25">
      <c r="A306" t="s">
        <v>913</v>
      </c>
      <c r="B306">
        <v>7500</v>
      </c>
      <c r="C306">
        <v>0</v>
      </c>
      <c r="D306">
        <v>6</v>
      </c>
      <c r="E306">
        <v>7500</v>
      </c>
      <c r="F306">
        <v>180</v>
      </c>
      <c r="G306" t="b">
        <v>0</v>
      </c>
      <c r="H306">
        <v>180</v>
      </c>
    </row>
    <row r="307" spans="1:8" x14ac:dyDescent="0.25">
      <c r="A307" t="s">
        <v>914</v>
      </c>
      <c r="B307">
        <v>35000</v>
      </c>
      <c r="C307">
        <v>0</v>
      </c>
      <c r="D307">
        <v>6</v>
      </c>
      <c r="E307">
        <v>35000</v>
      </c>
      <c r="F307">
        <v>880</v>
      </c>
      <c r="G307" t="b">
        <v>0</v>
      </c>
      <c r="H307">
        <v>800</v>
      </c>
    </row>
    <row r="308" spans="1:8" x14ac:dyDescent="0.25">
      <c r="A308" t="s">
        <v>915</v>
      </c>
      <c r="B308">
        <v>13500</v>
      </c>
      <c r="C308">
        <v>11</v>
      </c>
      <c r="D308">
        <v>6</v>
      </c>
      <c r="E308">
        <v>12000</v>
      </c>
      <c r="F308">
        <v>300</v>
      </c>
      <c r="G308" t="b">
        <v>0</v>
      </c>
      <c r="H308">
        <v>300</v>
      </c>
    </row>
    <row r="309" spans="1:8" x14ac:dyDescent="0.25">
      <c r="A309" t="s">
        <v>916</v>
      </c>
      <c r="B309">
        <v>5500</v>
      </c>
      <c r="C309">
        <v>0</v>
      </c>
      <c r="D309">
        <v>5</v>
      </c>
      <c r="E309">
        <v>5500</v>
      </c>
      <c r="F309">
        <v>190</v>
      </c>
      <c r="G309" t="b">
        <v>0</v>
      </c>
      <c r="H309">
        <v>190</v>
      </c>
    </row>
    <row r="310" spans="1:8" x14ac:dyDescent="0.25">
      <c r="A310" t="s">
        <v>501</v>
      </c>
      <c r="B310">
        <v>12000</v>
      </c>
      <c r="C310">
        <v>30</v>
      </c>
      <c r="D310">
        <v>4</v>
      </c>
      <c r="E310">
        <v>8400</v>
      </c>
      <c r="F310">
        <v>285</v>
      </c>
      <c r="G310" t="b">
        <v>0</v>
      </c>
      <c r="H310">
        <v>285</v>
      </c>
    </row>
    <row r="311" spans="1:8" x14ac:dyDescent="0.25">
      <c r="A311" t="s">
        <v>812</v>
      </c>
      <c r="B311">
        <v>6000</v>
      </c>
      <c r="C311">
        <v>6</v>
      </c>
      <c r="D311">
        <v>6</v>
      </c>
      <c r="E311">
        <v>5600</v>
      </c>
      <c r="F311">
        <v>50</v>
      </c>
      <c r="G311" t="b">
        <v>0</v>
      </c>
      <c r="H311">
        <v>50</v>
      </c>
    </row>
    <row r="312" spans="1:8" x14ac:dyDescent="0.25">
      <c r="A312" t="s">
        <v>657</v>
      </c>
      <c r="B312">
        <v>11000</v>
      </c>
      <c r="C312">
        <v>0</v>
      </c>
      <c r="D312">
        <v>6</v>
      </c>
      <c r="E312">
        <v>11000</v>
      </c>
      <c r="F312">
        <v>180</v>
      </c>
      <c r="G312" t="b">
        <v>0</v>
      </c>
      <c r="H312">
        <v>180</v>
      </c>
    </row>
    <row r="313" spans="1:8" x14ac:dyDescent="0.25">
      <c r="A313" t="s">
        <v>917</v>
      </c>
      <c r="B313">
        <v>11000</v>
      </c>
      <c r="C313">
        <v>0</v>
      </c>
      <c r="D313">
        <v>5</v>
      </c>
      <c r="E313">
        <v>11000</v>
      </c>
      <c r="F313">
        <v>300</v>
      </c>
      <c r="G313" t="b">
        <v>0</v>
      </c>
      <c r="H313">
        <v>300</v>
      </c>
    </row>
    <row r="314" spans="1:8" x14ac:dyDescent="0.25">
      <c r="A314" t="s">
        <v>918</v>
      </c>
      <c r="B314">
        <v>27500</v>
      </c>
      <c r="C314">
        <v>14</v>
      </c>
      <c r="D314">
        <v>6</v>
      </c>
      <c r="E314">
        <v>23400</v>
      </c>
      <c r="F314">
        <v>200</v>
      </c>
      <c r="G314" t="b">
        <v>0</v>
      </c>
      <c r="H314">
        <v>200</v>
      </c>
    </row>
    <row r="315" spans="1:8" x14ac:dyDescent="0.25">
      <c r="A315" t="s">
        <v>481</v>
      </c>
      <c r="B315">
        <v>25000</v>
      </c>
      <c r="C315">
        <v>14</v>
      </c>
      <c r="D315">
        <v>6</v>
      </c>
      <c r="E315">
        <v>21300</v>
      </c>
      <c r="F315">
        <v>410</v>
      </c>
      <c r="G315" t="b">
        <v>0</v>
      </c>
      <c r="H315">
        <v>410</v>
      </c>
    </row>
    <row r="316" spans="1:8" x14ac:dyDescent="0.25">
      <c r="A316" t="s">
        <v>919</v>
      </c>
      <c r="B316">
        <v>11400</v>
      </c>
      <c r="C316">
        <v>0</v>
      </c>
      <c r="D316">
        <v>6</v>
      </c>
      <c r="E316">
        <v>11400</v>
      </c>
      <c r="F316">
        <v>480</v>
      </c>
      <c r="G316" t="b">
        <v>0</v>
      </c>
      <c r="H316">
        <v>480</v>
      </c>
    </row>
    <row r="317" spans="1:8" x14ac:dyDescent="0.25">
      <c r="A317" t="s">
        <v>920</v>
      </c>
      <c r="B317">
        <v>23000</v>
      </c>
      <c r="C317">
        <v>0</v>
      </c>
      <c r="D317">
        <v>6</v>
      </c>
      <c r="E317">
        <v>23000</v>
      </c>
      <c r="F317">
        <v>250</v>
      </c>
      <c r="G317" t="b">
        <v>0</v>
      </c>
      <c r="H317">
        <v>250</v>
      </c>
    </row>
    <row r="318" spans="1:8" x14ac:dyDescent="0.25">
      <c r="A318" t="s">
        <v>921</v>
      </c>
      <c r="B318">
        <v>23000</v>
      </c>
      <c r="C318">
        <v>0</v>
      </c>
      <c r="D318">
        <v>4</v>
      </c>
      <c r="E318">
        <v>23000</v>
      </c>
      <c r="F318">
        <v>400</v>
      </c>
      <c r="G318" t="b">
        <v>0</v>
      </c>
      <c r="H318">
        <v>400</v>
      </c>
    </row>
    <row r="319" spans="1:8" x14ac:dyDescent="0.25">
      <c r="A319" t="s">
        <v>922</v>
      </c>
      <c r="B319">
        <v>11000</v>
      </c>
      <c r="C319">
        <v>0</v>
      </c>
      <c r="D319">
        <v>4</v>
      </c>
      <c r="E319">
        <v>11000</v>
      </c>
      <c r="F319">
        <v>300</v>
      </c>
      <c r="G319" t="b">
        <v>0</v>
      </c>
      <c r="H319">
        <v>300</v>
      </c>
    </row>
    <row r="320" spans="1:8" x14ac:dyDescent="0.25">
      <c r="A320" t="s">
        <v>923</v>
      </c>
      <c r="B320">
        <v>11000</v>
      </c>
      <c r="C320">
        <v>0</v>
      </c>
      <c r="D320">
        <v>6</v>
      </c>
      <c r="E320">
        <v>11000</v>
      </c>
      <c r="F320">
        <v>300</v>
      </c>
      <c r="G320" t="b">
        <v>0</v>
      </c>
      <c r="H320">
        <v>300</v>
      </c>
    </row>
    <row r="321" spans="1:8" x14ac:dyDescent="0.25">
      <c r="A321" t="s">
        <v>475</v>
      </c>
      <c r="B321">
        <v>2500</v>
      </c>
      <c r="C321">
        <v>0</v>
      </c>
      <c r="D321">
        <v>1</v>
      </c>
      <c r="E321">
        <v>2500</v>
      </c>
      <c r="F321">
        <v>77</v>
      </c>
      <c r="G321" t="b">
        <v>0</v>
      </c>
      <c r="H321">
        <v>77</v>
      </c>
    </row>
    <row r="322" spans="1:8" x14ac:dyDescent="0.25">
      <c r="A322" t="s">
        <v>924</v>
      </c>
      <c r="B322">
        <v>27200</v>
      </c>
      <c r="C322">
        <v>0</v>
      </c>
      <c r="D322">
        <v>1</v>
      </c>
      <c r="E322">
        <v>27200</v>
      </c>
      <c r="F322">
        <v>300</v>
      </c>
      <c r="G322" t="b">
        <v>0</v>
      </c>
      <c r="H322">
        <v>300</v>
      </c>
    </row>
    <row r="323" spans="1:8" x14ac:dyDescent="0.25">
      <c r="A323" t="s">
        <v>925</v>
      </c>
      <c r="B323">
        <v>25000</v>
      </c>
      <c r="C323">
        <v>0</v>
      </c>
      <c r="D323">
        <v>6</v>
      </c>
      <c r="E323">
        <v>25000</v>
      </c>
      <c r="F323">
        <v>250</v>
      </c>
      <c r="G323" t="b">
        <v>0</v>
      </c>
      <c r="H323">
        <v>250</v>
      </c>
    </row>
    <row r="324" spans="1:8" x14ac:dyDescent="0.25">
      <c r="A324" t="s">
        <v>926</v>
      </c>
      <c r="B324">
        <v>33000</v>
      </c>
      <c r="C324">
        <v>0</v>
      </c>
      <c r="D324">
        <v>6</v>
      </c>
      <c r="E324">
        <v>33000</v>
      </c>
      <c r="F324">
        <v>500</v>
      </c>
      <c r="G324" t="b">
        <v>0</v>
      </c>
      <c r="H324">
        <v>500</v>
      </c>
    </row>
    <row r="325" spans="1:8" x14ac:dyDescent="0.25">
      <c r="A325" t="s">
        <v>927</v>
      </c>
      <c r="B325">
        <v>17500</v>
      </c>
      <c r="C325">
        <v>9</v>
      </c>
      <c r="D325">
        <v>4</v>
      </c>
      <c r="E325">
        <v>15800</v>
      </c>
      <c r="F325">
        <v>375</v>
      </c>
      <c r="G325" t="b">
        <v>0</v>
      </c>
      <c r="H325">
        <v>375</v>
      </c>
    </row>
    <row r="326" spans="1:8" x14ac:dyDescent="0.25">
      <c r="A326" t="s">
        <v>928</v>
      </c>
      <c r="B326">
        <v>12000</v>
      </c>
      <c r="C326">
        <v>0</v>
      </c>
      <c r="D326">
        <v>6</v>
      </c>
      <c r="E326">
        <v>12000</v>
      </c>
      <c r="F326">
        <v>160</v>
      </c>
      <c r="G326" t="b">
        <v>0</v>
      </c>
      <c r="H326">
        <v>160</v>
      </c>
    </row>
    <row r="327" spans="1:8" x14ac:dyDescent="0.25">
      <c r="A327" t="s">
        <v>929</v>
      </c>
      <c r="B327">
        <v>28000</v>
      </c>
      <c r="C327">
        <v>50</v>
      </c>
      <c r="D327">
        <v>6</v>
      </c>
      <c r="E327">
        <v>14000</v>
      </c>
      <c r="F327">
        <v>175</v>
      </c>
      <c r="G327" t="b">
        <v>0</v>
      </c>
      <c r="H327">
        <v>175</v>
      </c>
    </row>
    <row r="328" spans="1:8" x14ac:dyDescent="0.25">
      <c r="A328" t="s">
        <v>930</v>
      </c>
      <c r="B328">
        <v>66000</v>
      </c>
      <c r="C328">
        <v>7</v>
      </c>
      <c r="D328">
        <v>2</v>
      </c>
      <c r="E328">
        <v>60800</v>
      </c>
      <c r="F328">
        <v>3000</v>
      </c>
      <c r="G328" t="b">
        <v>0</v>
      </c>
      <c r="H328">
        <v>3</v>
      </c>
    </row>
    <row r="329" spans="1:8" x14ac:dyDescent="0.25">
      <c r="A329" t="s">
        <v>931</v>
      </c>
      <c r="B329">
        <v>22500</v>
      </c>
      <c r="C329">
        <v>15</v>
      </c>
      <c r="D329">
        <v>6</v>
      </c>
      <c r="E329">
        <v>19100</v>
      </c>
      <c r="F329">
        <v>200</v>
      </c>
      <c r="G329" t="b">
        <v>0</v>
      </c>
      <c r="H329">
        <v>200</v>
      </c>
    </row>
    <row r="330" spans="1:8" x14ac:dyDescent="0.25">
      <c r="A330" t="s">
        <v>932</v>
      </c>
      <c r="B330">
        <v>27500</v>
      </c>
      <c r="C330">
        <v>14</v>
      </c>
      <c r="D330">
        <v>6</v>
      </c>
      <c r="E330">
        <v>23400</v>
      </c>
      <c r="F330">
        <v>200</v>
      </c>
      <c r="G330" t="b">
        <v>0</v>
      </c>
      <c r="H330">
        <v>200</v>
      </c>
    </row>
    <row r="331" spans="1:8" x14ac:dyDescent="0.25">
      <c r="A331" t="s">
        <v>933</v>
      </c>
      <c r="B331">
        <v>27500</v>
      </c>
      <c r="C331">
        <v>14</v>
      </c>
      <c r="D331">
        <v>6</v>
      </c>
      <c r="E331">
        <v>23400</v>
      </c>
      <c r="F331">
        <v>200</v>
      </c>
      <c r="G331" t="b">
        <v>0</v>
      </c>
      <c r="H331">
        <v>200</v>
      </c>
    </row>
    <row r="332" spans="1:8" x14ac:dyDescent="0.25">
      <c r="A332" t="s">
        <v>656</v>
      </c>
      <c r="B332">
        <v>24900</v>
      </c>
      <c r="C332">
        <v>0</v>
      </c>
      <c r="D332">
        <v>4</v>
      </c>
      <c r="E332">
        <v>24900</v>
      </c>
      <c r="F332">
        <v>400</v>
      </c>
      <c r="G332" t="b">
        <v>0</v>
      </c>
      <c r="H332">
        <v>400</v>
      </c>
    </row>
    <row r="333" spans="1:8" x14ac:dyDescent="0.25">
      <c r="A333" t="s">
        <v>934</v>
      </c>
      <c r="B333">
        <v>14000</v>
      </c>
      <c r="C333">
        <v>15</v>
      </c>
      <c r="D333">
        <v>6</v>
      </c>
      <c r="E333">
        <v>11900</v>
      </c>
      <c r="F333">
        <v>60</v>
      </c>
      <c r="G333" t="b">
        <v>0</v>
      </c>
      <c r="H333">
        <v>60</v>
      </c>
    </row>
    <row r="334" spans="1:8" x14ac:dyDescent="0.25">
      <c r="A334" t="s">
        <v>935</v>
      </c>
      <c r="B334">
        <v>32500</v>
      </c>
      <c r="C334">
        <v>9</v>
      </c>
      <c r="D334">
        <v>5</v>
      </c>
      <c r="E334">
        <v>29300</v>
      </c>
      <c r="F334">
        <v>200</v>
      </c>
      <c r="G334" t="b">
        <v>0</v>
      </c>
      <c r="H334">
        <v>200</v>
      </c>
    </row>
    <row r="335" spans="1:8" x14ac:dyDescent="0.25">
      <c r="A335" t="s">
        <v>936</v>
      </c>
      <c r="B335">
        <v>27500</v>
      </c>
      <c r="C335">
        <v>14</v>
      </c>
      <c r="D335">
        <v>6</v>
      </c>
      <c r="E335">
        <v>23400</v>
      </c>
      <c r="F335">
        <v>200</v>
      </c>
      <c r="G335" t="b">
        <v>0</v>
      </c>
      <c r="H335">
        <v>200</v>
      </c>
    </row>
    <row r="336" spans="1:8" x14ac:dyDescent="0.25">
      <c r="A336" t="s">
        <v>937</v>
      </c>
      <c r="B336">
        <v>11400</v>
      </c>
      <c r="C336">
        <v>0</v>
      </c>
      <c r="D336">
        <v>6</v>
      </c>
      <c r="E336">
        <v>11400</v>
      </c>
      <c r="F336">
        <v>480</v>
      </c>
      <c r="G336" t="b">
        <v>0</v>
      </c>
      <c r="H336">
        <v>480</v>
      </c>
    </row>
    <row r="337" spans="1:8" x14ac:dyDescent="0.25">
      <c r="A337" t="s">
        <v>478</v>
      </c>
      <c r="B337">
        <v>25000</v>
      </c>
      <c r="C337">
        <v>0</v>
      </c>
      <c r="D337">
        <v>5</v>
      </c>
      <c r="E337">
        <v>25000</v>
      </c>
      <c r="F337">
        <v>400</v>
      </c>
      <c r="G337" t="b">
        <v>0</v>
      </c>
      <c r="H337">
        <v>400</v>
      </c>
    </row>
    <row r="338" spans="1:8" x14ac:dyDescent="0.25">
      <c r="A338" t="s">
        <v>938</v>
      </c>
      <c r="B338">
        <v>61000</v>
      </c>
      <c r="C338">
        <v>0</v>
      </c>
      <c r="D338">
        <v>2</v>
      </c>
      <c r="E338">
        <v>61000</v>
      </c>
      <c r="F338">
        <v>400</v>
      </c>
      <c r="G338" t="b">
        <v>0</v>
      </c>
      <c r="H338">
        <v>400</v>
      </c>
    </row>
    <row r="339" spans="1:8" x14ac:dyDescent="0.25">
      <c r="A339" t="s">
        <v>939</v>
      </c>
      <c r="B339">
        <v>9100</v>
      </c>
      <c r="C339">
        <v>0</v>
      </c>
      <c r="D339">
        <v>6</v>
      </c>
      <c r="E339">
        <v>9100</v>
      </c>
      <c r="F339">
        <v>60</v>
      </c>
      <c r="G339" t="b">
        <v>0</v>
      </c>
      <c r="H339">
        <v>60</v>
      </c>
    </row>
    <row r="340" spans="1:8" x14ac:dyDescent="0.25">
      <c r="A340" t="s">
        <v>940</v>
      </c>
      <c r="B340">
        <v>23000</v>
      </c>
      <c r="C340">
        <v>0</v>
      </c>
      <c r="D340">
        <v>4</v>
      </c>
      <c r="E340">
        <v>23000</v>
      </c>
      <c r="F340">
        <v>400</v>
      </c>
      <c r="G340" t="b">
        <v>0</v>
      </c>
      <c r="H340">
        <v>400</v>
      </c>
    </row>
    <row r="341" spans="1:8" x14ac:dyDescent="0.25">
      <c r="A341" t="s">
        <v>941</v>
      </c>
      <c r="B341">
        <v>27500</v>
      </c>
      <c r="C341">
        <v>14</v>
      </c>
      <c r="D341">
        <v>6</v>
      </c>
      <c r="E341">
        <v>23400</v>
      </c>
      <c r="F341">
        <v>200</v>
      </c>
      <c r="G341" t="b">
        <v>0</v>
      </c>
      <c r="H341">
        <v>200</v>
      </c>
    </row>
    <row r="342" spans="1:8" x14ac:dyDescent="0.25">
      <c r="A342" t="s">
        <v>942</v>
      </c>
      <c r="B342">
        <v>6500</v>
      </c>
      <c r="C342">
        <v>6</v>
      </c>
      <c r="D342">
        <v>3</v>
      </c>
      <c r="E342">
        <v>6100</v>
      </c>
      <c r="F342">
        <v>52</v>
      </c>
      <c r="G342" t="b">
        <v>0</v>
      </c>
      <c r="H342">
        <v>52</v>
      </c>
    </row>
    <row r="343" spans="1:8" x14ac:dyDescent="0.25">
      <c r="A343" t="s">
        <v>943</v>
      </c>
      <c r="B343">
        <v>59500</v>
      </c>
      <c r="C343">
        <v>0</v>
      </c>
      <c r="D343">
        <v>5</v>
      </c>
      <c r="E343">
        <v>59500</v>
      </c>
      <c r="F343">
        <v>1000</v>
      </c>
      <c r="G343" t="b">
        <v>0</v>
      </c>
      <c r="H343">
        <v>1</v>
      </c>
    </row>
    <row r="344" spans="1:8" x14ac:dyDescent="0.25">
      <c r="A344" t="s">
        <v>860</v>
      </c>
      <c r="B344">
        <v>10500</v>
      </c>
      <c r="C344">
        <v>0</v>
      </c>
      <c r="D344">
        <v>4</v>
      </c>
      <c r="E344">
        <v>10500</v>
      </c>
      <c r="F344">
        <v>850</v>
      </c>
      <c r="G344" t="b">
        <v>0</v>
      </c>
      <c r="H344">
        <v>850</v>
      </c>
    </row>
    <row r="345" spans="1:8" x14ac:dyDescent="0.25">
      <c r="A345" t="s">
        <v>523</v>
      </c>
      <c r="B345">
        <v>4400</v>
      </c>
      <c r="C345">
        <v>0</v>
      </c>
      <c r="D345">
        <v>0</v>
      </c>
      <c r="E345">
        <v>4400</v>
      </c>
      <c r="F345">
        <v>280</v>
      </c>
      <c r="G345" t="b">
        <v>1</v>
      </c>
      <c r="H345">
        <v>280</v>
      </c>
    </row>
    <row r="346" spans="1:8" x14ac:dyDescent="0.25">
      <c r="A346" t="s">
        <v>944</v>
      </c>
      <c r="B346">
        <v>2000</v>
      </c>
      <c r="C346">
        <v>0</v>
      </c>
      <c r="D346">
        <v>0</v>
      </c>
      <c r="E346">
        <v>2000</v>
      </c>
      <c r="F346">
        <v>90</v>
      </c>
      <c r="G346" t="b">
        <v>1</v>
      </c>
      <c r="H346">
        <v>90</v>
      </c>
    </row>
    <row r="347" spans="1:8" x14ac:dyDescent="0.25">
      <c r="A347" t="s">
        <v>945</v>
      </c>
      <c r="B347">
        <v>6000</v>
      </c>
      <c r="C347">
        <v>6</v>
      </c>
      <c r="D347">
        <v>0</v>
      </c>
      <c r="E347">
        <v>5600</v>
      </c>
      <c r="F347">
        <v>156</v>
      </c>
      <c r="G347" t="b">
        <v>1</v>
      </c>
      <c r="H347">
        <v>156</v>
      </c>
    </row>
    <row r="348" spans="1:8" x14ac:dyDescent="0.25">
      <c r="A348" t="s">
        <v>946</v>
      </c>
      <c r="B348">
        <v>15500</v>
      </c>
      <c r="C348">
        <v>0</v>
      </c>
      <c r="D348">
        <v>0</v>
      </c>
      <c r="E348">
        <v>15500</v>
      </c>
      <c r="F348">
        <v>500</v>
      </c>
      <c r="G348" t="b">
        <v>1</v>
      </c>
      <c r="H348">
        <v>500</v>
      </c>
    </row>
    <row r="349" spans="1:8" x14ac:dyDescent="0.25">
      <c r="A349" t="s">
        <v>947</v>
      </c>
      <c r="B349">
        <v>6000</v>
      </c>
      <c r="C349">
        <v>5</v>
      </c>
      <c r="D349">
        <v>0</v>
      </c>
      <c r="E349">
        <v>5700</v>
      </c>
      <c r="F349">
        <v>200</v>
      </c>
      <c r="G349" t="b">
        <v>1</v>
      </c>
      <c r="H349">
        <v>200</v>
      </c>
    </row>
    <row r="350" spans="1:8" x14ac:dyDescent="0.25">
      <c r="A350" t="s">
        <v>668</v>
      </c>
      <c r="B350">
        <v>8500</v>
      </c>
      <c r="C350">
        <v>0</v>
      </c>
      <c r="D350">
        <v>0</v>
      </c>
      <c r="E350">
        <v>8500</v>
      </c>
      <c r="F350">
        <v>200</v>
      </c>
      <c r="G350" t="b">
        <v>1</v>
      </c>
      <c r="H350">
        <v>200</v>
      </c>
    </row>
    <row r="351" spans="1:8" x14ac:dyDescent="0.25">
      <c r="A351" t="s">
        <v>948</v>
      </c>
      <c r="B351">
        <v>5000</v>
      </c>
      <c r="C351">
        <v>24</v>
      </c>
      <c r="D351">
        <v>0</v>
      </c>
      <c r="E351">
        <v>3800</v>
      </c>
      <c r="F351">
        <v>200</v>
      </c>
      <c r="G351" t="b">
        <v>1</v>
      </c>
      <c r="H351">
        <v>200</v>
      </c>
    </row>
    <row r="352" spans="1:8" x14ac:dyDescent="0.25">
      <c r="A352" t="s">
        <v>949</v>
      </c>
      <c r="B352">
        <v>4000</v>
      </c>
      <c r="C352">
        <v>2</v>
      </c>
      <c r="D352">
        <v>0</v>
      </c>
      <c r="E352">
        <v>3900</v>
      </c>
      <c r="F352">
        <v>40</v>
      </c>
      <c r="G352" t="b">
        <v>1</v>
      </c>
      <c r="H352">
        <v>40</v>
      </c>
    </row>
    <row r="353" spans="1:8" x14ac:dyDescent="0.25">
      <c r="A353" t="s">
        <v>950</v>
      </c>
      <c r="B353">
        <v>3500</v>
      </c>
      <c r="C353">
        <v>2</v>
      </c>
      <c r="D353">
        <v>0</v>
      </c>
      <c r="E353">
        <v>3400</v>
      </c>
      <c r="F353">
        <v>70</v>
      </c>
      <c r="G353" t="b">
        <v>1</v>
      </c>
      <c r="H353">
        <v>70</v>
      </c>
    </row>
    <row r="354" spans="1:8" x14ac:dyDescent="0.25">
      <c r="A354" t="s">
        <v>674</v>
      </c>
      <c r="B354">
        <v>18500</v>
      </c>
      <c r="C354">
        <v>20</v>
      </c>
      <c r="D354">
        <v>0</v>
      </c>
      <c r="E354">
        <v>14800</v>
      </c>
      <c r="F354">
        <v>325</v>
      </c>
      <c r="G354" t="b">
        <v>1</v>
      </c>
      <c r="H354">
        <v>325</v>
      </c>
    </row>
    <row r="355" spans="1:8" x14ac:dyDescent="0.25">
      <c r="A355" t="s">
        <v>538</v>
      </c>
      <c r="B355">
        <v>1000</v>
      </c>
      <c r="C355">
        <v>0</v>
      </c>
      <c r="D355">
        <v>0</v>
      </c>
      <c r="E355">
        <v>1000</v>
      </c>
      <c r="F355">
        <v>20</v>
      </c>
      <c r="G355" t="b">
        <v>1</v>
      </c>
      <c r="H355">
        <v>20</v>
      </c>
    </row>
    <row r="356" spans="1:8" x14ac:dyDescent="0.25">
      <c r="A356" t="s">
        <v>94</v>
      </c>
      <c r="B356">
        <v>6000</v>
      </c>
      <c r="C356">
        <v>5</v>
      </c>
      <c r="D356">
        <v>0</v>
      </c>
      <c r="E356">
        <v>5700</v>
      </c>
      <c r="F356">
        <v>500</v>
      </c>
      <c r="G356" t="b">
        <v>1</v>
      </c>
      <c r="H356">
        <v>500</v>
      </c>
    </row>
    <row r="357" spans="1:8" x14ac:dyDescent="0.25">
      <c r="A357" t="s">
        <v>95</v>
      </c>
      <c r="B357">
        <v>4100</v>
      </c>
      <c r="C357">
        <v>4</v>
      </c>
      <c r="D357">
        <v>0</v>
      </c>
      <c r="E357">
        <v>3900</v>
      </c>
      <c r="F357">
        <v>200</v>
      </c>
      <c r="G357" t="b">
        <v>1</v>
      </c>
      <c r="H357">
        <v>200</v>
      </c>
    </row>
    <row r="358" spans="1:8" x14ac:dyDescent="0.25">
      <c r="A358" t="s">
        <v>675</v>
      </c>
      <c r="B358">
        <v>8500</v>
      </c>
      <c r="C358">
        <v>3</v>
      </c>
      <c r="D358">
        <v>0</v>
      </c>
      <c r="E358">
        <v>8200</v>
      </c>
      <c r="F358">
        <v>200</v>
      </c>
      <c r="G358" t="b">
        <v>1</v>
      </c>
      <c r="H358">
        <v>200</v>
      </c>
    </row>
    <row r="359" spans="1:8" x14ac:dyDescent="0.25">
      <c r="A359" t="s">
        <v>541</v>
      </c>
      <c r="B359">
        <v>10700</v>
      </c>
      <c r="C359">
        <v>0</v>
      </c>
      <c r="D359">
        <v>0</v>
      </c>
      <c r="E359">
        <v>10700</v>
      </c>
      <c r="F359">
        <v>600</v>
      </c>
      <c r="G359" t="b">
        <v>1</v>
      </c>
      <c r="H359">
        <v>600</v>
      </c>
    </row>
    <row r="360" spans="1:8" x14ac:dyDescent="0.25">
      <c r="A360" t="s">
        <v>542</v>
      </c>
      <c r="B360">
        <v>1500</v>
      </c>
      <c r="C360">
        <v>0</v>
      </c>
      <c r="D360">
        <v>0</v>
      </c>
      <c r="E360">
        <v>1500</v>
      </c>
      <c r="F360">
        <v>38</v>
      </c>
      <c r="G360" t="b">
        <v>1</v>
      </c>
      <c r="H360">
        <v>38</v>
      </c>
    </row>
    <row r="361" spans="1:8" x14ac:dyDescent="0.25">
      <c r="A361" t="s">
        <v>951</v>
      </c>
      <c r="B361">
        <v>6000</v>
      </c>
      <c r="C361">
        <v>5</v>
      </c>
      <c r="D361">
        <v>0</v>
      </c>
      <c r="E361">
        <v>5700</v>
      </c>
      <c r="F361">
        <v>200</v>
      </c>
      <c r="G361" t="b">
        <v>1</v>
      </c>
      <c r="H361">
        <v>200</v>
      </c>
    </row>
    <row r="362" spans="1:8" x14ac:dyDescent="0.25">
      <c r="A362" t="s">
        <v>952</v>
      </c>
      <c r="B362">
        <v>3100</v>
      </c>
      <c r="C362">
        <v>9</v>
      </c>
      <c r="D362">
        <v>0</v>
      </c>
      <c r="E362">
        <v>2800</v>
      </c>
      <c r="F362">
        <v>70</v>
      </c>
      <c r="G362" t="b">
        <v>1</v>
      </c>
      <c r="H362">
        <v>70</v>
      </c>
    </row>
    <row r="363" spans="1:8" x14ac:dyDescent="0.25">
      <c r="A363" t="s">
        <v>548</v>
      </c>
      <c r="B363">
        <v>5000</v>
      </c>
      <c r="C363">
        <v>0</v>
      </c>
      <c r="D363">
        <v>0</v>
      </c>
      <c r="E363">
        <v>5000</v>
      </c>
      <c r="F363">
        <v>70</v>
      </c>
      <c r="G363" t="b">
        <v>1</v>
      </c>
      <c r="H363">
        <v>70</v>
      </c>
    </row>
    <row r="364" spans="1:8" x14ac:dyDescent="0.25">
      <c r="A364" t="s">
        <v>953</v>
      </c>
      <c r="B364">
        <v>6900</v>
      </c>
      <c r="C364">
        <v>8</v>
      </c>
      <c r="D364">
        <v>0</v>
      </c>
      <c r="E364">
        <v>6300</v>
      </c>
      <c r="F364">
        <v>250</v>
      </c>
      <c r="G364" t="b">
        <v>1</v>
      </c>
      <c r="H364">
        <v>250</v>
      </c>
    </row>
    <row r="365" spans="1:8" x14ac:dyDescent="0.25">
      <c r="A365" t="s">
        <v>555</v>
      </c>
      <c r="B365">
        <v>4800</v>
      </c>
      <c r="C365">
        <v>6</v>
      </c>
      <c r="D365">
        <v>0</v>
      </c>
      <c r="E365">
        <v>4500</v>
      </c>
      <c r="F365">
        <v>240</v>
      </c>
      <c r="G365" t="b">
        <v>1</v>
      </c>
      <c r="H365">
        <v>240</v>
      </c>
    </row>
    <row r="366" spans="1:8" x14ac:dyDescent="0.25">
      <c r="A366" t="s">
        <v>558</v>
      </c>
      <c r="B366">
        <v>9100</v>
      </c>
      <c r="C366">
        <v>9</v>
      </c>
      <c r="D366">
        <v>0</v>
      </c>
      <c r="E366">
        <v>8200</v>
      </c>
      <c r="F366">
        <v>560</v>
      </c>
      <c r="G366" t="b">
        <v>1</v>
      </c>
      <c r="H366">
        <v>560</v>
      </c>
    </row>
    <row r="367" spans="1:8" x14ac:dyDescent="0.25">
      <c r="A367" t="s">
        <v>954</v>
      </c>
      <c r="B367">
        <v>26500</v>
      </c>
      <c r="C367">
        <v>10</v>
      </c>
      <c r="D367">
        <v>0</v>
      </c>
      <c r="E367">
        <v>23600</v>
      </c>
      <c r="F367">
        <v>575</v>
      </c>
      <c r="G367" t="b">
        <v>1</v>
      </c>
      <c r="H367">
        <v>575</v>
      </c>
    </row>
    <row r="368" spans="1:8" x14ac:dyDescent="0.25">
      <c r="A368" t="s">
        <v>955</v>
      </c>
      <c r="B368">
        <v>3100</v>
      </c>
      <c r="C368">
        <v>9</v>
      </c>
      <c r="D368">
        <v>0</v>
      </c>
      <c r="E368">
        <v>2800</v>
      </c>
      <c r="F368">
        <v>70</v>
      </c>
      <c r="G368" t="b">
        <v>1</v>
      </c>
      <c r="H368">
        <v>75</v>
      </c>
    </row>
    <row r="369" spans="1:8" x14ac:dyDescent="0.25">
      <c r="A369" t="s">
        <v>956</v>
      </c>
      <c r="B369">
        <v>2400</v>
      </c>
      <c r="C369">
        <v>0</v>
      </c>
      <c r="D369">
        <v>0</v>
      </c>
      <c r="E369">
        <v>2400</v>
      </c>
      <c r="F369">
        <v>75</v>
      </c>
      <c r="G369" t="b">
        <v>1</v>
      </c>
      <c r="H369">
        <v>75</v>
      </c>
    </row>
    <row r="370" spans="1:8" x14ac:dyDescent="0.25">
      <c r="A370" t="s">
        <v>562</v>
      </c>
      <c r="B370">
        <v>16000</v>
      </c>
      <c r="C370">
        <v>50</v>
      </c>
      <c r="D370">
        <v>0</v>
      </c>
      <c r="E370">
        <v>8000</v>
      </c>
      <c r="F370">
        <v>500</v>
      </c>
      <c r="G370" t="b">
        <v>1</v>
      </c>
      <c r="H370">
        <v>500</v>
      </c>
    </row>
    <row r="371" spans="1:8" x14ac:dyDescent="0.25">
      <c r="A371" t="s">
        <v>957</v>
      </c>
      <c r="B371">
        <v>2000</v>
      </c>
      <c r="C371">
        <v>10</v>
      </c>
      <c r="D371">
        <v>0</v>
      </c>
      <c r="E371">
        <v>1800</v>
      </c>
      <c r="F371">
        <v>100</v>
      </c>
      <c r="G371" t="b">
        <v>1</v>
      </c>
      <c r="H371">
        <v>100</v>
      </c>
    </row>
    <row r="372" spans="1:8" x14ac:dyDescent="0.25">
      <c r="A372" t="s">
        <v>565</v>
      </c>
      <c r="B372">
        <v>19000</v>
      </c>
      <c r="C372">
        <v>0</v>
      </c>
      <c r="D372">
        <v>0</v>
      </c>
      <c r="E372">
        <v>19000</v>
      </c>
      <c r="F372">
        <v>300</v>
      </c>
      <c r="G372" t="b">
        <v>1</v>
      </c>
      <c r="H372">
        <v>300</v>
      </c>
    </row>
    <row r="373" spans="1:8" x14ac:dyDescent="0.25">
      <c r="A373" t="s">
        <v>566</v>
      </c>
      <c r="B373">
        <v>2800</v>
      </c>
      <c r="C373">
        <v>17</v>
      </c>
      <c r="D373">
        <v>0</v>
      </c>
      <c r="E373">
        <v>2300</v>
      </c>
      <c r="F373">
        <v>65</v>
      </c>
      <c r="G373" t="b">
        <v>1</v>
      </c>
      <c r="H373">
        <v>65</v>
      </c>
    </row>
    <row r="374" spans="1:8" x14ac:dyDescent="0.25">
      <c r="A374" t="s">
        <v>96</v>
      </c>
      <c r="B374">
        <v>16000</v>
      </c>
      <c r="C374">
        <v>5</v>
      </c>
      <c r="D374">
        <v>0</v>
      </c>
      <c r="E374">
        <v>15200</v>
      </c>
      <c r="F374">
        <v>1000</v>
      </c>
      <c r="G374" t="b">
        <v>1</v>
      </c>
      <c r="H374">
        <v>1</v>
      </c>
    </row>
    <row r="375" spans="1:8" x14ac:dyDescent="0.25">
      <c r="A375" t="s">
        <v>958</v>
      </c>
      <c r="B375">
        <v>2500</v>
      </c>
      <c r="C375">
        <v>0</v>
      </c>
      <c r="D375">
        <v>0</v>
      </c>
      <c r="E375">
        <v>2500</v>
      </c>
      <c r="F375">
        <v>60</v>
      </c>
      <c r="G375" t="b">
        <v>1</v>
      </c>
      <c r="H375">
        <v>60</v>
      </c>
    </row>
    <row r="376" spans="1:8" x14ac:dyDescent="0.25">
      <c r="A376" t="s">
        <v>959</v>
      </c>
      <c r="B376">
        <v>12000</v>
      </c>
      <c r="C376">
        <v>7</v>
      </c>
      <c r="D376">
        <v>0</v>
      </c>
      <c r="E376">
        <v>11100</v>
      </c>
      <c r="F376">
        <v>950</v>
      </c>
      <c r="G376" t="b">
        <v>1</v>
      </c>
      <c r="H376">
        <v>950</v>
      </c>
    </row>
    <row r="377" spans="1:8" x14ac:dyDescent="0.25">
      <c r="A377" t="s">
        <v>960</v>
      </c>
      <c r="B377">
        <v>5500</v>
      </c>
      <c r="C377">
        <v>3</v>
      </c>
      <c r="D377">
        <v>0</v>
      </c>
      <c r="E377">
        <v>5300</v>
      </c>
      <c r="F377">
        <v>180</v>
      </c>
      <c r="G377" t="b">
        <v>1</v>
      </c>
      <c r="H377">
        <v>180</v>
      </c>
    </row>
    <row r="378" spans="1:8" x14ac:dyDescent="0.25">
      <c r="A378" t="s">
        <v>961</v>
      </c>
      <c r="B378">
        <v>13500</v>
      </c>
      <c r="C378">
        <v>6</v>
      </c>
      <c r="D378">
        <v>0</v>
      </c>
      <c r="E378">
        <v>12600</v>
      </c>
      <c r="F378">
        <v>500</v>
      </c>
      <c r="G378" t="b">
        <v>1</v>
      </c>
      <c r="H378">
        <v>500</v>
      </c>
    </row>
    <row r="379" spans="1:8" x14ac:dyDescent="0.25">
      <c r="A379" t="s">
        <v>962</v>
      </c>
      <c r="B379">
        <v>16000</v>
      </c>
      <c r="C379">
        <v>5</v>
      </c>
      <c r="D379">
        <v>0</v>
      </c>
      <c r="E379">
        <v>15200</v>
      </c>
      <c r="F379">
        <v>320</v>
      </c>
      <c r="G379" t="b">
        <v>1</v>
      </c>
      <c r="H379">
        <v>320</v>
      </c>
    </row>
    <row r="380" spans="1:8" x14ac:dyDescent="0.25">
      <c r="A380" t="s">
        <v>963</v>
      </c>
      <c r="B380">
        <v>11500</v>
      </c>
      <c r="C380">
        <v>4</v>
      </c>
      <c r="D380">
        <v>0</v>
      </c>
      <c r="E380">
        <v>11000</v>
      </c>
      <c r="F380">
        <v>400</v>
      </c>
      <c r="G380" t="b">
        <v>1</v>
      </c>
      <c r="H380">
        <v>400</v>
      </c>
    </row>
    <row r="381" spans="1:8" x14ac:dyDescent="0.25">
      <c r="A381" t="s">
        <v>573</v>
      </c>
      <c r="B381">
        <v>15000</v>
      </c>
      <c r="C381">
        <v>4</v>
      </c>
      <c r="D381">
        <v>0</v>
      </c>
      <c r="E381">
        <v>14300</v>
      </c>
      <c r="F381">
        <v>250</v>
      </c>
      <c r="G381" t="b">
        <v>1</v>
      </c>
      <c r="H381">
        <v>250</v>
      </c>
    </row>
    <row r="382" spans="1:8" x14ac:dyDescent="0.25">
      <c r="A382" t="s">
        <v>964</v>
      </c>
      <c r="B382">
        <v>29500</v>
      </c>
      <c r="C382">
        <v>9</v>
      </c>
      <c r="D382">
        <v>0</v>
      </c>
      <c r="E382">
        <v>26600</v>
      </c>
      <c r="F382">
        <v>350</v>
      </c>
      <c r="G382" t="b">
        <v>1</v>
      </c>
      <c r="H382">
        <v>350</v>
      </c>
    </row>
    <row r="383" spans="1:8" x14ac:dyDescent="0.25">
      <c r="A383" t="s">
        <v>572</v>
      </c>
      <c r="B383">
        <v>7200</v>
      </c>
      <c r="C383">
        <v>0</v>
      </c>
      <c r="D383">
        <v>0</v>
      </c>
      <c r="E383">
        <v>7200</v>
      </c>
      <c r="F383">
        <v>280</v>
      </c>
      <c r="G383" t="b">
        <v>1</v>
      </c>
      <c r="H383">
        <v>280</v>
      </c>
    </row>
    <row r="384" spans="1:8" x14ac:dyDescent="0.25">
      <c r="A384" t="s">
        <v>965</v>
      </c>
      <c r="B384">
        <v>5500</v>
      </c>
      <c r="C384">
        <v>0</v>
      </c>
      <c r="D384">
        <v>0</v>
      </c>
      <c r="E384">
        <v>5500</v>
      </c>
      <c r="F384">
        <v>190</v>
      </c>
      <c r="G384" t="b">
        <v>1</v>
      </c>
      <c r="H384">
        <v>190</v>
      </c>
    </row>
    <row r="385" spans="1:8" x14ac:dyDescent="0.25">
      <c r="A385" t="s">
        <v>966</v>
      </c>
      <c r="B385">
        <v>13500</v>
      </c>
      <c r="C385">
        <v>0</v>
      </c>
      <c r="D385">
        <v>0</v>
      </c>
      <c r="E385">
        <v>13500</v>
      </c>
      <c r="F385">
        <v>500</v>
      </c>
      <c r="G385" t="b">
        <v>1</v>
      </c>
      <c r="H385">
        <v>500</v>
      </c>
    </row>
    <row r="386" spans="1:8" x14ac:dyDescent="0.25">
      <c r="A386" t="s">
        <v>966</v>
      </c>
      <c r="B386">
        <v>25000</v>
      </c>
      <c r="C386">
        <v>0</v>
      </c>
      <c r="D386">
        <v>0</v>
      </c>
      <c r="E386">
        <v>25000</v>
      </c>
      <c r="F386">
        <v>1000</v>
      </c>
      <c r="G386" t="b">
        <v>1</v>
      </c>
      <c r="H386">
        <v>1</v>
      </c>
    </row>
    <row r="387" spans="1:8" x14ac:dyDescent="0.25">
      <c r="A387" t="s">
        <v>967</v>
      </c>
      <c r="B387">
        <v>8500</v>
      </c>
      <c r="C387">
        <v>0</v>
      </c>
      <c r="D387">
        <v>0</v>
      </c>
      <c r="E387">
        <v>8500</v>
      </c>
      <c r="F387">
        <v>400</v>
      </c>
      <c r="G387" t="b">
        <v>1</v>
      </c>
      <c r="H387">
        <v>400</v>
      </c>
    </row>
    <row r="388" spans="1:8" x14ac:dyDescent="0.25">
      <c r="A388" t="s">
        <v>968</v>
      </c>
      <c r="B388">
        <v>7900</v>
      </c>
      <c r="C388">
        <v>0</v>
      </c>
      <c r="D388">
        <v>0</v>
      </c>
      <c r="E388">
        <v>7900</v>
      </c>
      <c r="F388">
        <v>250</v>
      </c>
      <c r="G388" t="b">
        <v>1</v>
      </c>
      <c r="H388">
        <v>250</v>
      </c>
    </row>
    <row r="389" spans="1:8" x14ac:dyDescent="0.25">
      <c r="A389" t="s">
        <v>969</v>
      </c>
      <c r="B389">
        <v>25000</v>
      </c>
      <c r="C389">
        <v>0</v>
      </c>
      <c r="D389">
        <v>0</v>
      </c>
      <c r="E389">
        <v>25000</v>
      </c>
      <c r="F389">
        <v>450</v>
      </c>
      <c r="G389" t="b">
        <v>1</v>
      </c>
      <c r="H389">
        <v>450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H389"/>
  <sheetViews>
    <sheetView topLeftCell="A313"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97</v>
      </c>
      <c r="B2">
        <v>1200</v>
      </c>
      <c r="C2">
        <v>0</v>
      </c>
      <c r="D2">
        <v>6</v>
      </c>
      <c r="E2">
        <v>1200</v>
      </c>
      <c r="F2">
        <v>70</v>
      </c>
      <c r="G2" t="b">
        <v>0</v>
      </c>
      <c r="H2">
        <v>70</v>
      </c>
    </row>
    <row r="3" spans="1:8" x14ac:dyDescent="0.25">
      <c r="A3" t="s">
        <v>98</v>
      </c>
      <c r="B3">
        <v>8000</v>
      </c>
      <c r="C3">
        <v>15</v>
      </c>
      <c r="D3">
        <v>6</v>
      </c>
      <c r="E3">
        <v>6800</v>
      </c>
      <c r="F3">
        <v>1000</v>
      </c>
      <c r="G3" t="b">
        <v>0</v>
      </c>
      <c r="H3">
        <v>1</v>
      </c>
    </row>
    <row r="4" spans="1:8" x14ac:dyDescent="0.25">
      <c r="A4" t="s">
        <v>683</v>
      </c>
      <c r="B4">
        <v>8000</v>
      </c>
      <c r="C4">
        <v>10</v>
      </c>
      <c r="D4">
        <v>4</v>
      </c>
      <c r="E4">
        <v>7200</v>
      </c>
      <c r="F4">
        <v>400</v>
      </c>
      <c r="G4" t="b">
        <v>0</v>
      </c>
      <c r="H4">
        <v>400</v>
      </c>
    </row>
    <row r="5" spans="1:8" x14ac:dyDescent="0.25">
      <c r="A5" t="s">
        <v>684</v>
      </c>
      <c r="B5">
        <v>8000</v>
      </c>
      <c r="C5">
        <v>12</v>
      </c>
      <c r="D5">
        <v>6</v>
      </c>
      <c r="E5">
        <v>7000</v>
      </c>
      <c r="F5">
        <v>400</v>
      </c>
      <c r="G5" t="b">
        <v>0</v>
      </c>
      <c r="H5">
        <v>400</v>
      </c>
    </row>
    <row r="6" spans="1:8" x14ac:dyDescent="0.25">
      <c r="A6" t="s">
        <v>685</v>
      </c>
      <c r="B6">
        <v>11000</v>
      </c>
      <c r="C6">
        <v>4</v>
      </c>
      <c r="D6">
        <v>6</v>
      </c>
      <c r="E6">
        <v>10500</v>
      </c>
      <c r="F6">
        <v>400</v>
      </c>
      <c r="G6" t="b">
        <v>0</v>
      </c>
      <c r="H6">
        <v>400</v>
      </c>
    </row>
    <row r="7" spans="1:8" x14ac:dyDescent="0.25">
      <c r="A7" t="s">
        <v>686</v>
      </c>
      <c r="B7">
        <v>12000</v>
      </c>
      <c r="C7">
        <v>5</v>
      </c>
      <c r="D7">
        <v>6</v>
      </c>
      <c r="E7">
        <v>11400</v>
      </c>
      <c r="F7">
        <v>415</v>
      </c>
      <c r="G7" t="b">
        <v>0</v>
      </c>
      <c r="H7">
        <v>415</v>
      </c>
    </row>
    <row r="8" spans="1:8" x14ac:dyDescent="0.25">
      <c r="A8" t="s">
        <v>687</v>
      </c>
      <c r="B8">
        <v>11500</v>
      </c>
      <c r="C8">
        <v>3</v>
      </c>
      <c r="D8">
        <v>6</v>
      </c>
      <c r="E8">
        <v>11100</v>
      </c>
      <c r="F8">
        <v>360</v>
      </c>
      <c r="G8" t="b">
        <v>0</v>
      </c>
      <c r="H8">
        <v>360</v>
      </c>
    </row>
    <row r="9" spans="1:8" x14ac:dyDescent="0.25">
      <c r="A9" t="s">
        <v>688</v>
      </c>
      <c r="B9">
        <v>11700</v>
      </c>
      <c r="C9">
        <v>5</v>
      </c>
      <c r="D9">
        <v>6</v>
      </c>
      <c r="E9">
        <v>11100</v>
      </c>
      <c r="F9">
        <v>400</v>
      </c>
      <c r="G9" t="b">
        <v>0</v>
      </c>
      <c r="H9">
        <v>400</v>
      </c>
    </row>
    <row r="10" spans="1:8" x14ac:dyDescent="0.25">
      <c r="A10" t="s">
        <v>602</v>
      </c>
      <c r="B10">
        <v>1800</v>
      </c>
      <c r="C10">
        <v>5</v>
      </c>
      <c r="D10">
        <v>6</v>
      </c>
      <c r="E10">
        <v>1700</v>
      </c>
      <c r="F10">
        <v>100</v>
      </c>
      <c r="G10" t="b">
        <v>0</v>
      </c>
      <c r="H10">
        <v>100</v>
      </c>
    </row>
    <row r="11" spans="1:8" x14ac:dyDescent="0.25">
      <c r="A11" t="s">
        <v>689</v>
      </c>
      <c r="B11">
        <v>3500</v>
      </c>
      <c r="C11">
        <v>2</v>
      </c>
      <c r="D11">
        <v>2</v>
      </c>
      <c r="E11">
        <v>3400</v>
      </c>
      <c r="F11">
        <v>85</v>
      </c>
      <c r="G11" t="b">
        <v>0</v>
      </c>
      <c r="H11">
        <v>85</v>
      </c>
    </row>
    <row r="12" spans="1:8" x14ac:dyDescent="0.25">
      <c r="A12" t="s">
        <v>690</v>
      </c>
      <c r="B12">
        <v>12500</v>
      </c>
      <c r="C12">
        <v>5</v>
      </c>
      <c r="D12">
        <v>1</v>
      </c>
      <c r="E12">
        <v>11800</v>
      </c>
      <c r="F12">
        <v>420</v>
      </c>
      <c r="G12" t="b">
        <v>0</v>
      </c>
      <c r="H12">
        <v>420</v>
      </c>
    </row>
    <row r="13" spans="1:8" x14ac:dyDescent="0.25">
      <c r="A13" t="s">
        <v>125</v>
      </c>
      <c r="B13">
        <v>1500</v>
      </c>
      <c r="C13">
        <v>0</v>
      </c>
      <c r="D13">
        <v>3</v>
      </c>
      <c r="E13">
        <v>1500</v>
      </c>
      <c r="F13">
        <v>60</v>
      </c>
      <c r="G13" t="b">
        <v>0</v>
      </c>
      <c r="H13">
        <v>60</v>
      </c>
    </row>
    <row r="14" spans="1:8" x14ac:dyDescent="0.25">
      <c r="A14" t="s">
        <v>691</v>
      </c>
      <c r="B14">
        <v>7900</v>
      </c>
      <c r="C14">
        <v>11</v>
      </c>
      <c r="D14">
        <v>5</v>
      </c>
      <c r="E14">
        <v>7000</v>
      </c>
      <c r="F14">
        <v>250</v>
      </c>
      <c r="G14" t="b">
        <v>0</v>
      </c>
      <c r="H14">
        <v>250</v>
      </c>
    </row>
    <row r="15" spans="1:8" x14ac:dyDescent="0.25">
      <c r="A15" t="s">
        <v>127</v>
      </c>
      <c r="B15">
        <v>1500</v>
      </c>
      <c r="C15">
        <v>0</v>
      </c>
      <c r="D15">
        <v>6</v>
      </c>
      <c r="E15">
        <v>1500</v>
      </c>
      <c r="F15">
        <v>60</v>
      </c>
      <c r="G15" t="b">
        <v>0</v>
      </c>
      <c r="H15">
        <v>60</v>
      </c>
    </row>
    <row r="16" spans="1:8" x14ac:dyDescent="0.25">
      <c r="A16" t="s">
        <v>692</v>
      </c>
      <c r="B16">
        <v>7500</v>
      </c>
      <c r="C16">
        <v>13</v>
      </c>
      <c r="D16">
        <v>5</v>
      </c>
      <c r="E16">
        <v>6500</v>
      </c>
      <c r="F16">
        <v>280</v>
      </c>
      <c r="G16" t="b">
        <v>0</v>
      </c>
      <c r="H16">
        <v>280</v>
      </c>
    </row>
    <row r="17" spans="1:8" x14ac:dyDescent="0.25">
      <c r="A17" t="s">
        <v>133</v>
      </c>
      <c r="B17">
        <v>2000</v>
      </c>
      <c r="C17">
        <v>0</v>
      </c>
      <c r="D17">
        <v>1</v>
      </c>
      <c r="E17">
        <v>2000</v>
      </c>
      <c r="F17">
        <v>70</v>
      </c>
      <c r="G17" t="b">
        <v>0</v>
      </c>
      <c r="H17">
        <v>70</v>
      </c>
    </row>
    <row r="18" spans="1:8" x14ac:dyDescent="0.25">
      <c r="A18" t="s">
        <v>136</v>
      </c>
      <c r="B18">
        <v>1500</v>
      </c>
      <c r="C18">
        <v>0</v>
      </c>
      <c r="D18">
        <v>6</v>
      </c>
      <c r="E18">
        <v>1500</v>
      </c>
      <c r="F18">
        <v>38</v>
      </c>
      <c r="G18" t="b">
        <v>0</v>
      </c>
      <c r="H18">
        <v>38</v>
      </c>
    </row>
    <row r="19" spans="1:8" x14ac:dyDescent="0.25">
      <c r="A19" t="s">
        <v>693</v>
      </c>
      <c r="B19">
        <v>4000</v>
      </c>
      <c r="C19">
        <v>17</v>
      </c>
      <c r="D19">
        <v>4</v>
      </c>
      <c r="E19">
        <v>3300</v>
      </c>
      <c r="F19">
        <v>30</v>
      </c>
      <c r="G19" t="b">
        <v>0</v>
      </c>
      <c r="H19">
        <v>30</v>
      </c>
    </row>
    <row r="20" spans="1:8" x14ac:dyDescent="0.25">
      <c r="A20" t="s">
        <v>138</v>
      </c>
      <c r="B20">
        <v>7900</v>
      </c>
      <c r="C20">
        <v>0</v>
      </c>
      <c r="D20">
        <v>2</v>
      </c>
      <c r="E20">
        <v>7900</v>
      </c>
      <c r="F20">
        <v>400</v>
      </c>
      <c r="G20" t="b">
        <v>0</v>
      </c>
      <c r="H20">
        <v>400</v>
      </c>
    </row>
    <row r="21" spans="1:8" x14ac:dyDescent="0.25">
      <c r="A21" t="s">
        <v>602</v>
      </c>
      <c r="B21">
        <v>8800</v>
      </c>
      <c r="C21">
        <v>2</v>
      </c>
      <c r="D21">
        <v>2</v>
      </c>
      <c r="E21">
        <v>8600</v>
      </c>
      <c r="F21">
        <v>500</v>
      </c>
      <c r="G21" t="b">
        <v>0</v>
      </c>
      <c r="H21">
        <v>500</v>
      </c>
    </row>
    <row r="22" spans="1:8" x14ac:dyDescent="0.25">
      <c r="A22" t="s">
        <v>694</v>
      </c>
      <c r="B22">
        <v>12000</v>
      </c>
      <c r="C22">
        <v>5</v>
      </c>
      <c r="D22">
        <v>1</v>
      </c>
      <c r="E22">
        <v>11400</v>
      </c>
      <c r="F22">
        <v>420</v>
      </c>
      <c r="G22" t="b">
        <v>0</v>
      </c>
      <c r="H22">
        <v>420</v>
      </c>
    </row>
    <row r="23" spans="1:8" x14ac:dyDescent="0.25">
      <c r="A23" t="s">
        <v>695</v>
      </c>
      <c r="B23">
        <v>1000</v>
      </c>
      <c r="C23">
        <v>0</v>
      </c>
      <c r="D23">
        <v>1</v>
      </c>
      <c r="E23">
        <v>1000</v>
      </c>
      <c r="F23">
        <v>15</v>
      </c>
      <c r="G23" t="b">
        <v>0</v>
      </c>
      <c r="H23">
        <v>15</v>
      </c>
    </row>
    <row r="24" spans="1:8" x14ac:dyDescent="0.25">
      <c r="A24" t="s">
        <v>696</v>
      </c>
      <c r="B24">
        <v>13000</v>
      </c>
      <c r="C24">
        <v>4</v>
      </c>
      <c r="D24">
        <v>6</v>
      </c>
      <c r="E24">
        <v>12400</v>
      </c>
      <c r="F24">
        <v>250</v>
      </c>
      <c r="G24" t="b">
        <v>0</v>
      </c>
      <c r="H24">
        <v>250</v>
      </c>
    </row>
    <row r="25" spans="1:8" x14ac:dyDescent="0.25">
      <c r="A25" t="s">
        <v>697</v>
      </c>
      <c r="B25">
        <v>12000</v>
      </c>
      <c r="C25">
        <v>5</v>
      </c>
      <c r="D25">
        <v>3</v>
      </c>
      <c r="E25">
        <v>11400</v>
      </c>
      <c r="F25">
        <v>375</v>
      </c>
      <c r="G25" t="b">
        <v>0</v>
      </c>
      <c r="H25">
        <v>375</v>
      </c>
    </row>
    <row r="26" spans="1:8" x14ac:dyDescent="0.25">
      <c r="A26" t="s">
        <v>698</v>
      </c>
      <c r="B26">
        <v>1500</v>
      </c>
      <c r="C26">
        <v>0</v>
      </c>
      <c r="D26">
        <v>6</v>
      </c>
      <c r="E26">
        <v>1500</v>
      </c>
      <c r="F26">
        <v>20</v>
      </c>
      <c r="G26" t="b">
        <v>0</v>
      </c>
      <c r="H26">
        <v>20</v>
      </c>
    </row>
    <row r="27" spans="1:8" x14ac:dyDescent="0.25">
      <c r="A27" t="s">
        <v>146</v>
      </c>
      <c r="B27">
        <v>12000</v>
      </c>
      <c r="C27">
        <v>1</v>
      </c>
      <c r="D27">
        <v>3</v>
      </c>
      <c r="E27">
        <v>11800</v>
      </c>
      <c r="F27">
        <v>240</v>
      </c>
      <c r="G27" t="b">
        <v>0</v>
      </c>
      <c r="H27">
        <v>240</v>
      </c>
    </row>
    <row r="28" spans="1:8" x14ac:dyDescent="0.25">
      <c r="A28" t="s">
        <v>699</v>
      </c>
      <c r="B28">
        <v>13000</v>
      </c>
      <c r="C28">
        <v>4</v>
      </c>
      <c r="D28">
        <v>1</v>
      </c>
      <c r="E28">
        <v>12400</v>
      </c>
      <c r="F28">
        <v>250</v>
      </c>
      <c r="G28" t="b">
        <v>0</v>
      </c>
      <c r="H28">
        <v>250</v>
      </c>
    </row>
    <row r="29" spans="1:8" x14ac:dyDescent="0.25">
      <c r="A29" t="s">
        <v>700</v>
      </c>
      <c r="B29">
        <v>43000</v>
      </c>
      <c r="C29">
        <v>10</v>
      </c>
      <c r="D29">
        <v>6</v>
      </c>
      <c r="E29">
        <v>38700</v>
      </c>
      <c r="F29">
        <v>1200</v>
      </c>
      <c r="G29" t="b">
        <v>0</v>
      </c>
      <c r="H29">
        <v>1</v>
      </c>
    </row>
    <row r="30" spans="1:8" x14ac:dyDescent="0.25">
      <c r="A30" t="s">
        <v>701</v>
      </c>
      <c r="B30">
        <v>1000</v>
      </c>
      <c r="C30">
        <v>0</v>
      </c>
      <c r="D30">
        <v>1</v>
      </c>
      <c r="E30">
        <v>1000</v>
      </c>
      <c r="F30">
        <v>15</v>
      </c>
      <c r="G30" t="b">
        <v>0</v>
      </c>
      <c r="H30">
        <v>15</v>
      </c>
    </row>
    <row r="31" spans="1:8" x14ac:dyDescent="0.25">
      <c r="A31" t="s">
        <v>702</v>
      </c>
      <c r="B31">
        <v>19700</v>
      </c>
      <c r="C31">
        <v>2</v>
      </c>
      <c r="D31">
        <v>6</v>
      </c>
      <c r="E31">
        <v>19300</v>
      </c>
      <c r="F31">
        <v>500</v>
      </c>
      <c r="G31" t="b">
        <v>0</v>
      </c>
      <c r="H31">
        <v>500</v>
      </c>
    </row>
    <row r="32" spans="1:8" x14ac:dyDescent="0.25">
      <c r="A32" t="s">
        <v>703</v>
      </c>
      <c r="B32">
        <v>12000</v>
      </c>
      <c r="C32">
        <v>5</v>
      </c>
      <c r="D32">
        <v>3</v>
      </c>
      <c r="E32">
        <v>11400</v>
      </c>
      <c r="F32">
        <v>375</v>
      </c>
      <c r="G32" t="b">
        <v>0</v>
      </c>
      <c r="H32">
        <v>375</v>
      </c>
    </row>
    <row r="33" spans="1:8" x14ac:dyDescent="0.25">
      <c r="A33" t="s">
        <v>704</v>
      </c>
      <c r="B33">
        <v>17500</v>
      </c>
      <c r="C33">
        <v>4</v>
      </c>
      <c r="D33">
        <v>3</v>
      </c>
      <c r="E33">
        <v>16700</v>
      </c>
      <c r="F33">
        <v>750</v>
      </c>
      <c r="G33" t="b">
        <v>0</v>
      </c>
      <c r="H33">
        <v>750</v>
      </c>
    </row>
    <row r="34" spans="1:8" x14ac:dyDescent="0.25">
      <c r="A34" t="s">
        <v>705</v>
      </c>
      <c r="B34">
        <v>22000</v>
      </c>
      <c r="C34">
        <v>5</v>
      </c>
      <c r="D34">
        <v>2</v>
      </c>
      <c r="E34">
        <v>20700</v>
      </c>
      <c r="F34">
        <v>180</v>
      </c>
      <c r="G34" t="b">
        <v>0</v>
      </c>
      <c r="H34">
        <v>180</v>
      </c>
    </row>
    <row r="35" spans="1:8" x14ac:dyDescent="0.25">
      <c r="A35" t="s">
        <v>706</v>
      </c>
      <c r="B35">
        <v>6000</v>
      </c>
      <c r="C35">
        <v>5</v>
      </c>
      <c r="D35">
        <v>5</v>
      </c>
      <c r="E35">
        <v>5700</v>
      </c>
      <c r="F35">
        <v>200</v>
      </c>
      <c r="G35" t="b">
        <v>0</v>
      </c>
      <c r="H35">
        <v>200</v>
      </c>
    </row>
    <row r="36" spans="1:8" x14ac:dyDescent="0.25">
      <c r="A36" t="s">
        <v>707</v>
      </c>
      <c r="B36">
        <v>9000</v>
      </c>
      <c r="C36">
        <v>4</v>
      </c>
      <c r="D36">
        <v>6</v>
      </c>
      <c r="E36">
        <v>8600</v>
      </c>
      <c r="F36">
        <v>50</v>
      </c>
      <c r="G36" t="b">
        <v>0</v>
      </c>
      <c r="H36">
        <v>50</v>
      </c>
    </row>
    <row r="37" spans="1:8" x14ac:dyDescent="0.25">
      <c r="A37" t="s">
        <v>606</v>
      </c>
      <c r="B37">
        <v>8500</v>
      </c>
      <c r="C37">
        <v>5</v>
      </c>
      <c r="D37">
        <v>6</v>
      </c>
      <c r="E37">
        <v>8000</v>
      </c>
      <c r="F37">
        <v>180</v>
      </c>
      <c r="G37" t="b">
        <v>0</v>
      </c>
      <c r="H37">
        <v>180</v>
      </c>
    </row>
    <row r="38" spans="1:8" x14ac:dyDescent="0.25">
      <c r="A38" t="s">
        <v>708</v>
      </c>
      <c r="B38">
        <v>2200</v>
      </c>
      <c r="C38">
        <v>0</v>
      </c>
      <c r="D38">
        <v>6</v>
      </c>
      <c r="E38">
        <v>2200</v>
      </c>
      <c r="F38">
        <v>90</v>
      </c>
      <c r="G38" t="b">
        <v>0</v>
      </c>
      <c r="H38">
        <v>90</v>
      </c>
    </row>
    <row r="39" spans="1:8" x14ac:dyDescent="0.25">
      <c r="A39" t="s">
        <v>709</v>
      </c>
      <c r="B39">
        <v>38500</v>
      </c>
      <c r="C39">
        <v>9</v>
      </c>
      <c r="D39">
        <v>5</v>
      </c>
      <c r="E39">
        <v>34700</v>
      </c>
      <c r="F39">
        <v>1100</v>
      </c>
      <c r="G39" t="b">
        <v>0</v>
      </c>
      <c r="H39">
        <v>1100</v>
      </c>
    </row>
    <row r="40" spans="1:8" x14ac:dyDescent="0.25">
      <c r="A40" t="s">
        <v>710</v>
      </c>
      <c r="B40">
        <v>1000</v>
      </c>
      <c r="C40">
        <v>0</v>
      </c>
      <c r="D40">
        <v>2</v>
      </c>
      <c r="E40">
        <v>1000</v>
      </c>
      <c r="F40">
        <v>15</v>
      </c>
      <c r="G40" t="b">
        <v>0</v>
      </c>
      <c r="H40">
        <v>15</v>
      </c>
    </row>
    <row r="41" spans="1:8" x14ac:dyDescent="0.25">
      <c r="A41" t="s">
        <v>711</v>
      </c>
      <c r="B41">
        <v>3500</v>
      </c>
      <c r="C41">
        <v>5</v>
      </c>
      <c r="D41">
        <v>2</v>
      </c>
      <c r="E41">
        <v>3300</v>
      </c>
      <c r="F41">
        <v>85</v>
      </c>
      <c r="G41" t="b">
        <v>0</v>
      </c>
      <c r="H41">
        <v>85</v>
      </c>
    </row>
    <row r="42" spans="1:8" x14ac:dyDescent="0.25">
      <c r="A42" t="s">
        <v>712</v>
      </c>
      <c r="B42">
        <v>12000</v>
      </c>
      <c r="C42">
        <v>5</v>
      </c>
      <c r="D42">
        <v>6</v>
      </c>
      <c r="E42">
        <v>11400</v>
      </c>
      <c r="F42">
        <v>400</v>
      </c>
      <c r="G42" t="b">
        <v>0</v>
      </c>
      <c r="H42">
        <v>400</v>
      </c>
    </row>
    <row r="43" spans="1:8" x14ac:dyDescent="0.25">
      <c r="A43" t="s">
        <v>713</v>
      </c>
      <c r="B43">
        <v>10000</v>
      </c>
      <c r="C43">
        <v>10</v>
      </c>
      <c r="D43">
        <v>6</v>
      </c>
      <c r="E43">
        <v>9000</v>
      </c>
      <c r="F43">
        <v>52</v>
      </c>
      <c r="G43" t="b">
        <v>0</v>
      </c>
      <c r="H43">
        <v>52</v>
      </c>
    </row>
    <row r="44" spans="1:8" x14ac:dyDescent="0.25">
      <c r="A44" t="s">
        <v>714</v>
      </c>
      <c r="B44">
        <v>6800</v>
      </c>
      <c r="C44">
        <v>4</v>
      </c>
      <c r="D44">
        <v>1</v>
      </c>
      <c r="E44">
        <v>6500</v>
      </c>
      <c r="F44">
        <v>425</v>
      </c>
      <c r="G44" t="b">
        <v>0</v>
      </c>
      <c r="H44">
        <v>425</v>
      </c>
    </row>
    <row r="45" spans="1:8" x14ac:dyDescent="0.25">
      <c r="A45" t="s">
        <v>715</v>
      </c>
      <c r="B45">
        <v>38000</v>
      </c>
      <c r="C45">
        <v>6</v>
      </c>
      <c r="D45">
        <v>5</v>
      </c>
      <c r="E45">
        <v>35700</v>
      </c>
      <c r="F45">
        <v>350</v>
      </c>
      <c r="G45" t="b">
        <v>0</v>
      </c>
      <c r="H45">
        <v>350</v>
      </c>
    </row>
    <row r="46" spans="1:8" x14ac:dyDescent="0.25">
      <c r="A46" t="s">
        <v>716</v>
      </c>
      <c r="B46">
        <v>16100</v>
      </c>
      <c r="C46">
        <v>7</v>
      </c>
      <c r="D46">
        <v>4</v>
      </c>
      <c r="E46">
        <v>14900</v>
      </c>
      <c r="F46">
        <v>300</v>
      </c>
      <c r="G46" t="b">
        <v>0</v>
      </c>
      <c r="H46">
        <v>300</v>
      </c>
    </row>
    <row r="47" spans="1:8" x14ac:dyDescent="0.25">
      <c r="A47" t="s">
        <v>717</v>
      </c>
      <c r="B47">
        <v>1500</v>
      </c>
      <c r="C47">
        <v>0</v>
      </c>
      <c r="D47">
        <v>6</v>
      </c>
      <c r="E47">
        <v>1500</v>
      </c>
      <c r="F47">
        <v>20</v>
      </c>
      <c r="G47" t="b">
        <v>0</v>
      </c>
      <c r="H47">
        <v>20</v>
      </c>
    </row>
    <row r="48" spans="1:8" x14ac:dyDescent="0.25">
      <c r="A48" t="s">
        <v>718</v>
      </c>
      <c r="B48">
        <v>5000</v>
      </c>
      <c r="C48">
        <v>12</v>
      </c>
      <c r="D48">
        <v>1</v>
      </c>
      <c r="E48">
        <v>4400</v>
      </c>
      <c r="F48">
        <v>50</v>
      </c>
      <c r="G48" t="b">
        <v>0</v>
      </c>
      <c r="H48">
        <v>50</v>
      </c>
    </row>
    <row r="49" spans="1:8" x14ac:dyDescent="0.25">
      <c r="A49" t="s">
        <v>138</v>
      </c>
      <c r="B49">
        <v>19900</v>
      </c>
      <c r="C49">
        <v>7</v>
      </c>
      <c r="D49">
        <v>6</v>
      </c>
      <c r="E49">
        <v>18400</v>
      </c>
      <c r="F49">
        <v>1000</v>
      </c>
      <c r="G49" t="b">
        <v>0</v>
      </c>
      <c r="H49">
        <v>1</v>
      </c>
    </row>
    <row r="50" spans="1:8" x14ac:dyDescent="0.25">
      <c r="A50" t="s">
        <v>719</v>
      </c>
      <c r="B50">
        <v>5500</v>
      </c>
      <c r="C50">
        <v>25</v>
      </c>
      <c r="D50">
        <v>6</v>
      </c>
      <c r="E50">
        <v>4100</v>
      </c>
      <c r="F50">
        <v>27</v>
      </c>
      <c r="G50" t="b">
        <v>0</v>
      </c>
      <c r="H50">
        <v>27</v>
      </c>
    </row>
    <row r="51" spans="1:8" x14ac:dyDescent="0.25">
      <c r="A51" t="s">
        <v>720</v>
      </c>
      <c r="B51">
        <v>9000</v>
      </c>
      <c r="C51">
        <v>4</v>
      </c>
      <c r="D51">
        <v>6</v>
      </c>
      <c r="E51">
        <v>8600</v>
      </c>
      <c r="F51">
        <v>1160</v>
      </c>
      <c r="G51" t="b">
        <v>0</v>
      </c>
      <c r="H51">
        <v>20</v>
      </c>
    </row>
    <row r="52" spans="1:8" x14ac:dyDescent="0.25">
      <c r="A52" t="s">
        <v>721</v>
      </c>
      <c r="B52">
        <v>4000</v>
      </c>
      <c r="C52">
        <v>17</v>
      </c>
      <c r="D52">
        <v>6</v>
      </c>
      <c r="E52">
        <v>3300</v>
      </c>
      <c r="F52">
        <v>30</v>
      </c>
      <c r="G52" t="b">
        <v>0</v>
      </c>
      <c r="H52">
        <v>30</v>
      </c>
    </row>
    <row r="53" spans="1:8" x14ac:dyDescent="0.25">
      <c r="A53" t="s">
        <v>722</v>
      </c>
      <c r="B53">
        <v>1000</v>
      </c>
      <c r="C53">
        <v>0</v>
      </c>
      <c r="D53">
        <v>1</v>
      </c>
      <c r="E53">
        <v>1000</v>
      </c>
      <c r="F53">
        <v>16</v>
      </c>
      <c r="G53" t="b">
        <v>0</v>
      </c>
      <c r="H53">
        <v>15</v>
      </c>
    </row>
    <row r="54" spans="1:8" x14ac:dyDescent="0.25">
      <c r="A54" t="s">
        <v>196</v>
      </c>
      <c r="B54">
        <v>16000</v>
      </c>
      <c r="C54">
        <v>50</v>
      </c>
      <c r="D54">
        <v>6</v>
      </c>
      <c r="E54">
        <v>8000</v>
      </c>
      <c r="F54">
        <v>500</v>
      </c>
      <c r="G54" t="b">
        <v>0</v>
      </c>
      <c r="H54">
        <v>500</v>
      </c>
    </row>
    <row r="55" spans="1:8" x14ac:dyDescent="0.25">
      <c r="A55" t="s">
        <v>195</v>
      </c>
      <c r="B55">
        <v>6000</v>
      </c>
      <c r="C55">
        <v>28</v>
      </c>
      <c r="D55">
        <v>3</v>
      </c>
      <c r="E55">
        <v>4300</v>
      </c>
      <c r="F55">
        <v>260</v>
      </c>
      <c r="G55" t="b">
        <v>0</v>
      </c>
      <c r="H55">
        <v>260</v>
      </c>
    </row>
    <row r="56" spans="1:8" x14ac:dyDescent="0.25">
      <c r="A56" t="s">
        <v>197</v>
      </c>
      <c r="B56">
        <v>2500</v>
      </c>
      <c r="C56">
        <v>20</v>
      </c>
      <c r="D56">
        <v>6</v>
      </c>
      <c r="E56">
        <v>2000</v>
      </c>
      <c r="F56">
        <v>60</v>
      </c>
      <c r="G56" t="b">
        <v>0</v>
      </c>
      <c r="H56">
        <v>60</v>
      </c>
    </row>
    <row r="57" spans="1:8" x14ac:dyDescent="0.25">
      <c r="A57" t="s">
        <v>723</v>
      </c>
      <c r="B57">
        <v>44500</v>
      </c>
      <c r="C57">
        <v>9</v>
      </c>
      <c r="D57">
        <v>6</v>
      </c>
      <c r="E57">
        <v>40100</v>
      </c>
      <c r="F57">
        <v>750</v>
      </c>
      <c r="G57" t="b">
        <v>0</v>
      </c>
      <c r="H57">
        <v>750</v>
      </c>
    </row>
    <row r="58" spans="1:8" x14ac:dyDescent="0.25">
      <c r="A58" t="s">
        <v>724</v>
      </c>
      <c r="B58">
        <v>5000</v>
      </c>
      <c r="C58">
        <v>0</v>
      </c>
      <c r="D58">
        <v>4</v>
      </c>
      <c r="E58">
        <v>5000</v>
      </c>
      <c r="F58">
        <v>170</v>
      </c>
      <c r="G58" t="b">
        <v>0</v>
      </c>
      <c r="H58">
        <v>170</v>
      </c>
    </row>
    <row r="59" spans="1:8" x14ac:dyDescent="0.25">
      <c r="A59" t="s">
        <v>725</v>
      </c>
      <c r="B59">
        <v>5500</v>
      </c>
      <c r="C59">
        <v>0</v>
      </c>
      <c r="D59">
        <v>6</v>
      </c>
      <c r="E59">
        <v>5500</v>
      </c>
      <c r="F59">
        <v>200</v>
      </c>
      <c r="G59" t="b">
        <v>0</v>
      </c>
      <c r="H59">
        <v>200</v>
      </c>
    </row>
    <row r="60" spans="1:8" x14ac:dyDescent="0.25">
      <c r="A60" t="s">
        <v>612</v>
      </c>
      <c r="B60">
        <v>4000</v>
      </c>
      <c r="C60">
        <v>2</v>
      </c>
      <c r="D60">
        <v>5</v>
      </c>
      <c r="E60">
        <v>3900</v>
      </c>
      <c r="F60">
        <v>100</v>
      </c>
      <c r="G60" t="b">
        <v>0</v>
      </c>
      <c r="H60">
        <v>100</v>
      </c>
    </row>
    <row r="61" spans="1:8" x14ac:dyDescent="0.25">
      <c r="A61" t="s">
        <v>200</v>
      </c>
      <c r="B61">
        <v>25000</v>
      </c>
      <c r="C61">
        <v>0</v>
      </c>
      <c r="D61">
        <v>3</v>
      </c>
      <c r="E61">
        <v>25000</v>
      </c>
      <c r="F61">
        <v>500</v>
      </c>
      <c r="G61" t="b">
        <v>0</v>
      </c>
      <c r="H61">
        <v>500</v>
      </c>
    </row>
    <row r="62" spans="1:8" x14ac:dyDescent="0.25">
      <c r="A62" t="s">
        <v>726</v>
      </c>
      <c r="B62">
        <v>5500</v>
      </c>
      <c r="C62">
        <v>20</v>
      </c>
      <c r="D62">
        <v>6</v>
      </c>
      <c r="E62">
        <v>4400</v>
      </c>
      <c r="F62">
        <v>27</v>
      </c>
      <c r="G62" t="b">
        <v>0</v>
      </c>
      <c r="H62">
        <v>27</v>
      </c>
    </row>
    <row r="63" spans="1:8" x14ac:dyDescent="0.25">
      <c r="A63" t="s">
        <v>727</v>
      </c>
      <c r="B63">
        <v>5500</v>
      </c>
      <c r="C63">
        <v>20</v>
      </c>
      <c r="D63">
        <v>6</v>
      </c>
      <c r="E63">
        <v>4400</v>
      </c>
      <c r="F63">
        <v>27</v>
      </c>
      <c r="G63" t="b">
        <v>0</v>
      </c>
      <c r="H63">
        <v>27</v>
      </c>
    </row>
    <row r="64" spans="1:8" x14ac:dyDescent="0.25">
      <c r="A64" t="s">
        <v>728</v>
      </c>
      <c r="B64">
        <v>11500</v>
      </c>
      <c r="C64">
        <v>0</v>
      </c>
      <c r="D64">
        <v>1</v>
      </c>
      <c r="E64">
        <v>11500</v>
      </c>
      <c r="F64">
        <v>500</v>
      </c>
      <c r="G64" t="b">
        <v>0</v>
      </c>
      <c r="H64">
        <v>500</v>
      </c>
    </row>
    <row r="65" spans="1:8" x14ac:dyDescent="0.25">
      <c r="A65" t="s">
        <v>729</v>
      </c>
      <c r="B65">
        <v>9600</v>
      </c>
      <c r="C65">
        <v>5</v>
      </c>
      <c r="D65">
        <v>4</v>
      </c>
      <c r="E65">
        <v>9100</v>
      </c>
      <c r="F65">
        <v>540</v>
      </c>
      <c r="G65" t="b">
        <v>0</v>
      </c>
      <c r="H65">
        <v>540</v>
      </c>
    </row>
    <row r="66" spans="1:8" x14ac:dyDescent="0.25">
      <c r="A66" t="s">
        <v>214</v>
      </c>
      <c r="B66">
        <v>16000</v>
      </c>
      <c r="C66">
        <v>50</v>
      </c>
      <c r="D66">
        <v>6</v>
      </c>
      <c r="E66">
        <v>8000</v>
      </c>
      <c r="F66">
        <v>500</v>
      </c>
      <c r="G66" t="b">
        <v>0</v>
      </c>
      <c r="H66">
        <v>500</v>
      </c>
    </row>
    <row r="67" spans="1:8" x14ac:dyDescent="0.25">
      <c r="A67" t="s">
        <v>216</v>
      </c>
      <c r="B67">
        <v>6000</v>
      </c>
      <c r="C67">
        <v>10</v>
      </c>
      <c r="D67">
        <v>1</v>
      </c>
      <c r="E67">
        <v>5400</v>
      </c>
      <c r="F67">
        <v>280</v>
      </c>
      <c r="G67" t="b">
        <v>0</v>
      </c>
      <c r="H67">
        <v>280</v>
      </c>
    </row>
    <row r="68" spans="1:8" x14ac:dyDescent="0.25">
      <c r="A68" t="s">
        <v>730</v>
      </c>
      <c r="B68">
        <v>8900</v>
      </c>
      <c r="C68">
        <v>11</v>
      </c>
      <c r="D68">
        <v>6</v>
      </c>
      <c r="E68">
        <v>7900</v>
      </c>
      <c r="F68">
        <v>275</v>
      </c>
      <c r="G68" t="b">
        <v>0</v>
      </c>
      <c r="H68">
        <v>275</v>
      </c>
    </row>
    <row r="69" spans="1:8" x14ac:dyDescent="0.25">
      <c r="A69" t="s">
        <v>220</v>
      </c>
      <c r="B69">
        <v>4400</v>
      </c>
      <c r="C69">
        <v>0</v>
      </c>
      <c r="D69">
        <v>2</v>
      </c>
      <c r="E69">
        <v>4400</v>
      </c>
      <c r="F69">
        <v>60</v>
      </c>
      <c r="G69" t="b">
        <v>0</v>
      </c>
      <c r="H69">
        <v>60</v>
      </c>
    </row>
    <row r="70" spans="1:8" x14ac:dyDescent="0.25">
      <c r="A70" t="s">
        <v>87</v>
      </c>
      <c r="B70">
        <v>11000</v>
      </c>
      <c r="C70">
        <v>4</v>
      </c>
      <c r="D70">
        <v>2</v>
      </c>
      <c r="E70">
        <v>10500</v>
      </c>
      <c r="F70">
        <v>1000</v>
      </c>
      <c r="G70" t="b">
        <v>0</v>
      </c>
      <c r="H70">
        <v>1</v>
      </c>
    </row>
    <row r="71" spans="1:8" x14ac:dyDescent="0.25">
      <c r="A71" t="s">
        <v>227</v>
      </c>
      <c r="B71">
        <v>2500</v>
      </c>
      <c r="C71">
        <v>0</v>
      </c>
      <c r="D71">
        <v>6</v>
      </c>
      <c r="E71">
        <v>2500</v>
      </c>
      <c r="F71">
        <v>60</v>
      </c>
      <c r="G71" t="b">
        <v>0</v>
      </c>
      <c r="H71">
        <v>60</v>
      </c>
    </row>
    <row r="72" spans="1:8" x14ac:dyDescent="0.25">
      <c r="A72" t="s">
        <v>228</v>
      </c>
      <c r="B72">
        <v>1500</v>
      </c>
      <c r="C72">
        <v>0</v>
      </c>
      <c r="D72">
        <v>5</v>
      </c>
      <c r="E72">
        <v>1500</v>
      </c>
      <c r="F72">
        <v>60</v>
      </c>
      <c r="G72" t="b">
        <v>0</v>
      </c>
      <c r="H72">
        <v>60</v>
      </c>
    </row>
    <row r="73" spans="1:8" x14ac:dyDescent="0.25">
      <c r="A73" t="s">
        <v>731</v>
      </c>
      <c r="B73">
        <v>5500</v>
      </c>
      <c r="C73">
        <v>25</v>
      </c>
      <c r="D73">
        <v>6</v>
      </c>
      <c r="E73">
        <v>4100</v>
      </c>
      <c r="F73">
        <v>27</v>
      </c>
      <c r="G73" t="b">
        <v>0</v>
      </c>
      <c r="H73">
        <v>27</v>
      </c>
    </row>
    <row r="74" spans="1:8" x14ac:dyDescent="0.25">
      <c r="A74" t="s">
        <v>732</v>
      </c>
      <c r="B74">
        <v>11000</v>
      </c>
      <c r="C74">
        <v>22</v>
      </c>
      <c r="D74">
        <v>6</v>
      </c>
      <c r="E74">
        <v>8500</v>
      </c>
      <c r="F74">
        <v>300</v>
      </c>
      <c r="G74" t="b">
        <v>0</v>
      </c>
      <c r="H74">
        <v>300</v>
      </c>
    </row>
    <row r="75" spans="1:8" x14ac:dyDescent="0.25">
      <c r="A75" t="s">
        <v>225</v>
      </c>
      <c r="B75">
        <v>12000</v>
      </c>
      <c r="C75">
        <v>1</v>
      </c>
      <c r="D75">
        <v>2</v>
      </c>
      <c r="E75">
        <v>11800</v>
      </c>
      <c r="F75">
        <v>240</v>
      </c>
      <c r="G75" t="b">
        <v>0</v>
      </c>
      <c r="H75">
        <v>240</v>
      </c>
    </row>
    <row r="76" spans="1:8" x14ac:dyDescent="0.25">
      <c r="A76" t="s">
        <v>733</v>
      </c>
      <c r="B76">
        <v>6000</v>
      </c>
      <c r="C76">
        <v>6</v>
      </c>
      <c r="D76">
        <v>6</v>
      </c>
      <c r="E76">
        <v>5600</v>
      </c>
      <c r="F76">
        <v>200</v>
      </c>
      <c r="G76" t="b">
        <v>0</v>
      </c>
      <c r="H76">
        <v>200</v>
      </c>
    </row>
    <row r="77" spans="1:8" x14ac:dyDescent="0.25">
      <c r="A77" t="s">
        <v>734</v>
      </c>
      <c r="B77">
        <v>12000</v>
      </c>
      <c r="C77">
        <v>5</v>
      </c>
      <c r="D77">
        <v>5</v>
      </c>
      <c r="E77">
        <v>11400</v>
      </c>
      <c r="F77">
        <v>400</v>
      </c>
      <c r="G77" t="b">
        <v>0</v>
      </c>
      <c r="H77">
        <v>400</v>
      </c>
    </row>
    <row r="78" spans="1:8" x14ac:dyDescent="0.25">
      <c r="A78" t="s">
        <v>735</v>
      </c>
      <c r="B78">
        <v>4000</v>
      </c>
      <c r="C78">
        <v>12</v>
      </c>
      <c r="D78">
        <v>4</v>
      </c>
      <c r="E78">
        <v>3500</v>
      </c>
      <c r="F78">
        <v>38</v>
      </c>
      <c r="G78" t="b">
        <v>0</v>
      </c>
      <c r="H78">
        <v>38</v>
      </c>
    </row>
    <row r="79" spans="1:8" x14ac:dyDescent="0.25">
      <c r="A79" t="s">
        <v>736</v>
      </c>
      <c r="B79">
        <v>5500</v>
      </c>
      <c r="C79">
        <v>0</v>
      </c>
      <c r="D79">
        <v>5</v>
      </c>
      <c r="E79">
        <v>5500</v>
      </c>
      <c r="F79">
        <v>190</v>
      </c>
      <c r="G79" t="b">
        <v>0</v>
      </c>
      <c r="H79">
        <v>190</v>
      </c>
    </row>
    <row r="80" spans="1:8" x14ac:dyDescent="0.25">
      <c r="A80" t="s">
        <v>737</v>
      </c>
      <c r="B80">
        <v>7500</v>
      </c>
      <c r="C80">
        <v>6</v>
      </c>
      <c r="D80">
        <v>4</v>
      </c>
      <c r="E80">
        <v>7000</v>
      </c>
      <c r="F80">
        <v>280</v>
      </c>
      <c r="G80" t="b">
        <v>0</v>
      </c>
      <c r="H80">
        <v>280</v>
      </c>
    </row>
    <row r="81" spans="1:8" x14ac:dyDescent="0.25">
      <c r="A81" t="s">
        <v>738</v>
      </c>
      <c r="B81">
        <v>11000</v>
      </c>
      <c r="C81">
        <v>4</v>
      </c>
      <c r="D81">
        <v>6</v>
      </c>
      <c r="E81">
        <v>10500</v>
      </c>
      <c r="F81">
        <v>400</v>
      </c>
      <c r="G81" t="b">
        <v>0</v>
      </c>
      <c r="H81">
        <v>400</v>
      </c>
    </row>
    <row r="82" spans="1:8" x14ac:dyDescent="0.25">
      <c r="A82" t="s">
        <v>739</v>
      </c>
      <c r="B82">
        <v>32500</v>
      </c>
      <c r="C82">
        <v>6</v>
      </c>
      <c r="D82">
        <v>6</v>
      </c>
      <c r="E82">
        <v>30500</v>
      </c>
      <c r="F82">
        <v>500</v>
      </c>
      <c r="G82" t="b">
        <v>0</v>
      </c>
      <c r="H82">
        <v>500</v>
      </c>
    </row>
    <row r="83" spans="1:8" x14ac:dyDescent="0.25">
      <c r="A83" t="s">
        <v>740</v>
      </c>
      <c r="B83">
        <v>5500</v>
      </c>
      <c r="C83">
        <v>20</v>
      </c>
      <c r="D83">
        <v>5</v>
      </c>
      <c r="E83">
        <v>4400</v>
      </c>
      <c r="F83">
        <v>27</v>
      </c>
      <c r="G83" t="b">
        <v>0</v>
      </c>
      <c r="H83">
        <v>27</v>
      </c>
    </row>
    <row r="84" spans="1:8" x14ac:dyDescent="0.25">
      <c r="A84" t="s">
        <v>741</v>
      </c>
      <c r="B84">
        <v>2800</v>
      </c>
      <c r="C84">
        <v>17</v>
      </c>
      <c r="D84">
        <v>1</v>
      </c>
      <c r="E84">
        <v>2300</v>
      </c>
      <c r="F84">
        <v>65</v>
      </c>
      <c r="G84" t="b">
        <v>0</v>
      </c>
      <c r="H84">
        <v>65</v>
      </c>
    </row>
    <row r="85" spans="1:8" x14ac:dyDescent="0.25">
      <c r="A85" t="s">
        <v>742</v>
      </c>
      <c r="B85">
        <v>9900</v>
      </c>
      <c r="C85">
        <v>49</v>
      </c>
      <c r="D85">
        <v>1</v>
      </c>
      <c r="E85">
        <v>5000</v>
      </c>
      <c r="F85">
        <v>130</v>
      </c>
      <c r="G85" t="b">
        <v>0</v>
      </c>
      <c r="H85">
        <v>130</v>
      </c>
    </row>
    <row r="86" spans="1:8" x14ac:dyDescent="0.25">
      <c r="A86" t="s">
        <v>743</v>
      </c>
      <c r="B86">
        <v>10500</v>
      </c>
      <c r="C86">
        <v>4</v>
      </c>
      <c r="D86">
        <v>2</v>
      </c>
      <c r="E86">
        <v>10000</v>
      </c>
      <c r="F86">
        <v>500</v>
      </c>
      <c r="G86" t="b">
        <v>0</v>
      </c>
      <c r="H86">
        <v>500</v>
      </c>
    </row>
    <row r="87" spans="1:8" x14ac:dyDescent="0.25">
      <c r="A87" t="s">
        <v>620</v>
      </c>
      <c r="B87">
        <v>23500</v>
      </c>
      <c r="C87">
        <v>25</v>
      </c>
      <c r="D87">
        <v>6</v>
      </c>
      <c r="E87">
        <v>17400</v>
      </c>
      <c r="F87">
        <v>325</v>
      </c>
      <c r="G87" t="b">
        <v>0</v>
      </c>
      <c r="H87">
        <v>325</v>
      </c>
    </row>
    <row r="88" spans="1:8" x14ac:dyDescent="0.25">
      <c r="A88" t="s">
        <v>245</v>
      </c>
      <c r="B88">
        <v>32500</v>
      </c>
      <c r="C88">
        <v>9</v>
      </c>
      <c r="D88">
        <v>1</v>
      </c>
      <c r="E88">
        <v>29300</v>
      </c>
      <c r="F88">
        <v>500</v>
      </c>
      <c r="G88" t="b">
        <v>0</v>
      </c>
      <c r="H88">
        <v>500</v>
      </c>
    </row>
    <row r="89" spans="1:8" x14ac:dyDescent="0.25">
      <c r="A89" t="s">
        <v>623</v>
      </c>
      <c r="B89">
        <v>9900</v>
      </c>
      <c r="C89">
        <v>5</v>
      </c>
      <c r="D89">
        <v>6</v>
      </c>
      <c r="E89">
        <v>9400</v>
      </c>
      <c r="F89">
        <v>200</v>
      </c>
      <c r="G89" t="b">
        <v>0</v>
      </c>
      <c r="H89">
        <v>200</v>
      </c>
    </row>
    <row r="90" spans="1:8" x14ac:dyDescent="0.25">
      <c r="A90" t="s">
        <v>744</v>
      </c>
      <c r="B90">
        <v>17500</v>
      </c>
      <c r="C90">
        <v>9</v>
      </c>
      <c r="D90">
        <v>6</v>
      </c>
      <c r="E90">
        <v>15800</v>
      </c>
      <c r="F90">
        <v>300</v>
      </c>
      <c r="G90" t="b">
        <v>0</v>
      </c>
      <c r="H90">
        <v>300</v>
      </c>
    </row>
    <row r="91" spans="1:8" x14ac:dyDescent="0.25">
      <c r="A91" t="s">
        <v>745</v>
      </c>
      <c r="B91">
        <v>6000</v>
      </c>
      <c r="C91">
        <v>20</v>
      </c>
      <c r="D91">
        <v>6</v>
      </c>
      <c r="E91">
        <v>4800</v>
      </c>
      <c r="F91">
        <v>40</v>
      </c>
      <c r="G91" t="b">
        <v>0</v>
      </c>
      <c r="H91">
        <v>40</v>
      </c>
    </row>
    <row r="92" spans="1:8" x14ac:dyDescent="0.25">
      <c r="A92" t="s">
        <v>746</v>
      </c>
      <c r="B92">
        <v>27000</v>
      </c>
      <c r="C92">
        <v>0</v>
      </c>
      <c r="D92">
        <v>5</v>
      </c>
      <c r="E92">
        <v>27000</v>
      </c>
      <c r="F92">
        <v>24</v>
      </c>
      <c r="G92" t="b">
        <v>0</v>
      </c>
      <c r="H92">
        <v>24</v>
      </c>
    </row>
    <row r="93" spans="1:8" x14ac:dyDescent="0.25">
      <c r="A93" t="s">
        <v>747</v>
      </c>
      <c r="B93">
        <v>5000</v>
      </c>
      <c r="C93">
        <v>10</v>
      </c>
      <c r="D93">
        <v>6</v>
      </c>
      <c r="E93">
        <v>4500</v>
      </c>
      <c r="F93">
        <v>160</v>
      </c>
      <c r="G93" t="b">
        <v>0</v>
      </c>
      <c r="H93">
        <v>160</v>
      </c>
    </row>
    <row r="94" spans="1:8" x14ac:dyDescent="0.25">
      <c r="A94" t="s">
        <v>253</v>
      </c>
      <c r="B94">
        <v>6000</v>
      </c>
      <c r="C94">
        <v>0</v>
      </c>
      <c r="D94">
        <v>1</v>
      </c>
      <c r="E94">
        <v>6000</v>
      </c>
      <c r="F94">
        <v>240</v>
      </c>
      <c r="G94" t="b">
        <v>0</v>
      </c>
      <c r="H94">
        <v>240</v>
      </c>
    </row>
    <row r="95" spans="1:8" x14ac:dyDescent="0.25">
      <c r="A95" t="s">
        <v>748</v>
      </c>
      <c r="B95">
        <v>10000</v>
      </c>
      <c r="C95">
        <v>26</v>
      </c>
      <c r="D95">
        <v>6</v>
      </c>
      <c r="E95">
        <v>7400</v>
      </c>
      <c r="F95">
        <v>52</v>
      </c>
      <c r="G95" t="b">
        <v>0</v>
      </c>
      <c r="H95">
        <v>52</v>
      </c>
    </row>
    <row r="96" spans="1:8" x14ac:dyDescent="0.25">
      <c r="A96" t="s">
        <v>257</v>
      </c>
      <c r="B96">
        <v>2000</v>
      </c>
      <c r="C96">
        <v>0</v>
      </c>
      <c r="D96">
        <v>2</v>
      </c>
      <c r="E96">
        <v>2000</v>
      </c>
      <c r="F96">
        <v>46</v>
      </c>
      <c r="G96" t="b">
        <v>0</v>
      </c>
      <c r="H96">
        <v>46</v>
      </c>
    </row>
    <row r="97" spans="1:8" x14ac:dyDescent="0.25">
      <c r="A97" t="s">
        <v>749</v>
      </c>
      <c r="B97">
        <v>7400</v>
      </c>
      <c r="C97">
        <v>6</v>
      </c>
      <c r="D97">
        <v>2</v>
      </c>
      <c r="E97">
        <v>6900</v>
      </c>
      <c r="F97">
        <v>300</v>
      </c>
      <c r="G97" t="b">
        <v>0</v>
      </c>
      <c r="H97">
        <v>300</v>
      </c>
    </row>
    <row r="98" spans="1:8" x14ac:dyDescent="0.25">
      <c r="A98" t="s">
        <v>264</v>
      </c>
      <c r="B98">
        <v>4800</v>
      </c>
      <c r="C98">
        <v>6</v>
      </c>
      <c r="D98">
        <v>6</v>
      </c>
      <c r="E98">
        <v>4500</v>
      </c>
      <c r="F98">
        <v>200</v>
      </c>
      <c r="G98" t="b">
        <v>0</v>
      </c>
      <c r="H98">
        <v>200</v>
      </c>
    </row>
    <row r="99" spans="1:8" x14ac:dyDescent="0.25">
      <c r="A99" t="s">
        <v>750</v>
      </c>
      <c r="B99">
        <v>32500</v>
      </c>
      <c r="C99">
        <v>4</v>
      </c>
      <c r="D99">
        <v>6</v>
      </c>
      <c r="E99">
        <v>30900</v>
      </c>
      <c r="F99">
        <v>400</v>
      </c>
      <c r="G99" t="b">
        <v>0</v>
      </c>
      <c r="H99">
        <v>400</v>
      </c>
    </row>
    <row r="100" spans="1:8" x14ac:dyDescent="0.25">
      <c r="A100" t="s">
        <v>751</v>
      </c>
      <c r="B100">
        <v>5500</v>
      </c>
      <c r="C100">
        <v>25</v>
      </c>
      <c r="D100">
        <v>6</v>
      </c>
      <c r="E100">
        <v>4100</v>
      </c>
      <c r="F100">
        <v>27</v>
      </c>
      <c r="G100" t="b">
        <v>0</v>
      </c>
      <c r="H100">
        <v>27</v>
      </c>
    </row>
    <row r="101" spans="1:8" x14ac:dyDescent="0.25">
      <c r="A101" t="s">
        <v>752</v>
      </c>
      <c r="B101">
        <v>17000</v>
      </c>
      <c r="C101">
        <v>4</v>
      </c>
      <c r="D101">
        <v>3</v>
      </c>
      <c r="E101">
        <v>16200</v>
      </c>
      <c r="F101">
        <v>280</v>
      </c>
      <c r="G101" t="b">
        <v>0</v>
      </c>
      <c r="H101">
        <v>280</v>
      </c>
    </row>
    <row r="102" spans="1:8" x14ac:dyDescent="0.25">
      <c r="A102" t="s">
        <v>753</v>
      </c>
      <c r="B102">
        <v>9900</v>
      </c>
      <c r="C102">
        <v>13</v>
      </c>
      <c r="D102">
        <v>6</v>
      </c>
      <c r="E102">
        <v>8600</v>
      </c>
      <c r="F102">
        <v>250</v>
      </c>
      <c r="G102" t="b">
        <v>0</v>
      </c>
      <c r="H102">
        <v>250</v>
      </c>
    </row>
    <row r="103" spans="1:8" x14ac:dyDescent="0.25">
      <c r="A103" t="s">
        <v>269</v>
      </c>
      <c r="B103">
        <v>5000</v>
      </c>
      <c r="C103">
        <v>10</v>
      </c>
      <c r="D103">
        <v>2</v>
      </c>
      <c r="E103">
        <v>4500</v>
      </c>
      <c r="F103">
        <v>70</v>
      </c>
      <c r="G103" t="b">
        <v>0</v>
      </c>
      <c r="H103">
        <v>70</v>
      </c>
    </row>
    <row r="104" spans="1:8" x14ac:dyDescent="0.25">
      <c r="A104" t="s">
        <v>754</v>
      </c>
      <c r="B104">
        <v>4000</v>
      </c>
      <c r="C104">
        <v>0</v>
      </c>
      <c r="D104">
        <v>3</v>
      </c>
      <c r="E104">
        <v>4000</v>
      </c>
      <c r="F104">
        <v>46</v>
      </c>
      <c r="G104" t="b">
        <v>0</v>
      </c>
      <c r="H104">
        <v>46</v>
      </c>
    </row>
    <row r="105" spans="1:8" x14ac:dyDescent="0.25">
      <c r="A105" t="s">
        <v>276</v>
      </c>
      <c r="B105">
        <v>2800</v>
      </c>
      <c r="C105">
        <v>10</v>
      </c>
      <c r="D105">
        <v>1</v>
      </c>
      <c r="E105">
        <v>2500</v>
      </c>
      <c r="F105">
        <v>65</v>
      </c>
      <c r="G105" t="b">
        <v>0</v>
      </c>
      <c r="H105">
        <v>65</v>
      </c>
    </row>
    <row r="106" spans="1:8" x14ac:dyDescent="0.25">
      <c r="A106" t="s">
        <v>755</v>
      </c>
      <c r="B106">
        <v>5500</v>
      </c>
      <c r="C106">
        <v>9</v>
      </c>
      <c r="D106">
        <v>2</v>
      </c>
      <c r="E106">
        <v>5000</v>
      </c>
      <c r="F106">
        <v>200</v>
      </c>
      <c r="G106" t="b">
        <v>0</v>
      </c>
      <c r="H106">
        <v>200</v>
      </c>
    </row>
    <row r="107" spans="1:8" x14ac:dyDescent="0.25">
      <c r="A107" t="s">
        <v>756</v>
      </c>
      <c r="B107">
        <v>16900</v>
      </c>
      <c r="C107">
        <v>8</v>
      </c>
      <c r="D107">
        <v>4</v>
      </c>
      <c r="E107">
        <v>15500</v>
      </c>
      <c r="F107">
        <v>300</v>
      </c>
      <c r="G107" t="b">
        <v>0</v>
      </c>
      <c r="H107">
        <v>300</v>
      </c>
    </row>
    <row r="108" spans="1:8" x14ac:dyDescent="0.25">
      <c r="A108" t="s">
        <v>757</v>
      </c>
      <c r="B108">
        <v>13000</v>
      </c>
      <c r="C108">
        <v>0</v>
      </c>
      <c r="D108">
        <v>6</v>
      </c>
      <c r="E108">
        <v>12900</v>
      </c>
      <c r="F108">
        <v>415</v>
      </c>
      <c r="G108" t="b">
        <v>0</v>
      </c>
      <c r="H108">
        <v>415</v>
      </c>
    </row>
    <row r="109" spans="1:8" x14ac:dyDescent="0.25">
      <c r="A109" t="s">
        <v>758</v>
      </c>
      <c r="B109">
        <v>6000</v>
      </c>
      <c r="C109">
        <v>26</v>
      </c>
      <c r="D109">
        <v>6</v>
      </c>
      <c r="E109">
        <v>4400</v>
      </c>
      <c r="F109">
        <v>40</v>
      </c>
      <c r="G109" t="b">
        <v>0</v>
      </c>
      <c r="H109">
        <v>40</v>
      </c>
    </row>
    <row r="110" spans="1:8" x14ac:dyDescent="0.25">
      <c r="A110" t="s">
        <v>759</v>
      </c>
      <c r="B110">
        <v>26000</v>
      </c>
      <c r="C110">
        <v>10</v>
      </c>
      <c r="D110">
        <v>4</v>
      </c>
      <c r="E110">
        <v>23400</v>
      </c>
      <c r="F110">
        <v>400</v>
      </c>
      <c r="G110" t="b">
        <v>0</v>
      </c>
      <c r="H110">
        <v>400</v>
      </c>
    </row>
    <row r="111" spans="1:8" x14ac:dyDescent="0.25">
      <c r="A111" t="s">
        <v>746</v>
      </c>
      <c r="B111">
        <v>15000</v>
      </c>
      <c r="C111">
        <v>0</v>
      </c>
      <c r="D111">
        <v>5</v>
      </c>
      <c r="E111">
        <v>15000</v>
      </c>
      <c r="F111">
        <v>580</v>
      </c>
      <c r="G111" t="b">
        <v>0</v>
      </c>
      <c r="H111">
        <v>10</v>
      </c>
    </row>
    <row r="112" spans="1:8" x14ac:dyDescent="0.25">
      <c r="A112" t="s">
        <v>760</v>
      </c>
      <c r="B112">
        <v>8500</v>
      </c>
      <c r="C112">
        <v>9</v>
      </c>
      <c r="D112">
        <v>2</v>
      </c>
      <c r="E112">
        <v>7700</v>
      </c>
      <c r="F112">
        <v>300</v>
      </c>
      <c r="G112" t="b">
        <v>0</v>
      </c>
      <c r="H112">
        <v>300</v>
      </c>
    </row>
    <row r="113" spans="1:8" x14ac:dyDescent="0.25">
      <c r="A113" t="s">
        <v>276</v>
      </c>
      <c r="B113">
        <v>2800</v>
      </c>
      <c r="C113">
        <v>17</v>
      </c>
      <c r="D113">
        <v>3</v>
      </c>
      <c r="E113">
        <v>2300</v>
      </c>
      <c r="F113">
        <v>65</v>
      </c>
      <c r="G113" t="b">
        <v>0</v>
      </c>
      <c r="H113">
        <v>65</v>
      </c>
    </row>
    <row r="114" spans="1:8" x14ac:dyDescent="0.25">
      <c r="A114" t="s">
        <v>761</v>
      </c>
      <c r="B114">
        <v>10000</v>
      </c>
      <c r="C114">
        <v>26</v>
      </c>
      <c r="D114">
        <v>6</v>
      </c>
      <c r="E114">
        <v>7400</v>
      </c>
      <c r="F114">
        <v>52</v>
      </c>
      <c r="G114" t="b">
        <v>0</v>
      </c>
      <c r="H114">
        <v>52</v>
      </c>
    </row>
    <row r="115" spans="1:8" x14ac:dyDescent="0.25">
      <c r="A115" t="s">
        <v>762</v>
      </c>
      <c r="B115">
        <v>32500</v>
      </c>
      <c r="C115">
        <v>4</v>
      </c>
      <c r="D115">
        <v>6</v>
      </c>
      <c r="E115">
        <v>30900</v>
      </c>
      <c r="F115">
        <v>400</v>
      </c>
      <c r="G115" t="b">
        <v>0</v>
      </c>
      <c r="H115">
        <v>400</v>
      </c>
    </row>
    <row r="116" spans="1:8" x14ac:dyDescent="0.25">
      <c r="A116" t="s">
        <v>290</v>
      </c>
      <c r="B116">
        <v>7000</v>
      </c>
      <c r="C116">
        <v>10</v>
      </c>
      <c r="D116">
        <v>3</v>
      </c>
      <c r="E116">
        <v>6300</v>
      </c>
      <c r="F116">
        <v>405</v>
      </c>
      <c r="G116" t="b">
        <v>0</v>
      </c>
      <c r="H116">
        <v>405</v>
      </c>
    </row>
    <row r="117" spans="1:8" x14ac:dyDescent="0.25">
      <c r="A117" t="s">
        <v>763</v>
      </c>
      <c r="B117">
        <v>14100</v>
      </c>
      <c r="C117">
        <v>14</v>
      </c>
      <c r="D117">
        <v>4</v>
      </c>
      <c r="E117">
        <v>12100</v>
      </c>
      <c r="F117">
        <v>350</v>
      </c>
      <c r="G117" t="b">
        <v>0</v>
      </c>
      <c r="H117">
        <v>350</v>
      </c>
    </row>
    <row r="118" spans="1:8" x14ac:dyDescent="0.25">
      <c r="A118" t="s">
        <v>294</v>
      </c>
      <c r="B118">
        <v>4900</v>
      </c>
      <c r="C118">
        <v>8</v>
      </c>
      <c r="D118">
        <v>6</v>
      </c>
      <c r="E118">
        <v>4500</v>
      </c>
      <c r="F118">
        <v>200</v>
      </c>
      <c r="G118" t="b">
        <v>0</v>
      </c>
      <c r="H118">
        <v>200</v>
      </c>
    </row>
    <row r="119" spans="1:8" x14ac:dyDescent="0.25">
      <c r="A119" t="s">
        <v>293</v>
      </c>
      <c r="B119">
        <v>5000</v>
      </c>
      <c r="C119">
        <v>2</v>
      </c>
      <c r="D119">
        <v>6</v>
      </c>
      <c r="E119">
        <v>4900</v>
      </c>
      <c r="F119">
        <v>200</v>
      </c>
      <c r="G119" t="b">
        <v>0</v>
      </c>
      <c r="H119">
        <v>200</v>
      </c>
    </row>
    <row r="120" spans="1:8" x14ac:dyDescent="0.25">
      <c r="A120" t="s">
        <v>764</v>
      </c>
      <c r="B120">
        <v>12500</v>
      </c>
      <c r="C120">
        <v>15</v>
      </c>
      <c r="D120">
        <v>4</v>
      </c>
      <c r="E120">
        <v>10600</v>
      </c>
      <c r="F120">
        <v>60</v>
      </c>
      <c r="G120" t="b">
        <v>0</v>
      </c>
      <c r="H120">
        <v>60</v>
      </c>
    </row>
    <row r="121" spans="1:8" x14ac:dyDescent="0.25">
      <c r="A121" t="s">
        <v>765</v>
      </c>
      <c r="B121">
        <v>4000</v>
      </c>
      <c r="C121">
        <v>2</v>
      </c>
      <c r="D121">
        <v>3</v>
      </c>
      <c r="E121">
        <v>3900</v>
      </c>
      <c r="F121">
        <v>400</v>
      </c>
      <c r="G121" t="b">
        <v>0</v>
      </c>
      <c r="H121">
        <v>400</v>
      </c>
    </row>
    <row r="122" spans="1:8" x14ac:dyDescent="0.25">
      <c r="A122" t="s">
        <v>766</v>
      </c>
      <c r="B122">
        <v>1000</v>
      </c>
      <c r="C122">
        <v>0</v>
      </c>
      <c r="D122">
        <v>3</v>
      </c>
      <c r="E122">
        <v>1000</v>
      </c>
      <c r="F122">
        <v>15</v>
      </c>
      <c r="G122" t="b">
        <v>0</v>
      </c>
      <c r="H122">
        <v>15</v>
      </c>
    </row>
    <row r="123" spans="1:8" x14ac:dyDescent="0.25">
      <c r="A123" t="s">
        <v>767</v>
      </c>
      <c r="B123">
        <v>14500</v>
      </c>
      <c r="C123">
        <v>11</v>
      </c>
      <c r="D123">
        <v>3</v>
      </c>
      <c r="E123">
        <v>12900</v>
      </c>
      <c r="F123">
        <v>400</v>
      </c>
      <c r="G123" t="b">
        <v>0</v>
      </c>
      <c r="H123">
        <v>400</v>
      </c>
    </row>
    <row r="124" spans="1:8" x14ac:dyDescent="0.25">
      <c r="A124" t="s">
        <v>768</v>
      </c>
      <c r="B124">
        <v>33500</v>
      </c>
      <c r="C124">
        <v>11</v>
      </c>
      <c r="D124">
        <v>6</v>
      </c>
      <c r="E124">
        <v>29800</v>
      </c>
      <c r="F124">
        <v>500</v>
      </c>
      <c r="G124" t="b">
        <v>0</v>
      </c>
      <c r="H124">
        <v>500</v>
      </c>
    </row>
    <row r="125" spans="1:8" x14ac:dyDescent="0.25">
      <c r="A125" t="s">
        <v>769</v>
      </c>
      <c r="B125">
        <v>11900</v>
      </c>
      <c r="C125">
        <v>6</v>
      </c>
      <c r="D125">
        <v>6</v>
      </c>
      <c r="E125">
        <v>11100</v>
      </c>
      <c r="F125">
        <v>360</v>
      </c>
      <c r="G125" t="b">
        <v>0</v>
      </c>
      <c r="H125">
        <v>360</v>
      </c>
    </row>
    <row r="126" spans="1:8" x14ac:dyDescent="0.25">
      <c r="A126" t="s">
        <v>770</v>
      </c>
      <c r="B126">
        <v>14900</v>
      </c>
      <c r="C126">
        <v>8</v>
      </c>
      <c r="D126">
        <v>6</v>
      </c>
      <c r="E126">
        <v>13700</v>
      </c>
      <c r="F126">
        <v>300</v>
      </c>
      <c r="G126" t="b">
        <v>0</v>
      </c>
      <c r="H126">
        <v>300</v>
      </c>
    </row>
    <row r="127" spans="1:8" x14ac:dyDescent="0.25">
      <c r="A127" t="s">
        <v>771</v>
      </c>
      <c r="B127">
        <v>13000</v>
      </c>
      <c r="C127">
        <v>0</v>
      </c>
      <c r="D127">
        <v>5</v>
      </c>
      <c r="E127">
        <v>13000</v>
      </c>
      <c r="F127">
        <v>200</v>
      </c>
      <c r="G127" t="b">
        <v>0</v>
      </c>
      <c r="H127">
        <v>200</v>
      </c>
    </row>
    <row r="128" spans="1:8" x14ac:dyDescent="0.25">
      <c r="A128" t="s">
        <v>772</v>
      </c>
      <c r="B128">
        <v>5500</v>
      </c>
      <c r="C128">
        <v>3</v>
      </c>
      <c r="D128">
        <v>1</v>
      </c>
      <c r="E128">
        <v>5300</v>
      </c>
      <c r="F128">
        <v>43</v>
      </c>
      <c r="G128" t="b">
        <v>0</v>
      </c>
      <c r="H128">
        <v>43</v>
      </c>
    </row>
    <row r="129" spans="1:8" x14ac:dyDescent="0.25">
      <c r="A129" t="s">
        <v>629</v>
      </c>
      <c r="B129">
        <v>9900</v>
      </c>
      <c r="C129">
        <v>5</v>
      </c>
      <c r="D129">
        <v>6</v>
      </c>
      <c r="E129">
        <v>9400</v>
      </c>
      <c r="F129">
        <v>200</v>
      </c>
      <c r="G129" t="b">
        <v>0</v>
      </c>
      <c r="H129">
        <v>200</v>
      </c>
    </row>
    <row r="130" spans="1:8" x14ac:dyDescent="0.25">
      <c r="A130" t="s">
        <v>632</v>
      </c>
      <c r="B130">
        <v>21500</v>
      </c>
      <c r="C130">
        <v>9</v>
      </c>
      <c r="D130">
        <v>6</v>
      </c>
      <c r="E130">
        <v>19400</v>
      </c>
      <c r="F130">
        <v>325</v>
      </c>
      <c r="G130" t="b">
        <v>0</v>
      </c>
      <c r="H130">
        <v>325</v>
      </c>
    </row>
    <row r="131" spans="1:8" x14ac:dyDescent="0.25">
      <c r="A131" t="s">
        <v>309</v>
      </c>
      <c r="B131">
        <v>20500</v>
      </c>
      <c r="C131">
        <v>5</v>
      </c>
      <c r="D131">
        <v>1</v>
      </c>
      <c r="E131">
        <v>19400</v>
      </c>
      <c r="F131">
        <v>250</v>
      </c>
      <c r="G131" t="b">
        <v>0</v>
      </c>
      <c r="H131">
        <v>250</v>
      </c>
    </row>
    <row r="132" spans="1:8" x14ac:dyDescent="0.25">
      <c r="A132" t="s">
        <v>773</v>
      </c>
      <c r="B132">
        <v>16500</v>
      </c>
      <c r="C132">
        <v>9</v>
      </c>
      <c r="D132">
        <v>1</v>
      </c>
      <c r="E132">
        <v>14900</v>
      </c>
      <c r="F132">
        <v>500</v>
      </c>
      <c r="G132" t="b">
        <v>0</v>
      </c>
      <c r="H132">
        <v>500</v>
      </c>
    </row>
    <row r="133" spans="1:8" x14ac:dyDescent="0.25">
      <c r="A133" t="s">
        <v>774</v>
      </c>
      <c r="B133">
        <v>8900</v>
      </c>
      <c r="C133">
        <v>0</v>
      </c>
      <c r="D133">
        <v>5</v>
      </c>
      <c r="E133">
        <v>8900</v>
      </c>
      <c r="F133">
        <v>480</v>
      </c>
      <c r="G133" t="b">
        <v>0</v>
      </c>
      <c r="H133">
        <v>480</v>
      </c>
    </row>
    <row r="134" spans="1:8" x14ac:dyDescent="0.25">
      <c r="A134" t="s">
        <v>775</v>
      </c>
      <c r="B134">
        <v>65000</v>
      </c>
      <c r="C134">
        <v>0</v>
      </c>
      <c r="D134">
        <v>6</v>
      </c>
      <c r="E134">
        <v>65000</v>
      </c>
      <c r="F134">
        <v>400</v>
      </c>
      <c r="G134" t="b">
        <v>0</v>
      </c>
      <c r="H134">
        <v>400</v>
      </c>
    </row>
    <row r="135" spans="1:8" x14ac:dyDescent="0.25">
      <c r="A135" t="s">
        <v>296</v>
      </c>
      <c r="B135">
        <v>9600</v>
      </c>
      <c r="C135">
        <v>15</v>
      </c>
      <c r="D135">
        <v>6</v>
      </c>
      <c r="E135">
        <v>8100</v>
      </c>
      <c r="F135">
        <v>280</v>
      </c>
      <c r="G135" t="b">
        <v>0</v>
      </c>
      <c r="H135">
        <v>280</v>
      </c>
    </row>
    <row r="136" spans="1:8" x14ac:dyDescent="0.25">
      <c r="A136" t="s">
        <v>776</v>
      </c>
      <c r="B136">
        <v>12000</v>
      </c>
      <c r="C136">
        <v>7</v>
      </c>
      <c r="D136">
        <v>6</v>
      </c>
      <c r="E136">
        <v>11100</v>
      </c>
      <c r="F136">
        <v>400</v>
      </c>
      <c r="G136" t="b">
        <v>0</v>
      </c>
      <c r="H136">
        <v>400</v>
      </c>
    </row>
    <row r="137" spans="1:8" x14ac:dyDescent="0.25">
      <c r="A137" t="s">
        <v>777</v>
      </c>
      <c r="B137">
        <v>33000</v>
      </c>
      <c r="C137">
        <v>10</v>
      </c>
      <c r="D137">
        <v>1</v>
      </c>
      <c r="E137">
        <v>29400</v>
      </c>
      <c r="F137">
        <v>450</v>
      </c>
      <c r="G137" t="b">
        <v>0</v>
      </c>
      <c r="H137">
        <v>450</v>
      </c>
    </row>
    <row r="138" spans="1:8" x14ac:dyDescent="0.25">
      <c r="A138" t="s">
        <v>778</v>
      </c>
      <c r="B138">
        <v>13000</v>
      </c>
      <c r="C138">
        <v>10</v>
      </c>
      <c r="D138">
        <v>6</v>
      </c>
      <c r="E138">
        <v>11700</v>
      </c>
      <c r="F138">
        <v>250</v>
      </c>
      <c r="G138" t="b">
        <v>0</v>
      </c>
      <c r="H138">
        <v>250</v>
      </c>
    </row>
    <row r="139" spans="1:8" x14ac:dyDescent="0.25">
      <c r="A139" t="s">
        <v>779</v>
      </c>
      <c r="B139">
        <v>3200</v>
      </c>
      <c r="C139">
        <v>0</v>
      </c>
      <c r="D139">
        <v>3</v>
      </c>
      <c r="E139">
        <v>3200</v>
      </c>
      <c r="F139">
        <v>150</v>
      </c>
      <c r="G139" t="b">
        <v>0</v>
      </c>
      <c r="H139">
        <v>150</v>
      </c>
    </row>
    <row r="140" spans="1:8" x14ac:dyDescent="0.25">
      <c r="A140" t="s">
        <v>780</v>
      </c>
      <c r="B140">
        <v>6000</v>
      </c>
      <c r="C140">
        <v>20</v>
      </c>
      <c r="D140">
        <v>6</v>
      </c>
      <c r="E140">
        <v>4800</v>
      </c>
      <c r="F140">
        <v>40</v>
      </c>
      <c r="G140" t="b">
        <v>0</v>
      </c>
      <c r="H140">
        <v>40</v>
      </c>
    </row>
    <row r="141" spans="1:8" x14ac:dyDescent="0.25">
      <c r="A141" t="s">
        <v>136</v>
      </c>
      <c r="B141">
        <v>19500</v>
      </c>
      <c r="C141">
        <v>12</v>
      </c>
      <c r="D141">
        <v>2</v>
      </c>
      <c r="E141">
        <v>17100</v>
      </c>
      <c r="F141">
        <v>500</v>
      </c>
      <c r="G141" t="b">
        <v>0</v>
      </c>
      <c r="H141">
        <v>500</v>
      </c>
    </row>
    <row r="142" spans="1:8" x14ac:dyDescent="0.25">
      <c r="A142" t="s">
        <v>781</v>
      </c>
      <c r="B142">
        <v>8000</v>
      </c>
      <c r="C142">
        <v>10</v>
      </c>
      <c r="D142">
        <v>3</v>
      </c>
      <c r="E142">
        <v>7200</v>
      </c>
      <c r="F142">
        <v>320</v>
      </c>
      <c r="G142" t="b">
        <v>0</v>
      </c>
      <c r="H142">
        <v>320</v>
      </c>
    </row>
    <row r="143" spans="1:8" x14ac:dyDescent="0.25">
      <c r="A143" t="s">
        <v>782</v>
      </c>
      <c r="B143">
        <v>4000</v>
      </c>
      <c r="C143">
        <v>0</v>
      </c>
      <c r="D143">
        <v>4</v>
      </c>
      <c r="E143">
        <v>4000</v>
      </c>
      <c r="F143">
        <v>46</v>
      </c>
      <c r="G143" t="b">
        <v>0</v>
      </c>
      <c r="H143">
        <v>46</v>
      </c>
    </row>
    <row r="144" spans="1:8" x14ac:dyDescent="0.25">
      <c r="A144" t="s">
        <v>783</v>
      </c>
      <c r="B144">
        <v>20000</v>
      </c>
      <c r="C144">
        <v>25</v>
      </c>
      <c r="D144">
        <v>1</v>
      </c>
      <c r="E144">
        <v>15000</v>
      </c>
      <c r="F144">
        <v>180</v>
      </c>
      <c r="G144" t="b">
        <v>0</v>
      </c>
      <c r="H144">
        <v>180</v>
      </c>
    </row>
    <row r="145" spans="1:8" x14ac:dyDescent="0.25">
      <c r="A145" t="s">
        <v>744</v>
      </c>
      <c r="B145">
        <v>55000</v>
      </c>
      <c r="C145">
        <v>5</v>
      </c>
      <c r="D145">
        <v>3</v>
      </c>
      <c r="E145">
        <v>52000</v>
      </c>
      <c r="F145">
        <v>1000</v>
      </c>
      <c r="G145" t="b">
        <v>0</v>
      </c>
      <c r="H145">
        <v>1</v>
      </c>
    </row>
    <row r="146" spans="1:8" x14ac:dyDescent="0.25">
      <c r="A146" t="s">
        <v>784</v>
      </c>
      <c r="B146">
        <v>33000</v>
      </c>
      <c r="C146">
        <v>10</v>
      </c>
      <c r="D146">
        <v>3</v>
      </c>
      <c r="E146">
        <v>29400</v>
      </c>
      <c r="F146">
        <v>450</v>
      </c>
      <c r="G146" t="b">
        <v>0</v>
      </c>
      <c r="H146">
        <v>450</v>
      </c>
    </row>
    <row r="147" spans="1:8" x14ac:dyDescent="0.25">
      <c r="A147" t="s">
        <v>785</v>
      </c>
      <c r="B147">
        <v>16000</v>
      </c>
      <c r="C147">
        <v>20</v>
      </c>
      <c r="D147">
        <v>4</v>
      </c>
      <c r="E147">
        <v>12800</v>
      </c>
      <c r="F147">
        <v>180</v>
      </c>
      <c r="G147" t="b">
        <v>0</v>
      </c>
      <c r="H147">
        <v>180</v>
      </c>
    </row>
    <row r="148" spans="1:8" x14ac:dyDescent="0.25">
      <c r="A148" t="s">
        <v>786</v>
      </c>
      <c r="B148">
        <v>1500</v>
      </c>
      <c r="C148">
        <v>0</v>
      </c>
      <c r="D148">
        <v>3</v>
      </c>
      <c r="E148">
        <v>1500</v>
      </c>
      <c r="F148">
        <v>60</v>
      </c>
      <c r="G148" t="b">
        <v>0</v>
      </c>
      <c r="H148">
        <v>60</v>
      </c>
    </row>
    <row r="149" spans="1:8" x14ac:dyDescent="0.25">
      <c r="A149" t="s">
        <v>787</v>
      </c>
      <c r="B149">
        <v>12500</v>
      </c>
      <c r="C149">
        <v>9</v>
      </c>
      <c r="D149">
        <v>6</v>
      </c>
      <c r="E149">
        <v>11300</v>
      </c>
      <c r="F149">
        <v>400</v>
      </c>
      <c r="G149" t="b">
        <v>0</v>
      </c>
      <c r="H149">
        <v>500</v>
      </c>
    </row>
    <row r="150" spans="1:8" x14ac:dyDescent="0.25">
      <c r="A150" t="s">
        <v>320</v>
      </c>
      <c r="B150">
        <v>16000</v>
      </c>
      <c r="C150">
        <v>10</v>
      </c>
      <c r="D150">
        <v>3</v>
      </c>
      <c r="E150">
        <v>14400</v>
      </c>
      <c r="F150">
        <v>250</v>
      </c>
      <c r="G150" t="b">
        <v>0</v>
      </c>
      <c r="H150">
        <v>250</v>
      </c>
    </row>
    <row r="151" spans="1:8" x14ac:dyDescent="0.25">
      <c r="A151" t="s">
        <v>788</v>
      </c>
      <c r="B151">
        <v>17500</v>
      </c>
      <c r="C151">
        <v>20</v>
      </c>
      <c r="D151">
        <v>6</v>
      </c>
      <c r="E151">
        <v>14000</v>
      </c>
      <c r="F151">
        <v>180</v>
      </c>
      <c r="G151" t="b">
        <v>0</v>
      </c>
      <c r="H151">
        <v>180</v>
      </c>
    </row>
    <row r="152" spans="1:8" x14ac:dyDescent="0.25">
      <c r="A152" t="s">
        <v>789</v>
      </c>
      <c r="B152">
        <v>17000</v>
      </c>
      <c r="C152">
        <v>10</v>
      </c>
      <c r="D152">
        <v>1</v>
      </c>
      <c r="E152">
        <v>15300</v>
      </c>
      <c r="F152">
        <v>1000</v>
      </c>
      <c r="G152" t="b">
        <v>0</v>
      </c>
      <c r="H152">
        <v>1</v>
      </c>
    </row>
    <row r="153" spans="1:8" x14ac:dyDescent="0.25">
      <c r="A153" t="s">
        <v>790</v>
      </c>
      <c r="B153">
        <v>1500</v>
      </c>
      <c r="C153">
        <v>0</v>
      </c>
      <c r="D153">
        <v>3</v>
      </c>
      <c r="E153">
        <v>1500</v>
      </c>
      <c r="F153">
        <v>15</v>
      </c>
      <c r="G153" t="b">
        <v>0</v>
      </c>
      <c r="H153">
        <v>15</v>
      </c>
    </row>
    <row r="154" spans="1:8" x14ac:dyDescent="0.25">
      <c r="A154" t="s">
        <v>791</v>
      </c>
      <c r="B154">
        <v>49900</v>
      </c>
      <c r="C154">
        <v>11</v>
      </c>
      <c r="D154">
        <v>6</v>
      </c>
      <c r="E154">
        <v>44400</v>
      </c>
      <c r="F154">
        <v>1200</v>
      </c>
      <c r="G154" t="b">
        <v>0</v>
      </c>
      <c r="H154">
        <v>1</v>
      </c>
    </row>
    <row r="155" spans="1:8" x14ac:dyDescent="0.25">
      <c r="A155" t="s">
        <v>787</v>
      </c>
      <c r="B155">
        <v>14900</v>
      </c>
      <c r="C155">
        <v>26</v>
      </c>
      <c r="D155">
        <v>4</v>
      </c>
      <c r="E155">
        <v>10900</v>
      </c>
      <c r="F155">
        <v>500</v>
      </c>
      <c r="G155" t="b">
        <v>0</v>
      </c>
      <c r="H155">
        <v>500</v>
      </c>
    </row>
    <row r="156" spans="1:8" x14ac:dyDescent="0.25">
      <c r="A156" t="s">
        <v>792</v>
      </c>
      <c r="B156">
        <v>6000</v>
      </c>
      <c r="C156">
        <v>0</v>
      </c>
      <c r="D156">
        <v>6</v>
      </c>
      <c r="E156">
        <v>6000</v>
      </c>
      <c r="F156">
        <v>240</v>
      </c>
      <c r="G156" t="b">
        <v>0</v>
      </c>
      <c r="H156">
        <v>240</v>
      </c>
    </row>
    <row r="157" spans="1:8" x14ac:dyDescent="0.25">
      <c r="A157" t="s">
        <v>793</v>
      </c>
      <c r="B157">
        <v>31000</v>
      </c>
      <c r="C157">
        <v>6</v>
      </c>
      <c r="D157">
        <v>6</v>
      </c>
      <c r="E157">
        <v>29000</v>
      </c>
      <c r="F157">
        <v>875</v>
      </c>
      <c r="G157" t="b">
        <v>0</v>
      </c>
      <c r="H157">
        <v>875</v>
      </c>
    </row>
    <row r="158" spans="1:8" x14ac:dyDescent="0.25">
      <c r="A158" t="s">
        <v>328</v>
      </c>
      <c r="B158">
        <v>6000</v>
      </c>
      <c r="C158">
        <v>0</v>
      </c>
      <c r="D158">
        <v>4</v>
      </c>
      <c r="E158">
        <v>6000</v>
      </c>
      <c r="F158">
        <v>240</v>
      </c>
      <c r="G158" t="b">
        <v>0</v>
      </c>
      <c r="H158">
        <v>240</v>
      </c>
    </row>
    <row r="159" spans="1:8" x14ac:dyDescent="0.25">
      <c r="A159" t="s">
        <v>794</v>
      </c>
      <c r="B159">
        <v>33000</v>
      </c>
      <c r="C159">
        <v>6</v>
      </c>
      <c r="D159">
        <v>6</v>
      </c>
      <c r="E159">
        <v>31000</v>
      </c>
      <c r="F159">
        <v>460</v>
      </c>
      <c r="G159" t="b">
        <v>0</v>
      </c>
      <c r="H159">
        <v>460</v>
      </c>
    </row>
    <row r="160" spans="1:8" x14ac:dyDescent="0.25">
      <c r="A160" t="s">
        <v>795</v>
      </c>
      <c r="B160">
        <v>29200</v>
      </c>
      <c r="C160">
        <v>0</v>
      </c>
      <c r="D160">
        <v>6</v>
      </c>
      <c r="E160">
        <v>29200</v>
      </c>
      <c r="F160">
        <v>300</v>
      </c>
      <c r="G160" t="b">
        <v>0</v>
      </c>
      <c r="H160">
        <v>300</v>
      </c>
    </row>
    <row r="161" spans="1:8" x14ac:dyDescent="0.25">
      <c r="A161" t="s">
        <v>796</v>
      </c>
      <c r="B161">
        <v>2500</v>
      </c>
      <c r="C161">
        <v>0</v>
      </c>
      <c r="D161">
        <v>6</v>
      </c>
      <c r="E161">
        <v>2500</v>
      </c>
      <c r="F161">
        <v>60</v>
      </c>
      <c r="G161" t="b">
        <v>0</v>
      </c>
      <c r="H161">
        <v>60</v>
      </c>
    </row>
    <row r="162" spans="1:8" x14ac:dyDescent="0.25">
      <c r="A162" t="s">
        <v>774</v>
      </c>
      <c r="B162">
        <v>6800</v>
      </c>
      <c r="C162">
        <v>10</v>
      </c>
      <c r="D162">
        <v>5</v>
      </c>
      <c r="E162">
        <v>6100</v>
      </c>
      <c r="F162">
        <v>360</v>
      </c>
      <c r="G162" t="b">
        <v>0</v>
      </c>
      <c r="H162">
        <v>360</v>
      </c>
    </row>
    <row r="163" spans="1:8" x14ac:dyDescent="0.25">
      <c r="A163" t="s">
        <v>797</v>
      </c>
      <c r="B163">
        <v>5500</v>
      </c>
      <c r="C163">
        <v>0</v>
      </c>
      <c r="D163">
        <v>6</v>
      </c>
      <c r="E163">
        <v>5500</v>
      </c>
      <c r="F163">
        <v>53</v>
      </c>
      <c r="G163" t="b">
        <v>0</v>
      </c>
      <c r="H163">
        <v>53</v>
      </c>
    </row>
    <row r="164" spans="1:8" x14ac:dyDescent="0.25">
      <c r="A164" t="s">
        <v>336</v>
      </c>
      <c r="B164">
        <v>29500</v>
      </c>
      <c r="C164">
        <v>9</v>
      </c>
      <c r="D164">
        <v>6</v>
      </c>
      <c r="E164">
        <v>26600</v>
      </c>
      <c r="F164">
        <v>360</v>
      </c>
      <c r="G164" t="b">
        <v>0</v>
      </c>
      <c r="H164">
        <v>360</v>
      </c>
    </row>
    <row r="165" spans="1:8" x14ac:dyDescent="0.25">
      <c r="A165" t="s">
        <v>798</v>
      </c>
      <c r="B165">
        <v>42500</v>
      </c>
      <c r="C165">
        <v>9</v>
      </c>
      <c r="D165">
        <v>1</v>
      </c>
      <c r="E165">
        <v>38300</v>
      </c>
      <c r="F165">
        <v>1000</v>
      </c>
      <c r="G165" t="b">
        <v>0</v>
      </c>
      <c r="H165">
        <v>1</v>
      </c>
    </row>
    <row r="166" spans="1:8" x14ac:dyDescent="0.25">
      <c r="A166" t="s">
        <v>799</v>
      </c>
      <c r="B166">
        <v>17000</v>
      </c>
      <c r="C166">
        <v>5</v>
      </c>
      <c r="D166">
        <v>4</v>
      </c>
      <c r="E166">
        <v>16000</v>
      </c>
      <c r="F166">
        <v>385</v>
      </c>
      <c r="G166" t="b">
        <v>0</v>
      </c>
      <c r="H166">
        <v>385</v>
      </c>
    </row>
    <row r="167" spans="1:8" x14ac:dyDescent="0.25">
      <c r="A167" t="s">
        <v>800</v>
      </c>
      <c r="B167">
        <v>29000</v>
      </c>
      <c r="C167">
        <v>20</v>
      </c>
      <c r="D167">
        <v>6</v>
      </c>
      <c r="E167">
        <v>23200</v>
      </c>
      <c r="F167">
        <v>1200</v>
      </c>
      <c r="G167" t="b">
        <v>0</v>
      </c>
      <c r="H167">
        <v>1200</v>
      </c>
    </row>
    <row r="168" spans="1:8" x14ac:dyDescent="0.25">
      <c r="A168" t="s">
        <v>801</v>
      </c>
      <c r="B168">
        <v>1500</v>
      </c>
      <c r="C168">
        <v>0</v>
      </c>
      <c r="D168">
        <v>5</v>
      </c>
      <c r="E168">
        <v>1500</v>
      </c>
      <c r="F168">
        <v>15</v>
      </c>
      <c r="G168" t="b">
        <v>0</v>
      </c>
      <c r="H168">
        <v>15</v>
      </c>
    </row>
    <row r="169" spans="1:8" x14ac:dyDescent="0.25">
      <c r="A169" t="s">
        <v>802</v>
      </c>
      <c r="B169">
        <v>26100</v>
      </c>
      <c r="C169">
        <v>0</v>
      </c>
      <c r="D169">
        <v>6</v>
      </c>
      <c r="E169">
        <v>26100</v>
      </c>
      <c r="F169">
        <v>300</v>
      </c>
      <c r="G169" t="b">
        <v>0</v>
      </c>
      <c r="H169">
        <v>300</v>
      </c>
    </row>
    <row r="170" spans="1:8" x14ac:dyDescent="0.25">
      <c r="A170" t="s">
        <v>803</v>
      </c>
      <c r="B170">
        <v>66000</v>
      </c>
      <c r="C170">
        <v>40</v>
      </c>
      <c r="D170">
        <v>4</v>
      </c>
      <c r="E170">
        <v>39600</v>
      </c>
      <c r="F170">
        <v>1200</v>
      </c>
      <c r="G170" t="b">
        <v>0</v>
      </c>
      <c r="H170">
        <v>1</v>
      </c>
    </row>
    <row r="171" spans="1:8" x14ac:dyDescent="0.25">
      <c r="A171" t="s">
        <v>804</v>
      </c>
      <c r="B171">
        <v>17000</v>
      </c>
      <c r="C171">
        <v>4</v>
      </c>
      <c r="D171">
        <v>2</v>
      </c>
      <c r="E171">
        <v>16200</v>
      </c>
      <c r="F171">
        <v>210</v>
      </c>
      <c r="G171" t="b">
        <v>0</v>
      </c>
      <c r="H171">
        <v>210</v>
      </c>
    </row>
    <row r="172" spans="1:8" x14ac:dyDescent="0.25">
      <c r="A172" t="s">
        <v>638</v>
      </c>
      <c r="B172">
        <v>22900</v>
      </c>
      <c r="C172">
        <v>10</v>
      </c>
      <c r="D172">
        <v>6</v>
      </c>
      <c r="E172">
        <v>20600</v>
      </c>
      <c r="F172">
        <v>400</v>
      </c>
      <c r="G172" t="b">
        <v>0</v>
      </c>
      <c r="H172">
        <v>400</v>
      </c>
    </row>
    <row r="173" spans="1:8" x14ac:dyDescent="0.25">
      <c r="A173" t="s">
        <v>805</v>
      </c>
      <c r="B173">
        <v>13000</v>
      </c>
      <c r="C173">
        <v>30</v>
      </c>
      <c r="D173">
        <v>6</v>
      </c>
      <c r="E173">
        <v>9100</v>
      </c>
      <c r="F173">
        <v>285</v>
      </c>
      <c r="G173" t="b">
        <v>0</v>
      </c>
      <c r="H173">
        <v>285</v>
      </c>
    </row>
    <row r="174" spans="1:8" x14ac:dyDescent="0.25">
      <c r="A174" t="s">
        <v>806</v>
      </c>
      <c r="B174">
        <v>9900</v>
      </c>
      <c r="C174">
        <v>11</v>
      </c>
      <c r="D174">
        <v>6</v>
      </c>
      <c r="E174">
        <v>8800</v>
      </c>
      <c r="F174">
        <v>175</v>
      </c>
      <c r="G174" t="b">
        <v>0</v>
      </c>
      <c r="H174">
        <v>175</v>
      </c>
    </row>
    <row r="175" spans="1:8" x14ac:dyDescent="0.25">
      <c r="A175" t="s">
        <v>807</v>
      </c>
      <c r="B175">
        <v>16900</v>
      </c>
      <c r="C175">
        <v>5</v>
      </c>
      <c r="D175">
        <v>4</v>
      </c>
      <c r="E175">
        <v>16000</v>
      </c>
      <c r="F175">
        <v>250</v>
      </c>
      <c r="G175" t="b">
        <v>0</v>
      </c>
      <c r="H175">
        <v>250</v>
      </c>
    </row>
    <row r="176" spans="1:8" x14ac:dyDescent="0.25">
      <c r="A176" t="s">
        <v>808</v>
      </c>
      <c r="B176">
        <v>17900</v>
      </c>
      <c r="C176">
        <v>0</v>
      </c>
      <c r="D176">
        <v>6</v>
      </c>
      <c r="E176">
        <v>17900</v>
      </c>
      <c r="F176">
        <v>450</v>
      </c>
      <c r="G176" t="b">
        <v>0</v>
      </c>
      <c r="H176">
        <v>450</v>
      </c>
    </row>
    <row r="177" spans="1:8" x14ac:dyDescent="0.25">
      <c r="A177" t="s">
        <v>809</v>
      </c>
      <c r="B177">
        <v>14900</v>
      </c>
      <c r="C177">
        <v>8</v>
      </c>
      <c r="D177">
        <v>6</v>
      </c>
      <c r="E177">
        <v>13700</v>
      </c>
      <c r="F177">
        <v>330</v>
      </c>
      <c r="G177" t="b">
        <v>0</v>
      </c>
      <c r="H177">
        <v>330</v>
      </c>
    </row>
    <row r="178" spans="1:8" x14ac:dyDescent="0.25">
      <c r="A178" t="s">
        <v>810</v>
      </c>
      <c r="B178">
        <v>6000</v>
      </c>
      <c r="C178">
        <v>20</v>
      </c>
      <c r="D178">
        <v>6</v>
      </c>
      <c r="E178">
        <v>4800</v>
      </c>
      <c r="F178">
        <v>40</v>
      </c>
      <c r="G178" t="b">
        <v>0</v>
      </c>
      <c r="H178">
        <v>40</v>
      </c>
    </row>
    <row r="179" spans="1:8" x14ac:dyDescent="0.25">
      <c r="A179" t="s">
        <v>811</v>
      </c>
      <c r="B179">
        <v>32500</v>
      </c>
      <c r="C179">
        <v>20</v>
      </c>
      <c r="D179">
        <v>6</v>
      </c>
      <c r="E179">
        <v>26000</v>
      </c>
      <c r="F179">
        <v>350</v>
      </c>
      <c r="G179" t="b">
        <v>0</v>
      </c>
      <c r="H179">
        <v>350</v>
      </c>
    </row>
    <row r="180" spans="1:8" x14ac:dyDescent="0.25">
      <c r="A180" t="s">
        <v>812</v>
      </c>
      <c r="B180">
        <v>15000</v>
      </c>
      <c r="C180">
        <v>14</v>
      </c>
      <c r="D180">
        <v>5</v>
      </c>
      <c r="E180">
        <v>12800</v>
      </c>
      <c r="F180">
        <v>114</v>
      </c>
      <c r="G180" t="b">
        <v>0</v>
      </c>
      <c r="H180">
        <v>114</v>
      </c>
    </row>
    <row r="181" spans="1:8" x14ac:dyDescent="0.25">
      <c r="A181" t="s">
        <v>813</v>
      </c>
      <c r="B181">
        <v>21000</v>
      </c>
      <c r="C181">
        <v>8</v>
      </c>
      <c r="D181">
        <v>5</v>
      </c>
      <c r="E181">
        <v>19200</v>
      </c>
      <c r="F181">
        <v>435</v>
      </c>
      <c r="G181" t="b">
        <v>0</v>
      </c>
      <c r="H181">
        <v>435</v>
      </c>
    </row>
    <row r="182" spans="1:8" x14ac:dyDescent="0.25">
      <c r="A182" t="s">
        <v>814</v>
      </c>
      <c r="B182">
        <v>28000</v>
      </c>
      <c r="C182">
        <v>50</v>
      </c>
      <c r="D182">
        <v>5</v>
      </c>
      <c r="E182">
        <v>14000</v>
      </c>
      <c r="F182">
        <v>175</v>
      </c>
      <c r="G182" t="b">
        <v>0</v>
      </c>
      <c r="H182">
        <v>175</v>
      </c>
    </row>
    <row r="183" spans="1:8" x14ac:dyDescent="0.25">
      <c r="A183" t="s">
        <v>815</v>
      </c>
      <c r="B183">
        <v>5000</v>
      </c>
      <c r="C183">
        <v>10</v>
      </c>
      <c r="D183">
        <v>6</v>
      </c>
      <c r="E183">
        <v>4500</v>
      </c>
      <c r="F183">
        <v>100</v>
      </c>
      <c r="G183" t="b">
        <v>0</v>
      </c>
      <c r="H183">
        <v>100</v>
      </c>
    </row>
    <row r="184" spans="1:8" x14ac:dyDescent="0.25">
      <c r="A184" t="s">
        <v>816</v>
      </c>
      <c r="B184">
        <v>8000</v>
      </c>
      <c r="C184">
        <v>10</v>
      </c>
      <c r="D184">
        <v>6</v>
      </c>
      <c r="E184">
        <v>7200</v>
      </c>
      <c r="F184">
        <v>280</v>
      </c>
      <c r="G184" t="b">
        <v>0</v>
      </c>
      <c r="H184">
        <v>280</v>
      </c>
    </row>
    <row r="185" spans="1:8" x14ac:dyDescent="0.25">
      <c r="A185" t="s">
        <v>345</v>
      </c>
      <c r="B185">
        <v>19500</v>
      </c>
      <c r="C185">
        <v>12</v>
      </c>
      <c r="D185">
        <v>6</v>
      </c>
      <c r="E185">
        <v>17100</v>
      </c>
      <c r="F185">
        <v>500</v>
      </c>
      <c r="G185" t="b">
        <v>0</v>
      </c>
      <c r="H185">
        <v>500</v>
      </c>
    </row>
    <row r="186" spans="1:8" x14ac:dyDescent="0.25">
      <c r="A186" t="s">
        <v>344</v>
      </c>
      <c r="B186">
        <v>6000</v>
      </c>
      <c r="C186">
        <v>0</v>
      </c>
      <c r="D186">
        <v>4</v>
      </c>
      <c r="E186">
        <v>6000</v>
      </c>
      <c r="F186">
        <v>240</v>
      </c>
      <c r="G186" t="b">
        <v>0</v>
      </c>
      <c r="H186">
        <v>240</v>
      </c>
    </row>
    <row r="187" spans="1:8" x14ac:dyDescent="0.25">
      <c r="A187" t="s">
        <v>817</v>
      </c>
      <c r="B187">
        <v>20000</v>
      </c>
      <c r="C187">
        <v>30</v>
      </c>
      <c r="D187">
        <v>1</v>
      </c>
      <c r="E187">
        <v>14000</v>
      </c>
      <c r="F187">
        <v>285</v>
      </c>
      <c r="G187" t="b">
        <v>0</v>
      </c>
      <c r="H187">
        <v>285</v>
      </c>
    </row>
    <row r="188" spans="1:8" x14ac:dyDescent="0.25">
      <c r="A188" t="s">
        <v>818</v>
      </c>
      <c r="B188">
        <v>19000</v>
      </c>
      <c r="C188">
        <v>0</v>
      </c>
      <c r="D188">
        <v>6</v>
      </c>
      <c r="E188">
        <v>19000</v>
      </c>
      <c r="F188">
        <v>300</v>
      </c>
      <c r="G188" t="b">
        <v>0</v>
      </c>
      <c r="H188">
        <v>300</v>
      </c>
    </row>
    <row r="189" spans="1:8" x14ac:dyDescent="0.25">
      <c r="A189" t="s">
        <v>819</v>
      </c>
      <c r="B189">
        <v>11900</v>
      </c>
      <c r="C189">
        <v>5</v>
      </c>
      <c r="D189">
        <v>6</v>
      </c>
      <c r="E189">
        <v>11300</v>
      </c>
      <c r="F189">
        <v>400</v>
      </c>
      <c r="G189" t="b">
        <v>0</v>
      </c>
      <c r="H189">
        <v>400</v>
      </c>
    </row>
    <row r="190" spans="1:8" x14ac:dyDescent="0.25">
      <c r="A190" t="s">
        <v>820</v>
      </c>
      <c r="B190">
        <v>17000</v>
      </c>
      <c r="C190">
        <v>4</v>
      </c>
      <c r="D190">
        <v>4</v>
      </c>
      <c r="E190">
        <v>16200</v>
      </c>
      <c r="F190">
        <v>340</v>
      </c>
      <c r="G190" t="b">
        <v>0</v>
      </c>
      <c r="H190">
        <v>340</v>
      </c>
    </row>
    <row r="191" spans="1:8" x14ac:dyDescent="0.25">
      <c r="A191" t="s">
        <v>821</v>
      </c>
      <c r="B191">
        <v>6000</v>
      </c>
      <c r="C191">
        <v>15</v>
      </c>
      <c r="D191">
        <v>1</v>
      </c>
      <c r="E191">
        <v>5100</v>
      </c>
      <c r="F191">
        <v>70</v>
      </c>
      <c r="G191" t="b">
        <v>0</v>
      </c>
      <c r="H191">
        <v>70</v>
      </c>
    </row>
    <row r="192" spans="1:8" x14ac:dyDescent="0.25">
      <c r="A192" t="s">
        <v>822</v>
      </c>
      <c r="B192">
        <v>5500</v>
      </c>
      <c r="C192">
        <v>0</v>
      </c>
      <c r="D192">
        <v>3</v>
      </c>
      <c r="E192">
        <v>5500</v>
      </c>
      <c r="F192">
        <v>55</v>
      </c>
      <c r="G192" t="b">
        <v>0</v>
      </c>
      <c r="H192">
        <v>55</v>
      </c>
    </row>
    <row r="193" spans="1:8" x14ac:dyDescent="0.25">
      <c r="A193" t="s">
        <v>823</v>
      </c>
      <c r="B193">
        <v>8500</v>
      </c>
      <c r="C193">
        <v>10</v>
      </c>
      <c r="D193">
        <v>6</v>
      </c>
      <c r="E193">
        <v>7600</v>
      </c>
      <c r="F193">
        <v>250</v>
      </c>
      <c r="G193" t="b">
        <v>0</v>
      </c>
      <c r="H193">
        <v>250</v>
      </c>
    </row>
    <row r="194" spans="1:8" x14ac:dyDescent="0.25">
      <c r="A194" t="s">
        <v>744</v>
      </c>
      <c r="B194">
        <v>37000</v>
      </c>
      <c r="C194">
        <v>12</v>
      </c>
      <c r="D194">
        <v>3</v>
      </c>
      <c r="E194">
        <v>32400</v>
      </c>
      <c r="F194">
        <v>650</v>
      </c>
      <c r="G194" t="b">
        <v>0</v>
      </c>
      <c r="H194">
        <v>650</v>
      </c>
    </row>
    <row r="195" spans="1:8" x14ac:dyDescent="0.25">
      <c r="A195" t="s">
        <v>824</v>
      </c>
      <c r="B195">
        <v>16000</v>
      </c>
      <c r="C195">
        <v>30</v>
      </c>
      <c r="D195">
        <v>4</v>
      </c>
      <c r="E195">
        <v>11200</v>
      </c>
      <c r="F195">
        <v>285</v>
      </c>
      <c r="G195" t="b">
        <v>0</v>
      </c>
      <c r="H195">
        <v>285</v>
      </c>
    </row>
    <row r="196" spans="1:8" x14ac:dyDescent="0.25">
      <c r="A196" t="s">
        <v>825</v>
      </c>
      <c r="B196">
        <v>3000</v>
      </c>
      <c r="C196">
        <v>0</v>
      </c>
      <c r="D196">
        <v>5</v>
      </c>
      <c r="E196">
        <v>3000</v>
      </c>
      <c r="F196">
        <v>150</v>
      </c>
      <c r="G196" t="b">
        <v>0</v>
      </c>
      <c r="H196">
        <v>150</v>
      </c>
    </row>
    <row r="197" spans="1:8" x14ac:dyDescent="0.25">
      <c r="A197" t="s">
        <v>826</v>
      </c>
      <c r="B197">
        <v>6000</v>
      </c>
      <c r="C197">
        <v>10</v>
      </c>
      <c r="D197">
        <v>2</v>
      </c>
      <c r="E197">
        <v>5400</v>
      </c>
      <c r="F197">
        <v>100</v>
      </c>
      <c r="G197" t="b">
        <v>0</v>
      </c>
      <c r="H197">
        <v>100</v>
      </c>
    </row>
    <row r="198" spans="1:8" x14ac:dyDescent="0.25">
      <c r="A198" t="s">
        <v>640</v>
      </c>
      <c r="B198">
        <v>23500</v>
      </c>
      <c r="C198">
        <v>20</v>
      </c>
      <c r="D198">
        <v>5</v>
      </c>
      <c r="E198">
        <v>18800</v>
      </c>
      <c r="F198">
        <v>325</v>
      </c>
      <c r="G198" t="b">
        <v>0</v>
      </c>
      <c r="H198">
        <v>325</v>
      </c>
    </row>
    <row r="199" spans="1:8" x14ac:dyDescent="0.25">
      <c r="A199" t="s">
        <v>827</v>
      </c>
      <c r="B199">
        <v>5500</v>
      </c>
      <c r="C199">
        <v>9</v>
      </c>
      <c r="D199">
        <v>4</v>
      </c>
      <c r="E199">
        <v>5000</v>
      </c>
      <c r="F199">
        <v>200</v>
      </c>
      <c r="G199" t="b">
        <v>0</v>
      </c>
      <c r="H199">
        <v>200</v>
      </c>
    </row>
    <row r="200" spans="1:8" x14ac:dyDescent="0.25">
      <c r="A200" t="s">
        <v>828</v>
      </c>
      <c r="B200">
        <v>33000</v>
      </c>
      <c r="C200">
        <v>10</v>
      </c>
      <c r="D200">
        <v>6</v>
      </c>
      <c r="E200">
        <v>29400</v>
      </c>
      <c r="F200">
        <v>680</v>
      </c>
      <c r="G200" t="b">
        <v>0</v>
      </c>
      <c r="H200">
        <v>680</v>
      </c>
    </row>
    <row r="201" spans="1:8" x14ac:dyDescent="0.25">
      <c r="A201" t="s">
        <v>829</v>
      </c>
      <c r="B201">
        <v>12000</v>
      </c>
      <c r="C201">
        <v>5</v>
      </c>
      <c r="D201">
        <v>1</v>
      </c>
      <c r="E201">
        <v>11400</v>
      </c>
      <c r="F201">
        <v>400</v>
      </c>
      <c r="G201" t="b">
        <v>0</v>
      </c>
      <c r="H201">
        <v>400</v>
      </c>
    </row>
    <row r="202" spans="1:8" x14ac:dyDescent="0.25">
      <c r="A202" t="s">
        <v>830</v>
      </c>
      <c r="B202">
        <v>11000</v>
      </c>
      <c r="C202">
        <v>30</v>
      </c>
      <c r="D202">
        <v>2</v>
      </c>
      <c r="E202">
        <v>7700</v>
      </c>
      <c r="F202">
        <v>285</v>
      </c>
      <c r="G202" t="b">
        <v>0</v>
      </c>
      <c r="H202">
        <v>285</v>
      </c>
    </row>
    <row r="203" spans="1:8" x14ac:dyDescent="0.25">
      <c r="A203" t="s">
        <v>831</v>
      </c>
      <c r="B203">
        <v>27500</v>
      </c>
      <c r="C203">
        <v>14</v>
      </c>
      <c r="D203">
        <v>5</v>
      </c>
      <c r="E203">
        <v>23400</v>
      </c>
      <c r="F203">
        <v>200</v>
      </c>
      <c r="G203" t="b">
        <v>0</v>
      </c>
      <c r="H203">
        <v>200</v>
      </c>
    </row>
    <row r="204" spans="1:8" x14ac:dyDescent="0.25">
      <c r="A204" t="s">
        <v>832</v>
      </c>
      <c r="B204">
        <v>5500</v>
      </c>
      <c r="C204">
        <v>0</v>
      </c>
      <c r="D204">
        <v>6</v>
      </c>
      <c r="E204">
        <v>5500</v>
      </c>
      <c r="F204">
        <v>55</v>
      </c>
      <c r="G204" t="b">
        <v>0</v>
      </c>
      <c r="H204">
        <v>55</v>
      </c>
    </row>
    <row r="205" spans="1:8" x14ac:dyDescent="0.25">
      <c r="A205" t="s">
        <v>374</v>
      </c>
      <c r="B205">
        <v>8000</v>
      </c>
      <c r="C205">
        <v>0</v>
      </c>
      <c r="D205">
        <v>1</v>
      </c>
      <c r="E205">
        <v>8000</v>
      </c>
      <c r="F205">
        <v>280</v>
      </c>
      <c r="G205" t="b">
        <v>0</v>
      </c>
      <c r="H205">
        <v>280</v>
      </c>
    </row>
    <row r="206" spans="1:8" x14ac:dyDescent="0.25">
      <c r="A206" t="s">
        <v>833</v>
      </c>
      <c r="B206">
        <v>22500</v>
      </c>
      <c r="C206">
        <v>15</v>
      </c>
      <c r="D206">
        <v>5</v>
      </c>
      <c r="E206">
        <v>19100</v>
      </c>
      <c r="F206">
        <v>190</v>
      </c>
      <c r="G206" t="b">
        <v>0</v>
      </c>
      <c r="H206">
        <v>190</v>
      </c>
    </row>
    <row r="207" spans="1:8" x14ac:dyDescent="0.25">
      <c r="A207" t="s">
        <v>834</v>
      </c>
      <c r="B207">
        <v>6500</v>
      </c>
      <c r="C207">
        <v>6</v>
      </c>
      <c r="D207">
        <v>6</v>
      </c>
      <c r="E207">
        <v>6100</v>
      </c>
      <c r="F207">
        <v>200</v>
      </c>
      <c r="G207" t="b">
        <v>0</v>
      </c>
      <c r="H207">
        <v>200</v>
      </c>
    </row>
    <row r="208" spans="1:8" x14ac:dyDescent="0.25">
      <c r="A208" t="s">
        <v>835</v>
      </c>
      <c r="B208">
        <v>4200</v>
      </c>
      <c r="C208">
        <v>0</v>
      </c>
      <c r="D208">
        <v>2</v>
      </c>
      <c r="E208">
        <v>4200</v>
      </c>
      <c r="F208">
        <v>400</v>
      </c>
      <c r="G208" t="b">
        <v>0</v>
      </c>
      <c r="H208">
        <v>400</v>
      </c>
    </row>
    <row r="209" spans="1:8" x14ac:dyDescent="0.25">
      <c r="A209" t="s">
        <v>836</v>
      </c>
      <c r="B209">
        <v>27500</v>
      </c>
      <c r="C209">
        <v>14</v>
      </c>
      <c r="D209">
        <v>4</v>
      </c>
      <c r="E209">
        <v>23400</v>
      </c>
      <c r="F209">
        <v>200</v>
      </c>
      <c r="G209" t="b">
        <v>0</v>
      </c>
      <c r="H209">
        <v>200</v>
      </c>
    </row>
    <row r="210" spans="1:8" x14ac:dyDescent="0.25">
      <c r="A210" t="s">
        <v>644</v>
      </c>
      <c r="B210">
        <v>9900</v>
      </c>
      <c r="C210">
        <v>5</v>
      </c>
      <c r="D210">
        <v>6</v>
      </c>
      <c r="E210">
        <v>9400</v>
      </c>
      <c r="F210">
        <v>200</v>
      </c>
      <c r="G210" t="b">
        <v>0</v>
      </c>
      <c r="H210">
        <v>200</v>
      </c>
    </row>
    <row r="211" spans="1:8" x14ac:dyDescent="0.25">
      <c r="A211" t="s">
        <v>837</v>
      </c>
      <c r="B211">
        <v>13500</v>
      </c>
      <c r="C211">
        <v>9</v>
      </c>
      <c r="D211">
        <v>2</v>
      </c>
      <c r="E211">
        <v>12200</v>
      </c>
      <c r="F211">
        <v>300</v>
      </c>
      <c r="G211" t="b">
        <v>0</v>
      </c>
      <c r="H211">
        <v>300</v>
      </c>
    </row>
    <row r="212" spans="1:8" x14ac:dyDescent="0.25">
      <c r="A212" t="s">
        <v>838</v>
      </c>
      <c r="B212">
        <v>34000</v>
      </c>
      <c r="C212">
        <v>0</v>
      </c>
      <c r="D212">
        <v>2</v>
      </c>
      <c r="E212">
        <v>34000</v>
      </c>
      <c r="F212">
        <v>400</v>
      </c>
      <c r="G212" t="b">
        <v>0</v>
      </c>
      <c r="H212">
        <v>400</v>
      </c>
    </row>
    <row r="213" spans="1:8" x14ac:dyDescent="0.25">
      <c r="A213" t="s">
        <v>839</v>
      </c>
      <c r="B213">
        <v>19000</v>
      </c>
      <c r="C213">
        <v>10</v>
      </c>
      <c r="D213">
        <v>6</v>
      </c>
      <c r="E213">
        <v>17100</v>
      </c>
      <c r="F213">
        <v>375</v>
      </c>
      <c r="G213" t="b">
        <v>0</v>
      </c>
      <c r="H213">
        <v>375</v>
      </c>
    </row>
    <row r="214" spans="1:8" x14ac:dyDescent="0.25">
      <c r="A214" t="s">
        <v>840</v>
      </c>
      <c r="B214">
        <v>10400</v>
      </c>
      <c r="C214">
        <v>20</v>
      </c>
      <c r="D214">
        <v>3</v>
      </c>
      <c r="E214">
        <v>8300</v>
      </c>
      <c r="F214">
        <v>500</v>
      </c>
      <c r="G214" t="b">
        <v>0</v>
      </c>
      <c r="H214">
        <v>500</v>
      </c>
    </row>
    <row r="215" spans="1:8" x14ac:dyDescent="0.25">
      <c r="A215" t="s">
        <v>379</v>
      </c>
      <c r="B215">
        <v>25000</v>
      </c>
      <c r="C215">
        <v>40</v>
      </c>
      <c r="D215">
        <v>6</v>
      </c>
      <c r="E215">
        <v>14900</v>
      </c>
      <c r="F215">
        <v>500</v>
      </c>
      <c r="G215" t="b">
        <v>0</v>
      </c>
      <c r="H215">
        <v>500</v>
      </c>
    </row>
    <row r="216" spans="1:8" x14ac:dyDescent="0.25">
      <c r="A216" t="s">
        <v>642</v>
      </c>
      <c r="B216">
        <v>16900</v>
      </c>
      <c r="C216">
        <v>7</v>
      </c>
      <c r="D216">
        <v>1</v>
      </c>
      <c r="E216">
        <v>15600</v>
      </c>
      <c r="F216">
        <v>400</v>
      </c>
      <c r="G216" t="b">
        <v>0</v>
      </c>
      <c r="H216">
        <v>400</v>
      </c>
    </row>
    <row r="217" spans="1:8" x14ac:dyDescent="0.25">
      <c r="A217" t="s">
        <v>841</v>
      </c>
      <c r="B217">
        <v>6000</v>
      </c>
      <c r="C217">
        <v>0</v>
      </c>
      <c r="D217">
        <v>4</v>
      </c>
      <c r="E217">
        <v>6000</v>
      </c>
      <c r="F217">
        <v>50</v>
      </c>
      <c r="G217" t="b">
        <v>0</v>
      </c>
      <c r="H217">
        <v>50</v>
      </c>
    </row>
    <row r="218" spans="1:8" x14ac:dyDescent="0.25">
      <c r="A218" t="s">
        <v>842</v>
      </c>
      <c r="B218">
        <v>32500</v>
      </c>
      <c r="C218">
        <v>0</v>
      </c>
      <c r="D218">
        <v>6</v>
      </c>
      <c r="E218">
        <v>32500</v>
      </c>
      <c r="F218">
        <v>500</v>
      </c>
      <c r="G218" t="b">
        <v>0</v>
      </c>
      <c r="H218">
        <v>500</v>
      </c>
    </row>
    <row r="219" spans="1:8" x14ac:dyDescent="0.25">
      <c r="A219" t="s">
        <v>843</v>
      </c>
      <c r="B219">
        <v>9900</v>
      </c>
      <c r="C219">
        <v>0</v>
      </c>
      <c r="D219">
        <v>3</v>
      </c>
      <c r="E219">
        <v>9900</v>
      </c>
      <c r="F219">
        <v>400</v>
      </c>
      <c r="G219" t="b">
        <v>0</v>
      </c>
      <c r="H219">
        <v>400</v>
      </c>
    </row>
    <row r="220" spans="1:8" x14ac:dyDescent="0.25">
      <c r="A220" t="s">
        <v>844</v>
      </c>
      <c r="B220">
        <v>22500</v>
      </c>
      <c r="C220">
        <v>15</v>
      </c>
      <c r="D220">
        <v>6</v>
      </c>
      <c r="E220">
        <v>19100</v>
      </c>
      <c r="F220">
        <v>200</v>
      </c>
      <c r="G220" t="b">
        <v>0</v>
      </c>
      <c r="H220">
        <v>200</v>
      </c>
    </row>
    <row r="221" spans="1:8" x14ac:dyDescent="0.25">
      <c r="A221" t="s">
        <v>845</v>
      </c>
      <c r="B221">
        <v>29500</v>
      </c>
      <c r="C221">
        <v>0</v>
      </c>
      <c r="D221">
        <v>3</v>
      </c>
      <c r="E221">
        <v>29500</v>
      </c>
      <c r="F221">
        <v>350</v>
      </c>
      <c r="G221" t="b">
        <v>0</v>
      </c>
      <c r="H221">
        <v>350</v>
      </c>
    </row>
    <row r="222" spans="1:8" x14ac:dyDescent="0.25">
      <c r="A222" t="s">
        <v>846</v>
      </c>
      <c r="B222">
        <v>2500</v>
      </c>
      <c r="C222">
        <v>0</v>
      </c>
      <c r="D222">
        <v>6</v>
      </c>
      <c r="E222">
        <v>2500</v>
      </c>
      <c r="F222">
        <v>65</v>
      </c>
      <c r="G222" t="b">
        <v>0</v>
      </c>
      <c r="H222">
        <v>65</v>
      </c>
    </row>
    <row r="223" spans="1:8" x14ac:dyDescent="0.25">
      <c r="A223" t="s">
        <v>847</v>
      </c>
      <c r="B223">
        <v>9100</v>
      </c>
      <c r="C223">
        <v>0</v>
      </c>
      <c r="D223">
        <v>5</v>
      </c>
      <c r="E223">
        <v>9100</v>
      </c>
      <c r="F223">
        <v>360</v>
      </c>
      <c r="G223" t="b">
        <v>0</v>
      </c>
      <c r="H223">
        <v>360</v>
      </c>
    </row>
    <row r="224" spans="1:8" x14ac:dyDescent="0.25">
      <c r="A224" t="s">
        <v>848</v>
      </c>
      <c r="B224">
        <v>22000</v>
      </c>
      <c r="C224">
        <v>6</v>
      </c>
      <c r="D224">
        <v>5</v>
      </c>
      <c r="E224">
        <v>20500</v>
      </c>
      <c r="F224">
        <v>425</v>
      </c>
      <c r="G224" t="b">
        <v>0</v>
      </c>
      <c r="H224">
        <v>425</v>
      </c>
    </row>
    <row r="225" spans="1:8" x14ac:dyDescent="0.25">
      <c r="A225" t="s">
        <v>849</v>
      </c>
      <c r="B225">
        <v>15000</v>
      </c>
      <c r="C225">
        <v>0</v>
      </c>
      <c r="D225">
        <v>3</v>
      </c>
      <c r="E225">
        <v>15000</v>
      </c>
      <c r="F225">
        <v>250</v>
      </c>
      <c r="G225" t="b">
        <v>0</v>
      </c>
      <c r="H225">
        <v>250</v>
      </c>
    </row>
    <row r="226" spans="1:8" x14ac:dyDescent="0.25">
      <c r="A226" t="s">
        <v>841</v>
      </c>
      <c r="B226">
        <v>15000</v>
      </c>
      <c r="C226">
        <v>14</v>
      </c>
      <c r="D226">
        <v>3</v>
      </c>
      <c r="E226">
        <v>12800</v>
      </c>
      <c r="F226">
        <v>114</v>
      </c>
      <c r="G226" t="b">
        <v>0</v>
      </c>
      <c r="H226">
        <v>114</v>
      </c>
    </row>
    <row r="227" spans="1:8" x14ac:dyDescent="0.25">
      <c r="A227" t="s">
        <v>850</v>
      </c>
      <c r="B227">
        <v>33000</v>
      </c>
      <c r="C227">
        <v>10</v>
      </c>
      <c r="D227">
        <v>6</v>
      </c>
      <c r="E227">
        <v>29700</v>
      </c>
      <c r="F227">
        <v>400</v>
      </c>
      <c r="G227" t="b">
        <v>0</v>
      </c>
      <c r="H227">
        <v>400</v>
      </c>
    </row>
    <row r="228" spans="1:8" x14ac:dyDescent="0.25">
      <c r="A228" t="s">
        <v>408</v>
      </c>
      <c r="B228">
        <v>27600</v>
      </c>
      <c r="C228">
        <v>10</v>
      </c>
      <c r="D228">
        <v>6</v>
      </c>
      <c r="E228">
        <v>24800</v>
      </c>
      <c r="F228">
        <v>1500</v>
      </c>
      <c r="G228" t="b">
        <v>0</v>
      </c>
      <c r="H228">
        <v>1</v>
      </c>
    </row>
    <row r="229" spans="1:8" x14ac:dyDescent="0.25">
      <c r="A229" t="s">
        <v>851</v>
      </c>
      <c r="B229">
        <v>29500</v>
      </c>
      <c r="C229">
        <v>0</v>
      </c>
      <c r="D229">
        <v>6</v>
      </c>
      <c r="E229">
        <v>29500</v>
      </c>
      <c r="F229">
        <v>24</v>
      </c>
      <c r="G229" t="b">
        <v>0</v>
      </c>
      <c r="H229">
        <v>24</v>
      </c>
    </row>
    <row r="230" spans="1:8" x14ac:dyDescent="0.25">
      <c r="A230" t="s">
        <v>852</v>
      </c>
      <c r="B230">
        <v>14900</v>
      </c>
      <c r="C230">
        <v>8</v>
      </c>
      <c r="D230">
        <v>5</v>
      </c>
      <c r="E230">
        <v>13700</v>
      </c>
      <c r="F230">
        <v>320</v>
      </c>
      <c r="G230" t="b">
        <v>0</v>
      </c>
      <c r="H230">
        <v>320</v>
      </c>
    </row>
    <row r="231" spans="1:8" x14ac:dyDescent="0.25">
      <c r="A231" t="s">
        <v>825</v>
      </c>
      <c r="B231">
        <v>11500</v>
      </c>
      <c r="C231">
        <v>0</v>
      </c>
      <c r="D231">
        <v>6</v>
      </c>
      <c r="E231">
        <v>11500</v>
      </c>
      <c r="F231">
        <v>600</v>
      </c>
      <c r="G231" t="b">
        <v>0</v>
      </c>
      <c r="H231">
        <v>600</v>
      </c>
    </row>
    <row r="232" spans="1:8" x14ac:dyDescent="0.25">
      <c r="A232" t="s">
        <v>853</v>
      </c>
      <c r="B232">
        <v>28000</v>
      </c>
      <c r="C232">
        <v>50</v>
      </c>
      <c r="D232">
        <v>5</v>
      </c>
      <c r="E232">
        <v>14000</v>
      </c>
      <c r="F232">
        <v>175</v>
      </c>
      <c r="G232" t="b">
        <v>0</v>
      </c>
      <c r="H232">
        <v>175</v>
      </c>
    </row>
    <row r="233" spans="1:8" x14ac:dyDescent="0.25">
      <c r="A233" t="s">
        <v>854</v>
      </c>
      <c r="B233">
        <v>17900</v>
      </c>
      <c r="C233">
        <v>0</v>
      </c>
      <c r="D233">
        <v>6</v>
      </c>
      <c r="E233">
        <v>17900</v>
      </c>
      <c r="F233">
        <v>450</v>
      </c>
      <c r="G233" t="b">
        <v>0</v>
      </c>
      <c r="H233">
        <v>450</v>
      </c>
    </row>
    <row r="234" spans="1:8" x14ac:dyDescent="0.25">
      <c r="A234" t="s">
        <v>855</v>
      </c>
      <c r="B234">
        <v>14000</v>
      </c>
      <c r="C234">
        <v>10</v>
      </c>
      <c r="D234">
        <v>3</v>
      </c>
      <c r="E234">
        <v>12600</v>
      </c>
      <c r="F234">
        <v>500</v>
      </c>
      <c r="G234" t="b">
        <v>0</v>
      </c>
      <c r="H234">
        <v>500</v>
      </c>
    </row>
    <row r="235" spans="1:8" x14ac:dyDescent="0.25">
      <c r="A235" t="s">
        <v>856</v>
      </c>
      <c r="B235">
        <v>32000</v>
      </c>
      <c r="C235">
        <v>0</v>
      </c>
      <c r="D235">
        <v>6</v>
      </c>
      <c r="E235">
        <v>32000</v>
      </c>
      <c r="F235">
        <v>500</v>
      </c>
      <c r="G235" t="b">
        <v>0</v>
      </c>
      <c r="H235">
        <v>500</v>
      </c>
    </row>
    <row r="236" spans="1:8" x14ac:dyDescent="0.25">
      <c r="A236" t="s">
        <v>397</v>
      </c>
      <c r="B236">
        <v>25000</v>
      </c>
      <c r="C236">
        <v>0</v>
      </c>
      <c r="D236">
        <v>5</v>
      </c>
      <c r="E236">
        <v>25000</v>
      </c>
      <c r="F236">
        <v>500</v>
      </c>
      <c r="G236" t="b">
        <v>0</v>
      </c>
      <c r="H236">
        <v>500</v>
      </c>
    </row>
    <row r="237" spans="1:8" x14ac:dyDescent="0.25">
      <c r="A237" t="s">
        <v>778</v>
      </c>
      <c r="B237">
        <v>29900</v>
      </c>
      <c r="C237">
        <v>10</v>
      </c>
      <c r="D237">
        <v>4</v>
      </c>
      <c r="E237">
        <v>26900</v>
      </c>
      <c r="F237">
        <v>700</v>
      </c>
      <c r="G237" t="b">
        <v>0</v>
      </c>
      <c r="H237">
        <v>700</v>
      </c>
    </row>
    <row r="238" spans="1:8" x14ac:dyDescent="0.25">
      <c r="A238" t="s">
        <v>857</v>
      </c>
      <c r="B238">
        <v>62000</v>
      </c>
      <c r="C238">
        <v>0</v>
      </c>
      <c r="D238">
        <v>1</v>
      </c>
      <c r="E238">
        <v>62000</v>
      </c>
      <c r="F238">
        <v>400</v>
      </c>
      <c r="G238" t="b">
        <v>0</v>
      </c>
      <c r="H238">
        <v>400</v>
      </c>
    </row>
    <row r="239" spans="1:8" x14ac:dyDescent="0.25">
      <c r="A239" t="s">
        <v>858</v>
      </c>
      <c r="B239">
        <v>9900</v>
      </c>
      <c r="C239">
        <v>20</v>
      </c>
      <c r="D239">
        <v>6</v>
      </c>
      <c r="E239">
        <v>7900</v>
      </c>
      <c r="F239">
        <v>500</v>
      </c>
      <c r="G239" t="b">
        <v>0</v>
      </c>
      <c r="H239">
        <v>500</v>
      </c>
    </row>
    <row r="240" spans="1:8" x14ac:dyDescent="0.25">
      <c r="A240" t="s">
        <v>859</v>
      </c>
      <c r="B240">
        <v>8500</v>
      </c>
      <c r="C240">
        <v>4</v>
      </c>
      <c r="D240">
        <v>1</v>
      </c>
      <c r="E240">
        <v>8100</v>
      </c>
      <c r="F240">
        <v>680</v>
      </c>
      <c r="G240" t="b">
        <v>0</v>
      </c>
      <c r="H240">
        <v>680</v>
      </c>
    </row>
    <row r="241" spans="1:8" x14ac:dyDescent="0.25">
      <c r="A241" t="s">
        <v>860</v>
      </c>
      <c r="B241">
        <v>5500</v>
      </c>
      <c r="C241">
        <v>0</v>
      </c>
      <c r="D241">
        <v>1</v>
      </c>
      <c r="E241">
        <v>5500</v>
      </c>
      <c r="F241">
        <v>400</v>
      </c>
      <c r="G241" t="b">
        <v>0</v>
      </c>
      <c r="H241">
        <v>400</v>
      </c>
    </row>
    <row r="242" spans="1:8" x14ac:dyDescent="0.25">
      <c r="A242" t="s">
        <v>861</v>
      </c>
      <c r="B242">
        <v>12000</v>
      </c>
      <c r="C242">
        <v>10</v>
      </c>
      <c r="D242">
        <v>4</v>
      </c>
      <c r="E242">
        <v>10800</v>
      </c>
      <c r="F242">
        <v>400</v>
      </c>
      <c r="G242" t="b">
        <v>0</v>
      </c>
      <c r="H242">
        <v>400</v>
      </c>
    </row>
    <row r="243" spans="1:8" x14ac:dyDescent="0.25">
      <c r="A243" t="s">
        <v>862</v>
      </c>
      <c r="B243">
        <v>11400</v>
      </c>
      <c r="C243">
        <v>0</v>
      </c>
      <c r="D243">
        <v>6</v>
      </c>
      <c r="E243">
        <v>11400</v>
      </c>
      <c r="F243">
        <v>480</v>
      </c>
      <c r="G243" t="b">
        <v>0</v>
      </c>
      <c r="H243">
        <v>480</v>
      </c>
    </row>
    <row r="244" spans="1:8" x14ac:dyDescent="0.25">
      <c r="A244" t="s">
        <v>863</v>
      </c>
      <c r="B244">
        <v>29000</v>
      </c>
      <c r="C244">
        <v>7</v>
      </c>
      <c r="D244">
        <v>5</v>
      </c>
      <c r="E244">
        <v>26700</v>
      </c>
      <c r="F244">
        <v>630</v>
      </c>
      <c r="G244" t="b">
        <v>0</v>
      </c>
      <c r="H244">
        <v>630</v>
      </c>
    </row>
    <row r="245" spans="1:8" x14ac:dyDescent="0.25">
      <c r="A245" t="s">
        <v>864</v>
      </c>
      <c r="B245">
        <v>13000</v>
      </c>
      <c r="C245">
        <v>4</v>
      </c>
      <c r="D245">
        <v>4</v>
      </c>
      <c r="E245">
        <v>12400</v>
      </c>
      <c r="F245">
        <v>230</v>
      </c>
      <c r="G245" t="b">
        <v>0</v>
      </c>
      <c r="H245">
        <v>230</v>
      </c>
    </row>
    <row r="246" spans="1:8" x14ac:dyDescent="0.25">
      <c r="A246" t="s">
        <v>865</v>
      </c>
      <c r="B246">
        <v>18500</v>
      </c>
      <c r="C246">
        <v>10</v>
      </c>
      <c r="D246">
        <v>5</v>
      </c>
      <c r="E246">
        <v>16500</v>
      </c>
      <c r="F246">
        <v>250</v>
      </c>
      <c r="G246" t="b">
        <v>0</v>
      </c>
      <c r="H246">
        <v>250</v>
      </c>
    </row>
    <row r="247" spans="1:8" x14ac:dyDescent="0.25">
      <c r="A247" t="s">
        <v>866</v>
      </c>
      <c r="B247">
        <v>59500</v>
      </c>
      <c r="C247">
        <v>9</v>
      </c>
      <c r="D247">
        <v>2</v>
      </c>
      <c r="E247">
        <v>53600</v>
      </c>
      <c r="F247">
        <v>500</v>
      </c>
      <c r="G247" t="b">
        <v>0</v>
      </c>
      <c r="H247">
        <v>500</v>
      </c>
    </row>
    <row r="248" spans="1:8" x14ac:dyDescent="0.25">
      <c r="A248" t="s">
        <v>434</v>
      </c>
      <c r="B248">
        <v>19500</v>
      </c>
      <c r="C248">
        <v>9</v>
      </c>
      <c r="D248">
        <v>5</v>
      </c>
      <c r="E248">
        <v>17600</v>
      </c>
      <c r="F248">
        <v>500</v>
      </c>
      <c r="G248" t="b">
        <v>0</v>
      </c>
      <c r="H248">
        <v>500</v>
      </c>
    </row>
    <row r="249" spans="1:8" x14ac:dyDescent="0.25">
      <c r="A249" t="s">
        <v>867</v>
      </c>
      <c r="B249">
        <v>20000</v>
      </c>
      <c r="C249">
        <v>0</v>
      </c>
      <c r="D249">
        <v>5</v>
      </c>
      <c r="E249">
        <v>20000</v>
      </c>
      <c r="F249">
        <v>130</v>
      </c>
      <c r="G249" t="b">
        <v>0</v>
      </c>
      <c r="H249">
        <v>130</v>
      </c>
    </row>
    <row r="250" spans="1:8" x14ac:dyDescent="0.25">
      <c r="A250" t="s">
        <v>868</v>
      </c>
      <c r="B250">
        <v>49900</v>
      </c>
      <c r="C250">
        <v>0</v>
      </c>
      <c r="D250">
        <v>5</v>
      </c>
      <c r="E250">
        <v>49900</v>
      </c>
      <c r="F250">
        <v>750</v>
      </c>
      <c r="G250" t="b">
        <v>0</v>
      </c>
      <c r="H250">
        <v>750</v>
      </c>
    </row>
    <row r="251" spans="1:8" x14ac:dyDescent="0.25">
      <c r="A251" t="s">
        <v>869</v>
      </c>
      <c r="B251">
        <v>11000</v>
      </c>
      <c r="C251">
        <v>30</v>
      </c>
      <c r="D251">
        <v>6</v>
      </c>
      <c r="E251">
        <v>7700</v>
      </c>
      <c r="F251">
        <v>285</v>
      </c>
      <c r="G251" t="b">
        <v>0</v>
      </c>
      <c r="H251">
        <v>285</v>
      </c>
    </row>
    <row r="252" spans="1:8" x14ac:dyDescent="0.25">
      <c r="A252" t="s">
        <v>870</v>
      </c>
      <c r="B252">
        <v>16900</v>
      </c>
      <c r="C252">
        <v>5</v>
      </c>
      <c r="D252">
        <v>6</v>
      </c>
      <c r="E252">
        <v>16000</v>
      </c>
      <c r="F252">
        <v>250</v>
      </c>
      <c r="G252" t="b">
        <v>0</v>
      </c>
      <c r="H252">
        <v>250</v>
      </c>
    </row>
    <row r="253" spans="1:8" x14ac:dyDescent="0.25">
      <c r="A253" t="s">
        <v>871</v>
      </c>
      <c r="B253">
        <v>32500</v>
      </c>
      <c r="C253">
        <v>15</v>
      </c>
      <c r="D253">
        <v>6</v>
      </c>
      <c r="E253">
        <v>27600</v>
      </c>
      <c r="F253">
        <v>200</v>
      </c>
      <c r="G253" t="b">
        <v>0</v>
      </c>
      <c r="H253">
        <v>200</v>
      </c>
    </row>
    <row r="254" spans="1:8" x14ac:dyDescent="0.25">
      <c r="A254" t="s">
        <v>872</v>
      </c>
      <c r="B254">
        <v>41000</v>
      </c>
      <c r="C254">
        <v>0</v>
      </c>
      <c r="D254">
        <v>1</v>
      </c>
      <c r="E254">
        <v>41000</v>
      </c>
      <c r="F254">
        <v>1200</v>
      </c>
      <c r="G254" t="b">
        <v>0</v>
      </c>
      <c r="H254">
        <v>1</v>
      </c>
    </row>
    <row r="255" spans="1:8" x14ac:dyDescent="0.25">
      <c r="A255" t="s">
        <v>873</v>
      </c>
      <c r="B255">
        <v>20000</v>
      </c>
      <c r="C255">
        <v>30</v>
      </c>
      <c r="D255">
        <v>4</v>
      </c>
      <c r="E255">
        <v>14000</v>
      </c>
      <c r="F255">
        <v>285</v>
      </c>
      <c r="G255" t="b">
        <v>0</v>
      </c>
      <c r="H255">
        <v>285</v>
      </c>
    </row>
    <row r="256" spans="1:8" x14ac:dyDescent="0.25">
      <c r="A256" t="s">
        <v>874</v>
      </c>
      <c r="B256">
        <v>29900</v>
      </c>
      <c r="C256">
        <v>10</v>
      </c>
      <c r="D256">
        <v>6</v>
      </c>
      <c r="E256">
        <v>26900</v>
      </c>
      <c r="F256">
        <v>400</v>
      </c>
      <c r="G256" t="b">
        <v>0</v>
      </c>
      <c r="H256">
        <v>400</v>
      </c>
    </row>
    <row r="257" spans="1:8" x14ac:dyDescent="0.25">
      <c r="A257" t="s">
        <v>875</v>
      </c>
      <c r="B257">
        <v>4000</v>
      </c>
      <c r="C257">
        <v>0</v>
      </c>
      <c r="D257">
        <v>6</v>
      </c>
      <c r="E257">
        <v>4000</v>
      </c>
      <c r="F257">
        <v>46</v>
      </c>
      <c r="G257" t="b">
        <v>0</v>
      </c>
      <c r="H257">
        <v>46</v>
      </c>
    </row>
    <row r="258" spans="1:8" x14ac:dyDescent="0.25">
      <c r="A258" t="s">
        <v>876</v>
      </c>
      <c r="B258">
        <v>42500</v>
      </c>
      <c r="C258">
        <v>9</v>
      </c>
      <c r="D258">
        <v>3</v>
      </c>
      <c r="E258">
        <v>38300</v>
      </c>
      <c r="F258">
        <v>750</v>
      </c>
      <c r="G258" t="b">
        <v>0</v>
      </c>
      <c r="H258">
        <v>750</v>
      </c>
    </row>
    <row r="259" spans="1:8" x14ac:dyDescent="0.25">
      <c r="A259" t="s">
        <v>436</v>
      </c>
      <c r="B259">
        <v>11000</v>
      </c>
      <c r="C259">
        <v>30</v>
      </c>
      <c r="D259">
        <v>6</v>
      </c>
      <c r="E259">
        <v>7700</v>
      </c>
      <c r="F259">
        <v>285</v>
      </c>
      <c r="G259" t="b">
        <v>0</v>
      </c>
      <c r="H259">
        <v>285</v>
      </c>
    </row>
    <row r="260" spans="1:8" x14ac:dyDescent="0.25">
      <c r="A260" t="s">
        <v>646</v>
      </c>
      <c r="B260">
        <v>21500</v>
      </c>
      <c r="C260">
        <v>20</v>
      </c>
      <c r="D260">
        <v>6</v>
      </c>
      <c r="E260">
        <v>17200</v>
      </c>
      <c r="F260">
        <v>325</v>
      </c>
      <c r="G260" t="b">
        <v>0</v>
      </c>
      <c r="H260">
        <v>325</v>
      </c>
    </row>
    <row r="261" spans="1:8" x14ac:dyDescent="0.25">
      <c r="A261" t="s">
        <v>877</v>
      </c>
      <c r="B261">
        <v>23000</v>
      </c>
      <c r="C261">
        <v>0</v>
      </c>
      <c r="D261">
        <v>6</v>
      </c>
      <c r="E261">
        <v>23000</v>
      </c>
      <c r="F261">
        <v>241</v>
      </c>
      <c r="G261" t="b">
        <v>0</v>
      </c>
      <c r="H261">
        <v>241</v>
      </c>
    </row>
    <row r="262" spans="1:8" x14ac:dyDescent="0.25">
      <c r="A262" t="s">
        <v>859</v>
      </c>
      <c r="B262">
        <v>10500</v>
      </c>
      <c r="C262">
        <v>0</v>
      </c>
      <c r="D262">
        <v>6</v>
      </c>
      <c r="E262">
        <v>10500</v>
      </c>
      <c r="F262">
        <v>425</v>
      </c>
      <c r="G262" t="b">
        <v>0</v>
      </c>
      <c r="H262">
        <v>425</v>
      </c>
    </row>
    <row r="263" spans="1:8" x14ac:dyDescent="0.25">
      <c r="A263" t="s">
        <v>878</v>
      </c>
      <c r="B263">
        <v>59500</v>
      </c>
      <c r="C263">
        <v>0</v>
      </c>
      <c r="D263">
        <v>1</v>
      </c>
      <c r="E263">
        <v>59500</v>
      </c>
      <c r="F263">
        <v>1000</v>
      </c>
      <c r="G263" t="b">
        <v>0</v>
      </c>
      <c r="H263">
        <v>1</v>
      </c>
    </row>
    <row r="264" spans="1:8" x14ac:dyDescent="0.25">
      <c r="A264" t="s">
        <v>879</v>
      </c>
      <c r="B264">
        <v>1500</v>
      </c>
      <c r="C264">
        <v>0</v>
      </c>
      <c r="D264">
        <v>3</v>
      </c>
      <c r="E264">
        <v>1500</v>
      </c>
      <c r="F264">
        <v>20</v>
      </c>
      <c r="G264" t="b">
        <v>0</v>
      </c>
      <c r="H264">
        <v>20</v>
      </c>
    </row>
    <row r="265" spans="1:8" x14ac:dyDescent="0.25">
      <c r="A265" t="s">
        <v>880</v>
      </c>
      <c r="B265">
        <v>14000</v>
      </c>
      <c r="C265">
        <v>5</v>
      </c>
      <c r="D265">
        <v>1</v>
      </c>
      <c r="E265">
        <v>13300</v>
      </c>
      <c r="F265">
        <v>290</v>
      </c>
      <c r="G265" t="b">
        <v>0</v>
      </c>
      <c r="H265">
        <v>290</v>
      </c>
    </row>
    <row r="266" spans="1:8" x14ac:dyDescent="0.25">
      <c r="A266" t="s">
        <v>881</v>
      </c>
      <c r="B266">
        <v>28000</v>
      </c>
      <c r="C266">
        <v>50</v>
      </c>
      <c r="D266">
        <v>5</v>
      </c>
      <c r="E266">
        <v>14000</v>
      </c>
      <c r="F266">
        <v>175</v>
      </c>
      <c r="G266" t="b">
        <v>0</v>
      </c>
      <c r="H266">
        <v>175</v>
      </c>
    </row>
    <row r="267" spans="1:8" x14ac:dyDescent="0.25">
      <c r="A267" t="s">
        <v>882</v>
      </c>
      <c r="B267">
        <v>17500</v>
      </c>
      <c r="C267">
        <v>4</v>
      </c>
      <c r="D267">
        <v>6</v>
      </c>
      <c r="E267">
        <v>16700</v>
      </c>
      <c r="F267">
        <v>150</v>
      </c>
      <c r="G267" t="b">
        <v>0</v>
      </c>
      <c r="H267">
        <v>150</v>
      </c>
    </row>
    <row r="268" spans="1:8" x14ac:dyDescent="0.25">
      <c r="A268" t="s">
        <v>883</v>
      </c>
      <c r="B268">
        <v>10500</v>
      </c>
      <c r="C268">
        <v>0</v>
      </c>
      <c r="D268">
        <v>4</v>
      </c>
      <c r="E268">
        <v>10500</v>
      </c>
      <c r="F268">
        <v>440</v>
      </c>
      <c r="G268" t="b">
        <v>0</v>
      </c>
      <c r="H268">
        <v>440</v>
      </c>
    </row>
    <row r="269" spans="1:8" x14ac:dyDescent="0.25">
      <c r="A269" t="s">
        <v>884</v>
      </c>
      <c r="B269">
        <v>5500</v>
      </c>
      <c r="C269">
        <v>0</v>
      </c>
      <c r="D269">
        <v>5</v>
      </c>
      <c r="E269">
        <v>5500</v>
      </c>
      <c r="F269">
        <v>55</v>
      </c>
      <c r="G269" t="b">
        <v>0</v>
      </c>
      <c r="H269">
        <v>55</v>
      </c>
    </row>
    <row r="270" spans="1:8" x14ac:dyDescent="0.25">
      <c r="A270" t="s">
        <v>885</v>
      </c>
      <c r="B270">
        <v>20000</v>
      </c>
      <c r="C270">
        <v>0</v>
      </c>
      <c r="D270">
        <v>6</v>
      </c>
      <c r="E270">
        <v>20000</v>
      </c>
      <c r="F270">
        <v>130</v>
      </c>
      <c r="G270" t="b">
        <v>0</v>
      </c>
      <c r="H270">
        <v>130</v>
      </c>
    </row>
    <row r="271" spans="1:8" x14ac:dyDescent="0.25">
      <c r="A271" t="s">
        <v>886</v>
      </c>
      <c r="B271">
        <v>5500</v>
      </c>
      <c r="C271">
        <v>30</v>
      </c>
      <c r="D271">
        <v>5</v>
      </c>
      <c r="E271">
        <v>3800</v>
      </c>
      <c r="F271">
        <v>80</v>
      </c>
      <c r="G271" t="b">
        <v>0</v>
      </c>
      <c r="H271">
        <v>80</v>
      </c>
    </row>
    <row r="272" spans="1:8" x14ac:dyDescent="0.25">
      <c r="A272" t="s">
        <v>887</v>
      </c>
      <c r="B272">
        <v>25000</v>
      </c>
      <c r="C272">
        <v>0</v>
      </c>
      <c r="D272">
        <v>1</v>
      </c>
      <c r="E272">
        <v>25000</v>
      </c>
      <c r="F272">
        <v>450</v>
      </c>
      <c r="G272" t="b">
        <v>0</v>
      </c>
      <c r="H272">
        <v>450</v>
      </c>
    </row>
    <row r="273" spans="1:8" x14ac:dyDescent="0.25">
      <c r="A273" t="s">
        <v>888</v>
      </c>
      <c r="B273">
        <v>22000</v>
      </c>
      <c r="C273">
        <v>30</v>
      </c>
      <c r="D273">
        <v>5</v>
      </c>
      <c r="E273">
        <v>15400</v>
      </c>
      <c r="F273">
        <v>285</v>
      </c>
      <c r="G273" t="b">
        <v>0</v>
      </c>
      <c r="H273">
        <v>285</v>
      </c>
    </row>
    <row r="274" spans="1:8" x14ac:dyDescent="0.25">
      <c r="A274" t="s">
        <v>889</v>
      </c>
      <c r="B274">
        <v>28800</v>
      </c>
      <c r="C274">
        <v>0</v>
      </c>
      <c r="D274">
        <v>6</v>
      </c>
      <c r="E274">
        <v>28800</v>
      </c>
      <c r="F274">
        <v>300</v>
      </c>
      <c r="G274" t="b">
        <v>0</v>
      </c>
      <c r="H274">
        <v>300</v>
      </c>
    </row>
    <row r="275" spans="1:8" x14ac:dyDescent="0.25">
      <c r="A275" t="s">
        <v>890</v>
      </c>
      <c r="B275">
        <v>32500</v>
      </c>
      <c r="C275">
        <v>20</v>
      </c>
      <c r="D275">
        <v>6</v>
      </c>
      <c r="E275">
        <v>26000</v>
      </c>
      <c r="F275">
        <v>350</v>
      </c>
      <c r="G275" t="b">
        <v>0</v>
      </c>
      <c r="H275">
        <v>350</v>
      </c>
    </row>
    <row r="276" spans="1:8" x14ac:dyDescent="0.25">
      <c r="A276" t="s">
        <v>891</v>
      </c>
      <c r="B276">
        <v>20000</v>
      </c>
      <c r="C276">
        <v>0</v>
      </c>
      <c r="D276">
        <v>6</v>
      </c>
      <c r="E276">
        <v>20000</v>
      </c>
      <c r="F276">
        <v>130</v>
      </c>
      <c r="G276" t="b">
        <v>0</v>
      </c>
      <c r="H276">
        <v>130</v>
      </c>
    </row>
    <row r="277" spans="1:8" x14ac:dyDescent="0.25">
      <c r="A277" t="s">
        <v>892</v>
      </c>
      <c r="B277">
        <v>7500</v>
      </c>
      <c r="C277">
        <v>0</v>
      </c>
      <c r="D277">
        <v>6</v>
      </c>
      <c r="E277">
        <v>7500</v>
      </c>
      <c r="F277">
        <v>70</v>
      </c>
      <c r="G277" t="b">
        <v>0</v>
      </c>
      <c r="H277">
        <v>70</v>
      </c>
    </row>
    <row r="278" spans="1:8" x14ac:dyDescent="0.25">
      <c r="A278" t="s">
        <v>893</v>
      </c>
      <c r="B278">
        <v>12000</v>
      </c>
      <c r="C278">
        <v>0</v>
      </c>
      <c r="D278">
        <v>1</v>
      </c>
      <c r="E278">
        <v>12000</v>
      </c>
      <c r="F278">
        <v>400</v>
      </c>
      <c r="G278" t="b">
        <v>0</v>
      </c>
      <c r="H278">
        <v>400</v>
      </c>
    </row>
    <row r="279" spans="1:8" x14ac:dyDescent="0.25">
      <c r="A279" t="s">
        <v>894</v>
      </c>
      <c r="B279">
        <v>20000</v>
      </c>
      <c r="C279">
        <v>0</v>
      </c>
      <c r="D279">
        <v>6</v>
      </c>
      <c r="E279">
        <v>20000</v>
      </c>
      <c r="F279">
        <v>130</v>
      </c>
      <c r="G279" t="b">
        <v>0</v>
      </c>
      <c r="H279">
        <v>130</v>
      </c>
    </row>
    <row r="280" spans="1:8" x14ac:dyDescent="0.25">
      <c r="A280" t="s">
        <v>880</v>
      </c>
      <c r="B280">
        <v>39900</v>
      </c>
      <c r="C280">
        <v>11</v>
      </c>
      <c r="D280">
        <v>6</v>
      </c>
      <c r="E280">
        <v>35500</v>
      </c>
      <c r="F280">
        <v>900</v>
      </c>
      <c r="G280" t="b">
        <v>0</v>
      </c>
      <c r="H280">
        <v>900</v>
      </c>
    </row>
    <row r="281" spans="1:8" x14ac:dyDescent="0.25">
      <c r="A281" t="s">
        <v>895</v>
      </c>
      <c r="B281">
        <v>5500</v>
      </c>
      <c r="C281">
        <v>0</v>
      </c>
      <c r="D281">
        <v>2</v>
      </c>
      <c r="E281">
        <v>5500</v>
      </c>
      <c r="F281">
        <v>42</v>
      </c>
      <c r="G281" t="b">
        <v>0</v>
      </c>
      <c r="H281">
        <v>42</v>
      </c>
    </row>
    <row r="282" spans="1:8" x14ac:dyDescent="0.25">
      <c r="A282" t="s">
        <v>896</v>
      </c>
      <c r="B282">
        <v>5500</v>
      </c>
      <c r="C282">
        <v>0</v>
      </c>
      <c r="D282">
        <v>6</v>
      </c>
      <c r="E282">
        <v>5500</v>
      </c>
      <c r="F282">
        <v>55</v>
      </c>
      <c r="G282" t="b">
        <v>0</v>
      </c>
      <c r="H282">
        <v>55</v>
      </c>
    </row>
    <row r="283" spans="1:8" x14ac:dyDescent="0.25">
      <c r="A283" t="s">
        <v>652</v>
      </c>
      <c r="B283">
        <v>16900</v>
      </c>
      <c r="C283">
        <v>0</v>
      </c>
      <c r="D283">
        <v>1</v>
      </c>
      <c r="E283">
        <v>16900</v>
      </c>
      <c r="F283">
        <v>400</v>
      </c>
      <c r="G283" t="b">
        <v>0</v>
      </c>
      <c r="H283">
        <v>400</v>
      </c>
    </row>
    <row r="284" spans="1:8" x14ac:dyDescent="0.25">
      <c r="A284" t="s">
        <v>449</v>
      </c>
      <c r="B284">
        <v>29500</v>
      </c>
      <c r="C284">
        <v>9</v>
      </c>
      <c r="D284">
        <v>6</v>
      </c>
      <c r="E284">
        <v>26600</v>
      </c>
      <c r="F284">
        <v>250</v>
      </c>
      <c r="G284" t="b">
        <v>0</v>
      </c>
      <c r="H284">
        <v>250</v>
      </c>
    </row>
    <row r="285" spans="1:8" x14ac:dyDescent="0.25">
      <c r="A285" t="s">
        <v>897</v>
      </c>
      <c r="B285">
        <v>32000</v>
      </c>
      <c r="C285">
        <v>10</v>
      </c>
      <c r="D285">
        <v>5</v>
      </c>
      <c r="E285">
        <v>28800</v>
      </c>
      <c r="F285">
        <v>500</v>
      </c>
      <c r="G285" t="b">
        <v>0</v>
      </c>
      <c r="H285">
        <v>500</v>
      </c>
    </row>
    <row r="286" spans="1:8" x14ac:dyDescent="0.25">
      <c r="A286" t="s">
        <v>898</v>
      </c>
      <c r="B286">
        <v>6500</v>
      </c>
      <c r="C286">
        <v>6</v>
      </c>
      <c r="D286">
        <v>6</v>
      </c>
      <c r="E286">
        <v>6100</v>
      </c>
      <c r="F286">
        <v>200</v>
      </c>
      <c r="G286" t="b">
        <v>0</v>
      </c>
      <c r="H286">
        <v>200</v>
      </c>
    </row>
    <row r="287" spans="1:8" x14ac:dyDescent="0.25">
      <c r="A287" t="s">
        <v>899</v>
      </c>
      <c r="B287">
        <v>11000</v>
      </c>
      <c r="C287">
        <v>30</v>
      </c>
      <c r="D287">
        <v>1</v>
      </c>
      <c r="E287">
        <v>7700</v>
      </c>
      <c r="F287">
        <v>285</v>
      </c>
      <c r="G287" t="b">
        <v>0</v>
      </c>
      <c r="H287">
        <v>285</v>
      </c>
    </row>
    <row r="288" spans="1:8" x14ac:dyDescent="0.25">
      <c r="A288" t="s">
        <v>892</v>
      </c>
      <c r="B288">
        <v>5500</v>
      </c>
      <c r="C288">
        <v>30</v>
      </c>
      <c r="D288">
        <v>6</v>
      </c>
      <c r="E288">
        <v>3800</v>
      </c>
      <c r="F288">
        <v>80</v>
      </c>
      <c r="G288" t="b">
        <v>0</v>
      </c>
      <c r="H288">
        <v>80</v>
      </c>
    </row>
    <row r="289" spans="1:8" x14ac:dyDescent="0.25">
      <c r="A289" t="s">
        <v>900</v>
      </c>
      <c r="B289">
        <v>5500</v>
      </c>
      <c r="C289">
        <v>0</v>
      </c>
      <c r="D289">
        <v>3</v>
      </c>
      <c r="E289">
        <v>5500</v>
      </c>
      <c r="F289">
        <v>190</v>
      </c>
      <c r="G289" t="b">
        <v>0</v>
      </c>
      <c r="H289">
        <v>190</v>
      </c>
    </row>
    <row r="290" spans="1:8" x14ac:dyDescent="0.25">
      <c r="A290" t="s">
        <v>901</v>
      </c>
      <c r="B290">
        <v>66000</v>
      </c>
      <c r="C290">
        <v>10</v>
      </c>
      <c r="D290">
        <v>1</v>
      </c>
      <c r="E290">
        <v>59400</v>
      </c>
      <c r="F290">
        <v>3000</v>
      </c>
      <c r="G290" t="b">
        <v>0</v>
      </c>
      <c r="H290">
        <v>3</v>
      </c>
    </row>
    <row r="291" spans="1:8" x14ac:dyDescent="0.25">
      <c r="A291" t="s">
        <v>793</v>
      </c>
      <c r="B291">
        <v>18500</v>
      </c>
      <c r="C291">
        <v>5</v>
      </c>
      <c r="D291">
        <v>6</v>
      </c>
      <c r="E291">
        <v>17500</v>
      </c>
      <c r="F291">
        <v>475</v>
      </c>
      <c r="G291" t="b">
        <v>0</v>
      </c>
      <c r="H291">
        <v>475</v>
      </c>
    </row>
    <row r="292" spans="1:8" x14ac:dyDescent="0.25">
      <c r="A292" t="s">
        <v>800</v>
      </c>
      <c r="B292">
        <v>69000</v>
      </c>
      <c r="C292">
        <v>6</v>
      </c>
      <c r="D292">
        <v>2</v>
      </c>
      <c r="E292">
        <v>64800</v>
      </c>
      <c r="F292">
        <v>3000</v>
      </c>
      <c r="G292" t="b">
        <v>0</v>
      </c>
      <c r="H292">
        <v>3</v>
      </c>
    </row>
    <row r="293" spans="1:8" x14ac:dyDescent="0.25">
      <c r="A293" t="s">
        <v>902</v>
      </c>
      <c r="B293">
        <v>11000</v>
      </c>
      <c r="C293">
        <v>30</v>
      </c>
      <c r="D293">
        <v>5</v>
      </c>
      <c r="E293">
        <v>7700</v>
      </c>
      <c r="F293">
        <v>285</v>
      </c>
      <c r="G293" t="b">
        <v>0</v>
      </c>
      <c r="H293">
        <v>285</v>
      </c>
    </row>
    <row r="294" spans="1:8" x14ac:dyDescent="0.25">
      <c r="A294" t="s">
        <v>903</v>
      </c>
      <c r="B294">
        <v>11000</v>
      </c>
      <c r="C294">
        <v>30</v>
      </c>
      <c r="D294">
        <v>2</v>
      </c>
      <c r="E294">
        <v>7700</v>
      </c>
      <c r="F294">
        <v>285</v>
      </c>
      <c r="G294" t="b">
        <v>0</v>
      </c>
      <c r="H294">
        <v>285</v>
      </c>
    </row>
    <row r="295" spans="1:8" x14ac:dyDescent="0.25">
      <c r="A295" t="s">
        <v>904</v>
      </c>
      <c r="B295">
        <v>17900</v>
      </c>
      <c r="C295">
        <v>0</v>
      </c>
      <c r="D295">
        <v>6</v>
      </c>
      <c r="E295">
        <v>17900</v>
      </c>
      <c r="F295">
        <v>450</v>
      </c>
      <c r="G295" t="b">
        <v>0</v>
      </c>
      <c r="H295">
        <v>450</v>
      </c>
    </row>
    <row r="296" spans="1:8" x14ac:dyDescent="0.25">
      <c r="A296" t="s">
        <v>905</v>
      </c>
      <c r="B296">
        <v>14000</v>
      </c>
      <c r="C296">
        <v>15</v>
      </c>
      <c r="D296">
        <v>6</v>
      </c>
      <c r="E296">
        <v>11900</v>
      </c>
      <c r="F296">
        <v>60</v>
      </c>
      <c r="G296" t="b">
        <v>0</v>
      </c>
      <c r="H296">
        <v>60</v>
      </c>
    </row>
    <row r="297" spans="1:8" x14ac:dyDescent="0.25">
      <c r="A297" t="s">
        <v>906</v>
      </c>
      <c r="B297">
        <v>14900</v>
      </c>
      <c r="C297">
        <v>26</v>
      </c>
      <c r="D297">
        <v>6</v>
      </c>
      <c r="E297">
        <v>10900</v>
      </c>
      <c r="F297">
        <v>500</v>
      </c>
      <c r="G297" t="b">
        <v>0</v>
      </c>
      <c r="H297">
        <v>500</v>
      </c>
    </row>
    <row r="298" spans="1:8" x14ac:dyDescent="0.25">
      <c r="A298" t="s">
        <v>907</v>
      </c>
      <c r="B298">
        <v>27900</v>
      </c>
      <c r="C298">
        <v>0</v>
      </c>
      <c r="D298">
        <v>5</v>
      </c>
      <c r="E298">
        <v>27900</v>
      </c>
      <c r="F298">
        <v>300</v>
      </c>
      <c r="G298" t="b">
        <v>0</v>
      </c>
      <c r="H298">
        <v>300</v>
      </c>
    </row>
    <row r="299" spans="1:8" x14ac:dyDescent="0.25">
      <c r="A299" t="s">
        <v>293</v>
      </c>
      <c r="B299">
        <v>5000</v>
      </c>
      <c r="C299">
        <v>2</v>
      </c>
      <c r="D299">
        <v>2</v>
      </c>
      <c r="E299">
        <v>4900</v>
      </c>
      <c r="F299">
        <v>200</v>
      </c>
      <c r="G299" t="b">
        <v>0</v>
      </c>
      <c r="H299">
        <v>200</v>
      </c>
    </row>
    <row r="300" spans="1:8" x14ac:dyDescent="0.25">
      <c r="A300" t="s">
        <v>908</v>
      </c>
      <c r="B300">
        <v>14000</v>
      </c>
      <c r="C300">
        <v>20</v>
      </c>
      <c r="D300">
        <v>6</v>
      </c>
      <c r="E300">
        <v>11200</v>
      </c>
      <c r="F300">
        <v>80</v>
      </c>
      <c r="G300" t="b">
        <v>0</v>
      </c>
      <c r="H300">
        <v>80</v>
      </c>
    </row>
    <row r="301" spans="1:8" x14ac:dyDescent="0.25">
      <c r="A301" t="s">
        <v>909</v>
      </c>
      <c r="B301">
        <v>16100</v>
      </c>
      <c r="C301">
        <v>0</v>
      </c>
      <c r="D301">
        <v>6</v>
      </c>
      <c r="E301">
        <v>16100</v>
      </c>
      <c r="F301">
        <v>300</v>
      </c>
      <c r="G301" t="b">
        <v>0</v>
      </c>
      <c r="H301">
        <v>300</v>
      </c>
    </row>
    <row r="302" spans="1:8" x14ac:dyDescent="0.25">
      <c r="A302" t="s">
        <v>910</v>
      </c>
      <c r="B302">
        <v>22500</v>
      </c>
      <c r="C302">
        <v>15</v>
      </c>
      <c r="D302">
        <v>6</v>
      </c>
      <c r="E302">
        <v>19100</v>
      </c>
      <c r="F302">
        <v>200</v>
      </c>
      <c r="G302" t="b">
        <v>0</v>
      </c>
      <c r="H302">
        <v>200</v>
      </c>
    </row>
    <row r="303" spans="1:8" x14ac:dyDescent="0.25">
      <c r="A303" t="s">
        <v>510</v>
      </c>
      <c r="B303">
        <v>19000</v>
      </c>
      <c r="C303">
        <v>11</v>
      </c>
      <c r="D303">
        <v>6</v>
      </c>
      <c r="E303">
        <v>16900</v>
      </c>
      <c r="F303">
        <v>500</v>
      </c>
      <c r="G303" t="b">
        <v>0</v>
      </c>
      <c r="H303">
        <v>500</v>
      </c>
    </row>
    <row r="304" spans="1:8" x14ac:dyDescent="0.25">
      <c r="A304" t="s">
        <v>911</v>
      </c>
      <c r="B304">
        <v>12300</v>
      </c>
      <c r="C304">
        <v>0</v>
      </c>
      <c r="D304">
        <v>6</v>
      </c>
      <c r="E304">
        <v>12300</v>
      </c>
      <c r="F304">
        <v>600</v>
      </c>
      <c r="G304" t="b">
        <v>0</v>
      </c>
      <c r="H304">
        <v>600</v>
      </c>
    </row>
    <row r="305" spans="1:8" x14ac:dyDescent="0.25">
      <c r="A305" t="s">
        <v>912</v>
      </c>
      <c r="B305">
        <v>27500</v>
      </c>
      <c r="C305">
        <v>10</v>
      </c>
      <c r="D305">
        <v>6</v>
      </c>
      <c r="E305">
        <v>24500</v>
      </c>
      <c r="F305">
        <v>200</v>
      </c>
      <c r="G305" t="b">
        <v>0</v>
      </c>
      <c r="H305">
        <v>200</v>
      </c>
    </row>
    <row r="306" spans="1:8" x14ac:dyDescent="0.25">
      <c r="A306" t="s">
        <v>913</v>
      </c>
      <c r="B306">
        <v>7500</v>
      </c>
      <c r="C306">
        <v>0</v>
      </c>
      <c r="D306">
        <v>6</v>
      </c>
      <c r="E306">
        <v>7500</v>
      </c>
      <c r="F306">
        <v>180</v>
      </c>
      <c r="G306" t="b">
        <v>0</v>
      </c>
      <c r="H306">
        <v>180</v>
      </c>
    </row>
    <row r="307" spans="1:8" x14ac:dyDescent="0.25">
      <c r="A307" t="s">
        <v>914</v>
      </c>
      <c r="B307">
        <v>35000</v>
      </c>
      <c r="C307">
        <v>0</v>
      </c>
      <c r="D307">
        <v>6</v>
      </c>
      <c r="E307">
        <v>35000</v>
      </c>
      <c r="F307">
        <v>880</v>
      </c>
      <c r="G307" t="b">
        <v>0</v>
      </c>
      <c r="H307">
        <v>800</v>
      </c>
    </row>
    <row r="308" spans="1:8" x14ac:dyDescent="0.25">
      <c r="A308" t="s">
        <v>915</v>
      </c>
      <c r="B308">
        <v>13500</v>
      </c>
      <c r="C308">
        <v>11</v>
      </c>
      <c r="D308">
        <v>6</v>
      </c>
      <c r="E308">
        <v>12000</v>
      </c>
      <c r="F308">
        <v>300</v>
      </c>
      <c r="G308" t="b">
        <v>0</v>
      </c>
      <c r="H308">
        <v>300</v>
      </c>
    </row>
    <row r="309" spans="1:8" x14ac:dyDescent="0.25">
      <c r="A309" t="s">
        <v>916</v>
      </c>
      <c r="B309">
        <v>5500</v>
      </c>
      <c r="C309">
        <v>0</v>
      </c>
      <c r="D309">
        <v>5</v>
      </c>
      <c r="E309">
        <v>5500</v>
      </c>
      <c r="F309">
        <v>190</v>
      </c>
      <c r="G309" t="b">
        <v>0</v>
      </c>
      <c r="H309">
        <v>190</v>
      </c>
    </row>
    <row r="310" spans="1:8" x14ac:dyDescent="0.25">
      <c r="A310" t="s">
        <v>501</v>
      </c>
      <c r="B310">
        <v>12000</v>
      </c>
      <c r="C310">
        <v>30</v>
      </c>
      <c r="D310">
        <v>4</v>
      </c>
      <c r="E310">
        <v>8400</v>
      </c>
      <c r="F310">
        <v>285</v>
      </c>
      <c r="G310" t="b">
        <v>0</v>
      </c>
      <c r="H310">
        <v>285</v>
      </c>
    </row>
    <row r="311" spans="1:8" x14ac:dyDescent="0.25">
      <c r="A311" t="s">
        <v>812</v>
      </c>
      <c r="B311">
        <v>6000</v>
      </c>
      <c r="C311">
        <v>6</v>
      </c>
      <c r="D311">
        <v>6</v>
      </c>
      <c r="E311">
        <v>5600</v>
      </c>
      <c r="F311">
        <v>50</v>
      </c>
      <c r="G311" t="b">
        <v>0</v>
      </c>
      <c r="H311">
        <v>50</v>
      </c>
    </row>
    <row r="312" spans="1:8" x14ac:dyDescent="0.25">
      <c r="A312" t="s">
        <v>657</v>
      </c>
      <c r="B312">
        <v>11000</v>
      </c>
      <c r="C312">
        <v>0</v>
      </c>
      <c r="D312">
        <v>6</v>
      </c>
      <c r="E312">
        <v>11000</v>
      </c>
      <c r="F312">
        <v>180</v>
      </c>
      <c r="G312" t="b">
        <v>0</v>
      </c>
      <c r="H312">
        <v>180</v>
      </c>
    </row>
    <row r="313" spans="1:8" x14ac:dyDescent="0.25">
      <c r="A313" t="s">
        <v>917</v>
      </c>
      <c r="B313">
        <v>11000</v>
      </c>
      <c r="C313">
        <v>0</v>
      </c>
      <c r="D313">
        <v>5</v>
      </c>
      <c r="E313">
        <v>11000</v>
      </c>
      <c r="F313">
        <v>300</v>
      </c>
      <c r="G313" t="b">
        <v>0</v>
      </c>
      <c r="H313">
        <v>300</v>
      </c>
    </row>
    <row r="314" spans="1:8" x14ac:dyDescent="0.25">
      <c r="A314" t="s">
        <v>918</v>
      </c>
      <c r="B314">
        <v>27500</v>
      </c>
      <c r="C314">
        <v>14</v>
      </c>
      <c r="D314">
        <v>6</v>
      </c>
      <c r="E314">
        <v>23400</v>
      </c>
      <c r="F314">
        <v>200</v>
      </c>
      <c r="G314" t="b">
        <v>0</v>
      </c>
      <c r="H314">
        <v>200</v>
      </c>
    </row>
    <row r="315" spans="1:8" x14ac:dyDescent="0.25">
      <c r="A315" t="s">
        <v>481</v>
      </c>
      <c r="B315">
        <v>25000</v>
      </c>
      <c r="C315">
        <v>14</v>
      </c>
      <c r="D315">
        <v>6</v>
      </c>
      <c r="E315">
        <v>21300</v>
      </c>
      <c r="F315">
        <v>410</v>
      </c>
      <c r="G315" t="b">
        <v>0</v>
      </c>
      <c r="H315">
        <v>410</v>
      </c>
    </row>
    <row r="316" spans="1:8" x14ac:dyDescent="0.25">
      <c r="A316" t="s">
        <v>919</v>
      </c>
      <c r="B316">
        <v>11400</v>
      </c>
      <c r="C316">
        <v>0</v>
      </c>
      <c r="D316">
        <v>6</v>
      </c>
      <c r="E316">
        <v>11400</v>
      </c>
      <c r="F316">
        <v>480</v>
      </c>
      <c r="G316" t="b">
        <v>0</v>
      </c>
      <c r="H316">
        <v>480</v>
      </c>
    </row>
    <row r="317" spans="1:8" x14ac:dyDescent="0.25">
      <c r="A317" t="s">
        <v>920</v>
      </c>
      <c r="B317">
        <v>23000</v>
      </c>
      <c r="C317">
        <v>0</v>
      </c>
      <c r="D317">
        <v>6</v>
      </c>
      <c r="E317">
        <v>23000</v>
      </c>
      <c r="F317">
        <v>250</v>
      </c>
      <c r="G317" t="b">
        <v>0</v>
      </c>
      <c r="H317">
        <v>250</v>
      </c>
    </row>
    <row r="318" spans="1:8" x14ac:dyDescent="0.25">
      <c r="A318" t="s">
        <v>921</v>
      </c>
      <c r="B318">
        <v>23000</v>
      </c>
      <c r="C318">
        <v>0</v>
      </c>
      <c r="D318">
        <v>4</v>
      </c>
      <c r="E318">
        <v>23000</v>
      </c>
      <c r="F318">
        <v>400</v>
      </c>
      <c r="G318" t="b">
        <v>0</v>
      </c>
      <c r="H318">
        <v>400</v>
      </c>
    </row>
    <row r="319" spans="1:8" x14ac:dyDescent="0.25">
      <c r="A319" t="s">
        <v>922</v>
      </c>
      <c r="B319">
        <v>11000</v>
      </c>
      <c r="C319">
        <v>0</v>
      </c>
      <c r="D319">
        <v>4</v>
      </c>
      <c r="E319">
        <v>11000</v>
      </c>
      <c r="F319">
        <v>300</v>
      </c>
      <c r="G319" t="b">
        <v>0</v>
      </c>
      <c r="H319">
        <v>300</v>
      </c>
    </row>
    <row r="320" spans="1:8" x14ac:dyDescent="0.25">
      <c r="A320" t="s">
        <v>923</v>
      </c>
      <c r="B320">
        <v>11000</v>
      </c>
      <c r="C320">
        <v>0</v>
      </c>
      <c r="D320">
        <v>6</v>
      </c>
      <c r="E320">
        <v>11000</v>
      </c>
      <c r="F320">
        <v>300</v>
      </c>
      <c r="G320" t="b">
        <v>0</v>
      </c>
      <c r="H320">
        <v>300</v>
      </c>
    </row>
    <row r="321" spans="1:8" x14ac:dyDescent="0.25">
      <c r="A321" t="s">
        <v>475</v>
      </c>
      <c r="B321">
        <v>2500</v>
      </c>
      <c r="C321">
        <v>0</v>
      </c>
      <c r="D321">
        <v>1</v>
      </c>
      <c r="E321">
        <v>2500</v>
      </c>
      <c r="F321">
        <v>77</v>
      </c>
      <c r="G321" t="b">
        <v>0</v>
      </c>
      <c r="H321">
        <v>77</v>
      </c>
    </row>
    <row r="322" spans="1:8" x14ac:dyDescent="0.25">
      <c r="A322" t="s">
        <v>924</v>
      </c>
      <c r="B322">
        <v>27200</v>
      </c>
      <c r="C322">
        <v>0</v>
      </c>
      <c r="D322">
        <v>1</v>
      </c>
      <c r="E322">
        <v>27200</v>
      </c>
      <c r="F322">
        <v>300</v>
      </c>
      <c r="G322" t="b">
        <v>0</v>
      </c>
      <c r="H322">
        <v>300</v>
      </c>
    </row>
    <row r="323" spans="1:8" x14ac:dyDescent="0.25">
      <c r="A323" t="s">
        <v>925</v>
      </c>
      <c r="B323">
        <v>25000</v>
      </c>
      <c r="C323">
        <v>0</v>
      </c>
      <c r="D323">
        <v>6</v>
      </c>
      <c r="E323">
        <v>25000</v>
      </c>
      <c r="F323">
        <v>250</v>
      </c>
      <c r="G323" t="b">
        <v>0</v>
      </c>
      <c r="H323">
        <v>250</v>
      </c>
    </row>
    <row r="324" spans="1:8" x14ac:dyDescent="0.25">
      <c r="A324" t="s">
        <v>926</v>
      </c>
      <c r="B324">
        <v>33000</v>
      </c>
      <c r="C324">
        <v>0</v>
      </c>
      <c r="D324">
        <v>6</v>
      </c>
      <c r="E324">
        <v>33000</v>
      </c>
      <c r="F324">
        <v>500</v>
      </c>
      <c r="G324" t="b">
        <v>0</v>
      </c>
      <c r="H324">
        <v>500</v>
      </c>
    </row>
    <row r="325" spans="1:8" x14ac:dyDescent="0.25">
      <c r="A325" t="s">
        <v>927</v>
      </c>
      <c r="B325">
        <v>17500</v>
      </c>
      <c r="C325">
        <v>9</v>
      </c>
      <c r="D325">
        <v>4</v>
      </c>
      <c r="E325">
        <v>15800</v>
      </c>
      <c r="F325">
        <v>375</v>
      </c>
      <c r="G325" t="b">
        <v>0</v>
      </c>
      <c r="H325">
        <v>375</v>
      </c>
    </row>
    <row r="326" spans="1:8" x14ac:dyDescent="0.25">
      <c r="A326" t="s">
        <v>928</v>
      </c>
      <c r="B326">
        <v>12000</v>
      </c>
      <c r="C326">
        <v>0</v>
      </c>
      <c r="D326">
        <v>6</v>
      </c>
      <c r="E326">
        <v>12000</v>
      </c>
      <c r="F326">
        <v>160</v>
      </c>
      <c r="G326" t="b">
        <v>0</v>
      </c>
      <c r="H326">
        <v>160</v>
      </c>
    </row>
    <row r="327" spans="1:8" x14ac:dyDescent="0.25">
      <c r="A327" t="s">
        <v>929</v>
      </c>
      <c r="B327">
        <v>28000</v>
      </c>
      <c r="C327">
        <v>50</v>
      </c>
      <c r="D327">
        <v>6</v>
      </c>
      <c r="E327">
        <v>14000</v>
      </c>
      <c r="F327">
        <v>175</v>
      </c>
      <c r="G327" t="b">
        <v>0</v>
      </c>
      <c r="H327">
        <v>175</v>
      </c>
    </row>
    <row r="328" spans="1:8" x14ac:dyDescent="0.25">
      <c r="A328" t="s">
        <v>930</v>
      </c>
      <c r="B328">
        <v>66000</v>
      </c>
      <c r="C328">
        <v>7</v>
      </c>
      <c r="D328">
        <v>2</v>
      </c>
      <c r="E328">
        <v>60800</v>
      </c>
      <c r="F328">
        <v>3000</v>
      </c>
      <c r="G328" t="b">
        <v>0</v>
      </c>
      <c r="H328">
        <v>3</v>
      </c>
    </row>
    <row r="329" spans="1:8" x14ac:dyDescent="0.25">
      <c r="A329" t="s">
        <v>931</v>
      </c>
      <c r="B329">
        <v>22500</v>
      </c>
      <c r="C329">
        <v>15</v>
      </c>
      <c r="D329">
        <v>6</v>
      </c>
      <c r="E329">
        <v>19100</v>
      </c>
      <c r="F329">
        <v>200</v>
      </c>
      <c r="G329" t="b">
        <v>0</v>
      </c>
      <c r="H329">
        <v>200</v>
      </c>
    </row>
    <row r="330" spans="1:8" x14ac:dyDescent="0.25">
      <c r="A330" t="s">
        <v>932</v>
      </c>
      <c r="B330">
        <v>27500</v>
      </c>
      <c r="C330">
        <v>14</v>
      </c>
      <c r="D330">
        <v>6</v>
      </c>
      <c r="E330">
        <v>23400</v>
      </c>
      <c r="F330">
        <v>200</v>
      </c>
      <c r="G330" t="b">
        <v>0</v>
      </c>
      <c r="H330">
        <v>200</v>
      </c>
    </row>
    <row r="331" spans="1:8" x14ac:dyDescent="0.25">
      <c r="A331" t="s">
        <v>933</v>
      </c>
      <c r="B331">
        <v>27500</v>
      </c>
      <c r="C331">
        <v>14</v>
      </c>
      <c r="D331">
        <v>6</v>
      </c>
      <c r="E331">
        <v>23400</v>
      </c>
      <c r="F331">
        <v>200</v>
      </c>
      <c r="G331" t="b">
        <v>0</v>
      </c>
      <c r="H331">
        <v>200</v>
      </c>
    </row>
    <row r="332" spans="1:8" x14ac:dyDescent="0.25">
      <c r="A332" t="s">
        <v>656</v>
      </c>
      <c r="B332">
        <v>24900</v>
      </c>
      <c r="C332">
        <v>0</v>
      </c>
      <c r="D332">
        <v>4</v>
      </c>
      <c r="E332">
        <v>24900</v>
      </c>
      <c r="F332">
        <v>400</v>
      </c>
      <c r="G332" t="b">
        <v>0</v>
      </c>
      <c r="H332">
        <v>400</v>
      </c>
    </row>
    <row r="333" spans="1:8" x14ac:dyDescent="0.25">
      <c r="A333" t="s">
        <v>934</v>
      </c>
      <c r="B333">
        <v>14000</v>
      </c>
      <c r="C333">
        <v>15</v>
      </c>
      <c r="D333">
        <v>6</v>
      </c>
      <c r="E333">
        <v>11900</v>
      </c>
      <c r="F333">
        <v>60</v>
      </c>
      <c r="G333" t="b">
        <v>0</v>
      </c>
      <c r="H333">
        <v>60</v>
      </c>
    </row>
    <row r="334" spans="1:8" x14ac:dyDescent="0.25">
      <c r="A334" t="s">
        <v>935</v>
      </c>
      <c r="B334">
        <v>32500</v>
      </c>
      <c r="C334">
        <v>9</v>
      </c>
      <c r="D334">
        <v>5</v>
      </c>
      <c r="E334">
        <v>29300</v>
      </c>
      <c r="F334">
        <v>200</v>
      </c>
      <c r="G334" t="b">
        <v>0</v>
      </c>
      <c r="H334">
        <v>200</v>
      </c>
    </row>
    <row r="335" spans="1:8" x14ac:dyDescent="0.25">
      <c r="A335" t="s">
        <v>936</v>
      </c>
      <c r="B335">
        <v>27500</v>
      </c>
      <c r="C335">
        <v>14</v>
      </c>
      <c r="D335">
        <v>6</v>
      </c>
      <c r="E335">
        <v>23400</v>
      </c>
      <c r="F335">
        <v>200</v>
      </c>
      <c r="G335" t="b">
        <v>0</v>
      </c>
      <c r="H335">
        <v>200</v>
      </c>
    </row>
    <row r="336" spans="1:8" x14ac:dyDescent="0.25">
      <c r="A336" t="s">
        <v>937</v>
      </c>
      <c r="B336">
        <v>11400</v>
      </c>
      <c r="C336">
        <v>0</v>
      </c>
      <c r="D336">
        <v>6</v>
      </c>
      <c r="E336">
        <v>11400</v>
      </c>
      <c r="F336">
        <v>480</v>
      </c>
      <c r="G336" t="b">
        <v>0</v>
      </c>
      <c r="H336">
        <v>480</v>
      </c>
    </row>
    <row r="337" spans="1:8" x14ac:dyDescent="0.25">
      <c r="A337" t="s">
        <v>478</v>
      </c>
      <c r="B337">
        <v>25000</v>
      </c>
      <c r="C337">
        <v>0</v>
      </c>
      <c r="D337">
        <v>5</v>
      </c>
      <c r="E337">
        <v>25000</v>
      </c>
      <c r="F337">
        <v>400</v>
      </c>
      <c r="G337" t="b">
        <v>0</v>
      </c>
      <c r="H337">
        <v>400</v>
      </c>
    </row>
    <row r="338" spans="1:8" x14ac:dyDescent="0.25">
      <c r="A338" t="s">
        <v>938</v>
      </c>
      <c r="B338">
        <v>61000</v>
      </c>
      <c r="C338">
        <v>0</v>
      </c>
      <c r="D338">
        <v>2</v>
      </c>
      <c r="E338">
        <v>61000</v>
      </c>
      <c r="F338">
        <v>400</v>
      </c>
      <c r="G338" t="b">
        <v>0</v>
      </c>
      <c r="H338">
        <v>400</v>
      </c>
    </row>
    <row r="339" spans="1:8" x14ac:dyDescent="0.25">
      <c r="A339" t="s">
        <v>939</v>
      </c>
      <c r="B339">
        <v>9100</v>
      </c>
      <c r="C339">
        <v>0</v>
      </c>
      <c r="D339">
        <v>6</v>
      </c>
      <c r="E339">
        <v>9100</v>
      </c>
      <c r="F339">
        <v>60</v>
      </c>
      <c r="G339" t="b">
        <v>0</v>
      </c>
      <c r="H339">
        <v>60</v>
      </c>
    </row>
    <row r="340" spans="1:8" x14ac:dyDescent="0.25">
      <c r="A340" t="s">
        <v>940</v>
      </c>
      <c r="B340">
        <v>23000</v>
      </c>
      <c r="C340">
        <v>0</v>
      </c>
      <c r="D340">
        <v>4</v>
      </c>
      <c r="E340">
        <v>23000</v>
      </c>
      <c r="F340">
        <v>400</v>
      </c>
      <c r="G340" t="b">
        <v>0</v>
      </c>
      <c r="H340">
        <v>400</v>
      </c>
    </row>
    <row r="341" spans="1:8" x14ac:dyDescent="0.25">
      <c r="A341" t="s">
        <v>941</v>
      </c>
      <c r="B341">
        <v>27500</v>
      </c>
      <c r="C341">
        <v>14</v>
      </c>
      <c r="D341">
        <v>6</v>
      </c>
      <c r="E341">
        <v>23400</v>
      </c>
      <c r="F341">
        <v>200</v>
      </c>
      <c r="G341" t="b">
        <v>0</v>
      </c>
      <c r="H341">
        <v>200</v>
      </c>
    </row>
    <row r="342" spans="1:8" x14ac:dyDescent="0.25">
      <c r="A342" t="s">
        <v>942</v>
      </c>
      <c r="B342">
        <v>6500</v>
      </c>
      <c r="C342">
        <v>6</v>
      </c>
      <c r="D342">
        <v>3</v>
      </c>
      <c r="E342">
        <v>6100</v>
      </c>
      <c r="F342">
        <v>52</v>
      </c>
      <c r="G342" t="b">
        <v>0</v>
      </c>
      <c r="H342">
        <v>52</v>
      </c>
    </row>
    <row r="343" spans="1:8" x14ac:dyDescent="0.25">
      <c r="A343" t="s">
        <v>943</v>
      </c>
      <c r="B343">
        <v>59500</v>
      </c>
      <c r="C343">
        <v>0</v>
      </c>
      <c r="D343">
        <v>5</v>
      </c>
      <c r="E343">
        <v>59500</v>
      </c>
      <c r="F343">
        <v>1000</v>
      </c>
      <c r="G343" t="b">
        <v>0</v>
      </c>
      <c r="H343">
        <v>1</v>
      </c>
    </row>
    <row r="344" spans="1:8" x14ac:dyDescent="0.25">
      <c r="A344" t="s">
        <v>860</v>
      </c>
      <c r="B344">
        <v>10500</v>
      </c>
      <c r="C344">
        <v>0</v>
      </c>
      <c r="D344">
        <v>4</v>
      </c>
      <c r="E344">
        <v>10500</v>
      </c>
      <c r="F344">
        <v>850</v>
      </c>
      <c r="G344" t="b">
        <v>0</v>
      </c>
      <c r="H344">
        <v>850</v>
      </c>
    </row>
    <row r="345" spans="1:8" x14ac:dyDescent="0.25">
      <c r="A345" t="s">
        <v>523</v>
      </c>
      <c r="B345">
        <v>4400</v>
      </c>
      <c r="C345">
        <v>0</v>
      </c>
      <c r="D345">
        <v>0</v>
      </c>
      <c r="E345">
        <v>4400</v>
      </c>
      <c r="F345">
        <v>280</v>
      </c>
      <c r="G345" t="b">
        <v>1</v>
      </c>
      <c r="H345">
        <v>280</v>
      </c>
    </row>
    <row r="346" spans="1:8" x14ac:dyDescent="0.25">
      <c r="A346" t="s">
        <v>944</v>
      </c>
      <c r="B346">
        <v>2000</v>
      </c>
      <c r="C346">
        <v>0</v>
      </c>
      <c r="D346">
        <v>0</v>
      </c>
      <c r="E346">
        <v>2000</v>
      </c>
      <c r="F346">
        <v>90</v>
      </c>
      <c r="G346" t="b">
        <v>1</v>
      </c>
      <c r="H346">
        <v>90</v>
      </c>
    </row>
    <row r="347" spans="1:8" x14ac:dyDescent="0.25">
      <c r="A347" t="s">
        <v>945</v>
      </c>
      <c r="B347">
        <v>6000</v>
      </c>
      <c r="C347">
        <v>6</v>
      </c>
      <c r="D347">
        <v>0</v>
      </c>
      <c r="E347">
        <v>5600</v>
      </c>
      <c r="F347">
        <v>156</v>
      </c>
      <c r="G347" t="b">
        <v>1</v>
      </c>
      <c r="H347">
        <v>156</v>
      </c>
    </row>
    <row r="348" spans="1:8" x14ac:dyDescent="0.25">
      <c r="A348" t="s">
        <v>946</v>
      </c>
      <c r="B348">
        <v>15500</v>
      </c>
      <c r="C348">
        <v>0</v>
      </c>
      <c r="D348">
        <v>0</v>
      </c>
      <c r="E348">
        <v>15500</v>
      </c>
      <c r="F348">
        <v>500</v>
      </c>
      <c r="G348" t="b">
        <v>1</v>
      </c>
      <c r="H348">
        <v>500</v>
      </c>
    </row>
    <row r="349" spans="1:8" x14ac:dyDescent="0.25">
      <c r="A349" t="s">
        <v>947</v>
      </c>
      <c r="B349">
        <v>6000</v>
      </c>
      <c r="C349">
        <v>5</v>
      </c>
      <c r="D349">
        <v>0</v>
      </c>
      <c r="E349">
        <v>5700</v>
      </c>
      <c r="F349">
        <v>200</v>
      </c>
      <c r="G349" t="b">
        <v>1</v>
      </c>
      <c r="H349">
        <v>200</v>
      </c>
    </row>
    <row r="350" spans="1:8" x14ac:dyDescent="0.25">
      <c r="A350" t="s">
        <v>668</v>
      </c>
      <c r="B350">
        <v>8500</v>
      </c>
      <c r="C350">
        <v>0</v>
      </c>
      <c r="D350">
        <v>0</v>
      </c>
      <c r="E350">
        <v>8500</v>
      </c>
      <c r="F350">
        <v>200</v>
      </c>
      <c r="G350" t="b">
        <v>1</v>
      </c>
      <c r="H350">
        <v>200</v>
      </c>
    </row>
    <row r="351" spans="1:8" x14ac:dyDescent="0.25">
      <c r="A351" t="s">
        <v>948</v>
      </c>
      <c r="B351">
        <v>5000</v>
      </c>
      <c r="C351">
        <v>24</v>
      </c>
      <c r="D351">
        <v>0</v>
      </c>
      <c r="E351">
        <v>3800</v>
      </c>
      <c r="F351">
        <v>200</v>
      </c>
      <c r="G351" t="b">
        <v>1</v>
      </c>
      <c r="H351">
        <v>200</v>
      </c>
    </row>
    <row r="352" spans="1:8" x14ac:dyDescent="0.25">
      <c r="A352" t="s">
        <v>949</v>
      </c>
      <c r="B352">
        <v>4000</v>
      </c>
      <c r="C352">
        <v>2</v>
      </c>
      <c r="D352">
        <v>0</v>
      </c>
      <c r="E352">
        <v>3900</v>
      </c>
      <c r="F352">
        <v>40</v>
      </c>
      <c r="G352" t="b">
        <v>1</v>
      </c>
      <c r="H352">
        <v>40</v>
      </c>
    </row>
    <row r="353" spans="1:8" x14ac:dyDescent="0.25">
      <c r="A353" t="s">
        <v>950</v>
      </c>
      <c r="B353">
        <v>3500</v>
      </c>
      <c r="C353">
        <v>2</v>
      </c>
      <c r="D353">
        <v>0</v>
      </c>
      <c r="E353">
        <v>3400</v>
      </c>
      <c r="F353">
        <v>70</v>
      </c>
      <c r="G353" t="b">
        <v>1</v>
      </c>
      <c r="H353">
        <v>70</v>
      </c>
    </row>
    <row r="354" spans="1:8" x14ac:dyDescent="0.25">
      <c r="A354" t="s">
        <v>674</v>
      </c>
      <c r="B354">
        <v>18500</v>
      </c>
      <c r="C354">
        <v>20</v>
      </c>
      <c r="D354">
        <v>0</v>
      </c>
      <c r="E354">
        <v>14800</v>
      </c>
      <c r="F354">
        <v>325</v>
      </c>
      <c r="G354" t="b">
        <v>1</v>
      </c>
      <c r="H354">
        <v>325</v>
      </c>
    </row>
    <row r="355" spans="1:8" x14ac:dyDescent="0.25">
      <c r="A355" t="s">
        <v>538</v>
      </c>
      <c r="B355">
        <v>1000</v>
      </c>
      <c r="C355">
        <v>0</v>
      </c>
      <c r="D355">
        <v>0</v>
      </c>
      <c r="E355">
        <v>1000</v>
      </c>
      <c r="F355">
        <v>20</v>
      </c>
      <c r="G355" t="b">
        <v>1</v>
      </c>
      <c r="H355">
        <v>20</v>
      </c>
    </row>
    <row r="356" spans="1:8" x14ac:dyDescent="0.25">
      <c r="A356" t="s">
        <v>94</v>
      </c>
      <c r="B356">
        <v>6000</v>
      </c>
      <c r="C356">
        <v>5</v>
      </c>
      <c r="D356">
        <v>0</v>
      </c>
      <c r="E356">
        <v>5700</v>
      </c>
      <c r="F356">
        <v>500</v>
      </c>
      <c r="G356" t="b">
        <v>1</v>
      </c>
      <c r="H356">
        <v>500</v>
      </c>
    </row>
    <row r="357" spans="1:8" x14ac:dyDescent="0.25">
      <c r="A357" t="s">
        <v>95</v>
      </c>
      <c r="B357">
        <v>4100</v>
      </c>
      <c r="C357">
        <v>4</v>
      </c>
      <c r="D357">
        <v>0</v>
      </c>
      <c r="E357">
        <v>3900</v>
      </c>
      <c r="F357">
        <v>200</v>
      </c>
      <c r="G357" t="b">
        <v>1</v>
      </c>
      <c r="H357">
        <v>200</v>
      </c>
    </row>
    <row r="358" spans="1:8" x14ac:dyDescent="0.25">
      <c r="A358" t="s">
        <v>675</v>
      </c>
      <c r="B358">
        <v>8500</v>
      </c>
      <c r="C358">
        <v>3</v>
      </c>
      <c r="D358">
        <v>0</v>
      </c>
      <c r="E358">
        <v>8200</v>
      </c>
      <c r="F358">
        <v>200</v>
      </c>
      <c r="G358" t="b">
        <v>1</v>
      </c>
      <c r="H358">
        <v>200</v>
      </c>
    </row>
    <row r="359" spans="1:8" x14ac:dyDescent="0.25">
      <c r="A359" t="s">
        <v>541</v>
      </c>
      <c r="B359">
        <v>10700</v>
      </c>
      <c r="C359">
        <v>0</v>
      </c>
      <c r="D359">
        <v>0</v>
      </c>
      <c r="E359">
        <v>10700</v>
      </c>
      <c r="F359">
        <v>600</v>
      </c>
      <c r="G359" t="b">
        <v>1</v>
      </c>
      <c r="H359">
        <v>600</v>
      </c>
    </row>
    <row r="360" spans="1:8" x14ac:dyDescent="0.25">
      <c r="A360" t="s">
        <v>542</v>
      </c>
      <c r="B360">
        <v>1500</v>
      </c>
      <c r="C360">
        <v>0</v>
      </c>
      <c r="D360">
        <v>0</v>
      </c>
      <c r="E360">
        <v>1500</v>
      </c>
      <c r="F360">
        <v>38</v>
      </c>
      <c r="G360" t="b">
        <v>1</v>
      </c>
      <c r="H360">
        <v>38</v>
      </c>
    </row>
    <row r="361" spans="1:8" x14ac:dyDescent="0.25">
      <c r="A361" t="s">
        <v>951</v>
      </c>
      <c r="B361">
        <v>6000</v>
      </c>
      <c r="C361">
        <v>5</v>
      </c>
      <c r="D361">
        <v>0</v>
      </c>
      <c r="E361">
        <v>5700</v>
      </c>
      <c r="F361">
        <v>200</v>
      </c>
      <c r="G361" t="b">
        <v>1</v>
      </c>
      <c r="H361">
        <v>200</v>
      </c>
    </row>
    <row r="362" spans="1:8" x14ac:dyDescent="0.25">
      <c r="A362" t="s">
        <v>952</v>
      </c>
      <c r="B362">
        <v>3100</v>
      </c>
      <c r="C362">
        <v>9</v>
      </c>
      <c r="D362">
        <v>0</v>
      </c>
      <c r="E362">
        <v>2800</v>
      </c>
      <c r="F362">
        <v>70</v>
      </c>
      <c r="G362" t="b">
        <v>1</v>
      </c>
      <c r="H362">
        <v>70</v>
      </c>
    </row>
    <row r="363" spans="1:8" x14ac:dyDescent="0.25">
      <c r="A363" t="s">
        <v>548</v>
      </c>
      <c r="B363">
        <v>5000</v>
      </c>
      <c r="C363">
        <v>0</v>
      </c>
      <c r="D363">
        <v>0</v>
      </c>
      <c r="E363">
        <v>5000</v>
      </c>
      <c r="F363">
        <v>70</v>
      </c>
      <c r="G363" t="b">
        <v>1</v>
      </c>
      <c r="H363">
        <v>70</v>
      </c>
    </row>
    <row r="364" spans="1:8" x14ac:dyDescent="0.25">
      <c r="A364" t="s">
        <v>953</v>
      </c>
      <c r="B364">
        <v>6900</v>
      </c>
      <c r="C364">
        <v>8</v>
      </c>
      <c r="D364">
        <v>0</v>
      </c>
      <c r="E364">
        <v>6300</v>
      </c>
      <c r="F364">
        <v>250</v>
      </c>
      <c r="G364" t="b">
        <v>1</v>
      </c>
      <c r="H364">
        <v>250</v>
      </c>
    </row>
    <row r="365" spans="1:8" x14ac:dyDescent="0.25">
      <c r="A365" t="s">
        <v>555</v>
      </c>
      <c r="B365">
        <v>4800</v>
      </c>
      <c r="C365">
        <v>6</v>
      </c>
      <c r="D365">
        <v>0</v>
      </c>
      <c r="E365">
        <v>4500</v>
      </c>
      <c r="F365">
        <v>240</v>
      </c>
      <c r="G365" t="b">
        <v>1</v>
      </c>
      <c r="H365">
        <v>240</v>
      </c>
    </row>
    <row r="366" spans="1:8" x14ac:dyDescent="0.25">
      <c r="A366" t="s">
        <v>558</v>
      </c>
      <c r="B366">
        <v>9100</v>
      </c>
      <c r="C366">
        <v>9</v>
      </c>
      <c r="D366">
        <v>0</v>
      </c>
      <c r="E366">
        <v>8200</v>
      </c>
      <c r="F366">
        <v>560</v>
      </c>
      <c r="G366" t="b">
        <v>1</v>
      </c>
      <c r="H366">
        <v>560</v>
      </c>
    </row>
    <row r="367" spans="1:8" x14ac:dyDescent="0.25">
      <c r="A367" t="s">
        <v>954</v>
      </c>
      <c r="B367">
        <v>26500</v>
      </c>
      <c r="C367">
        <v>10</v>
      </c>
      <c r="D367">
        <v>0</v>
      </c>
      <c r="E367">
        <v>23600</v>
      </c>
      <c r="F367">
        <v>575</v>
      </c>
      <c r="G367" t="b">
        <v>1</v>
      </c>
      <c r="H367">
        <v>575</v>
      </c>
    </row>
    <row r="368" spans="1:8" x14ac:dyDescent="0.25">
      <c r="A368" t="s">
        <v>955</v>
      </c>
      <c r="B368">
        <v>3100</v>
      </c>
      <c r="C368">
        <v>9</v>
      </c>
      <c r="D368">
        <v>0</v>
      </c>
      <c r="E368">
        <v>2800</v>
      </c>
      <c r="F368">
        <v>70</v>
      </c>
      <c r="G368" t="b">
        <v>1</v>
      </c>
      <c r="H368">
        <v>75</v>
      </c>
    </row>
    <row r="369" spans="1:8" x14ac:dyDescent="0.25">
      <c r="A369" t="s">
        <v>956</v>
      </c>
      <c r="B369">
        <v>2400</v>
      </c>
      <c r="C369">
        <v>0</v>
      </c>
      <c r="D369">
        <v>0</v>
      </c>
      <c r="E369">
        <v>2400</v>
      </c>
      <c r="F369">
        <v>75</v>
      </c>
      <c r="G369" t="b">
        <v>1</v>
      </c>
      <c r="H369">
        <v>75</v>
      </c>
    </row>
    <row r="370" spans="1:8" x14ac:dyDescent="0.25">
      <c r="A370" t="s">
        <v>562</v>
      </c>
      <c r="B370">
        <v>16000</v>
      </c>
      <c r="C370">
        <v>50</v>
      </c>
      <c r="D370">
        <v>0</v>
      </c>
      <c r="E370">
        <v>8000</v>
      </c>
      <c r="F370">
        <v>500</v>
      </c>
      <c r="G370" t="b">
        <v>1</v>
      </c>
      <c r="H370">
        <v>500</v>
      </c>
    </row>
    <row r="371" spans="1:8" x14ac:dyDescent="0.25">
      <c r="A371" t="s">
        <v>957</v>
      </c>
      <c r="B371">
        <v>2000</v>
      </c>
      <c r="C371">
        <v>10</v>
      </c>
      <c r="D371">
        <v>0</v>
      </c>
      <c r="E371">
        <v>1800</v>
      </c>
      <c r="F371">
        <v>100</v>
      </c>
      <c r="G371" t="b">
        <v>1</v>
      </c>
      <c r="H371">
        <v>100</v>
      </c>
    </row>
    <row r="372" spans="1:8" x14ac:dyDescent="0.25">
      <c r="A372" t="s">
        <v>565</v>
      </c>
      <c r="B372">
        <v>19000</v>
      </c>
      <c r="C372">
        <v>0</v>
      </c>
      <c r="D372">
        <v>0</v>
      </c>
      <c r="E372">
        <v>19000</v>
      </c>
      <c r="F372">
        <v>300</v>
      </c>
      <c r="G372" t="b">
        <v>1</v>
      </c>
      <c r="H372">
        <v>300</v>
      </c>
    </row>
    <row r="373" spans="1:8" x14ac:dyDescent="0.25">
      <c r="A373" t="s">
        <v>566</v>
      </c>
      <c r="B373">
        <v>2800</v>
      </c>
      <c r="C373">
        <v>17</v>
      </c>
      <c r="D373">
        <v>0</v>
      </c>
      <c r="E373">
        <v>2300</v>
      </c>
      <c r="F373">
        <v>65</v>
      </c>
      <c r="G373" t="b">
        <v>1</v>
      </c>
      <c r="H373">
        <v>65</v>
      </c>
    </row>
    <row r="374" spans="1:8" x14ac:dyDescent="0.25">
      <c r="A374" t="s">
        <v>96</v>
      </c>
      <c r="B374">
        <v>16000</v>
      </c>
      <c r="C374">
        <v>5</v>
      </c>
      <c r="D374">
        <v>0</v>
      </c>
      <c r="E374">
        <v>15200</v>
      </c>
      <c r="F374">
        <v>1000</v>
      </c>
      <c r="G374" t="b">
        <v>1</v>
      </c>
      <c r="H374">
        <v>1</v>
      </c>
    </row>
    <row r="375" spans="1:8" x14ac:dyDescent="0.25">
      <c r="A375" t="s">
        <v>958</v>
      </c>
      <c r="B375">
        <v>2500</v>
      </c>
      <c r="C375">
        <v>0</v>
      </c>
      <c r="D375">
        <v>0</v>
      </c>
      <c r="E375">
        <v>2500</v>
      </c>
      <c r="F375">
        <v>60</v>
      </c>
      <c r="G375" t="b">
        <v>1</v>
      </c>
      <c r="H375">
        <v>60</v>
      </c>
    </row>
    <row r="376" spans="1:8" x14ac:dyDescent="0.25">
      <c r="A376" t="s">
        <v>959</v>
      </c>
      <c r="B376">
        <v>12000</v>
      </c>
      <c r="C376">
        <v>7</v>
      </c>
      <c r="D376">
        <v>0</v>
      </c>
      <c r="E376">
        <v>11100</v>
      </c>
      <c r="F376">
        <v>950</v>
      </c>
      <c r="G376" t="b">
        <v>1</v>
      </c>
      <c r="H376">
        <v>950</v>
      </c>
    </row>
    <row r="377" spans="1:8" x14ac:dyDescent="0.25">
      <c r="A377" t="s">
        <v>960</v>
      </c>
      <c r="B377">
        <v>5500</v>
      </c>
      <c r="C377">
        <v>3</v>
      </c>
      <c r="D377">
        <v>0</v>
      </c>
      <c r="E377">
        <v>5300</v>
      </c>
      <c r="F377">
        <v>180</v>
      </c>
      <c r="G377" t="b">
        <v>1</v>
      </c>
      <c r="H377">
        <v>180</v>
      </c>
    </row>
    <row r="378" spans="1:8" x14ac:dyDescent="0.25">
      <c r="A378" t="s">
        <v>961</v>
      </c>
      <c r="B378">
        <v>13500</v>
      </c>
      <c r="C378">
        <v>6</v>
      </c>
      <c r="D378">
        <v>0</v>
      </c>
      <c r="E378">
        <v>12600</v>
      </c>
      <c r="F378">
        <v>500</v>
      </c>
      <c r="G378" t="b">
        <v>1</v>
      </c>
      <c r="H378">
        <v>500</v>
      </c>
    </row>
    <row r="379" spans="1:8" x14ac:dyDescent="0.25">
      <c r="A379" t="s">
        <v>962</v>
      </c>
      <c r="B379">
        <v>16000</v>
      </c>
      <c r="C379">
        <v>5</v>
      </c>
      <c r="D379">
        <v>0</v>
      </c>
      <c r="E379">
        <v>15200</v>
      </c>
      <c r="F379">
        <v>320</v>
      </c>
      <c r="G379" t="b">
        <v>1</v>
      </c>
      <c r="H379">
        <v>320</v>
      </c>
    </row>
    <row r="380" spans="1:8" x14ac:dyDescent="0.25">
      <c r="A380" t="s">
        <v>963</v>
      </c>
      <c r="B380">
        <v>11500</v>
      </c>
      <c r="C380">
        <v>4</v>
      </c>
      <c r="D380">
        <v>0</v>
      </c>
      <c r="E380">
        <v>11000</v>
      </c>
      <c r="F380">
        <v>400</v>
      </c>
      <c r="G380" t="b">
        <v>1</v>
      </c>
      <c r="H380">
        <v>400</v>
      </c>
    </row>
    <row r="381" spans="1:8" x14ac:dyDescent="0.25">
      <c r="A381" t="s">
        <v>573</v>
      </c>
      <c r="B381">
        <v>15000</v>
      </c>
      <c r="C381">
        <v>4</v>
      </c>
      <c r="D381">
        <v>0</v>
      </c>
      <c r="E381">
        <v>14300</v>
      </c>
      <c r="F381">
        <v>250</v>
      </c>
      <c r="G381" t="b">
        <v>1</v>
      </c>
      <c r="H381">
        <v>250</v>
      </c>
    </row>
    <row r="382" spans="1:8" x14ac:dyDescent="0.25">
      <c r="A382" t="s">
        <v>964</v>
      </c>
      <c r="B382">
        <v>29500</v>
      </c>
      <c r="C382">
        <v>9</v>
      </c>
      <c r="D382">
        <v>0</v>
      </c>
      <c r="E382">
        <v>26600</v>
      </c>
      <c r="F382">
        <v>350</v>
      </c>
      <c r="G382" t="b">
        <v>1</v>
      </c>
      <c r="H382">
        <v>350</v>
      </c>
    </row>
    <row r="383" spans="1:8" x14ac:dyDescent="0.25">
      <c r="A383" t="s">
        <v>572</v>
      </c>
      <c r="B383">
        <v>7200</v>
      </c>
      <c r="C383">
        <v>0</v>
      </c>
      <c r="D383">
        <v>0</v>
      </c>
      <c r="E383">
        <v>7200</v>
      </c>
      <c r="F383">
        <v>280</v>
      </c>
      <c r="G383" t="b">
        <v>1</v>
      </c>
      <c r="H383">
        <v>280</v>
      </c>
    </row>
    <row r="384" spans="1:8" x14ac:dyDescent="0.25">
      <c r="A384" t="s">
        <v>965</v>
      </c>
      <c r="B384">
        <v>5500</v>
      </c>
      <c r="C384">
        <v>0</v>
      </c>
      <c r="D384">
        <v>0</v>
      </c>
      <c r="E384">
        <v>5500</v>
      </c>
      <c r="F384">
        <v>190</v>
      </c>
      <c r="G384" t="b">
        <v>1</v>
      </c>
      <c r="H384">
        <v>190</v>
      </c>
    </row>
    <row r="385" spans="1:8" x14ac:dyDescent="0.25">
      <c r="A385" t="s">
        <v>966</v>
      </c>
      <c r="B385">
        <v>13500</v>
      </c>
      <c r="C385">
        <v>0</v>
      </c>
      <c r="D385">
        <v>0</v>
      </c>
      <c r="E385">
        <v>13500</v>
      </c>
      <c r="F385">
        <v>500</v>
      </c>
      <c r="G385" t="b">
        <v>1</v>
      </c>
      <c r="H385">
        <v>500</v>
      </c>
    </row>
    <row r="386" spans="1:8" x14ac:dyDescent="0.25">
      <c r="A386" t="s">
        <v>966</v>
      </c>
      <c r="B386">
        <v>25000</v>
      </c>
      <c r="C386">
        <v>0</v>
      </c>
      <c r="D386">
        <v>0</v>
      </c>
      <c r="E386">
        <v>25000</v>
      </c>
      <c r="F386">
        <v>1000</v>
      </c>
      <c r="G386" t="b">
        <v>1</v>
      </c>
      <c r="H386">
        <v>1</v>
      </c>
    </row>
    <row r="387" spans="1:8" x14ac:dyDescent="0.25">
      <c r="A387" t="s">
        <v>967</v>
      </c>
      <c r="B387">
        <v>8500</v>
      </c>
      <c r="C387">
        <v>0</v>
      </c>
      <c r="D387">
        <v>0</v>
      </c>
      <c r="E387">
        <v>8500</v>
      </c>
      <c r="F387">
        <v>400</v>
      </c>
      <c r="G387" t="b">
        <v>1</v>
      </c>
      <c r="H387">
        <v>400</v>
      </c>
    </row>
    <row r="388" spans="1:8" x14ac:dyDescent="0.25">
      <c r="A388" t="s">
        <v>968</v>
      </c>
      <c r="B388">
        <v>7900</v>
      </c>
      <c r="C388">
        <v>0</v>
      </c>
      <c r="D388">
        <v>0</v>
      </c>
      <c r="E388">
        <v>7900</v>
      </c>
      <c r="F388">
        <v>250</v>
      </c>
      <c r="G388" t="b">
        <v>1</v>
      </c>
      <c r="H388">
        <v>250</v>
      </c>
    </row>
    <row r="389" spans="1:8" x14ac:dyDescent="0.25">
      <c r="A389" t="s">
        <v>969</v>
      </c>
      <c r="B389">
        <v>25000</v>
      </c>
      <c r="C389">
        <v>0</v>
      </c>
      <c r="D389">
        <v>0</v>
      </c>
      <c r="E389">
        <v>25000</v>
      </c>
      <c r="F389">
        <v>450</v>
      </c>
      <c r="G389" t="b">
        <v>1</v>
      </c>
      <c r="H389">
        <v>450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H389"/>
  <sheetViews>
    <sheetView topLeftCell="A166"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97</v>
      </c>
      <c r="B2">
        <v>1200</v>
      </c>
      <c r="C2">
        <v>0</v>
      </c>
      <c r="D2">
        <v>6</v>
      </c>
      <c r="E2">
        <v>1200</v>
      </c>
      <c r="F2">
        <v>70</v>
      </c>
      <c r="G2" t="b">
        <v>0</v>
      </c>
      <c r="H2">
        <v>70</v>
      </c>
    </row>
    <row r="3" spans="1:8" x14ac:dyDescent="0.25">
      <c r="A3" t="s">
        <v>98</v>
      </c>
      <c r="B3">
        <v>8000</v>
      </c>
      <c r="C3">
        <v>15</v>
      </c>
      <c r="D3">
        <v>6</v>
      </c>
      <c r="E3">
        <v>6800</v>
      </c>
      <c r="F3">
        <v>1000</v>
      </c>
      <c r="G3" t="b">
        <v>0</v>
      </c>
      <c r="H3">
        <v>1</v>
      </c>
    </row>
    <row r="4" spans="1:8" x14ac:dyDescent="0.25">
      <c r="A4" t="s">
        <v>683</v>
      </c>
      <c r="B4">
        <v>8000</v>
      </c>
      <c r="C4">
        <v>10</v>
      </c>
      <c r="D4">
        <v>4</v>
      </c>
      <c r="E4">
        <v>7200</v>
      </c>
      <c r="F4">
        <v>400</v>
      </c>
      <c r="G4" t="b">
        <v>0</v>
      </c>
      <c r="H4">
        <v>400</v>
      </c>
    </row>
    <row r="5" spans="1:8" x14ac:dyDescent="0.25">
      <c r="A5" t="s">
        <v>684</v>
      </c>
      <c r="B5">
        <v>8000</v>
      </c>
      <c r="C5">
        <v>12</v>
      </c>
      <c r="D5">
        <v>6</v>
      </c>
      <c r="E5">
        <v>7000</v>
      </c>
      <c r="F5">
        <v>400</v>
      </c>
      <c r="G5" t="b">
        <v>0</v>
      </c>
      <c r="H5">
        <v>400</v>
      </c>
    </row>
    <row r="6" spans="1:8" x14ac:dyDescent="0.25">
      <c r="A6" t="s">
        <v>685</v>
      </c>
      <c r="B6">
        <v>11000</v>
      </c>
      <c r="C6">
        <v>4</v>
      </c>
      <c r="D6">
        <v>6</v>
      </c>
      <c r="E6">
        <v>10500</v>
      </c>
      <c r="F6">
        <v>400</v>
      </c>
      <c r="G6" t="b">
        <v>0</v>
      </c>
      <c r="H6">
        <v>400</v>
      </c>
    </row>
    <row r="7" spans="1:8" x14ac:dyDescent="0.25">
      <c r="A7" t="s">
        <v>686</v>
      </c>
      <c r="B7">
        <v>12000</v>
      </c>
      <c r="C7">
        <v>5</v>
      </c>
      <c r="D7">
        <v>6</v>
      </c>
      <c r="E7">
        <v>11400</v>
      </c>
      <c r="F7">
        <v>415</v>
      </c>
      <c r="G7" t="b">
        <v>0</v>
      </c>
      <c r="H7">
        <v>415</v>
      </c>
    </row>
    <row r="8" spans="1:8" x14ac:dyDescent="0.25">
      <c r="A8" t="s">
        <v>687</v>
      </c>
      <c r="B8">
        <v>11500</v>
      </c>
      <c r="C8">
        <v>3</v>
      </c>
      <c r="D8">
        <v>6</v>
      </c>
      <c r="E8">
        <v>11100</v>
      </c>
      <c r="F8">
        <v>360</v>
      </c>
      <c r="G8" t="b">
        <v>0</v>
      </c>
      <c r="H8">
        <v>360</v>
      </c>
    </row>
    <row r="9" spans="1:8" x14ac:dyDescent="0.25">
      <c r="A9" t="s">
        <v>688</v>
      </c>
      <c r="B9">
        <v>11700</v>
      </c>
      <c r="C9">
        <v>5</v>
      </c>
      <c r="D9">
        <v>6</v>
      </c>
      <c r="E9">
        <v>11100</v>
      </c>
      <c r="F9">
        <v>400</v>
      </c>
      <c r="G9" t="b">
        <v>0</v>
      </c>
      <c r="H9">
        <v>400</v>
      </c>
    </row>
    <row r="10" spans="1:8" x14ac:dyDescent="0.25">
      <c r="A10" t="s">
        <v>602</v>
      </c>
      <c r="B10">
        <v>1800</v>
      </c>
      <c r="C10">
        <v>5</v>
      </c>
      <c r="D10">
        <v>6</v>
      </c>
      <c r="E10">
        <v>1700</v>
      </c>
      <c r="F10">
        <v>100</v>
      </c>
      <c r="G10" t="b">
        <v>0</v>
      </c>
      <c r="H10">
        <v>100</v>
      </c>
    </row>
    <row r="11" spans="1:8" x14ac:dyDescent="0.25">
      <c r="A11" t="s">
        <v>689</v>
      </c>
      <c r="B11">
        <v>3500</v>
      </c>
      <c r="C11">
        <v>2</v>
      </c>
      <c r="D11">
        <v>2</v>
      </c>
      <c r="E11">
        <v>3400</v>
      </c>
      <c r="F11">
        <v>85</v>
      </c>
      <c r="G11" t="b">
        <v>0</v>
      </c>
      <c r="H11">
        <v>85</v>
      </c>
    </row>
    <row r="12" spans="1:8" x14ac:dyDescent="0.25">
      <c r="A12" t="s">
        <v>690</v>
      </c>
      <c r="B12">
        <v>12500</v>
      </c>
      <c r="C12">
        <v>5</v>
      </c>
      <c r="D12">
        <v>1</v>
      </c>
      <c r="E12">
        <v>11800</v>
      </c>
      <c r="F12">
        <v>420</v>
      </c>
      <c r="G12" t="b">
        <v>0</v>
      </c>
      <c r="H12">
        <v>420</v>
      </c>
    </row>
    <row r="13" spans="1:8" x14ac:dyDescent="0.25">
      <c r="A13" t="s">
        <v>125</v>
      </c>
      <c r="B13">
        <v>1500</v>
      </c>
      <c r="C13">
        <v>0</v>
      </c>
      <c r="D13">
        <v>3</v>
      </c>
      <c r="E13">
        <v>1500</v>
      </c>
      <c r="F13">
        <v>60</v>
      </c>
      <c r="G13" t="b">
        <v>0</v>
      </c>
      <c r="H13">
        <v>60</v>
      </c>
    </row>
    <row r="14" spans="1:8" x14ac:dyDescent="0.25">
      <c r="A14" t="s">
        <v>691</v>
      </c>
      <c r="B14">
        <v>7900</v>
      </c>
      <c r="C14">
        <v>11</v>
      </c>
      <c r="D14">
        <v>5</v>
      </c>
      <c r="E14">
        <v>7000</v>
      </c>
      <c r="F14">
        <v>250</v>
      </c>
      <c r="G14" t="b">
        <v>0</v>
      </c>
      <c r="H14">
        <v>250</v>
      </c>
    </row>
    <row r="15" spans="1:8" x14ac:dyDescent="0.25">
      <c r="A15" t="s">
        <v>127</v>
      </c>
      <c r="B15">
        <v>1500</v>
      </c>
      <c r="C15">
        <v>0</v>
      </c>
      <c r="D15">
        <v>6</v>
      </c>
      <c r="E15">
        <v>1500</v>
      </c>
      <c r="F15">
        <v>60</v>
      </c>
      <c r="G15" t="b">
        <v>0</v>
      </c>
      <c r="H15">
        <v>60</v>
      </c>
    </row>
    <row r="16" spans="1:8" x14ac:dyDescent="0.25">
      <c r="A16" t="s">
        <v>692</v>
      </c>
      <c r="B16">
        <v>7500</v>
      </c>
      <c r="C16">
        <v>13</v>
      </c>
      <c r="D16">
        <v>5</v>
      </c>
      <c r="E16">
        <v>6500</v>
      </c>
      <c r="F16">
        <v>280</v>
      </c>
      <c r="G16" t="b">
        <v>0</v>
      </c>
      <c r="H16">
        <v>280</v>
      </c>
    </row>
    <row r="17" spans="1:8" x14ac:dyDescent="0.25">
      <c r="A17" t="s">
        <v>133</v>
      </c>
      <c r="B17">
        <v>2000</v>
      </c>
      <c r="C17">
        <v>0</v>
      </c>
      <c r="D17">
        <v>1</v>
      </c>
      <c r="E17">
        <v>2000</v>
      </c>
      <c r="F17">
        <v>70</v>
      </c>
      <c r="G17" t="b">
        <v>0</v>
      </c>
      <c r="H17">
        <v>70</v>
      </c>
    </row>
    <row r="18" spans="1:8" x14ac:dyDescent="0.25">
      <c r="A18" t="s">
        <v>136</v>
      </c>
      <c r="B18">
        <v>1500</v>
      </c>
      <c r="C18">
        <v>0</v>
      </c>
      <c r="D18">
        <v>6</v>
      </c>
      <c r="E18">
        <v>1500</v>
      </c>
      <c r="F18">
        <v>38</v>
      </c>
      <c r="G18" t="b">
        <v>0</v>
      </c>
      <c r="H18">
        <v>38</v>
      </c>
    </row>
    <row r="19" spans="1:8" x14ac:dyDescent="0.25">
      <c r="A19" t="s">
        <v>693</v>
      </c>
      <c r="B19">
        <v>4000</v>
      </c>
      <c r="C19">
        <v>17</v>
      </c>
      <c r="D19">
        <v>4</v>
      </c>
      <c r="E19">
        <v>3300</v>
      </c>
      <c r="F19">
        <v>30</v>
      </c>
      <c r="G19" t="b">
        <v>0</v>
      </c>
      <c r="H19">
        <v>30</v>
      </c>
    </row>
    <row r="20" spans="1:8" x14ac:dyDescent="0.25">
      <c r="A20" t="s">
        <v>138</v>
      </c>
      <c r="B20">
        <v>7900</v>
      </c>
      <c r="C20">
        <v>0</v>
      </c>
      <c r="D20">
        <v>2</v>
      </c>
      <c r="E20">
        <v>7900</v>
      </c>
      <c r="F20">
        <v>400</v>
      </c>
      <c r="G20" t="b">
        <v>0</v>
      </c>
      <c r="H20">
        <v>400</v>
      </c>
    </row>
    <row r="21" spans="1:8" x14ac:dyDescent="0.25">
      <c r="A21" t="s">
        <v>602</v>
      </c>
      <c r="B21">
        <v>8800</v>
      </c>
      <c r="C21">
        <v>2</v>
      </c>
      <c r="D21">
        <v>2</v>
      </c>
      <c r="E21">
        <v>8600</v>
      </c>
      <c r="F21">
        <v>500</v>
      </c>
      <c r="G21" t="b">
        <v>0</v>
      </c>
      <c r="H21">
        <v>500</v>
      </c>
    </row>
    <row r="22" spans="1:8" x14ac:dyDescent="0.25">
      <c r="A22" t="s">
        <v>694</v>
      </c>
      <c r="B22">
        <v>12000</v>
      </c>
      <c r="C22">
        <v>5</v>
      </c>
      <c r="D22">
        <v>1</v>
      </c>
      <c r="E22">
        <v>11400</v>
      </c>
      <c r="F22">
        <v>420</v>
      </c>
      <c r="G22" t="b">
        <v>0</v>
      </c>
      <c r="H22">
        <v>420</v>
      </c>
    </row>
    <row r="23" spans="1:8" x14ac:dyDescent="0.25">
      <c r="A23" t="s">
        <v>695</v>
      </c>
      <c r="B23">
        <v>1000</v>
      </c>
      <c r="C23">
        <v>0</v>
      </c>
      <c r="D23">
        <v>1</v>
      </c>
      <c r="E23">
        <v>1000</v>
      </c>
      <c r="F23">
        <v>15</v>
      </c>
      <c r="G23" t="b">
        <v>0</v>
      </c>
      <c r="H23">
        <v>15</v>
      </c>
    </row>
    <row r="24" spans="1:8" x14ac:dyDescent="0.25">
      <c r="A24" t="s">
        <v>696</v>
      </c>
      <c r="B24">
        <v>13000</v>
      </c>
      <c r="C24">
        <v>4</v>
      </c>
      <c r="D24">
        <v>6</v>
      </c>
      <c r="E24">
        <v>12400</v>
      </c>
      <c r="F24">
        <v>250</v>
      </c>
      <c r="G24" t="b">
        <v>0</v>
      </c>
      <c r="H24">
        <v>250</v>
      </c>
    </row>
    <row r="25" spans="1:8" x14ac:dyDescent="0.25">
      <c r="A25" t="s">
        <v>697</v>
      </c>
      <c r="B25">
        <v>12000</v>
      </c>
      <c r="C25">
        <v>5</v>
      </c>
      <c r="D25">
        <v>3</v>
      </c>
      <c r="E25">
        <v>11400</v>
      </c>
      <c r="F25">
        <v>375</v>
      </c>
      <c r="G25" t="b">
        <v>0</v>
      </c>
      <c r="H25">
        <v>375</v>
      </c>
    </row>
    <row r="26" spans="1:8" x14ac:dyDescent="0.25">
      <c r="A26" t="s">
        <v>698</v>
      </c>
      <c r="B26">
        <v>1500</v>
      </c>
      <c r="C26">
        <v>0</v>
      </c>
      <c r="D26">
        <v>6</v>
      </c>
      <c r="E26">
        <v>1500</v>
      </c>
      <c r="F26">
        <v>20</v>
      </c>
      <c r="G26" t="b">
        <v>0</v>
      </c>
      <c r="H26">
        <v>20</v>
      </c>
    </row>
    <row r="27" spans="1:8" x14ac:dyDescent="0.25">
      <c r="A27" t="s">
        <v>146</v>
      </c>
      <c r="B27">
        <v>12000</v>
      </c>
      <c r="C27">
        <v>1</v>
      </c>
      <c r="D27">
        <v>3</v>
      </c>
      <c r="E27">
        <v>11800</v>
      </c>
      <c r="F27">
        <v>240</v>
      </c>
      <c r="G27" t="b">
        <v>0</v>
      </c>
      <c r="H27">
        <v>240</v>
      </c>
    </row>
    <row r="28" spans="1:8" x14ac:dyDescent="0.25">
      <c r="A28" t="s">
        <v>699</v>
      </c>
      <c r="B28">
        <v>13000</v>
      </c>
      <c r="C28">
        <v>4</v>
      </c>
      <c r="D28">
        <v>1</v>
      </c>
      <c r="E28">
        <v>12400</v>
      </c>
      <c r="F28">
        <v>250</v>
      </c>
      <c r="G28" t="b">
        <v>0</v>
      </c>
      <c r="H28">
        <v>250</v>
      </c>
    </row>
    <row r="29" spans="1:8" x14ac:dyDescent="0.25">
      <c r="A29" t="s">
        <v>700</v>
      </c>
      <c r="B29">
        <v>43000</v>
      </c>
      <c r="C29">
        <v>10</v>
      </c>
      <c r="D29">
        <v>6</v>
      </c>
      <c r="E29">
        <v>38700</v>
      </c>
      <c r="F29">
        <v>1200</v>
      </c>
      <c r="G29" t="b">
        <v>0</v>
      </c>
      <c r="H29">
        <v>1</v>
      </c>
    </row>
    <row r="30" spans="1:8" x14ac:dyDescent="0.25">
      <c r="A30" t="s">
        <v>701</v>
      </c>
      <c r="B30">
        <v>1000</v>
      </c>
      <c r="C30">
        <v>0</v>
      </c>
      <c r="D30">
        <v>1</v>
      </c>
      <c r="E30">
        <v>1000</v>
      </c>
      <c r="F30">
        <v>15</v>
      </c>
      <c r="G30" t="b">
        <v>0</v>
      </c>
      <c r="H30">
        <v>15</v>
      </c>
    </row>
    <row r="31" spans="1:8" x14ac:dyDescent="0.25">
      <c r="A31" t="s">
        <v>702</v>
      </c>
      <c r="B31">
        <v>19700</v>
      </c>
      <c r="C31">
        <v>2</v>
      </c>
      <c r="D31">
        <v>6</v>
      </c>
      <c r="E31">
        <v>19300</v>
      </c>
      <c r="F31">
        <v>500</v>
      </c>
      <c r="G31" t="b">
        <v>0</v>
      </c>
      <c r="H31">
        <v>500</v>
      </c>
    </row>
    <row r="32" spans="1:8" x14ac:dyDescent="0.25">
      <c r="A32" t="s">
        <v>703</v>
      </c>
      <c r="B32">
        <v>12000</v>
      </c>
      <c r="C32">
        <v>5</v>
      </c>
      <c r="D32">
        <v>3</v>
      </c>
      <c r="E32">
        <v>11400</v>
      </c>
      <c r="F32">
        <v>375</v>
      </c>
      <c r="G32" t="b">
        <v>0</v>
      </c>
      <c r="H32">
        <v>375</v>
      </c>
    </row>
    <row r="33" spans="1:8" x14ac:dyDescent="0.25">
      <c r="A33" t="s">
        <v>704</v>
      </c>
      <c r="B33">
        <v>17500</v>
      </c>
      <c r="C33">
        <v>4</v>
      </c>
      <c r="D33">
        <v>3</v>
      </c>
      <c r="E33">
        <v>16700</v>
      </c>
      <c r="F33">
        <v>750</v>
      </c>
      <c r="G33" t="b">
        <v>0</v>
      </c>
      <c r="H33">
        <v>750</v>
      </c>
    </row>
    <row r="34" spans="1:8" x14ac:dyDescent="0.25">
      <c r="A34" t="s">
        <v>705</v>
      </c>
      <c r="B34">
        <v>22000</v>
      </c>
      <c r="C34">
        <v>5</v>
      </c>
      <c r="D34">
        <v>2</v>
      </c>
      <c r="E34">
        <v>20700</v>
      </c>
      <c r="F34">
        <v>180</v>
      </c>
      <c r="G34" t="b">
        <v>0</v>
      </c>
      <c r="H34">
        <v>180</v>
      </c>
    </row>
    <row r="35" spans="1:8" x14ac:dyDescent="0.25">
      <c r="A35" t="s">
        <v>706</v>
      </c>
      <c r="B35">
        <v>6000</v>
      </c>
      <c r="C35">
        <v>5</v>
      </c>
      <c r="D35">
        <v>5</v>
      </c>
      <c r="E35">
        <v>5700</v>
      </c>
      <c r="F35">
        <v>200</v>
      </c>
      <c r="G35" t="b">
        <v>0</v>
      </c>
      <c r="H35">
        <v>200</v>
      </c>
    </row>
    <row r="36" spans="1:8" x14ac:dyDescent="0.25">
      <c r="A36" t="s">
        <v>707</v>
      </c>
      <c r="B36">
        <v>9000</v>
      </c>
      <c r="C36">
        <v>4</v>
      </c>
      <c r="D36">
        <v>6</v>
      </c>
      <c r="E36">
        <v>8600</v>
      </c>
      <c r="F36">
        <v>50</v>
      </c>
      <c r="G36" t="b">
        <v>0</v>
      </c>
      <c r="H36">
        <v>50</v>
      </c>
    </row>
    <row r="37" spans="1:8" x14ac:dyDescent="0.25">
      <c r="A37" t="s">
        <v>606</v>
      </c>
      <c r="B37">
        <v>8500</v>
      </c>
      <c r="C37">
        <v>5</v>
      </c>
      <c r="D37">
        <v>6</v>
      </c>
      <c r="E37">
        <v>8000</v>
      </c>
      <c r="F37">
        <v>180</v>
      </c>
      <c r="G37" t="b">
        <v>0</v>
      </c>
      <c r="H37">
        <v>180</v>
      </c>
    </row>
    <row r="38" spans="1:8" x14ac:dyDescent="0.25">
      <c r="A38" t="s">
        <v>708</v>
      </c>
      <c r="B38">
        <v>2200</v>
      </c>
      <c r="C38">
        <v>0</v>
      </c>
      <c r="D38">
        <v>6</v>
      </c>
      <c r="E38">
        <v>2200</v>
      </c>
      <c r="F38">
        <v>90</v>
      </c>
      <c r="G38" t="b">
        <v>0</v>
      </c>
      <c r="H38">
        <v>90</v>
      </c>
    </row>
    <row r="39" spans="1:8" x14ac:dyDescent="0.25">
      <c r="A39" t="s">
        <v>709</v>
      </c>
      <c r="B39">
        <v>38500</v>
      </c>
      <c r="C39">
        <v>9</v>
      </c>
      <c r="D39">
        <v>5</v>
      </c>
      <c r="E39">
        <v>34700</v>
      </c>
      <c r="F39">
        <v>1100</v>
      </c>
      <c r="G39" t="b">
        <v>0</v>
      </c>
      <c r="H39">
        <v>1100</v>
      </c>
    </row>
    <row r="40" spans="1:8" x14ac:dyDescent="0.25">
      <c r="A40" t="s">
        <v>710</v>
      </c>
      <c r="B40">
        <v>1000</v>
      </c>
      <c r="C40">
        <v>0</v>
      </c>
      <c r="D40">
        <v>2</v>
      </c>
      <c r="E40">
        <v>1000</v>
      </c>
      <c r="F40">
        <v>15</v>
      </c>
      <c r="G40" t="b">
        <v>0</v>
      </c>
      <c r="H40">
        <v>15</v>
      </c>
    </row>
    <row r="41" spans="1:8" x14ac:dyDescent="0.25">
      <c r="A41" t="s">
        <v>711</v>
      </c>
      <c r="B41">
        <v>3500</v>
      </c>
      <c r="C41">
        <v>5</v>
      </c>
      <c r="D41">
        <v>2</v>
      </c>
      <c r="E41">
        <v>3300</v>
      </c>
      <c r="F41">
        <v>85</v>
      </c>
      <c r="G41" t="b">
        <v>0</v>
      </c>
      <c r="H41">
        <v>85</v>
      </c>
    </row>
    <row r="42" spans="1:8" x14ac:dyDescent="0.25">
      <c r="A42" t="s">
        <v>712</v>
      </c>
      <c r="B42">
        <v>12000</v>
      </c>
      <c r="C42">
        <v>5</v>
      </c>
      <c r="D42">
        <v>6</v>
      </c>
      <c r="E42">
        <v>11400</v>
      </c>
      <c r="F42">
        <v>400</v>
      </c>
      <c r="G42" t="b">
        <v>0</v>
      </c>
      <c r="H42">
        <v>400</v>
      </c>
    </row>
    <row r="43" spans="1:8" x14ac:dyDescent="0.25">
      <c r="A43" t="s">
        <v>713</v>
      </c>
      <c r="B43">
        <v>10000</v>
      </c>
      <c r="C43">
        <v>10</v>
      </c>
      <c r="D43">
        <v>6</v>
      </c>
      <c r="E43">
        <v>9000</v>
      </c>
      <c r="F43">
        <v>52</v>
      </c>
      <c r="G43" t="b">
        <v>0</v>
      </c>
      <c r="H43">
        <v>52</v>
      </c>
    </row>
    <row r="44" spans="1:8" x14ac:dyDescent="0.25">
      <c r="A44" t="s">
        <v>714</v>
      </c>
      <c r="B44">
        <v>6800</v>
      </c>
      <c r="C44">
        <v>4</v>
      </c>
      <c r="D44">
        <v>1</v>
      </c>
      <c r="E44">
        <v>6500</v>
      </c>
      <c r="F44">
        <v>425</v>
      </c>
      <c r="G44" t="b">
        <v>0</v>
      </c>
      <c r="H44">
        <v>425</v>
      </c>
    </row>
    <row r="45" spans="1:8" x14ac:dyDescent="0.25">
      <c r="A45" t="s">
        <v>715</v>
      </c>
      <c r="B45">
        <v>38000</v>
      </c>
      <c r="C45">
        <v>6</v>
      </c>
      <c r="D45">
        <v>5</v>
      </c>
      <c r="E45">
        <v>35700</v>
      </c>
      <c r="F45">
        <v>350</v>
      </c>
      <c r="G45" t="b">
        <v>0</v>
      </c>
      <c r="H45">
        <v>350</v>
      </c>
    </row>
    <row r="46" spans="1:8" x14ac:dyDescent="0.25">
      <c r="A46" t="s">
        <v>716</v>
      </c>
      <c r="B46">
        <v>16100</v>
      </c>
      <c r="C46">
        <v>7</v>
      </c>
      <c r="D46">
        <v>4</v>
      </c>
      <c r="E46">
        <v>14900</v>
      </c>
      <c r="F46">
        <v>300</v>
      </c>
      <c r="G46" t="b">
        <v>0</v>
      </c>
      <c r="H46">
        <v>300</v>
      </c>
    </row>
    <row r="47" spans="1:8" x14ac:dyDescent="0.25">
      <c r="A47" t="s">
        <v>717</v>
      </c>
      <c r="B47">
        <v>1500</v>
      </c>
      <c r="C47">
        <v>0</v>
      </c>
      <c r="D47">
        <v>6</v>
      </c>
      <c r="E47">
        <v>1500</v>
      </c>
      <c r="F47">
        <v>20</v>
      </c>
      <c r="G47" t="b">
        <v>0</v>
      </c>
      <c r="H47">
        <v>20</v>
      </c>
    </row>
    <row r="48" spans="1:8" x14ac:dyDescent="0.25">
      <c r="A48" t="s">
        <v>718</v>
      </c>
      <c r="B48">
        <v>5000</v>
      </c>
      <c r="C48">
        <v>12</v>
      </c>
      <c r="D48">
        <v>1</v>
      </c>
      <c r="E48">
        <v>4400</v>
      </c>
      <c r="F48">
        <v>50</v>
      </c>
      <c r="G48" t="b">
        <v>0</v>
      </c>
      <c r="H48">
        <v>50</v>
      </c>
    </row>
    <row r="49" spans="1:8" x14ac:dyDescent="0.25">
      <c r="A49" t="s">
        <v>138</v>
      </c>
      <c r="B49">
        <v>19900</v>
      </c>
      <c r="C49">
        <v>7</v>
      </c>
      <c r="D49">
        <v>6</v>
      </c>
      <c r="E49">
        <v>18400</v>
      </c>
      <c r="F49">
        <v>1000</v>
      </c>
      <c r="G49" t="b">
        <v>0</v>
      </c>
      <c r="H49">
        <v>1</v>
      </c>
    </row>
    <row r="50" spans="1:8" x14ac:dyDescent="0.25">
      <c r="A50" t="s">
        <v>719</v>
      </c>
      <c r="B50">
        <v>5500</v>
      </c>
      <c r="C50">
        <v>25</v>
      </c>
      <c r="D50">
        <v>6</v>
      </c>
      <c r="E50">
        <v>4100</v>
      </c>
      <c r="F50">
        <v>27</v>
      </c>
      <c r="G50" t="b">
        <v>0</v>
      </c>
      <c r="H50">
        <v>27</v>
      </c>
    </row>
    <row r="51" spans="1:8" x14ac:dyDescent="0.25">
      <c r="A51" t="s">
        <v>720</v>
      </c>
      <c r="B51">
        <v>9000</v>
      </c>
      <c r="C51">
        <v>4</v>
      </c>
      <c r="D51">
        <v>6</v>
      </c>
      <c r="E51">
        <v>8600</v>
      </c>
      <c r="F51">
        <v>1160</v>
      </c>
      <c r="G51" t="b">
        <v>0</v>
      </c>
      <c r="H51">
        <v>20</v>
      </c>
    </row>
    <row r="52" spans="1:8" x14ac:dyDescent="0.25">
      <c r="A52" t="s">
        <v>721</v>
      </c>
      <c r="B52">
        <v>4000</v>
      </c>
      <c r="C52">
        <v>17</v>
      </c>
      <c r="D52">
        <v>6</v>
      </c>
      <c r="E52">
        <v>3300</v>
      </c>
      <c r="F52">
        <v>30</v>
      </c>
      <c r="G52" t="b">
        <v>0</v>
      </c>
      <c r="H52">
        <v>30</v>
      </c>
    </row>
    <row r="53" spans="1:8" x14ac:dyDescent="0.25">
      <c r="A53" t="s">
        <v>722</v>
      </c>
      <c r="B53">
        <v>1000</v>
      </c>
      <c r="C53">
        <v>0</v>
      </c>
      <c r="D53">
        <v>1</v>
      </c>
      <c r="E53">
        <v>1000</v>
      </c>
      <c r="F53">
        <v>16</v>
      </c>
      <c r="G53" t="b">
        <v>0</v>
      </c>
      <c r="H53">
        <v>15</v>
      </c>
    </row>
    <row r="54" spans="1:8" x14ac:dyDescent="0.25">
      <c r="A54" t="s">
        <v>196</v>
      </c>
      <c r="B54">
        <v>16000</v>
      </c>
      <c r="C54">
        <v>50</v>
      </c>
      <c r="D54">
        <v>6</v>
      </c>
      <c r="E54">
        <v>8000</v>
      </c>
      <c r="F54">
        <v>500</v>
      </c>
      <c r="G54" t="b">
        <v>0</v>
      </c>
      <c r="H54">
        <v>500</v>
      </c>
    </row>
    <row r="55" spans="1:8" x14ac:dyDescent="0.25">
      <c r="A55" t="s">
        <v>195</v>
      </c>
      <c r="B55">
        <v>6000</v>
      </c>
      <c r="C55">
        <v>28</v>
      </c>
      <c r="D55">
        <v>3</v>
      </c>
      <c r="E55">
        <v>4300</v>
      </c>
      <c r="F55">
        <v>260</v>
      </c>
      <c r="G55" t="b">
        <v>0</v>
      </c>
      <c r="H55">
        <v>260</v>
      </c>
    </row>
    <row r="56" spans="1:8" x14ac:dyDescent="0.25">
      <c r="A56" t="s">
        <v>197</v>
      </c>
      <c r="B56">
        <v>2500</v>
      </c>
      <c r="C56">
        <v>20</v>
      </c>
      <c r="D56">
        <v>6</v>
      </c>
      <c r="E56">
        <v>2000</v>
      </c>
      <c r="F56">
        <v>60</v>
      </c>
      <c r="G56" t="b">
        <v>0</v>
      </c>
      <c r="H56">
        <v>60</v>
      </c>
    </row>
    <row r="57" spans="1:8" x14ac:dyDescent="0.25">
      <c r="A57" t="s">
        <v>723</v>
      </c>
      <c r="B57">
        <v>44500</v>
      </c>
      <c r="C57">
        <v>9</v>
      </c>
      <c r="D57">
        <v>6</v>
      </c>
      <c r="E57">
        <v>40100</v>
      </c>
      <c r="F57">
        <v>750</v>
      </c>
      <c r="G57" t="b">
        <v>0</v>
      </c>
      <c r="H57">
        <v>750</v>
      </c>
    </row>
    <row r="58" spans="1:8" x14ac:dyDescent="0.25">
      <c r="A58" t="s">
        <v>724</v>
      </c>
      <c r="B58">
        <v>5000</v>
      </c>
      <c r="C58">
        <v>0</v>
      </c>
      <c r="D58">
        <v>4</v>
      </c>
      <c r="E58">
        <v>5000</v>
      </c>
      <c r="F58">
        <v>170</v>
      </c>
      <c r="G58" t="b">
        <v>0</v>
      </c>
      <c r="H58">
        <v>170</v>
      </c>
    </row>
    <row r="59" spans="1:8" x14ac:dyDescent="0.25">
      <c r="A59" t="s">
        <v>725</v>
      </c>
      <c r="B59">
        <v>5500</v>
      </c>
      <c r="C59">
        <v>0</v>
      </c>
      <c r="D59">
        <v>6</v>
      </c>
      <c r="E59">
        <v>5500</v>
      </c>
      <c r="F59">
        <v>200</v>
      </c>
      <c r="G59" t="b">
        <v>0</v>
      </c>
      <c r="H59">
        <v>200</v>
      </c>
    </row>
    <row r="60" spans="1:8" x14ac:dyDescent="0.25">
      <c r="A60" t="s">
        <v>612</v>
      </c>
      <c r="B60">
        <v>4000</v>
      </c>
      <c r="C60">
        <v>2</v>
      </c>
      <c r="D60">
        <v>5</v>
      </c>
      <c r="E60">
        <v>3900</v>
      </c>
      <c r="F60">
        <v>100</v>
      </c>
      <c r="G60" t="b">
        <v>0</v>
      </c>
      <c r="H60">
        <v>100</v>
      </c>
    </row>
    <row r="61" spans="1:8" x14ac:dyDescent="0.25">
      <c r="A61" t="s">
        <v>200</v>
      </c>
      <c r="B61">
        <v>25000</v>
      </c>
      <c r="C61">
        <v>0</v>
      </c>
      <c r="D61">
        <v>3</v>
      </c>
      <c r="E61">
        <v>25000</v>
      </c>
      <c r="F61">
        <v>500</v>
      </c>
      <c r="G61" t="b">
        <v>0</v>
      </c>
      <c r="H61">
        <v>500</v>
      </c>
    </row>
    <row r="62" spans="1:8" x14ac:dyDescent="0.25">
      <c r="A62" t="s">
        <v>726</v>
      </c>
      <c r="B62">
        <v>5500</v>
      </c>
      <c r="C62">
        <v>20</v>
      </c>
      <c r="D62">
        <v>6</v>
      </c>
      <c r="E62">
        <v>4400</v>
      </c>
      <c r="F62">
        <v>27</v>
      </c>
      <c r="G62" t="b">
        <v>0</v>
      </c>
      <c r="H62">
        <v>27</v>
      </c>
    </row>
    <row r="63" spans="1:8" x14ac:dyDescent="0.25">
      <c r="A63" t="s">
        <v>727</v>
      </c>
      <c r="B63">
        <v>5500</v>
      </c>
      <c r="C63">
        <v>20</v>
      </c>
      <c r="D63">
        <v>6</v>
      </c>
      <c r="E63">
        <v>4400</v>
      </c>
      <c r="F63">
        <v>27</v>
      </c>
      <c r="G63" t="b">
        <v>0</v>
      </c>
      <c r="H63">
        <v>27</v>
      </c>
    </row>
    <row r="64" spans="1:8" x14ac:dyDescent="0.25">
      <c r="A64" t="s">
        <v>728</v>
      </c>
      <c r="B64">
        <v>11500</v>
      </c>
      <c r="C64">
        <v>0</v>
      </c>
      <c r="D64">
        <v>1</v>
      </c>
      <c r="E64">
        <v>11500</v>
      </c>
      <c r="F64">
        <v>500</v>
      </c>
      <c r="G64" t="b">
        <v>0</v>
      </c>
      <c r="H64">
        <v>500</v>
      </c>
    </row>
    <row r="65" spans="1:8" x14ac:dyDescent="0.25">
      <c r="A65" t="s">
        <v>729</v>
      </c>
      <c r="B65">
        <v>9600</v>
      </c>
      <c r="C65">
        <v>5</v>
      </c>
      <c r="D65">
        <v>4</v>
      </c>
      <c r="E65">
        <v>9100</v>
      </c>
      <c r="F65">
        <v>540</v>
      </c>
      <c r="G65" t="b">
        <v>0</v>
      </c>
      <c r="H65">
        <v>540</v>
      </c>
    </row>
    <row r="66" spans="1:8" x14ac:dyDescent="0.25">
      <c r="A66" t="s">
        <v>214</v>
      </c>
      <c r="B66">
        <v>16000</v>
      </c>
      <c r="C66">
        <v>50</v>
      </c>
      <c r="D66">
        <v>6</v>
      </c>
      <c r="E66">
        <v>8000</v>
      </c>
      <c r="F66">
        <v>500</v>
      </c>
      <c r="G66" t="b">
        <v>0</v>
      </c>
      <c r="H66">
        <v>500</v>
      </c>
    </row>
    <row r="67" spans="1:8" x14ac:dyDescent="0.25">
      <c r="A67" t="s">
        <v>216</v>
      </c>
      <c r="B67">
        <v>6000</v>
      </c>
      <c r="C67">
        <v>10</v>
      </c>
      <c r="D67">
        <v>1</v>
      </c>
      <c r="E67">
        <v>5400</v>
      </c>
      <c r="F67">
        <v>280</v>
      </c>
      <c r="G67" t="b">
        <v>0</v>
      </c>
      <c r="H67">
        <v>280</v>
      </c>
    </row>
    <row r="68" spans="1:8" x14ac:dyDescent="0.25">
      <c r="A68" t="s">
        <v>730</v>
      </c>
      <c r="B68">
        <v>8900</v>
      </c>
      <c r="C68">
        <v>11</v>
      </c>
      <c r="D68">
        <v>6</v>
      </c>
      <c r="E68">
        <v>7900</v>
      </c>
      <c r="F68">
        <v>275</v>
      </c>
      <c r="G68" t="b">
        <v>0</v>
      </c>
      <c r="H68">
        <v>275</v>
      </c>
    </row>
    <row r="69" spans="1:8" x14ac:dyDescent="0.25">
      <c r="A69" t="s">
        <v>220</v>
      </c>
      <c r="B69">
        <v>4400</v>
      </c>
      <c r="C69">
        <v>0</v>
      </c>
      <c r="D69">
        <v>2</v>
      </c>
      <c r="E69">
        <v>4400</v>
      </c>
      <c r="F69">
        <v>60</v>
      </c>
      <c r="G69" t="b">
        <v>0</v>
      </c>
      <c r="H69">
        <v>60</v>
      </c>
    </row>
    <row r="70" spans="1:8" x14ac:dyDescent="0.25">
      <c r="A70" t="s">
        <v>87</v>
      </c>
      <c r="B70">
        <v>11000</v>
      </c>
      <c r="C70">
        <v>4</v>
      </c>
      <c r="D70">
        <v>2</v>
      </c>
      <c r="E70">
        <v>10500</v>
      </c>
      <c r="F70">
        <v>1000</v>
      </c>
      <c r="G70" t="b">
        <v>0</v>
      </c>
      <c r="H70">
        <v>1</v>
      </c>
    </row>
    <row r="71" spans="1:8" x14ac:dyDescent="0.25">
      <c r="A71" t="s">
        <v>227</v>
      </c>
      <c r="B71">
        <v>2500</v>
      </c>
      <c r="C71">
        <v>0</v>
      </c>
      <c r="D71">
        <v>6</v>
      </c>
      <c r="E71">
        <v>2500</v>
      </c>
      <c r="F71">
        <v>60</v>
      </c>
      <c r="G71" t="b">
        <v>0</v>
      </c>
      <c r="H71">
        <v>60</v>
      </c>
    </row>
    <row r="72" spans="1:8" x14ac:dyDescent="0.25">
      <c r="A72" t="s">
        <v>228</v>
      </c>
      <c r="B72">
        <v>1500</v>
      </c>
      <c r="C72">
        <v>0</v>
      </c>
      <c r="D72">
        <v>5</v>
      </c>
      <c r="E72">
        <v>1500</v>
      </c>
      <c r="F72">
        <v>60</v>
      </c>
      <c r="G72" t="b">
        <v>0</v>
      </c>
      <c r="H72">
        <v>60</v>
      </c>
    </row>
    <row r="73" spans="1:8" x14ac:dyDescent="0.25">
      <c r="A73" t="s">
        <v>731</v>
      </c>
      <c r="B73">
        <v>5500</v>
      </c>
      <c r="C73">
        <v>25</v>
      </c>
      <c r="D73">
        <v>6</v>
      </c>
      <c r="E73">
        <v>4100</v>
      </c>
      <c r="F73">
        <v>27</v>
      </c>
      <c r="G73" t="b">
        <v>0</v>
      </c>
      <c r="H73">
        <v>27</v>
      </c>
    </row>
    <row r="74" spans="1:8" x14ac:dyDescent="0.25">
      <c r="A74" t="s">
        <v>732</v>
      </c>
      <c r="B74">
        <v>11000</v>
      </c>
      <c r="C74">
        <v>22</v>
      </c>
      <c r="D74">
        <v>6</v>
      </c>
      <c r="E74">
        <v>8500</v>
      </c>
      <c r="F74">
        <v>300</v>
      </c>
      <c r="G74" t="b">
        <v>0</v>
      </c>
      <c r="H74">
        <v>300</v>
      </c>
    </row>
    <row r="75" spans="1:8" x14ac:dyDescent="0.25">
      <c r="A75" t="s">
        <v>225</v>
      </c>
      <c r="B75">
        <v>12000</v>
      </c>
      <c r="C75">
        <v>1</v>
      </c>
      <c r="D75">
        <v>2</v>
      </c>
      <c r="E75">
        <v>11800</v>
      </c>
      <c r="F75">
        <v>240</v>
      </c>
      <c r="G75" t="b">
        <v>0</v>
      </c>
      <c r="H75">
        <v>240</v>
      </c>
    </row>
    <row r="76" spans="1:8" x14ac:dyDescent="0.25">
      <c r="A76" t="s">
        <v>733</v>
      </c>
      <c r="B76">
        <v>6000</v>
      </c>
      <c r="C76">
        <v>6</v>
      </c>
      <c r="D76">
        <v>6</v>
      </c>
      <c r="E76">
        <v>5600</v>
      </c>
      <c r="F76">
        <v>200</v>
      </c>
      <c r="G76" t="b">
        <v>0</v>
      </c>
      <c r="H76">
        <v>200</v>
      </c>
    </row>
    <row r="77" spans="1:8" x14ac:dyDescent="0.25">
      <c r="A77" t="s">
        <v>734</v>
      </c>
      <c r="B77">
        <v>12000</v>
      </c>
      <c r="C77">
        <v>5</v>
      </c>
      <c r="D77">
        <v>5</v>
      </c>
      <c r="E77">
        <v>11400</v>
      </c>
      <c r="F77">
        <v>400</v>
      </c>
      <c r="G77" t="b">
        <v>0</v>
      </c>
      <c r="H77">
        <v>400</v>
      </c>
    </row>
    <row r="78" spans="1:8" x14ac:dyDescent="0.25">
      <c r="A78" t="s">
        <v>735</v>
      </c>
      <c r="B78">
        <v>4000</v>
      </c>
      <c r="C78">
        <v>12</v>
      </c>
      <c r="D78">
        <v>4</v>
      </c>
      <c r="E78">
        <v>3500</v>
      </c>
      <c r="F78">
        <v>38</v>
      </c>
      <c r="G78" t="b">
        <v>0</v>
      </c>
      <c r="H78">
        <v>38</v>
      </c>
    </row>
    <row r="79" spans="1:8" x14ac:dyDescent="0.25">
      <c r="A79" t="s">
        <v>736</v>
      </c>
      <c r="B79">
        <v>5500</v>
      </c>
      <c r="C79">
        <v>0</v>
      </c>
      <c r="D79">
        <v>5</v>
      </c>
      <c r="E79">
        <v>5500</v>
      </c>
      <c r="F79">
        <v>190</v>
      </c>
      <c r="G79" t="b">
        <v>0</v>
      </c>
      <c r="H79">
        <v>190</v>
      </c>
    </row>
    <row r="80" spans="1:8" x14ac:dyDescent="0.25">
      <c r="A80" t="s">
        <v>737</v>
      </c>
      <c r="B80">
        <v>7500</v>
      </c>
      <c r="C80">
        <v>6</v>
      </c>
      <c r="D80">
        <v>4</v>
      </c>
      <c r="E80">
        <v>7000</v>
      </c>
      <c r="F80">
        <v>280</v>
      </c>
      <c r="G80" t="b">
        <v>0</v>
      </c>
      <c r="H80">
        <v>280</v>
      </c>
    </row>
    <row r="81" spans="1:8" x14ac:dyDescent="0.25">
      <c r="A81" t="s">
        <v>738</v>
      </c>
      <c r="B81">
        <v>11000</v>
      </c>
      <c r="C81">
        <v>4</v>
      </c>
      <c r="D81">
        <v>6</v>
      </c>
      <c r="E81">
        <v>10500</v>
      </c>
      <c r="F81">
        <v>400</v>
      </c>
      <c r="G81" t="b">
        <v>0</v>
      </c>
      <c r="H81">
        <v>400</v>
      </c>
    </row>
    <row r="82" spans="1:8" x14ac:dyDescent="0.25">
      <c r="A82" t="s">
        <v>739</v>
      </c>
      <c r="B82">
        <v>32500</v>
      </c>
      <c r="C82">
        <v>6</v>
      </c>
      <c r="D82">
        <v>6</v>
      </c>
      <c r="E82">
        <v>30500</v>
      </c>
      <c r="F82">
        <v>500</v>
      </c>
      <c r="G82" t="b">
        <v>0</v>
      </c>
      <c r="H82">
        <v>500</v>
      </c>
    </row>
    <row r="83" spans="1:8" x14ac:dyDescent="0.25">
      <c r="A83" t="s">
        <v>740</v>
      </c>
      <c r="B83">
        <v>5500</v>
      </c>
      <c r="C83">
        <v>20</v>
      </c>
      <c r="D83">
        <v>5</v>
      </c>
      <c r="E83">
        <v>4400</v>
      </c>
      <c r="F83">
        <v>27</v>
      </c>
      <c r="G83" t="b">
        <v>0</v>
      </c>
      <c r="H83">
        <v>27</v>
      </c>
    </row>
    <row r="84" spans="1:8" x14ac:dyDescent="0.25">
      <c r="A84" t="s">
        <v>741</v>
      </c>
      <c r="B84">
        <v>2800</v>
      </c>
      <c r="C84">
        <v>17</v>
      </c>
      <c r="D84">
        <v>1</v>
      </c>
      <c r="E84">
        <v>2300</v>
      </c>
      <c r="F84">
        <v>65</v>
      </c>
      <c r="G84" t="b">
        <v>0</v>
      </c>
      <c r="H84">
        <v>65</v>
      </c>
    </row>
    <row r="85" spans="1:8" x14ac:dyDescent="0.25">
      <c r="A85" t="s">
        <v>742</v>
      </c>
      <c r="B85">
        <v>9900</v>
      </c>
      <c r="C85">
        <v>49</v>
      </c>
      <c r="D85">
        <v>1</v>
      </c>
      <c r="E85">
        <v>5000</v>
      </c>
      <c r="F85">
        <v>130</v>
      </c>
      <c r="G85" t="b">
        <v>0</v>
      </c>
      <c r="H85">
        <v>130</v>
      </c>
    </row>
    <row r="86" spans="1:8" x14ac:dyDescent="0.25">
      <c r="A86" t="s">
        <v>743</v>
      </c>
      <c r="B86">
        <v>10500</v>
      </c>
      <c r="C86">
        <v>4</v>
      </c>
      <c r="D86">
        <v>2</v>
      </c>
      <c r="E86">
        <v>10000</v>
      </c>
      <c r="F86">
        <v>500</v>
      </c>
      <c r="G86" t="b">
        <v>0</v>
      </c>
      <c r="H86">
        <v>500</v>
      </c>
    </row>
    <row r="87" spans="1:8" x14ac:dyDescent="0.25">
      <c r="A87" t="s">
        <v>620</v>
      </c>
      <c r="B87">
        <v>23500</v>
      </c>
      <c r="C87">
        <v>25</v>
      </c>
      <c r="D87">
        <v>6</v>
      </c>
      <c r="E87">
        <v>17400</v>
      </c>
      <c r="F87">
        <v>325</v>
      </c>
      <c r="G87" t="b">
        <v>0</v>
      </c>
      <c r="H87">
        <v>325</v>
      </c>
    </row>
    <row r="88" spans="1:8" x14ac:dyDescent="0.25">
      <c r="A88" t="s">
        <v>245</v>
      </c>
      <c r="B88">
        <v>32500</v>
      </c>
      <c r="C88">
        <v>9</v>
      </c>
      <c r="D88">
        <v>1</v>
      </c>
      <c r="E88">
        <v>29300</v>
      </c>
      <c r="F88">
        <v>500</v>
      </c>
      <c r="G88" t="b">
        <v>0</v>
      </c>
      <c r="H88">
        <v>500</v>
      </c>
    </row>
    <row r="89" spans="1:8" x14ac:dyDescent="0.25">
      <c r="A89" t="s">
        <v>623</v>
      </c>
      <c r="B89">
        <v>9900</v>
      </c>
      <c r="C89">
        <v>5</v>
      </c>
      <c r="D89">
        <v>6</v>
      </c>
      <c r="E89">
        <v>9400</v>
      </c>
      <c r="F89">
        <v>200</v>
      </c>
      <c r="G89" t="b">
        <v>0</v>
      </c>
      <c r="H89">
        <v>200</v>
      </c>
    </row>
    <row r="90" spans="1:8" x14ac:dyDescent="0.25">
      <c r="A90" t="s">
        <v>744</v>
      </c>
      <c r="B90">
        <v>17500</v>
      </c>
      <c r="C90">
        <v>9</v>
      </c>
      <c r="D90">
        <v>6</v>
      </c>
      <c r="E90">
        <v>15800</v>
      </c>
      <c r="F90">
        <v>300</v>
      </c>
      <c r="G90" t="b">
        <v>0</v>
      </c>
      <c r="H90">
        <v>300</v>
      </c>
    </row>
    <row r="91" spans="1:8" x14ac:dyDescent="0.25">
      <c r="A91" t="s">
        <v>745</v>
      </c>
      <c r="B91">
        <v>6000</v>
      </c>
      <c r="C91">
        <v>20</v>
      </c>
      <c r="D91">
        <v>6</v>
      </c>
      <c r="E91">
        <v>4800</v>
      </c>
      <c r="F91">
        <v>40</v>
      </c>
      <c r="G91" t="b">
        <v>0</v>
      </c>
      <c r="H91">
        <v>40</v>
      </c>
    </row>
    <row r="92" spans="1:8" x14ac:dyDescent="0.25">
      <c r="A92" t="s">
        <v>746</v>
      </c>
      <c r="B92">
        <v>27000</v>
      </c>
      <c r="C92">
        <v>0</v>
      </c>
      <c r="D92">
        <v>5</v>
      </c>
      <c r="E92">
        <v>27000</v>
      </c>
      <c r="F92">
        <v>24</v>
      </c>
      <c r="G92" t="b">
        <v>0</v>
      </c>
      <c r="H92">
        <v>24</v>
      </c>
    </row>
    <row r="93" spans="1:8" x14ac:dyDescent="0.25">
      <c r="A93" t="s">
        <v>747</v>
      </c>
      <c r="B93">
        <v>5000</v>
      </c>
      <c r="C93">
        <v>10</v>
      </c>
      <c r="D93">
        <v>6</v>
      </c>
      <c r="E93">
        <v>4500</v>
      </c>
      <c r="F93">
        <v>160</v>
      </c>
      <c r="G93" t="b">
        <v>0</v>
      </c>
      <c r="H93">
        <v>160</v>
      </c>
    </row>
    <row r="94" spans="1:8" x14ac:dyDescent="0.25">
      <c r="A94" t="s">
        <v>253</v>
      </c>
      <c r="B94">
        <v>6000</v>
      </c>
      <c r="C94">
        <v>0</v>
      </c>
      <c r="D94">
        <v>1</v>
      </c>
      <c r="E94">
        <v>6000</v>
      </c>
      <c r="F94">
        <v>240</v>
      </c>
      <c r="G94" t="b">
        <v>0</v>
      </c>
      <c r="H94">
        <v>240</v>
      </c>
    </row>
    <row r="95" spans="1:8" x14ac:dyDescent="0.25">
      <c r="A95" t="s">
        <v>748</v>
      </c>
      <c r="B95">
        <v>10000</v>
      </c>
      <c r="C95">
        <v>26</v>
      </c>
      <c r="D95">
        <v>6</v>
      </c>
      <c r="E95">
        <v>7400</v>
      </c>
      <c r="F95">
        <v>52</v>
      </c>
      <c r="G95" t="b">
        <v>0</v>
      </c>
      <c r="H95">
        <v>52</v>
      </c>
    </row>
    <row r="96" spans="1:8" x14ac:dyDescent="0.25">
      <c r="A96" t="s">
        <v>257</v>
      </c>
      <c r="B96">
        <v>2000</v>
      </c>
      <c r="C96">
        <v>0</v>
      </c>
      <c r="D96">
        <v>2</v>
      </c>
      <c r="E96">
        <v>2000</v>
      </c>
      <c r="F96">
        <v>46</v>
      </c>
      <c r="G96" t="b">
        <v>0</v>
      </c>
      <c r="H96">
        <v>46</v>
      </c>
    </row>
    <row r="97" spans="1:8" x14ac:dyDescent="0.25">
      <c r="A97" t="s">
        <v>749</v>
      </c>
      <c r="B97">
        <v>7400</v>
      </c>
      <c r="C97">
        <v>6</v>
      </c>
      <c r="D97">
        <v>2</v>
      </c>
      <c r="E97">
        <v>6900</v>
      </c>
      <c r="F97">
        <v>300</v>
      </c>
      <c r="G97" t="b">
        <v>0</v>
      </c>
      <c r="H97">
        <v>300</v>
      </c>
    </row>
    <row r="98" spans="1:8" x14ac:dyDescent="0.25">
      <c r="A98" t="s">
        <v>264</v>
      </c>
      <c r="B98">
        <v>4800</v>
      </c>
      <c r="C98">
        <v>6</v>
      </c>
      <c r="D98">
        <v>6</v>
      </c>
      <c r="E98">
        <v>4500</v>
      </c>
      <c r="F98">
        <v>200</v>
      </c>
      <c r="G98" t="b">
        <v>0</v>
      </c>
      <c r="H98">
        <v>200</v>
      </c>
    </row>
    <row r="99" spans="1:8" x14ac:dyDescent="0.25">
      <c r="A99" t="s">
        <v>750</v>
      </c>
      <c r="B99">
        <v>32500</v>
      </c>
      <c r="C99">
        <v>4</v>
      </c>
      <c r="D99">
        <v>6</v>
      </c>
      <c r="E99">
        <v>30900</v>
      </c>
      <c r="F99">
        <v>400</v>
      </c>
      <c r="G99" t="b">
        <v>0</v>
      </c>
      <c r="H99">
        <v>400</v>
      </c>
    </row>
    <row r="100" spans="1:8" x14ac:dyDescent="0.25">
      <c r="A100" t="s">
        <v>751</v>
      </c>
      <c r="B100">
        <v>5500</v>
      </c>
      <c r="C100">
        <v>25</v>
      </c>
      <c r="D100">
        <v>6</v>
      </c>
      <c r="E100">
        <v>4100</v>
      </c>
      <c r="F100">
        <v>27</v>
      </c>
      <c r="G100" t="b">
        <v>0</v>
      </c>
      <c r="H100">
        <v>27</v>
      </c>
    </row>
    <row r="101" spans="1:8" x14ac:dyDescent="0.25">
      <c r="A101" t="s">
        <v>752</v>
      </c>
      <c r="B101">
        <v>17000</v>
      </c>
      <c r="C101">
        <v>4</v>
      </c>
      <c r="D101">
        <v>3</v>
      </c>
      <c r="E101">
        <v>16200</v>
      </c>
      <c r="F101">
        <v>280</v>
      </c>
      <c r="G101" t="b">
        <v>0</v>
      </c>
      <c r="H101">
        <v>280</v>
      </c>
    </row>
    <row r="102" spans="1:8" x14ac:dyDescent="0.25">
      <c r="A102" t="s">
        <v>753</v>
      </c>
      <c r="B102">
        <v>9900</v>
      </c>
      <c r="C102">
        <v>13</v>
      </c>
      <c r="D102">
        <v>6</v>
      </c>
      <c r="E102">
        <v>8600</v>
      </c>
      <c r="F102">
        <v>250</v>
      </c>
      <c r="G102" t="b">
        <v>0</v>
      </c>
      <c r="H102">
        <v>250</v>
      </c>
    </row>
    <row r="103" spans="1:8" x14ac:dyDescent="0.25">
      <c r="A103" t="s">
        <v>269</v>
      </c>
      <c r="B103">
        <v>5000</v>
      </c>
      <c r="C103">
        <v>10</v>
      </c>
      <c r="D103">
        <v>2</v>
      </c>
      <c r="E103">
        <v>4500</v>
      </c>
      <c r="F103">
        <v>70</v>
      </c>
      <c r="G103" t="b">
        <v>0</v>
      </c>
      <c r="H103">
        <v>70</v>
      </c>
    </row>
    <row r="104" spans="1:8" x14ac:dyDescent="0.25">
      <c r="A104" t="s">
        <v>754</v>
      </c>
      <c r="B104">
        <v>4000</v>
      </c>
      <c r="C104">
        <v>0</v>
      </c>
      <c r="D104">
        <v>3</v>
      </c>
      <c r="E104">
        <v>4000</v>
      </c>
      <c r="F104">
        <v>46</v>
      </c>
      <c r="G104" t="b">
        <v>0</v>
      </c>
      <c r="H104">
        <v>46</v>
      </c>
    </row>
    <row r="105" spans="1:8" x14ac:dyDescent="0.25">
      <c r="A105" t="s">
        <v>276</v>
      </c>
      <c r="B105">
        <v>2800</v>
      </c>
      <c r="C105">
        <v>10</v>
      </c>
      <c r="D105">
        <v>1</v>
      </c>
      <c r="E105">
        <v>2500</v>
      </c>
      <c r="F105">
        <v>65</v>
      </c>
      <c r="G105" t="b">
        <v>0</v>
      </c>
      <c r="H105">
        <v>65</v>
      </c>
    </row>
    <row r="106" spans="1:8" x14ac:dyDescent="0.25">
      <c r="A106" t="s">
        <v>755</v>
      </c>
      <c r="B106">
        <v>5500</v>
      </c>
      <c r="C106">
        <v>9</v>
      </c>
      <c r="D106">
        <v>2</v>
      </c>
      <c r="E106">
        <v>5000</v>
      </c>
      <c r="F106">
        <v>200</v>
      </c>
      <c r="G106" t="b">
        <v>0</v>
      </c>
      <c r="H106">
        <v>200</v>
      </c>
    </row>
    <row r="107" spans="1:8" x14ac:dyDescent="0.25">
      <c r="A107" t="s">
        <v>756</v>
      </c>
      <c r="B107">
        <v>16900</v>
      </c>
      <c r="C107">
        <v>8</v>
      </c>
      <c r="D107">
        <v>4</v>
      </c>
      <c r="E107">
        <v>15500</v>
      </c>
      <c r="F107">
        <v>300</v>
      </c>
      <c r="G107" t="b">
        <v>0</v>
      </c>
      <c r="H107">
        <v>300</v>
      </c>
    </row>
    <row r="108" spans="1:8" x14ac:dyDescent="0.25">
      <c r="A108" t="s">
        <v>757</v>
      </c>
      <c r="B108">
        <v>13000</v>
      </c>
      <c r="C108">
        <v>0</v>
      </c>
      <c r="D108">
        <v>6</v>
      </c>
      <c r="E108">
        <v>12900</v>
      </c>
      <c r="F108">
        <v>415</v>
      </c>
      <c r="G108" t="b">
        <v>0</v>
      </c>
      <c r="H108">
        <v>415</v>
      </c>
    </row>
    <row r="109" spans="1:8" x14ac:dyDescent="0.25">
      <c r="A109" t="s">
        <v>758</v>
      </c>
      <c r="B109">
        <v>6000</v>
      </c>
      <c r="C109">
        <v>26</v>
      </c>
      <c r="D109">
        <v>6</v>
      </c>
      <c r="E109">
        <v>4400</v>
      </c>
      <c r="F109">
        <v>40</v>
      </c>
      <c r="G109" t="b">
        <v>0</v>
      </c>
      <c r="H109">
        <v>40</v>
      </c>
    </row>
    <row r="110" spans="1:8" x14ac:dyDescent="0.25">
      <c r="A110" t="s">
        <v>759</v>
      </c>
      <c r="B110">
        <v>26000</v>
      </c>
      <c r="C110">
        <v>10</v>
      </c>
      <c r="D110">
        <v>4</v>
      </c>
      <c r="E110">
        <v>23400</v>
      </c>
      <c r="F110">
        <v>400</v>
      </c>
      <c r="G110" t="b">
        <v>0</v>
      </c>
      <c r="H110">
        <v>400</v>
      </c>
    </row>
    <row r="111" spans="1:8" x14ac:dyDescent="0.25">
      <c r="A111" t="s">
        <v>746</v>
      </c>
      <c r="B111">
        <v>15000</v>
      </c>
      <c r="C111">
        <v>0</v>
      </c>
      <c r="D111">
        <v>5</v>
      </c>
      <c r="E111">
        <v>15000</v>
      </c>
      <c r="F111">
        <v>580</v>
      </c>
      <c r="G111" t="b">
        <v>0</v>
      </c>
      <c r="H111">
        <v>10</v>
      </c>
    </row>
    <row r="112" spans="1:8" x14ac:dyDescent="0.25">
      <c r="A112" t="s">
        <v>760</v>
      </c>
      <c r="B112">
        <v>8500</v>
      </c>
      <c r="C112">
        <v>9</v>
      </c>
      <c r="D112">
        <v>2</v>
      </c>
      <c r="E112">
        <v>7700</v>
      </c>
      <c r="F112">
        <v>300</v>
      </c>
      <c r="G112" t="b">
        <v>0</v>
      </c>
      <c r="H112">
        <v>300</v>
      </c>
    </row>
    <row r="113" spans="1:8" x14ac:dyDescent="0.25">
      <c r="A113" t="s">
        <v>276</v>
      </c>
      <c r="B113">
        <v>2800</v>
      </c>
      <c r="C113">
        <v>17</v>
      </c>
      <c r="D113">
        <v>3</v>
      </c>
      <c r="E113">
        <v>2300</v>
      </c>
      <c r="F113">
        <v>65</v>
      </c>
      <c r="G113" t="b">
        <v>0</v>
      </c>
      <c r="H113">
        <v>65</v>
      </c>
    </row>
    <row r="114" spans="1:8" x14ac:dyDescent="0.25">
      <c r="A114" t="s">
        <v>761</v>
      </c>
      <c r="B114">
        <v>10000</v>
      </c>
      <c r="C114">
        <v>26</v>
      </c>
      <c r="D114">
        <v>6</v>
      </c>
      <c r="E114">
        <v>7400</v>
      </c>
      <c r="F114">
        <v>52</v>
      </c>
      <c r="G114" t="b">
        <v>0</v>
      </c>
      <c r="H114">
        <v>52</v>
      </c>
    </row>
    <row r="115" spans="1:8" x14ac:dyDescent="0.25">
      <c r="A115" t="s">
        <v>762</v>
      </c>
      <c r="B115">
        <v>32500</v>
      </c>
      <c r="C115">
        <v>4</v>
      </c>
      <c r="D115">
        <v>6</v>
      </c>
      <c r="E115">
        <v>30900</v>
      </c>
      <c r="F115">
        <v>400</v>
      </c>
      <c r="G115" t="b">
        <v>0</v>
      </c>
      <c r="H115">
        <v>400</v>
      </c>
    </row>
    <row r="116" spans="1:8" x14ac:dyDescent="0.25">
      <c r="A116" t="s">
        <v>290</v>
      </c>
      <c r="B116">
        <v>7000</v>
      </c>
      <c r="C116">
        <v>10</v>
      </c>
      <c r="D116">
        <v>3</v>
      </c>
      <c r="E116">
        <v>6300</v>
      </c>
      <c r="F116">
        <v>405</v>
      </c>
      <c r="G116" t="b">
        <v>0</v>
      </c>
      <c r="H116">
        <v>405</v>
      </c>
    </row>
    <row r="117" spans="1:8" x14ac:dyDescent="0.25">
      <c r="A117" t="s">
        <v>763</v>
      </c>
      <c r="B117">
        <v>14100</v>
      </c>
      <c r="C117">
        <v>14</v>
      </c>
      <c r="D117">
        <v>4</v>
      </c>
      <c r="E117">
        <v>12100</v>
      </c>
      <c r="F117">
        <v>350</v>
      </c>
      <c r="G117" t="b">
        <v>0</v>
      </c>
      <c r="H117">
        <v>350</v>
      </c>
    </row>
    <row r="118" spans="1:8" x14ac:dyDescent="0.25">
      <c r="A118" t="s">
        <v>294</v>
      </c>
      <c r="B118">
        <v>4900</v>
      </c>
      <c r="C118">
        <v>8</v>
      </c>
      <c r="D118">
        <v>6</v>
      </c>
      <c r="E118">
        <v>4500</v>
      </c>
      <c r="F118">
        <v>200</v>
      </c>
      <c r="G118" t="b">
        <v>0</v>
      </c>
      <c r="H118">
        <v>200</v>
      </c>
    </row>
    <row r="119" spans="1:8" x14ac:dyDescent="0.25">
      <c r="A119" t="s">
        <v>293</v>
      </c>
      <c r="B119">
        <v>5000</v>
      </c>
      <c r="C119">
        <v>2</v>
      </c>
      <c r="D119">
        <v>6</v>
      </c>
      <c r="E119">
        <v>4900</v>
      </c>
      <c r="F119">
        <v>200</v>
      </c>
      <c r="G119" t="b">
        <v>0</v>
      </c>
      <c r="H119">
        <v>200</v>
      </c>
    </row>
    <row r="120" spans="1:8" x14ac:dyDescent="0.25">
      <c r="A120" t="s">
        <v>764</v>
      </c>
      <c r="B120">
        <v>12500</v>
      </c>
      <c r="C120">
        <v>15</v>
      </c>
      <c r="D120">
        <v>4</v>
      </c>
      <c r="E120">
        <v>10600</v>
      </c>
      <c r="F120">
        <v>60</v>
      </c>
      <c r="G120" t="b">
        <v>0</v>
      </c>
      <c r="H120">
        <v>60</v>
      </c>
    </row>
    <row r="121" spans="1:8" x14ac:dyDescent="0.25">
      <c r="A121" t="s">
        <v>765</v>
      </c>
      <c r="B121">
        <v>4000</v>
      </c>
      <c r="C121">
        <v>2</v>
      </c>
      <c r="D121">
        <v>3</v>
      </c>
      <c r="E121">
        <v>3900</v>
      </c>
      <c r="F121">
        <v>400</v>
      </c>
      <c r="G121" t="b">
        <v>0</v>
      </c>
      <c r="H121">
        <v>400</v>
      </c>
    </row>
    <row r="122" spans="1:8" x14ac:dyDescent="0.25">
      <c r="A122" t="s">
        <v>766</v>
      </c>
      <c r="B122">
        <v>1000</v>
      </c>
      <c r="C122">
        <v>0</v>
      </c>
      <c r="D122">
        <v>3</v>
      </c>
      <c r="E122">
        <v>1000</v>
      </c>
      <c r="F122">
        <v>15</v>
      </c>
      <c r="G122" t="b">
        <v>0</v>
      </c>
      <c r="H122">
        <v>15</v>
      </c>
    </row>
    <row r="123" spans="1:8" x14ac:dyDescent="0.25">
      <c r="A123" t="s">
        <v>767</v>
      </c>
      <c r="B123">
        <v>14500</v>
      </c>
      <c r="C123">
        <v>11</v>
      </c>
      <c r="D123">
        <v>3</v>
      </c>
      <c r="E123">
        <v>12900</v>
      </c>
      <c r="F123">
        <v>400</v>
      </c>
      <c r="G123" t="b">
        <v>0</v>
      </c>
      <c r="H123">
        <v>400</v>
      </c>
    </row>
    <row r="124" spans="1:8" x14ac:dyDescent="0.25">
      <c r="A124" t="s">
        <v>768</v>
      </c>
      <c r="B124">
        <v>33500</v>
      </c>
      <c r="C124">
        <v>11</v>
      </c>
      <c r="D124">
        <v>6</v>
      </c>
      <c r="E124">
        <v>29800</v>
      </c>
      <c r="F124">
        <v>500</v>
      </c>
      <c r="G124" t="b">
        <v>0</v>
      </c>
      <c r="H124">
        <v>500</v>
      </c>
    </row>
    <row r="125" spans="1:8" x14ac:dyDescent="0.25">
      <c r="A125" t="s">
        <v>769</v>
      </c>
      <c r="B125">
        <v>11900</v>
      </c>
      <c r="C125">
        <v>6</v>
      </c>
      <c r="D125">
        <v>6</v>
      </c>
      <c r="E125">
        <v>11100</v>
      </c>
      <c r="F125">
        <v>360</v>
      </c>
      <c r="G125" t="b">
        <v>0</v>
      </c>
      <c r="H125">
        <v>360</v>
      </c>
    </row>
    <row r="126" spans="1:8" x14ac:dyDescent="0.25">
      <c r="A126" t="s">
        <v>770</v>
      </c>
      <c r="B126">
        <v>14900</v>
      </c>
      <c r="C126">
        <v>8</v>
      </c>
      <c r="D126">
        <v>6</v>
      </c>
      <c r="E126">
        <v>13700</v>
      </c>
      <c r="F126">
        <v>300</v>
      </c>
      <c r="G126" t="b">
        <v>0</v>
      </c>
      <c r="H126">
        <v>300</v>
      </c>
    </row>
    <row r="127" spans="1:8" x14ac:dyDescent="0.25">
      <c r="A127" t="s">
        <v>771</v>
      </c>
      <c r="B127">
        <v>13000</v>
      </c>
      <c r="C127">
        <v>0</v>
      </c>
      <c r="D127">
        <v>5</v>
      </c>
      <c r="E127">
        <v>13000</v>
      </c>
      <c r="F127">
        <v>200</v>
      </c>
      <c r="G127" t="b">
        <v>0</v>
      </c>
      <c r="H127">
        <v>200</v>
      </c>
    </row>
    <row r="128" spans="1:8" x14ac:dyDescent="0.25">
      <c r="A128" t="s">
        <v>772</v>
      </c>
      <c r="B128">
        <v>5500</v>
      </c>
      <c r="C128">
        <v>3</v>
      </c>
      <c r="D128">
        <v>1</v>
      </c>
      <c r="E128">
        <v>5300</v>
      </c>
      <c r="F128">
        <v>43</v>
      </c>
      <c r="G128" t="b">
        <v>0</v>
      </c>
      <c r="H128">
        <v>43</v>
      </c>
    </row>
    <row r="129" spans="1:8" x14ac:dyDescent="0.25">
      <c r="A129" t="s">
        <v>629</v>
      </c>
      <c r="B129">
        <v>9900</v>
      </c>
      <c r="C129">
        <v>5</v>
      </c>
      <c r="D129">
        <v>6</v>
      </c>
      <c r="E129">
        <v>9400</v>
      </c>
      <c r="F129">
        <v>200</v>
      </c>
      <c r="G129" t="b">
        <v>0</v>
      </c>
      <c r="H129">
        <v>200</v>
      </c>
    </row>
    <row r="130" spans="1:8" x14ac:dyDescent="0.25">
      <c r="A130" t="s">
        <v>632</v>
      </c>
      <c r="B130">
        <v>21500</v>
      </c>
      <c r="C130">
        <v>9</v>
      </c>
      <c r="D130">
        <v>6</v>
      </c>
      <c r="E130">
        <v>19400</v>
      </c>
      <c r="F130">
        <v>325</v>
      </c>
      <c r="G130" t="b">
        <v>0</v>
      </c>
      <c r="H130">
        <v>325</v>
      </c>
    </row>
    <row r="131" spans="1:8" x14ac:dyDescent="0.25">
      <c r="A131" t="s">
        <v>309</v>
      </c>
      <c r="B131">
        <v>20500</v>
      </c>
      <c r="C131">
        <v>5</v>
      </c>
      <c r="D131">
        <v>1</v>
      </c>
      <c r="E131">
        <v>19400</v>
      </c>
      <c r="F131">
        <v>250</v>
      </c>
      <c r="G131" t="b">
        <v>0</v>
      </c>
      <c r="H131">
        <v>250</v>
      </c>
    </row>
    <row r="132" spans="1:8" x14ac:dyDescent="0.25">
      <c r="A132" t="s">
        <v>773</v>
      </c>
      <c r="B132">
        <v>16500</v>
      </c>
      <c r="C132">
        <v>9</v>
      </c>
      <c r="D132">
        <v>1</v>
      </c>
      <c r="E132">
        <v>14900</v>
      </c>
      <c r="F132">
        <v>500</v>
      </c>
      <c r="G132" t="b">
        <v>0</v>
      </c>
      <c r="H132">
        <v>500</v>
      </c>
    </row>
    <row r="133" spans="1:8" x14ac:dyDescent="0.25">
      <c r="A133" t="s">
        <v>774</v>
      </c>
      <c r="B133">
        <v>8900</v>
      </c>
      <c r="C133">
        <v>0</v>
      </c>
      <c r="D133">
        <v>5</v>
      </c>
      <c r="E133">
        <v>8900</v>
      </c>
      <c r="F133">
        <v>480</v>
      </c>
      <c r="G133" t="b">
        <v>0</v>
      </c>
      <c r="H133">
        <v>480</v>
      </c>
    </row>
    <row r="134" spans="1:8" x14ac:dyDescent="0.25">
      <c r="A134" t="s">
        <v>775</v>
      </c>
      <c r="B134">
        <v>65000</v>
      </c>
      <c r="C134">
        <v>0</v>
      </c>
      <c r="D134">
        <v>6</v>
      </c>
      <c r="E134">
        <v>65000</v>
      </c>
      <c r="F134">
        <v>400</v>
      </c>
      <c r="G134" t="b">
        <v>0</v>
      </c>
      <c r="H134">
        <v>400</v>
      </c>
    </row>
    <row r="135" spans="1:8" x14ac:dyDescent="0.25">
      <c r="A135" t="s">
        <v>296</v>
      </c>
      <c r="B135">
        <v>9600</v>
      </c>
      <c r="C135">
        <v>15</v>
      </c>
      <c r="D135">
        <v>6</v>
      </c>
      <c r="E135">
        <v>8100</v>
      </c>
      <c r="F135">
        <v>280</v>
      </c>
      <c r="G135" t="b">
        <v>0</v>
      </c>
      <c r="H135">
        <v>280</v>
      </c>
    </row>
    <row r="136" spans="1:8" x14ac:dyDescent="0.25">
      <c r="A136" t="s">
        <v>776</v>
      </c>
      <c r="B136">
        <v>12000</v>
      </c>
      <c r="C136">
        <v>7</v>
      </c>
      <c r="D136">
        <v>6</v>
      </c>
      <c r="E136">
        <v>11100</v>
      </c>
      <c r="F136">
        <v>400</v>
      </c>
      <c r="G136" t="b">
        <v>0</v>
      </c>
      <c r="H136">
        <v>400</v>
      </c>
    </row>
    <row r="137" spans="1:8" x14ac:dyDescent="0.25">
      <c r="A137" t="s">
        <v>777</v>
      </c>
      <c r="B137">
        <v>33000</v>
      </c>
      <c r="C137">
        <v>10</v>
      </c>
      <c r="D137">
        <v>1</v>
      </c>
      <c r="E137">
        <v>29400</v>
      </c>
      <c r="F137">
        <v>450</v>
      </c>
      <c r="G137" t="b">
        <v>0</v>
      </c>
      <c r="H137">
        <v>450</v>
      </c>
    </row>
    <row r="138" spans="1:8" x14ac:dyDescent="0.25">
      <c r="A138" t="s">
        <v>778</v>
      </c>
      <c r="B138">
        <v>13000</v>
      </c>
      <c r="C138">
        <v>10</v>
      </c>
      <c r="D138">
        <v>6</v>
      </c>
      <c r="E138">
        <v>11700</v>
      </c>
      <c r="F138">
        <v>250</v>
      </c>
      <c r="G138" t="b">
        <v>0</v>
      </c>
      <c r="H138">
        <v>250</v>
      </c>
    </row>
    <row r="139" spans="1:8" x14ac:dyDescent="0.25">
      <c r="A139" t="s">
        <v>779</v>
      </c>
      <c r="B139">
        <v>3200</v>
      </c>
      <c r="C139">
        <v>0</v>
      </c>
      <c r="D139">
        <v>3</v>
      </c>
      <c r="E139">
        <v>3200</v>
      </c>
      <c r="F139">
        <v>150</v>
      </c>
      <c r="G139" t="b">
        <v>0</v>
      </c>
      <c r="H139">
        <v>150</v>
      </c>
    </row>
    <row r="140" spans="1:8" x14ac:dyDescent="0.25">
      <c r="A140" t="s">
        <v>780</v>
      </c>
      <c r="B140">
        <v>6000</v>
      </c>
      <c r="C140">
        <v>20</v>
      </c>
      <c r="D140">
        <v>6</v>
      </c>
      <c r="E140">
        <v>4800</v>
      </c>
      <c r="F140">
        <v>40</v>
      </c>
      <c r="G140" t="b">
        <v>0</v>
      </c>
      <c r="H140">
        <v>40</v>
      </c>
    </row>
    <row r="141" spans="1:8" x14ac:dyDescent="0.25">
      <c r="A141" t="s">
        <v>136</v>
      </c>
      <c r="B141">
        <v>19500</v>
      </c>
      <c r="C141">
        <v>12</v>
      </c>
      <c r="D141">
        <v>2</v>
      </c>
      <c r="E141">
        <v>17100</v>
      </c>
      <c r="F141">
        <v>500</v>
      </c>
      <c r="G141" t="b">
        <v>0</v>
      </c>
      <c r="H141">
        <v>500</v>
      </c>
    </row>
    <row r="142" spans="1:8" x14ac:dyDescent="0.25">
      <c r="A142" t="s">
        <v>781</v>
      </c>
      <c r="B142">
        <v>8000</v>
      </c>
      <c r="C142">
        <v>10</v>
      </c>
      <c r="D142">
        <v>3</v>
      </c>
      <c r="E142">
        <v>7200</v>
      </c>
      <c r="F142">
        <v>320</v>
      </c>
      <c r="G142" t="b">
        <v>0</v>
      </c>
      <c r="H142">
        <v>320</v>
      </c>
    </row>
    <row r="143" spans="1:8" x14ac:dyDescent="0.25">
      <c r="A143" t="s">
        <v>782</v>
      </c>
      <c r="B143">
        <v>4000</v>
      </c>
      <c r="C143">
        <v>0</v>
      </c>
      <c r="D143">
        <v>4</v>
      </c>
      <c r="E143">
        <v>4000</v>
      </c>
      <c r="F143">
        <v>46</v>
      </c>
      <c r="G143" t="b">
        <v>0</v>
      </c>
      <c r="H143">
        <v>46</v>
      </c>
    </row>
    <row r="144" spans="1:8" x14ac:dyDescent="0.25">
      <c r="A144" t="s">
        <v>783</v>
      </c>
      <c r="B144">
        <v>20000</v>
      </c>
      <c r="C144">
        <v>25</v>
      </c>
      <c r="D144">
        <v>1</v>
      </c>
      <c r="E144">
        <v>15000</v>
      </c>
      <c r="F144">
        <v>180</v>
      </c>
      <c r="G144" t="b">
        <v>0</v>
      </c>
      <c r="H144">
        <v>180</v>
      </c>
    </row>
    <row r="145" spans="1:8" x14ac:dyDescent="0.25">
      <c r="A145" t="s">
        <v>744</v>
      </c>
      <c r="B145">
        <v>55000</v>
      </c>
      <c r="C145">
        <v>5</v>
      </c>
      <c r="D145">
        <v>3</v>
      </c>
      <c r="E145">
        <v>52000</v>
      </c>
      <c r="F145">
        <v>1000</v>
      </c>
      <c r="G145" t="b">
        <v>0</v>
      </c>
      <c r="H145">
        <v>1</v>
      </c>
    </row>
    <row r="146" spans="1:8" x14ac:dyDescent="0.25">
      <c r="A146" t="s">
        <v>784</v>
      </c>
      <c r="B146">
        <v>33000</v>
      </c>
      <c r="C146">
        <v>10</v>
      </c>
      <c r="D146">
        <v>3</v>
      </c>
      <c r="E146">
        <v>29400</v>
      </c>
      <c r="F146">
        <v>450</v>
      </c>
      <c r="G146" t="b">
        <v>0</v>
      </c>
      <c r="H146">
        <v>450</v>
      </c>
    </row>
    <row r="147" spans="1:8" x14ac:dyDescent="0.25">
      <c r="A147" t="s">
        <v>785</v>
      </c>
      <c r="B147">
        <v>16000</v>
      </c>
      <c r="C147">
        <v>20</v>
      </c>
      <c r="D147">
        <v>4</v>
      </c>
      <c r="E147">
        <v>12800</v>
      </c>
      <c r="F147">
        <v>180</v>
      </c>
      <c r="G147" t="b">
        <v>0</v>
      </c>
      <c r="H147">
        <v>180</v>
      </c>
    </row>
    <row r="148" spans="1:8" x14ac:dyDescent="0.25">
      <c r="A148" t="s">
        <v>786</v>
      </c>
      <c r="B148">
        <v>1500</v>
      </c>
      <c r="C148">
        <v>0</v>
      </c>
      <c r="D148">
        <v>3</v>
      </c>
      <c r="E148">
        <v>1500</v>
      </c>
      <c r="F148">
        <v>60</v>
      </c>
      <c r="G148" t="b">
        <v>0</v>
      </c>
      <c r="H148">
        <v>60</v>
      </c>
    </row>
    <row r="149" spans="1:8" x14ac:dyDescent="0.25">
      <c r="A149" t="s">
        <v>787</v>
      </c>
      <c r="B149">
        <v>12500</v>
      </c>
      <c r="C149">
        <v>9</v>
      </c>
      <c r="D149">
        <v>6</v>
      </c>
      <c r="E149">
        <v>11300</v>
      </c>
      <c r="F149">
        <v>400</v>
      </c>
      <c r="G149" t="b">
        <v>0</v>
      </c>
      <c r="H149">
        <v>500</v>
      </c>
    </row>
    <row r="150" spans="1:8" x14ac:dyDescent="0.25">
      <c r="A150" t="s">
        <v>320</v>
      </c>
      <c r="B150">
        <v>16000</v>
      </c>
      <c r="C150">
        <v>10</v>
      </c>
      <c r="D150">
        <v>3</v>
      </c>
      <c r="E150">
        <v>14400</v>
      </c>
      <c r="F150">
        <v>250</v>
      </c>
      <c r="G150" t="b">
        <v>0</v>
      </c>
      <c r="H150">
        <v>250</v>
      </c>
    </row>
    <row r="151" spans="1:8" x14ac:dyDescent="0.25">
      <c r="A151" t="s">
        <v>788</v>
      </c>
      <c r="B151">
        <v>17500</v>
      </c>
      <c r="C151">
        <v>20</v>
      </c>
      <c r="D151">
        <v>6</v>
      </c>
      <c r="E151">
        <v>14000</v>
      </c>
      <c r="F151">
        <v>180</v>
      </c>
      <c r="G151" t="b">
        <v>0</v>
      </c>
      <c r="H151">
        <v>180</v>
      </c>
    </row>
    <row r="152" spans="1:8" x14ac:dyDescent="0.25">
      <c r="A152" t="s">
        <v>789</v>
      </c>
      <c r="B152">
        <v>17000</v>
      </c>
      <c r="C152">
        <v>10</v>
      </c>
      <c r="D152">
        <v>1</v>
      </c>
      <c r="E152">
        <v>15300</v>
      </c>
      <c r="F152">
        <v>1000</v>
      </c>
      <c r="G152" t="b">
        <v>0</v>
      </c>
      <c r="H152">
        <v>1</v>
      </c>
    </row>
    <row r="153" spans="1:8" x14ac:dyDescent="0.25">
      <c r="A153" t="s">
        <v>790</v>
      </c>
      <c r="B153">
        <v>1500</v>
      </c>
      <c r="C153">
        <v>0</v>
      </c>
      <c r="D153">
        <v>3</v>
      </c>
      <c r="E153">
        <v>1500</v>
      </c>
      <c r="F153">
        <v>15</v>
      </c>
      <c r="G153" t="b">
        <v>0</v>
      </c>
      <c r="H153">
        <v>15</v>
      </c>
    </row>
    <row r="154" spans="1:8" x14ac:dyDescent="0.25">
      <c r="A154" t="s">
        <v>791</v>
      </c>
      <c r="B154">
        <v>49900</v>
      </c>
      <c r="C154">
        <v>11</v>
      </c>
      <c r="D154">
        <v>6</v>
      </c>
      <c r="E154">
        <v>44400</v>
      </c>
      <c r="F154">
        <v>1200</v>
      </c>
      <c r="G154" t="b">
        <v>0</v>
      </c>
      <c r="H154">
        <v>1</v>
      </c>
    </row>
    <row r="155" spans="1:8" x14ac:dyDescent="0.25">
      <c r="A155" t="s">
        <v>787</v>
      </c>
      <c r="B155">
        <v>14900</v>
      </c>
      <c r="C155">
        <v>26</v>
      </c>
      <c r="D155">
        <v>4</v>
      </c>
      <c r="E155">
        <v>10900</v>
      </c>
      <c r="F155">
        <v>500</v>
      </c>
      <c r="G155" t="b">
        <v>0</v>
      </c>
      <c r="H155">
        <v>500</v>
      </c>
    </row>
    <row r="156" spans="1:8" x14ac:dyDescent="0.25">
      <c r="A156" t="s">
        <v>792</v>
      </c>
      <c r="B156">
        <v>6000</v>
      </c>
      <c r="C156">
        <v>0</v>
      </c>
      <c r="D156">
        <v>6</v>
      </c>
      <c r="E156">
        <v>6000</v>
      </c>
      <c r="F156">
        <v>240</v>
      </c>
      <c r="G156" t="b">
        <v>0</v>
      </c>
      <c r="H156">
        <v>240</v>
      </c>
    </row>
    <row r="157" spans="1:8" x14ac:dyDescent="0.25">
      <c r="A157" t="s">
        <v>793</v>
      </c>
      <c r="B157">
        <v>31000</v>
      </c>
      <c r="C157">
        <v>6</v>
      </c>
      <c r="D157">
        <v>6</v>
      </c>
      <c r="E157">
        <v>29000</v>
      </c>
      <c r="F157">
        <v>875</v>
      </c>
      <c r="G157" t="b">
        <v>0</v>
      </c>
      <c r="H157">
        <v>875</v>
      </c>
    </row>
    <row r="158" spans="1:8" x14ac:dyDescent="0.25">
      <c r="A158" t="s">
        <v>328</v>
      </c>
      <c r="B158">
        <v>6000</v>
      </c>
      <c r="C158">
        <v>0</v>
      </c>
      <c r="D158">
        <v>4</v>
      </c>
      <c r="E158">
        <v>6000</v>
      </c>
      <c r="F158">
        <v>240</v>
      </c>
      <c r="G158" t="b">
        <v>0</v>
      </c>
      <c r="H158">
        <v>240</v>
      </c>
    </row>
    <row r="159" spans="1:8" x14ac:dyDescent="0.25">
      <c r="A159" t="s">
        <v>794</v>
      </c>
      <c r="B159">
        <v>33000</v>
      </c>
      <c r="C159">
        <v>6</v>
      </c>
      <c r="D159">
        <v>6</v>
      </c>
      <c r="E159">
        <v>31000</v>
      </c>
      <c r="F159">
        <v>460</v>
      </c>
      <c r="G159" t="b">
        <v>0</v>
      </c>
      <c r="H159">
        <v>460</v>
      </c>
    </row>
    <row r="160" spans="1:8" x14ac:dyDescent="0.25">
      <c r="A160" t="s">
        <v>795</v>
      </c>
      <c r="B160">
        <v>29200</v>
      </c>
      <c r="C160">
        <v>0</v>
      </c>
      <c r="D160">
        <v>6</v>
      </c>
      <c r="E160">
        <v>29200</v>
      </c>
      <c r="F160">
        <v>300</v>
      </c>
      <c r="G160" t="b">
        <v>0</v>
      </c>
      <c r="H160">
        <v>300</v>
      </c>
    </row>
    <row r="161" spans="1:8" x14ac:dyDescent="0.25">
      <c r="A161" t="s">
        <v>796</v>
      </c>
      <c r="B161">
        <v>2500</v>
      </c>
      <c r="C161">
        <v>0</v>
      </c>
      <c r="D161">
        <v>6</v>
      </c>
      <c r="E161">
        <v>2500</v>
      </c>
      <c r="F161">
        <v>60</v>
      </c>
      <c r="G161" t="b">
        <v>0</v>
      </c>
      <c r="H161">
        <v>60</v>
      </c>
    </row>
    <row r="162" spans="1:8" x14ac:dyDescent="0.25">
      <c r="A162" t="s">
        <v>774</v>
      </c>
      <c r="B162">
        <v>6800</v>
      </c>
      <c r="C162">
        <v>10</v>
      </c>
      <c r="D162">
        <v>5</v>
      </c>
      <c r="E162">
        <v>6100</v>
      </c>
      <c r="F162">
        <v>360</v>
      </c>
      <c r="G162" t="b">
        <v>0</v>
      </c>
      <c r="H162">
        <v>360</v>
      </c>
    </row>
    <row r="163" spans="1:8" x14ac:dyDescent="0.25">
      <c r="A163" t="s">
        <v>797</v>
      </c>
      <c r="B163">
        <v>5500</v>
      </c>
      <c r="C163">
        <v>0</v>
      </c>
      <c r="D163">
        <v>6</v>
      </c>
      <c r="E163">
        <v>5500</v>
      </c>
      <c r="F163">
        <v>53</v>
      </c>
      <c r="G163" t="b">
        <v>0</v>
      </c>
      <c r="H163">
        <v>53</v>
      </c>
    </row>
    <row r="164" spans="1:8" x14ac:dyDescent="0.25">
      <c r="A164" t="s">
        <v>336</v>
      </c>
      <c r="B164">
        <v>29500</v>
      </c>
      <c r="C164">
        <v>9</v>
      </c>
      <c r="D164">
        <v>6</v>
      </c>
      <c r="E164">
        <v>26600</v>
      </c>
      <c r="F164">
        <v>360</v>
      </c>
      <c r="G164" t="b">
        <v>0</v>
      </c>
      <c r="H164">
        <v>360</v>
      </c>
    </row>
    <row r="165" spans="1:8" x14ac:dyDescent="0.25">
      <c r="A165" t="s">
        <v>798</v>
      </c>
      <c r="B165">
        <v>42500</v>
      </c>
      <c r="C165">
        <v>9</v>
      </c>
      <c r="D165">
        <v>1</v>
      </c>
      <c r="E165">
        <v>38300</v>
      </c>
      <c r="F165">
        <v>1000</v>
      </c>
      <c r="G165" t="b">
        <v>0</v>
      </c>
      <c r="H165">
        <v>1</v>
      </c>
    </row>
    <row r="166" spans="1:8" x14ac:dyDescent="0.25">
      <c r="A166" t="s">
        <v>799</v>
      </c>
      <c r="B166">
        <v>17000</v>
      </c>
      <c r="C166">
        <v>5</v>
      </c>
      <c r="D166">
        <v>4</v>
      </c>
      <c r="E166">
        <v>16000</v>
      </c>
      <c r="F166">
        <v>385</v>
      </c>
      <c r="G166" t="b">
        <v>0</v>
      </c>
      <c r="H166">
        <v>385</v>
      </c>
    </row>
    <row r="167" spans="1:8" x14ac:dyDescent="0.25">
      <c r="A167" t="s">
        <v>800</v>
      </c>
      <c r="B167">
        <v>29000</v>
      </c>
      <c r="C167">
        <v>20</v>
      </c>
      <c r="D167">
        <v>6</v>
      </c>
      <c r="E167">
        <v>23200</v>
      </c>
      <c r="F167">
        <v>1200</v>
      </c>
      <c r="G167" t="b">
        <v>0</v>
      </c>
      <c r="H167">
        <v>1200</v>
      </c>
    </row>
    <row r="168" spans="1:8" x14ac:dyDescent="0.25">
      <c r="A168" t="s">
        <v>801</v>
      </c>
      <c r="B168">
        <v>1500</v>
      </c>
      <c r="C168">
        <v>0</v>
      </c>
      <c r="D168">
        <v>5</v>
      </c>
      <c r="E168">
        <v>1500</v>
      </c>
      <c r="F168">
        <v>15</v>
      </c>
      <c r="G168" t="b">
        <v>0</v>
      </c>
      <c r="H168">
        <v>15</v>
      </c>
    </row>
    <row r="169" spans="1:8" x14ac:dyDescent="0.25">
      <c r="A169" t="s">
        <v>802</v>
      </c>
      <c r="B169">
        <v>26100</v>
      </c>
      <c r="C169">
        <v>0</v>
      </c>
      <c r="D169">
        <v>6</v>
      </c>
      <c r="E169">
        <v>26100</v>
      </c>
      <c r="F169">
        <v>300</v>
      </c>
      <c r="G169" t="b">
        <v>0</v>
      </c>
      <c r="H169">
        <v>300</v>
      </c>
    </row>
    <row r="170" spans="1:8" x14ac:dyDescent="0.25">
      <c r="A170" t="s">
        <v>803</v>
      </c>
      <c r="B170">
        <v>66000</v>
      </c>
      <c r="C170">
        <v>40</v>
      </c>
      <c r="D170">
        <v>4</v>
      </c>
      <c r="E170">
        <v>39600</v>
      </c>
      <c r="F170">
        <v>1200</v>
      </c>
      <c r="G170" t="b">
        <v>0</v>
      </c>
      <c r="H170">
        <v>1</v>
      </c>
    </row>
    <row r="171" spans="1:8" x14ac:dyDescent="0.25">
      <c r="A171" t="s">
        <v>804</v>
      </c>
      <c r="B171">
        <v>17000</v>
      </c>
      <c r="C171">
        <v>4</v>
      </c>
      <c r="D171">
        <v>2</v>
      </c>
      <c r="E171">
        <v>16200</v>
      </c>
      <c r="F171">
        <v>210</v>
      </c>
      <c r="G171" t="b">
        <v>0</v>
      </c>
      <c r="H171">
        <v>210</v>
      </c>
    </row>
    <row r="172" spans="1:8" x14ac:dyDescent="0.25">
      <c r="A172" t="s">
        <v>638</v>
      </c>
      <c r="B172">
        <v>22900</v>
      </c>
      <c r="C172">
        <v>10</v>
      </c>
      <c r="D172">
        <v>6</v>
      </c>
      <c r="E172">
        <v>20600</v>
      </c>
      <c r="F172">
        <v>400</v>
      </c>
      <c r="G172" t="b">
        <v>0</v>
      </c>
      <c r="H172">
        <v>400</v>
      </c>
    </row>
    <row r="173" spans="1:8" x14ac:dyDescent="0.25">
      <c r="A173" t="s">
        <v>805</v>
      </c>
      <c r="B173">
        <v>13000</v>
      </c>
      <c r="C173">
        <v>30</v>
      </c>
      <c r="D173">
        <v>6</v>
      </c>
      <c r="E173">
        <v>9100</v>
      </c>
      <c r="F173">
        <v>285</v>
      </c>
      <c r="G173" t="b">
        <v>0</v>
      </c>
      <c r="H173">
        <v>285</v>
      </c>
    </row>
    <row r="174" spans="1:8" x14ac:dyDescent="0.25">
      <c r="A174" t="s">
        <v>806</v>
      </c>
      <c r="B174">
        <v>9900</v>
      </c>
      <c r="C174">
        <v>11</v>
      </c>
      <c r="D174">
        <v>6</v>
      </c>
      <c r="E174">
        <v>8800</v>
      </c>
      <c r="F174">
        <v>175</v>
      </c>
      <c r="G174" t="b">
        <v>0</v>
      </c>
      <c r="H174">
        <v>175</v>
      </c>
    </row>
    <row r="175" spans="1:8" x14ac:dyDescent="0.25">
      <c r="A175" t="s">
        <v>807</v>
      </c>
      <c r="B175">
        <v>16900</v>
      </c>
      <c r="C175">
        <v>5</v>
      </c>
      <c r="D175">
        <v>4</v>
      </c>
      <c r="E175">
        <v>16000</v>
      </c>
      <c r="F175">
        <v>250</v>
      </c>
      <c r="G175" t="b">
        <v>0</v>
      </c>
      <c r="H175">
        <v>250</v>
      </c>
    </row>
    <row r="176" spans="1:8" x14ac:dyDescent="0.25">
      <c r="A176" t="s">
        <v>808</v>
      </c>
      <c r="B176">
        <v>17900</v>
      </c>
      <c r="C176">
        <v>0</v>
      </c>
      <c r="D176">
        <v>6</v>
      </c>
      <c r="E176">
        <v>17900</v>
      </c>
      <c r="F176">
        <v>450</v>
      </c>
      <c r="G176" t="b">
        <v>0</v>
      </c>
      <c r="H176">
        <v>450</v>
      </c>
    </row>
    <row r="177" spans="1:8" x14ac:dyDescent="0.25">
      <c r="A177" t="s">
        <v>809</v>
      </c>
      <c r="B177">
        <v>14900</v>
      </c>
      <c r="C177">
        <v>8</v>
      </c>
      <c r="D177">
        <v>6</v>
      </c>
      <c r="E177">
        <v>13700</v>
      </c>
      <c r="F177">
        <v>330</v>
      </c>
      <c r="G177" t="b">
        <v>0</v>
      </c>
      <c r="H177">
        <v>330</v>
      </c>
    </row>
    <row r="178" spans="1:8" x14ac:dyDescent="0.25">
      <c r="A178" t="s">
        <v>810</v>
      </c>
      <c r="B178">
        <v>6000</v>
      </c>
      <c r="C178">
        <v>20</v>
      </c>
      <c r="D178">
        <v>6</v>
      </c>
      <c r="E178">
        <v>4800</v>
      </c>
      <c r="F178">
        <v>40</v>
      </c>
      <c r="G178" t="b">
        <v>0</v>
      </c>
      <c r="H178">
        <v>40</v>
      </c>
    </row>
    <row r="179" spans="1:8" x14ac:dyDescent="0.25">
      <c r="A179" t="s">
        <v>811</v>
      </c>
      <c r="B179">
        <v>32500</v>
      </c>
      <c r="C179">
        <v>20</v>
      </c>
      <c r="D179">
        <v>6</v>
      </c>
      <c r="E179">
        <v>26000</v>
      </c>
      <c r="F179">
        <v>350</v>
      </c>
      <c r="G179" t="b">
        <v>0</v>
      </c>
      <c r="H179">
        <v>350</v>
      </c>
    </row>
    <row r="180" spans="1:8" x14ac:dyDescent="0.25">
      <c r="A180" t="s">
        <v>812</v>
      </c>
      <c r="B180">
        <v>15000</v>
      </c>
      <c r="C180">
        <v>14</v>
      </c>
      <c r="D180">
        <v>5</v>
      </c>
      <c r="E180">
        <v>12800</v>
      </c>
      <c r="F180">
        <v>114</v>
      </c>
      <c r="G180" t="b">
        <v>0</v>
      </c>
      <c r="H180">
        <v>114</v>
      </c>
    </row>
    <row r="181" spans="1:8" x14ac:dyDescent="0.25">
      <c r="A181" t="s">
        <v>813</v>
      </c>
      <c r="B181">
        <v>21000</v>
      </c>
      <c r="C181">
        <v>8</v>
      </c>
      <c r="D181">
        <v>5</v>
      </c>
      <c r="E181">
        <v>19200</v>
      </c>
      <c r="F181">
        <v>435</v>
      </c>
      <c r="G181" t="b">
        <v>0</v>
      </c>
      <c r="H181">
        <v>435</v>
      </c>
    </row>
    <row r="182" spans="1:8" x14ac:dyDescent="0.25">
      <c r="A182" t="s">
        <v>814</v>
      </c>
      <c r="B182">
        <v>28000</v>
      </c>
      <c r="C182">
        <v>50</v>
      </c>
      <c r="D182">
        <v>5</v>
      </c>
      <c r="E182">
        <v>14000</v>
      </c>
      <c r="F182">
        <v>175</v>
      </c>
      <c r="G182" t="b">
        <v>0</v>
      </c>
      <c r="H182">
        <v>175</v>
      </c>
    </row>
    <row r="183" spans="1:8" x14ac:dyDescent="0.25">
      <c r="A183" t="s">
        <v>815</v>
      </c>
      <c r="B183">
        <v>5000</v>
      </c>
      <c r="C183">
        <v>10</v>
      </c>
      <c r="D183">
        <v>6</v>
      </c>
      <c r="E183">
        <v>4500</v>
      </c>
      <c r="F183">
        <v>100</v>
      </c>
      <c r="G183" t="b">
        <v>0</v>
      </c>
      <c r="H183">
        <v>100</v>
      </c>
    </row>
    <row r="184" spans="1:8" x14ac:dyDescent="0.25">
      <c r="A184" t="s">
        <v>816</v>
      </c>
      <c r="B184">
        <v>8000</v>
      </c>
      <c r="C184">
        <v>10</v>
      </c>
      <c r="D184">
        <v>6</v>
      </c>
      <c r="E184">
        <v>7200</v>
      </c>
      <c r="F184">
        <v>280</v>
      </c>
      <c r="G184" t="b">
        <v>0</v>
      </c>
      <c r="H184">
        <v>280</v>
      </c>
    </row>
    <row r="185" spans="1:8" x14ac:dyDescent="0.25">
      <c r="A185" t="s">
        <v>345</v>
      </c>
      <c r="B185">
        <v>19500</v>
      </c>
      <c r="C185">
        <v>12</v>
      </c>
      <c r="D185">
        <v>6</v>
      </c>
      <c r="E185">
        <v>17100</v>
      </c>
      <c r="F185">
        <v>500</v>
      </c>
      <c r="G185" t="b">
        <v>0</v>
      </c>
      <c r="H185">
        <v>500</v>
      </c>
    </row>
    <row r="186" spans="1:8" x14ac:dyDescent="0.25">
      <c r="A186" t="s">
        <v>344</v>
      </c>
      <c r="B186">
        <v>6000</v>
      </c>
      <c r="C186">
        <v>0</v>
      </c>
      <c r="D186">
        <v>4</v>
      </c>
      <c r="E186">
        <v>6000</v>
      </c>
      <c r="F186">
        <v>240</v>
      </c>
      <c r="G186" t="b">
        <v>0</v>
      </c>
      <c r="H186">
        <v>240</v>
      </c>
    </row>
    <row r="187" spans="1:8" x14ac:dyDescent="0.25">
      <c r="A187" t="s">
        <v>817</v>
      </c>
      <c r="B187">
        <v>20000</v>
      </c>
      <c r="C187">
        <v>30</v>
      </c>
      <c r="D187">
        <v>1</v>
      </c>
      <c r="E187">
        <v>14000</v>
      </c>
      <c r="F187">
        <v>285</v>
      </c>
      <c r="G187" t="b">
        <v>0</v>
      </c>
      <c r="H187">
        <v>285</v>
      </c>
    </row>
    <row r="188" spans="1:8" x14ac:dyDescent="0.25">
      <c r="A188" t="s">
        <v>818</v>
      </c>
      <c r="B188">
        <v>19000</v>
      </c>
      <c r="C188">
        <v>0</v>
      </c>
      <c r="D188">
        <v>6</v>
      </c>
      <c r="E188">
        <v>19000</v>
      </c>
      <c r="F188">
        <v>300</v>
      </c>
      <c r="G188" t="b">
        <v>0</v>
      </c>
      <c r="H188">
        <v>300</v>
      </c>
    </row>
    <row r="189" spans="1:8" x14ac:dyDescent="0.25">
      <c r="A189" t="s">
        <v>819</v>
      </c>
      <c r="B189">
        <v>11900</v>
      </c>
      <c r="C189">
        <v>5</v>
      </c>
      <c r="D189">
        <v>6</v>
      </c>
      <c r="E189">
        <v>11300</v>
      </c>
      <c r="F189">
        <v>400</v>
      </c>
      <c r="G189" t="b">
        <v>0</v>
      </c>
      <c r="H189">
        <v>400</v>
      </c>
    </row>
    <row r="190" spans="1:8" x14ac:dyDescent="0.25">
      <c r="A190" t="s">
        <v>820</v>
      </c>
      <c r="B190">
        <v>17000</v>
      </c>
      <c r="C190">
        <v>4</v>
      </c>
      <c r="D190">
        <v>4</v>
      </c>
      <c r="E190">
        <v>16200</v>
      </c>
      <c r="F190">
        <v>340</v>
      </c>
      <c r="G190" t="b">
        <v>0</v>
      </c>
      <c r="H190">
        <v>340</v>
      </c>
    </row>
    <row r="191" spans="1:8" x14ac:dyDescent="0.25">
      <c r="A191" t="s">
        <v>821</v>
      </c>
      <c r="B191">
        <v>6000</v>
      </c>
      <c r="C191">
        <v>15</v>
      </c>
      <c r="D191">
        <v>1</v>
      </c>
      <c r="E191">
        <v>5100</v>
      </c>
      <c r="F191">
        <v>70</v>
      </c>
      <c r="G191" t="b">
        <v>0</v>
      </c>
      <c r="H191">
        <v>70</v>
      </c>
    </row>
    <row r="192" spans="1:8" x14ac:dyDescent="0.25">
      <c r="A192" t="s">
        <v>822</v>
      </c>
      <c r="B192">
        <v>5500</v>
      </c>
      <c r="C192">
        <v>0</v>
      </c>
      <c r="D192">
        <v>3</v>
      </c>
      <c r="E192">
        <v>5500</v>
      </c>
      <c r="F192">
        <v>55</v>
      </c>
      <c r="G192" t="b">
        <v>0</v>
      </c>
      <c r="H192">
        <v>55</v>
      </c>
    </row>
    <row r="193" spans="1:8" x14ac:dyDescent="0.25">
      <c r="A193" t="s">
        <v>823</v>
      </c>
      <c r="B193">
        <v>8500</v>
      </c>
      <c r="C193">
        <v>10</v>
      </c>
      <c r="D193">
        <v>6</v>
      </c>
      <c r="E193">
        <v>7600</v>
      </c>
      <c r="F193">
        <v>250</v>
      </c>
      <c r="G193" t="b">
        <v>0</v>
      </c>
      <c r="H193">
        <v>250</v>
      </c>
    </row>
    <row r="194" spans="1:8" x14ac:dyDescent="0.25">
      <c r="A194" t="s">
        <v>744</v>
      </c>
      <c r="B194">
        <v>37000</v>
      </c>
      <c r="C194">
        <v>12</v>
      </c>
      <c r="D194">
        <v>3</v>
      </c>
      <c r="E194">
        <v>32400</v>
      </c>
      <c r="F194">
        <v>650</v>
      </c>
      <c r="G194" t="b">
        <v>0</v>
      </c>
      <c r="H194">
        <v>650</v>
      </c>
    </row>
    <row r="195" spans="1:8" x14ac:dyDescent="0.25">
      <c r="A195" t="s">
        <v>824</v>
      </c>
      <c r="B195">
        <v>16000</v>
      </c>
      <c r="C195">
        <v>30</v>
      </c>
      <c r="D195">
        <v>4</v>
      </c>
      <c r="E195">
        <v>11200</v>
      </c>
      <c r="F195">
        <v>285</v>
      </c>
      <c r="G195" t="b">
        <v>0</v>
      </c>
      <c r="H195">
        <v>285</v>
      </c>
    </row>
    <row r="196" spans="1:8" x14ac:dyDescent="0.25">
      <c r="A196" t="s">
        <v>825</v>
      </c>
      <c r="B196">
        <v>3000</v>
      </c>
      <c r="C196">
        <v>0</v>
      </c>
      <c r="D196">
        <v>5</v>
      </c>
      <c r="E196">
        <v>3000</v>
      </c>
      <c r="F196">
        <v>150</v>
      </c>
      <c r="G196" t="b">
        <v>0</v>
      </c>
      <c r="H196">
        <v>150</v>
      </c>
    </row>
    <row r="197" spans="1:8" x14ac:dyDescent="0.25">
      <c r="A197" t="s">
        <v>826</v>
      </c>
      <c r="B197">
        <v>6000</v>
      </c>
      <c r="C197">
        <v>10</v>
      </c>
      <c r="D197">
        <v>2</v>
      </c>
      <c r="E197">
        <v>5400</v>
      </c>
      <c r="F197">
        <v>100</v>
      </c>
      <c r="G197" t="b">
        <v>0</v>
      </c>
      <c r="H197">
        <v>100</v>
      </c>
    </row>
    <row r="198" spans="1:8" x14ac:dyDescent="0.25">
      <c r="A198" t="s">
        <v>640</v>
      </c>
      <c r="B198">
        <v>23500</v>
      </c>
      <c r="C198">
        <v>20</v>
      </c>
      <c r="D198">
        <v>5</v>
      </c>
      <c r="E198">
        <v>18800</v>
      </c>
      <c r="F198">
        <v>325</v>
      </c>
      <c r="G198" t="b">
        <v>0</v>
      </c>
      <c r="H198">
        <v>325</v>
      </c>
    </row>
    <row r="199" spans="1:8" x14ac:dyDescent="0.25">
      <c r="A199" t="s">
        <v>827</v>
      </c>
      <c r="B199">
        <v>5500</v>
      </c>
      <c r="C199">
        <v>9</v>
      </c>
      <c r="D199">
        <v>4</v>
      </c>
      <c r="E199">
        <v>5000</v>
      </c>
      <c r="F199">
        <v>200</v>
      </c>
      <c r="G199" t="b">
        <v>0</v>
      </c>
      <c r="H199">
        <v>200</v>
      </c>
    </row>
    <row r="200" spans="1:8" x14ac:dyDescent="0.25">
      <c r="A200" t="s">
        <v>828</v>
      </c>
      <c r="B200">
        <v>33000</v>
      </c>
      <c r="C200">
        <v>10</v>
      </c>
      <c r="D200">
        <v>6</v>
      </c>
      <c r="E200">
        <v>29400</v>
      </c>
      <c r="F200">
        <v>680</v>
      </c>
      <c r="G200" t="b">
        <v>0</v>
      </c>
      <c r="H200">
        <v>680</v>
      </c>
    </row>
    <row r="201" spans="1:8" x14ac:dyDescent="0.25">
      <c r="A201" t="s">
        <v>829</v>
      </c>
      <c r="B201">
        <v>12000</v>
      </c>
      <c r="C201">
        <v>5</v>
      </c>
      <c r="D201">
        <v>1</v>
      </c>
      <c r="E201">
        <v>11400</v>
      </c>
      <c r="F201">
        <v>400</v>
      </c>
      <c r="G201" t="b">
        <v>0</v>
      </c>
      <c r="H201">
        <v>400</v>
      </c>
    </row>
    <row r="202" spans="1:8" x14ac:dyDescent="0.25">
      <c r="A202" t="s">
        <v>830</v>
      </c>
      <c r="B202">
        <v>11000</v>
      </c>
      <c r="C202">
        <v>30</v>
      </c>
      <c r="D202">
        <v>2</v>
      </c>
      <c r="E202">
        <v>7700</v>
      </c>
      <c r="F202">
        <v>285</v>
      </c>
      <c r="G202" t="b">
        <v>0</v>
      </c>
      <c r="H202">
        <v>285</v>
      </c>
    </row>
    <row r="203" spans="1:8" x14ac:dyDescent="0.25">
      <c r="A203" t="s">
        <v>831</v>
      </c>
      <c r="B203">
        <v>27500</v>
      </c>
      <c r="C203">
        <v>14</v>
      </c>
      <c r="D203">
        <v>5</v>
      </c>
      <c r="E203">
        <v>23400</v>
      </c>
      <c r="F203">
        <v>200</v>
      </c>
      <c r="G203" t="b">
        <v>0</v>
      </c>
      <c r="H203">
        <v>200</v>
      </c>
    </row>
    <row r="204" spans="1:8" x14ac:dyDescent="0.25">
      <c r="A204" t="s">
        <v>832</v>
      </c>
      <c r="B204">
        <v>5500</v>
      </c>
      <c r="C204">
        <v>0</v>
      </c>
      <c r="D204">
        <v>6</v>
      </c>
      <c r="E204">
        <v>5500</v>
      </c>
      <c r="F204">
        <v>55</v>
      </c>
      <c r="G204" t="b">
        <v>0</v>
      </c>
      <c r="H204">
        <v>55</v>
      </c>
    </row>
    <row r="205" spans="1:8" x14ac:dyDescent="0.25">
      <c r="A205" t="s">
        <v>374</v>
      </c>
      <c r="B205">
        <v>8000</v>
      </c>
      <c r="C205">
        <v>0</v>
      </c>
      <c r="D205">
        <v>1</v>
      </c>
      <c r="E205">
        <v>8000</v>
      </c>
      <c r="F205">
        <v>280</v>
      </c>
      <c r="G205" t="b">
        <v>0</v>
      </c>
      <c r="H205">
        <v>280</v>
      </c>
    </row>
    <row r="206" spans="1:8" x14ac:dyDescent="0.25">
      <c r="A206" t="s">
        <v>833</v>
      </c>
      <c r="B206">
        <v>22500</v>
      </c>
      <c r="C206">
        <v>15</v>
      </c>
      <c r="D206">
        <v>5</v>
      </c>
      <c r="E206">
        <v>19100</v>
      </c>
      <c r="F206">
        <v>190</v>
      </c>
      <c r="G206" t="b">
        <v>0</v>
      </c>
      <c r="H206">
        <v>190</v>
      </c>
    </row>
    <row r="207" spans="1:8" x14ac:dyDescent="0.25">
      <c r="A207" t="s">
        <v>834</v>
      </c>
      <c r="B207">
        <v>6500</v>
      </c>
      <c r="C207">
        <v>6</v>
      </c>
      <c r="D207">
        <v>6</v>
      </c>
      <c r="E207">
        <v>6100</v>
      </c>
      <c r="F207">
        <v>200</v>
      </c>
      <c r="G207" t="b">
        <v>0</v>
      </c>
      <c r="H207">
        <v>200</v>
      </c>
    </row>
    <row r="208" spans="1:8" x14ac:dyDescent="0.25">
      <c r="A208" t="s">
        <v>835</v>
      </c>
      <c r="B208">
        <v>4200</v>
      </c>
      <c r="C208">
        <v>0</v>
      </c>
      <c r="D208">
        <v>2</v>
      </c>
      <c r="E208">
        <v>4200</v>
      </c>
      <c r="F208">
        <v>400</v>
      </c>
      <c r="G208" t="b">
        <v>0</v>
      </c>
      <c r="H208">
        <v>400</v>
      </c>
    </row>
    <row r="209" spans="1:8" x14ac:dyDescent="0.25">
      <c r="A209" t="s">
        <v>836</v>
      </c>
      <c r="B209">
        <v>27500</v>
      </c>
      <c r="C209">
        <v>14</v>
      </c>
      <c r="D209">
        <v>4</v>
      </c>
      <c r="E209">
        <v>23400</v>
      </c>
      <c r="F209">
        <v>200</v>
      </c>
      <c r="G209" t="b">
        <v>0</v>
      </c>
      <c r="H209">
        <v>200</v>
      </c>
    </row>
    <row r="210" spans="1:8" x14ac:dyDescent="0.25">
      <c r="A210" t="s">
        <v>644</v>
      </c>
      <c r="B210">
        <v>9900</v>
      </c>
      <c r="C210">
        <v>5</v>
      </c>
      <c r="D210">
        <v>6</v>
      </c>
      <c r="E210">
        <v>9400</v>
      </c>
      <c r="F210">
        <v>200</v>
      </c>
      <c r="G210" t="b">
        <v>0</v>
      </c>
      <c r="H210">
        <v>200</v>
      </c>
    </row>
    <row r="211" spans="1:8" x14ac:dyDescent="0.25">
      <c r="A211" t="s">
        <v>837</v>
      </c>
      <c r="B211">
        <v>13500</v>
      </c>
      <c r="C211">
        <v>9</v>
      </c>
      <c r="D211">
        <v>2</v>
      </c>
      <c r="E211">
        <v>12200</v>
      </c>
      <c r="F211">
        <v>300</v>
      </c>
      <c r="G211" t="b">
        <v>0</v>
      </c>
      <c r="H211">
        <v>300</v>
      </c>
    </row>
    <row r="212" spans="1:8" x14ac:dyDescent="0.25">
      <c r="A212" t="s">
        <v>838</v>
      </c>
      <c r="B212">
        <v>34000</v>
      </c>
      <c r="C212">
        <v>0</v>
      </c>
      <c r="D212">
        <v>2</v>
      </c>
      <c r="E212">
        <v>34000</v>
      </c>
      <c r="F212">
        <v>400</v>
      </c>
      <c r="G212" t="b">
        <v>0</v>
      </c>
      <c r="H212">
        <v>400</v>
      </c>
    </row>
    <row r="213" spans="1:8" x14ac:dyDescent="0.25">
      <c r="A213" t="s">
        <v>839</v>
      </c>
      <c r="B213">
        <v>19000</v>
      </c>
      <c r="C213">
        <v>10</v>
      </c>
      <c r="D213">
        <v>6</v>
      </c>
      <c r="E213">
        <v>17100</v>
      </c>
      <c r="F213">
        <v>375</v>
      </c>
      <c r="G213" t="b">
        <v>0</v>
      </c>
      <c r="H213">
        <v>375</v>
      </c>
    </row>
    <row r="214" spans="1:8" x14ac:dyDescent="0.25">
      <c r="A214" t="s">
        <v>840</v>
      </c>
      <c r="B214">
        <v>10400</v>
      </c>
      <c r="C214">
        <v>20</v>
      </c>
      <c r="D214">
        <v>3</v>
      </c>
      <c r="E214">
        <v>8300</v>
      </c>
      <c r="F214">
        <v>500</v>
      </c>
      <c r="G214" t="b">
        <v>0</v>
      </c>
      <c r="H214">
        <v>500</v>
      </c>
    </row>
    <row r="215" spans="1:8" x14ac:dyDescent="0.25">
      <c r="A215" t="s">
        <v>379</v>
      </c>
      <c r="B215">
        <v>25000</v>
      </c>
      <c r="C215">
        <v>40</v>
      </c>
      <c r="D215">
        <v>6</v>
      </c>
      <c r="E215">
        <v>14900</v>
      </c>
      <c r="F215">
        <v>500</v>
      </c>
      <c r="G215" t="b">
        <v>0</v>
      </c>
      <c r="H215">
        <v>500</v>
      </c>
    </row>
    <row r="216" spans="1:8" x14ac:dyDescent="0.25">
      <c r="A216" t="s">
        <v>642</v>
      </c>
      <c r="B216">
        <v>16900</v>
      </c>
      <c r="C216">
        <v>7</v>
      </c>
      <c r="D216">
        <v>1</v>
      </c>
      <c r="E216">
        <v>15600</v>
      </c>
      <c r="F216">
        <v>400</v>
      </c>
      <c r="G216" t="b">
        <v>0</v>
      </c>
      <c r="H216">
        <v>400</v>
      </c>
    </row>
    <row r="217" spans="1:8" x14ac:dyDescent="0.25">
      <c r="A217" t="s">
        <v>841</v>
      </c>
      <c r="B217">
        <v>6000</v>
      </c>
      <c r="C217">
        <v>0</v>
      </c>
      <c r="D217">
        <v>4</v>
      </c>
      <c r="E217">
        <v>6000</v>
      </c>
      <c r="F217">
        <v>50</v>
      </c>
      <c r="G217" t="b">
        <v>0</v>
      </c>
      <c r="H217">
        <v>50</v>
      </c>
    </row>
    <row r="218" spans="1:8" x14ac:dyDescent="0.25">
      <c r="A218" t="s">
        <v>842</v>
      </c>
      <c r="B218">
        <v>32500</v>
      </c>
      <c r="C218">
        <v>0</v>
      </c>
      <c r="D218">
        <v>6</v>
      </c>
      <c r="E218">
        <v>32500</v>
      </c>
      <c r="F218">
        <v>500</v>
      </c>
      <c r="G218" t="b">
        <v>0</v>
      </c>
      <c r="H218">
        <v>500</v>
      </c>
    </row>
    <row r="219" spans="1:8" x14ac:dyDescent="0.25">
      <c r="A219" t="s">
        <v>843</v>
      </c>
      <c r="B219">
        <v>9900</v>
      </c>
      <c r="C219">
        <v>0</v>
      </c>
      <c r="D219">
        <v>3</v>
      </c>
      <c r="E219">
        <v>9900</v>
      </c>
      <c r="F219">
        <v>400</v>
      </c>
      <c r="G219" t="b">
        <v>0</v>
      </c>
      <c r="H219">
        <v>400</v>
      </c>
    </row>
    <row r="220" spans="1:8" x14ac:dyDescent="0.25">
      <c r="A220" t="s">
        <v>844</v>
      </c>
      <c r="B220">
        <v>22500</v>
      </c>
      <c r="C220">
        <v>15</v>
      </c>
      <c r="D220">
        <v>6</v>
      </c>
      <c r="E220">
        <v>19100</v>
      </c>
      <c r="F220">
        <v>200</v>
      </c>
      <c r="G220" t="b">
        <v>0</v>
      </c>
      <c r="H220">
        <v>200</v>
      </c>
    </row>
    <row r="221" spans="1:8" x14ac:dyDescent="0.25">
      <c r="A221" t="s">
        <v>845</v>
      </c>
      <c r="B221">
        <v>29500</v>
      </c>
      <c r="C221">
        <v>0</v>
      </c>
      <c r="D221">
        <v>3</v>
      </c>
      <c r="E221">
        <v>29500</v>
      </c>
      <c r="F221">
        <v>350</v>
      </c>
      <c r="G221" t="b">
        <v>0</v>
      </c>
      <c r="H221">
        <v>350</v>
      </c>
    </row>
    <row r="222" spans="1:8" x14ac:dyDescent="0.25">
      <c r="A222" t="s">
        <v>846</v>
      </c>
      <c r="B222">
        <v>2500</v>
      </c>
      <c r="C222">
        <v>0</v>
      </c>
      <c r="D222">
        <v>6</v>
      </c>
      <c r="E222">
        <v>2500</v>
      </c>
      <c r="F222">
        <v>65</v>
      </c>
      <c r="G222" t="b">
        <v>0</v>
      </c>
      <c r="H222">
        <v>65</v>
      </c>
    </row>
    <row r="223" spans="1:8" x14ac:dyDescent="0.25">
      <c r="A223" t="s">
        <v>847</v>
      </c>
      <c r="B223">
        <v>9100</v>
      </c>
      <c r="C223">
        <v>0</v>
      </c>
      <c r="D223">
        <v>5</v>
      </c>
      <c r="E223">
        <v>9100</v>
      </c>
      <c r="F223">
        <v>360</v>
      </c>
      <c r="G223" t="b">
        <v>0</v>
      </c>
      <c r="H223">
        <v>360</v>
      </c>
    </row>
    <row r="224" spans="1:8" x14ac:dyDescent="0.25">
      <c r="A224" t="s">
        <v>848</v>
      </c>
      <c r="B224">
        <v>22000</v>
      </c>
      <c r="C224">
        <v>6</v>
      </c>
      <c r="D224">
        <v>5</v>
      </c>
      <c r="E224">
        <v>20500</v>
      </c>
      <c r="F224">
        <v>425</v>
      </c>
      <c r="G224" t="b">
        <v>0</v>
      </c>
      <c r="H224">
        <v>425</v>
      </c>
    </row>
    <row r="225" spans="1:8" x14ac:dyDescent="0.25">
      <c r="A225" t="s">
        <v>849</v>
      </c>
      <c r="B225">
        <v>15000</v>
      </c>
      <c r="C225">
        <v>0</v>
      </c>
      <c r="D225">
        <v>3</v>
      </c>
      <c r="E225">
        <v>15000</v>
      </c>
      <c r="F225">
        <v>250</v>
      </c>
      <c r="G225" t="b">
        <v>0</v>
      </c>
      <c r="H225">
        <v>250</v>
      </c>
    </row>
    <row r="226" spans="1:8" x14ac:dyDescent="0.25">
      <c r="A226" t="s">
        <v>841</v>
      </c>
      <c r="B226">
        <v>15000</v>
      </c>
      <c r="C226">
        <v>14</v>
      </c>
      <c r="D226">
        <v>3</v>
      </c>
      <c r="E226">
        <v>12800</v>
      </c>
      <c r="F226">
        <v>114</v>
      </c>
      <c r="G226" t="b">
        <v>0</v>
      </c>
      <c r="H226">
        <v>114</v>
      </c>
    </row>
    <row r="227" spans="1:8" x14ac:dyDescent="0.25">
      <c r="A227" t="s">
        <v>850</v>
      </c>
      <c r="B227">
        <v>33000</v>
      </c>
      <c r="C227">
        <v>10</v>
      </c>
      <c r="D227">
        <v>6</v>
      </c>
      <c r="E227">
        <v>29700</v>
      </c>
      <c r="F227">
        <v>400</v>
      </c>
      <c r="G227" t="b">
        <v>0</v>
      </c>
      <c r="H227">
        <v>400</v>
      </c>
    </row>
    <row r="228" spans="1:8" x14ac:dyDescent="0.25">
      <c r="A228" t="s">
        <v>408</v>
      </c>
      <c r="B228">
        <v>27600</v>
      </c>
      <c r="C228">
        <v>10</v>
      </c>
      <c r="D228">
        <v>6</v>
      </c>
      <c r="E228">
        <v>24800</v>
      </c>
      <c r="F228">
        <v>1500</v>
      </c>
      <c r="G228" t="b">
        <v>0</v>
      </c>
      <c r="H228">
        <v>1</v>
      </c>
    </row>
    <row r="229" spans="1:8" x14ac:dyDescent="0.25">
      <c r="A229" t="s">
        <v>851</v>
      </c>
      <c r="B229">
        <v>29500</v>
      </c>
      <c r="C229">
        <v>0</v>
      </c>
      <c r="D229">
        <v>6</v>
      </c>
      <c r="E229">
        <v>29500</v>
      </c>
      <c r="F229">
        <v>24</v>
      </c>
      <c r="G229" t="b">
        <v>0</v>
      </c>
      <c r="H229">
        <v>24</v>
      </c>
    </row>
    <row r="230" spans="1:8" x14ac:dyDescent="0.25">
      <c r="A230" t="s">
        <v>852</v>
      </c>
      <c r="B230">
        <v>14900</v>
      </c>
      <c r="C230">
        <v>8</v>
      </c>
      <c r="D230">
        <v>5</v>
      </c>
      <c r="E230">
        <v>13700</v>
      </c>
      <c r="F230">
        <v>320</v>
      </c>
      <c r="G230" t="b">
        <v>0</v>
      </c>
      <c r="H230">
        <v>320</v>
      </c>
    </row>
    <row r="231" spans="1:8" x14ac:dyDescent="0.25">
      <c r="A231" t="s">
        <v>825</v>
      </c>
      <c r="B231">
        <v>11500</v>
      </c>
      <c r="C231">
        <v>0</v>
      </c>
      <c r="D231">
        <v>6</v>
      </c>
      <c r="E231">
        <v>11500</v>
      </c>
      <c r="F231">
        <v>600</v>
      </c>
      <c r="G231" t="b">
        <v>0</v>
      </c>
      <c r="H231">
        <v>600</v>
      </c>
    </row>
    <row r="232" spans="1:8" x14ac:dyDescent="0.25">
      <c r="A232" t="s">
        <v>853</v>
      </c>
      <c r="B232">
        <v>28000</v>
      </c>
      <c r="C232">
        <v>50</v>
      </c>
      <c r="D232">
        <v>5</v>
      </c>
      <c r="E232">
        <v>14000</v>
      </c>
      <c r="F232">
        <v>175</v>
      </c>
      <c r="G232" t="b">
        <v>0</v>
      </c>
      <c r="H232">
        <v>175</v>
      </c>
    </row>
    <row r="233" spans="1:8" x14ac:dyDescent="0.25">
      <c r="A233" t="s">
        <v>854</v>
      </c>
      <c r="B233">
        <v>17900</v>
      </c>
      <c r="C233">
        <v>0</v>
      </c>
      <c r="D233">
        <v>6</v>
      </c>
      <c r="E233">
        <v>17900</v>
      </c>
      <c r="F233">
        <v>450</v>
      </c>
      <c r="G233" t="b">
        <v>0</v>
      </c>
      <c r="H233">
        <v>450</v>
      </c>
    </row>
    <row r="234" spans="1:8" x14ac:dyDescent="0.25">
      <c r="A234" t="s">
        <v>855</v>
      </c>
      <c r="B234">
        <v>14000</v>
      </c>
      <c r="C234">
        <v>10</v>
      </c>
      <c r="D234">
        <v>3</v>
      </c>
      <c r="E234">
        <v>12600</v>
      </c>
      <c r="F234">
        <v>500</v>
      </c>
      <c r="G234" t="b">
        <v>0</v>
      </c>
      <c r="H234">
        <v>500</v>
      </c>
    </row>
    <row r="235" spans="1:8" x14ac:dyDescent="0.25">
      <c r="A235" t="s">
        <v>856</v>
      </c>
      <c r="B235">
        <v>32000</v>
      </c>
      <c r="C235">
        <v>0</v>
      </c>
      <c r="D235">
        <v>6</v>
      </c>
      <c r="E235">
        <v>32000</v>
      </c>
      <c r="F235">
        <v>500</v>
      </c>
      <c r="G235" t="b">
        <v>0</v>
      </c>
      <c r="H235">
        <v>500</v>
      </c>
    </row>
    <row r="236" spans="1:8" x14ac:dyDescent="0.25">
      <c r="A236" t="s">
        <v>397</v>
      </c>
      <c r="B236">
        <v>25000</v>
      </c>
      <c r="C236">
        <v>0</v>
      </c>
      <c r="D236">
        <v>5</v>
      </c>
      <c r="E236">
        <v>25000</v>
      </c>
      <c r="F236">
        <v>500</v>
      </c>
      <c r="G236" t="b">
        <v>0</v>
      </c>
      <c r="H236">
        <v>500</v>
      </c>
    </row>
    <row r="237" spans="1:8" x14ac:dyDescent="0.25">
      <c r="A237" t="s">
        <v>778</v>
      </c>
      <c r="B237">
        <v>29900</v>
      </c>
      <c r="C237">
        <v>10</v>
      </c>
      <c r="D237">
        <v>4</v>
      </c>
      <c r="E237">
        <v>26900</v>
      </c>
      <c r="F237">
        <v>700</v>
      </c>
      <c r="G237" t="b">
        <v>0</v>
      </c>
      <c r="H237">
        <v>700</v>
      </c>
    </row>
    <row r="238" spans="1:8" x14ac:dyDescent="0.25">
      <c r="A238" t="s">
        <v>857</v>
      </c>
      <c r="B238">
        <v>62000</v>
      </c>
      <c r="C238">
        <v>0</v>
      </c>
      <c r="D238">
        <v>1</v>
      </c>
      <c r="E238">
        <v>62000</v>
      </c>
      <c r="F238">
        <v>400</v>
      </c>
      <c r="G238" t="b">
        <v>0</v>
      </c>
      <c r="H238">
        <v>400</v>
      </c>
    </row>
    <row r="239" spans="1:8" x14ac:dyDescent="0.25">
      <c r="A239" t="s">
        <v>858</v>
      </c>
      <c r="B239">
        <v>9900</v>
      </c>
      <c r="C239">
        <v>20</v>
      </c>
      <c r="D239">
        <v>6</v>
      </c>
      <c r="E239">
        <v>7900</v>
      </c>
      <c r="F239">
        <v>500</v>
      </c>
      <c r="G239" t="b">
        <v>0</v>
      </c>
      <c r="H239">
        <v>500</v>
      </c>
    </row>
    <row r="240" spans="1:8" x14ac:dyDescent="0.25">
      <c r="A240" t="s">
        <v>859</v>
      </c>
      <c r="B240">
        <v>8500</v>
      </c>
      <c r="C240">
        <v>4</v>
      </c>
      <c r="D240">
        <v>1</v>
      </c>
      <c r="E240">
        <v>8100</v>
      </c>
      <c r="F240">
        <v>680</v>
      </c>
      <c r="G240" t="b">
        <v>0</v>
      </c>
      <c r="H240">
        <v>680</v>
      </c>
    </row>
    <row r="241" spans="1:8" x14ac:dyDescent="0.25">
      <c r="A241" t="s">
        <v>860</v>
      </c>
      <c r="B241">
        <v>5500</v>
      </c>
      <c r="C241">
        <v>0</v>
      </c>
      <c r="D241">
        <v>1</v>
      </c>
      <c r="E241">
        <v>5500</v>
      </c>
      <c r="F241">
        <v>400</v>
      </c>
      <c r="G241" t="b">
        <v>0</v>
      </c>
      <c r="H241">
        <v>400</v>
      </c>
    </row>
    <row r="242" spans="1:8" x14ac:dyDescent="0.25">
      <c r="A242" t="s">
        <v>861</v>
      </c>
      <c r="B242">
        <v>12000</v>
      </c>
      <c r="C242">
        <v>10</v>
      </c>
      <c r="D242">
        <v>4</v>
      </c>
      <c r="E242">
        <v>10800</v>
      </c>
      <c r="F242">
        <v>400</v>
      </c>
      <c r="G242" t="b">
        <v>0</v>
      </c>
      <c r="H242">
        <v>400</v>
      </c>
    </row>
    <row r="243" spans="1:8" x14ac:dyDescent="0.25">
      <c r="A243" t="s">
        <v>862</v>
      </c>
      <c r="B243">
        <v>11400</v>
      </c>
      <c r="C243">
        <v>0</v>
      </c>
      <c r="D243">
        <v>6</v>
      </c>
      <c r="E243">
        <v>11400</v>
      </c>
      <c r="F243">
        <v>480</v>
      </c>
      <c r="G243" t="b">
        <v>0</v>
      </c>
      <c r="H243">
        <v>480</v>
      </c>
    </row>
    <row r="244" spans="1:8" x14ac:dyDescent="0.25">
      <c r="A244" t="s">
        <v>863</v>
      </c>
      <c r="B244">
        <v>29000</v>
      </c>
      <c r="C244">
        <v>7</v>
      </c>
      <c r="D244">
        <v>5</v>
      </c>
      <c r="E244">
        <v>26700</v>
      </c>
      <c r="F244">
        <v>630</v>
      </c>
      <c r="G244" t="b">
        <v>0</v>
      </c>
      <c r="H244">
        <v>630</v>
      </c>
    </row>
    <row r="245" spans="1:8" x14ac:dyDescent="0.25">
      <c r="A245" t="s">
        <v>864</v>
      </c>
      <c r="B245">
        <v>13000</v>
      </c>
      <c r="C245">
        <v>4</v>
      </c>
      <c r="D245">
        <v>4</v>
      </c>
      <c r="E245">
        <v>12400</v>
      </c>
      <c r="F245">
        <v>230</v>
      </c>
      <c r="G245" t="b">
        <v>0</v>
      </c>
      <c r="H245">
        <v>230</v>
      </c>
    </row>
    <row r="246" spans="1:8" x14ac:dyDescent="0.25">
      <c r="A246" t="s">
        <v>865</v>
      </c>
      <c r="B246">
        <v>18500</v>
      </c>
      <c r="C246">
        <v>10</v>
      </c>
      <c r="D246">
        <v>5</v>
      </c>
      <c r="E246">
        <v>16500</v>
      </c>
      <c r="F246">
        <v>250</v>
      </c>
      <c r="G246" t="b">
        <v>0</v>
      </c>
      <c r="H246">
        <v>250</v>
      </c>
    </row>
    <row r="247" spans="1:8" x14ac:dyDescent="0.25">
      <c r="A247" t="s">
        <v>866</v>
      </c>
      <c r="B247">
        <v>59500</v>
      </c>
      <c r="C247">
        <v>9</v>
      </c>
      <c r="D247">
        <v>2</v>
      </c>
      <c r="E247">
        <v>53600</v>
      </c>
      <c r="F247">
        <v>500</v>
      </c>
      <c r="G247" t="b">
        <v>0</v>
      </c>
      <c r="H247">
        <v>500</v>
      </c>
    </row>
    <row r="248" spans="1:8" x14ac:dyDescent="0.25">
      <c r="A248" t="s">
        <v>434</v>
      </c>
      <c r="B248">
        <v>19500</v>
      </c>
      <c r="C248">
        <v>9</v>
      </c>
      <c r="D248">
        <v>5</v>
      </c>
      <c r="E248">
        <v>17600</v>
      </c>
      <c r="F248">
        <v>500</v>
      </c>
      <c r="G248" t="b">
        <v>0</v>
      </c>
      <c r="H248">
        <v>500</v>
      </c>
    </row>
    <row r="249" spans="1:8" x14ac:dyDescent="0.25">
      <c r="A249" t="s">
        <v>867</v>
      </c>
      <c r="B249">
        <v>20000</v>
      </c>
      <c r="C249">
        <v>0</v>
      </c>
      <c r="D249">
        <v>5</v>
      </c>
      <c r="E249">
        <v>20000</v>
      </c>
      <c r="F249">
        <v>130</v>
      </c>
      <c r="G249" t="b">
        <v>0</v>
      </c>
      <c r="H249">
        <v>130</v>
      </c>
    </row>
    <row r="250" spans="1:8" x14ac:dyDescent="0.25">
      <c r="A250" t="s">
        <v>868</v>
      </c>
      <c r="B250">
        <v>49900</v>
      </c>
      <c r="C250">
        <v>0</v>
      </c>
      <c r="D250">
        <v>5</v>
      </c>
      <c r="E250">
        <v>49900</v>
      </c>
      <c r="F250">
        <v>750</v>
      </c>
      <c r="G250" t="b">
        <v>0</v>
      </c>
      <c r="H250">
        <v>750</v>
      </c>
    </row>
    <row r="251" spans="1:8" x14ac:dyDescent="0.25">
      <c r="A251" t="s">
        <v>869</v>
      </c>
      <c r="B251">
        <v>11000</v>
      </c>
      <c r="C251">
        <v>30</v>
      </c>
      <c r="D251">
        <v>6</v>
      </c>
      <c r="E251">
        <v>7700</v>
      </c>
      <c r="F251">
        <v>285</v>
      </c>
      <c r="G251" t="b">
        <v>0</v>
      </c>
      <c r="H251">
        <v>285</v>
      </c>
    </row>
    <row r="252" spans="1:8" x14ac:dyDescent="0.25">
      <c r="A252" t="s">
        <v>870</v>
      </c>
      <c r="B252">
        <v>16900</v>
      </c>
      <c r="C252">
        <v>5</v>
      </c>
      <c r="D252">
        <v>6</v>
      </c>
      <c r="E252">
        <v>16000</v>
      </c>
      <c r="F252">
        <v>250</v>
      </c>
      <c r="G252" t="b">
        <v>0</v>
      </c>
      <c r="H252">
        <v>250</v>
      </c>
    </row>
    <row r="253" spans="1:8" x14ac:dyDescent="0.25">
      <c r="A253" t="s">
        <v>871</v>
      </c>
      <c r="B253">
        <v>32500</v>
      </c>
      <c r="C253">
        <v>15</v>
      </c>
      <c r="D253">
        <v>6</v>
      </c>
      <c r="E253">
        <v>27600</v>
      </c>
      <c r="F253">
        <v>200</v>
      </c>
      <c r="G253" t="b">
        <v>0</v>
      </c>
      <c r="H253">
        <v>200</v>
      </c>
    </row>
    <row r="254" spans="1:8" x14ac:dyDescent="0.25">
      <c r="A254" t="s">
        <v>872</v>
      </c>
      <c r="B254">
        <v>41000</v>
      </c>
      <c r="C254">
        <v>0</v>
      </c>
      <c r="D254">
        <v>1</v>
      </c>
      <c r="E254">
        <v>41000</v>
      </c>
      <c r="F254">
        <v>1200</v>
      </c>
      <c r="G254" t="b">
        <v>0</v>
      </c>
      <c r="H254">
        <v>1</v>
      </c>
    </row>
    <row r="255" spans="1:8" x14ac:dyDescent="0.25">
      <c r="A255" t="s">
        <v>873</v>
      </c>
      <c r="B255">
        <v>20000</v>
      </c>
      <c r="C255">
        <v>30</v>
      </c>
      <c r="D255">
        <v>4</v>
      </c>
      <c r="E255">
        <v>14000</v>
      </c>
      <c r="F255">
        <v>285</v>
      </c>
      <c r="G255" t="b">
        <v>0</v>
      </c>
      <c r="H255">
        <v>285</v>
      </c>
    </row>
    <row r="256" spans="1:8" x14ac:dyDescent="0.25">
      <c r="A256" t="s">
        <v>874</v>
      </c>
      <c r="B256">
        <v>29900</v>
      </c>
      <c r="C256">
        <v>10</v>
      </c>
      <c r="D256">
        <v>6</v>
      </c>
      <c r="E256">
        <v>26900</v>
      </c>
      <c r="F256">
        <v>400</v>
      </c>
      <c r="G256" t="b">
        <v>0</v>
      </c>
      <c r="H256">
        <v>400</v>
      </c>
    </row>
    <row r="257" spans="1:8" x14ac:dyDescent="0.25">
      <c r="A257" t="s">
        <v>875</v>
      </c>
      <c r="B257">
        <v>4000</v>
      </c>
      <c r="C257">
        <v>0</v>
      </c>
      <c r="D257">
        <v>6</v>
      </c>
      <c r="E257">
        <v>4000</v>
      </c>
      <c r="F257">
        <v>46</v>
      </c>
      <c r="G257" t="b">
        <v>0</v>
      </c>
      <c r="H257">
        <v>46</v>
      </c>
    </row>
    <row r="258" spans="1:8" x14ac:dyDescent="0.25">
      <c r="A258" t="s">
        <v>876</v>
      </c>
      <c r="B258">
        <v>42500</v>
      </c>
      <c r="C258">
        <v>9</v>
      </c>
      <c r="D258">
        <v>3</v>
      </c>
      <c r="E258">
        <v>38300</v>
      </c>
      <c r="F258">
        <v>750</v>
      </c>
      <c r="G258" t="b">
        <v>0</v>
      </c>
      <c r="H258">
        <v>750</v>
      </c>
    </row>
    <row r="259" spans="1:8" x14ac:dyDescent="0.25">
      <c r="A259" t="s">
        <v>436</v>
      </c>
      <c r="B259">
        <v>11000</v>
      </c>
      <c r="C259">
        <v>30</v>
      </c>
      <c r="D259">
        <v>6</v>
      </c>
      <c r="E259">
        <v>7700</v>
      </c>
      <c r="F259">
        <v>285</v>
      </c>
      <c r="G259" t="b">
        <v>0</v>
      </c>
      <c r="H259">
        <v>285</v>
      </c>
    </row>
    <row r="260" spans="1:8" x14ac:dyDescent="0.25">
      <c r="A260" t="s">
        <v>646</v>
      </c>
      <c r="B260">
        <v>21500</v>
      </c>
      <c r="C260">
        <v>20</v>
      </c>
      <c r="D260">
        <v>6</v>
      </c>
      <c r="E260">
        <v>17200</v>
      </c>
      <c r="F260">
        <v>325</v>
      </c>
      <c r="G260" t="b">
        <v>0</v>
      </c>
      <c r="H260">
        <v>325</v>
      </c>
    </row>
    <row r="261" spans="1:8" x14ac:dyDescent="0.25">
      <c r="A261" t="s">
        <v>877</v>
      </c>
      <c r="B261">
        <v>23000</v>
      </c>
      <c r="C261">
        <v>0</v>
      </c>
      <c r="D261">
        <v>6</v>
      </c>
      <c r="E261">
        <v>23000</v>
      </c>
      <c r="F261">
        <v>241</v>
      </c>
      <c r="G261" t="b">
        <v>0</v>
      </c>
      <c r="H261">
        <v>241</v>
      </c>
    </row>
    <row r="262" spans="1:8" x14ac:dyDescent="0.25">
      <c r="A262" t="s">
        <v>859</v>
      </c>
      <c r="B262">
        <v>10500</v>
      </c>
      <c r="C262">
        <v>0</v>
      </c>
      <c r="D262">
        <v>6</v>
      </c>
      <c r="E262">
        <v>10500</v>
      </c>
      <c r="F262">
        <v>425</v>
      </c>
      <c r="G262" t="b">
        <v>0</v>
      </c>
      <c r="H262">
        <v>425</v>
      </c>
    </row>
    <row r="263" spans="1:8" x14ac:dyDescent="0.25">
      <c r="A263" t="s">
        <v>878</v>
      </c>
      <c r="B263">
        <v>59500</v>
      </c>
      <c r="C263">
        <v>0</v>
      </c>
      <c r="D263">
        <v>1</v>
      </c>
      <c r="E263">
        <v>59500</v>
      </c>
      <c r="F263">
        <v>1000</v>
      </c>
      <c r="G263" t="b">
        <v>0</v>
      </c>
      <c r="H263">
        <v>1</v>
      </c>
    </row>
    <row r="264" spans="1:8" x14ac:dyDescent="0.25">
      <c r="A264" t="s">
        <v>879</v>
      </c>
      <c r="B264">
        <v>1500</v>
      </c>
      <c r="C264">
        <v>0</v>
      </c>
      <c r="D264">
        <v>3</v>
      </c>
      <c r="E264">
        <v>1500</v>
      </c>
      <c r="F264">
        <v>20</v>
      </c>
      <c r="G264" t="b">
        <v>0</v>
      </c>
      <c r="H264">
        <v>20</v>
      </c>
    </row>
    <row r="265" spans="1:8" x14ac:dyDescent="0.25">
      <c r="A265" t="s">
        <v>880</v>
      </c>
      <c r="B265">
        <v>14000</v>
      </c>
      <c r="C265">
        <v>5</v>
      </c>
      <c r="D265">
        <v>1</v>
      </c>
      <c r="E265">
        <v>13300</v>
      </c>
      <c r="F265">
        <v>290</v>
      </c>
      <c r="G265" t="b">
        <v>0</v>
      </c>
      <c r="H265">
        <v>290</v>
      </c>
    </row>
    <row r="266" spans="1:8" x14ac:dyDescent="0.25">
      <c r="A266" t="s">
        <v>881</v>
      </c>
      <c r="B266">
        <v>28000</v>
      </c>
      <c r="C266">
        <v>50</v>
      </c>
      <c r="D266">
        <v>5</v>
      </c>
      <c r="E266">
        <v>14000</v>
      </c>
      <c r="F266">
        <v>175</v>
      </c>
      <c r="G266" t="b">
        <v>0</v>
      </c>
      <c r="H266">
        <v>175</v>
      </c>
    </row>
    <row r="267" spans="1:8" x14ac:dyDescent="0.25">
      <c r="A267" t="s">
        <v>882</v>
      </c>
      <c r="B267">
        <v>17500</v>
      </c>
      <c r="C267">
        <v>4</v>
      </c>
      <c r="D267">
        <v>6</v>
      </c>
      <c r="E267">
        <v>16700</v>
      </c>
      <c r="F267">
        <v>150</v>
      </c>
      <c r="G267" t="b">
        <v>0</v>
      </c>
      <c r="H267">
        <v>150</v>
      </c>
    </row>
    <row r="268" spans="1:8" x14ac:dyDescent="0.25">
      <c r="A268" t="s">
        <v>883</v>
      </c>
      <c r="B268">
        <v>10500</v>
      </c>
      <c r="C268">
        <v>0</v>
      </c>
      <c r="D268">
        <v>4</v>
      </c>
      <c r="E268">
        <v>10500</v>
      </c>
      <c r="F268">
        <v>440</v>
      </c>
      <c r="G268" t="b">
        <v>0</v>
      </c>
      <c r="H268">
        <v>440</v>
      </c>
    </row>
    <row r="269" spans="1:8" x14ac:dyDescent="0.25">
      <c r="A269" t="s">
        <v>884</v>
      </c>
      <c r="B269">
        <v>5500</v>
      </c>
      <c r="C269">
        <v>0</v>
      </c>
      <c r="D269">
        <v>5</v>
      </c>
      <c r="E269">
        <v>5500</v>
      </c>
      <c r="F269">
        <v>55</v>
      </c>
      <c r="G269" t="b">
        <v>0</v>
      </c>
      <c r="H269">
        <v>55</v>
      </c>
    </row>
    <row r="270" spans="1:8" x14ac:dyDescent="0.25">
      <c r="A270" t="s">
        <v>885</v>
      </c>
      <c r="B270">
        <v>20000</v>
      </c>
      <c r="C270">
        <v>0</v>
      </c>
      <c r="D270">
        <v>6</v>
      </c>
      <c r="E270">
        <v>20000</v>
      </c>
      <c r="F270">
        <v>130</v>
      </c>
      <c r="G270" t="b">
        <v>0</v>
      </c>
      <c r="H270">
        <v>130</v>
      </c>
    </row>
    <row r="271" spans="1:8" x14ac:dyDescent="0.25">
      <c r="A271" t="s">
        <v>886</v>
      </c>
      <c r="B271">
        <v>5500</v>
      </c>
      <c r="C271">
        <v>30</v>
      </c>
      <c r="D271">
        <v>5</v>
      </c>
      <c r="E271">
        <v>3800</v>
      </c>
      <c r="F271">
        <v>80</v>
      </c>
      <c r="G271" t="b">
        <v>0</v>
      </c>
      <c r="H271">
        <v>80</v>
      </c>
    </row>
    <row r="272" spans="1:8" x14ac:dyDescent="0.25">
      <c r="A272" t="s">
        <v>887</v>
      </c>
      <c r="B272">
        <v>25000</v>
      </c>
      <c r="C272">
        <v>0</v>
      </c>
      <c r="D272">
        <v>1</v>
      </c>
      <c r="E272">
        <v>25000</v>
      </c>
      <c r="F272">
        <v>450</v>
      </c>
      <c r="G272" t="b">
        <v>0</v>
      </c>
      <c r="H272">
        <v>450</v>
      </c>
    </row>
    <row r="273" spans="1:8" x14ac:dyDescent="0.25">
      <c r="A273" t="s">
        <v>888</v>
      </c>
      <c r="B273">
        <v>22000</v>
      </c>
      <c r="C273">
        <v>30</v>
      </c>
      <c r="D273">
        <v>5</v>
      </c>
      <c r="E273">
        <v>15400</v>
      </c>
      <c r="F273">
        <v>285</v>
      </c>
      <c r="G273" t="b">
        <v>0</v>
      </c>
      <c r="H273">
        <v>285</v>
      </c>
    </row>
    <row r="274" spans="1:8" x14ac:dyDescent="0.25">
      <c r="A274" t="s">
        <v>889</v>
      </c>
      <c r="B274">
        <v>28800</v>
      </c>
      <c r="C274">
        <v>0</v>
      </c>
      <c r="D274">
        <v>6</v>
      </c>
      <c r="E274">
        <v>28800</v>
      </c>
      <c r="F274">
        <v>300</v>
      </c>
      <c r="G274" t="b">
        <v>0</v>
      </c>
      <c r="H274">
        <v>300</v>
      </c>
    </row>
    <row r="275" spans="1:8" x14ac:dyDescent="0.25">
      <c r="A275" t="s">
        <v>890</v>
      </c>
      <c r="B275">
        <v>32500</v>
      </c>
      <c r="C275">
        <v>20</v>
      </c>
      <c r="D275">
        <v>6</v>
      </c>
      <c r="E275">
        <v>26000</v>
      </c>
      <c r="F275">
        <v>350</v>
      </c>
      <c r="G275" t="b">
        <v>0</v>
      </c>
      <c r="H275">
        <v>350</v>
      </c>
    </row>
    <row r="276" spans="1:8" x14ac:dyDescent="0.25">
      <c r="A276" t="s">
        <v>891</v>
      </c>
      <c r="B276">
        <v>20000</v>
      </c>
      <c r="C276">
        <v>0</v>
      </c>
      <c r="D276">
        <v>6</v>
      </c>
      <c r="E276">
        <v>20000</v>
      </c>
      <c r="F276">
        <v>130</v>
      </c>
      <c r="G276" t="b">
        <v>0</v>
      </c>
      <c r="H276">
        <v>130</v>
      </c>
    </row>
    <row r="277" spans="1:8" x14ac:dyDescent="0.25">
      <c r="A277" t="s">
        <v>892</v>
      </c>
      <c r="B277">
        <v>7500</v>
      </c>
      <c r="C277">
        <v>0</v>
      </c>
      <c r="D277">
        <v>6</v>
      </c>
      <c r="E277">
        <v>7500</v>
      </c>
      <c r="F277">
        <v>70</v>
      </c>
      <c r="G277" t="b">
        <v>0</v>
      </c>
      <c r="H277">
        <v>70</v>
      </c>
    </row>
    <row r="278" spans="1:8" x14ac:dyDescent="0.25">
      <c r="A278" t="s">
        <v>893</v>
      </c>
      <c r="B278">
        <v>12000</v>
      </c>
      <c r="C278">
        <v>0</v>
      </c>
      <c r="D278">
        <v>1</v>
      </c>
      <c r="E278">
        <v>12000</v>
      </c>
      <c r="F278">
        <v>400</v>
      </c>
      <c r="G278" t="b">
        <v>0</v>
      </c>
      <c r="H278">
        <v>400</v>
      </c>
    </row>
    <row r="279" spans="1:8" x14ac:dyDescent="0.25">
      <c r="A279" t="s">
        <v>894</v>
      </c>
      <c r="B279">
        <v>20000</v>
      </c>
      <c r="C279">
        <v>0</v>
      </c>
      <c r="D279">
        <v>6</v>
      </c>
      <c r="E279">
        <v>20000</v>
      </c>
      <c r="F279">
        <v>130</v>
      </c>
      <c r="G279" t="b">
        <v>0</v>
      </c>
      <c r="H279">
        <v>130</v>
      </c>
    </row>
    <row r="280" spans="1:8" x14ac:dyDescent="0.25">
      <c r="A280" t="s">
        <v>880</v>
      </c>
      <c r="B280">
        <v>39900</v>
      </c>
      <c r="C280">
        <v>11</v>
      </c>
      <c r="D280">
        <v>6</v>
      </c>
      <c r="E280">
        <v>35500</v>
      </c>
      <c r="F280">
        <v>900</v>
      </c>
      <c r="G280" t="b">
        <v>0</v>
      </c>
      <c r="H280">
        <v>900</v>
      </c>
    </row>
    <row r="281" spans="1:8" x14ac:dyDescent="0.25">
      <c r="A281" t="s">
        <v>895</v>
      </c>
      <c r="B281">
        <v>5500</v>
      </c>
      <c r="C281">
        <v>0</v>
      </c>
      <c r="D281">
        <v>2</v>
      </c>
      <c r="E281">
        <v>5500</v>
      </c>
      <c r="F281">
        <v>42</v>
      </c>
      <c r="G281" t="b">
        <v>0</v>
      </c>
      <c r="H281">
        <v>42</v>
      </c>
    </row>
    <row r="282" spans="1:8" x14ac:dyDescent="0.25">
      <c r="A282" t="s">
        <v>896</v>
      </c>
      <c r="B282">
        <v>5500</v>
      </c>
      <c r="C282">
        <v>0</v>
      </c>
      <c r="D282">
        <v>6</v>
      </c>
      <c r="E282">
        <v>5500</v>
      </c>
      <c r="F282">
        <v>55</v>
      </c>
      <c r="G282" t="b">
        <v>0</v>
      </c>
      <c r="H282">
        <v>55</v>
      </c>
    </row>
    <row r="283" spans="1:8" x14ac:dyDescent="0.25">
      <c r="A283" t="s">
        <v>652</v>
      </c>
      <c r="B283">
        <v>16900</v>
      </c>
      <c r="C283">
        <v>0</v>
      </c>
      <c r="D283">
        <v>1</v>
      </c>
      <c r="E283">
        <v>16900</v>
      </c>
      <c r="F283">
        <v>400</v>
      </c>
      <c r="G283" t="b">
        <v>0</v>
      </c>
      <c r="H283">
        <v>400</v>
      </c>
    </row>
    <row r="284" spans="1:8" x14ac:dyDescent="0.25">
      <c r="A284" t="s">
        <v>449</v>
      </c>
      <c r="B284">
        <v>29500</v>
      </c>
      <c r="C284">
        <v>9</v>
      </c>
      <c r="D284">
        <v>6</v>
      </c>
      <c r="E284">
        <v>26600</v>
      </c>
      <c r="F284">
        <v>250</v>
      </c>
      <c r="G284" t="b">
        <v>0</v>
      </c>
      <c r="H284">
        <v>250</v>
      </c>
    </row>
    <row r="285" spans="1:8" x14ac:dyDescent="0.25">
      <c r="A285" t="s">
        <v>897</v>
      </c>
      <c r="B285">
        <v>32000</v>
      </c>
      <c r="C285">
        <v>10</v>
      </c>
      <c r="D285">
        <v>5</v>
      </c>
      <c r="E285">
        <v>28800</v>
      </c>
      <c r="F285">
        <v>500</v>
      </c>
      <c r="G285" t="b">
        <v>0</v>
      </c>
      <c r="H285">
        <v>500</v>
      </c>
    </row>
    <row r="286" spans="1:8" x14ac:dyDescent="0.25">
      <c r="A286" t="s">
        <v>898</v>
      </c>
      <c r="B286">
        <v>6500</v>
      </c>
      <c r="C286">
        <v>6</v>
      </c>
      <c r="D286">
        <v>6</v>
      </c>
      <c r="E286">
        <v>6100</v>
      </c>
      <c r="F286">
        <v>200</v>
      </c>
      <c r="G286" t="b">
        <v>0</v>
      </c>
      <c r="H286">
        <v>200</v>
      </c>
    </row>
    <row r="287" spans="1:8" x14ac:dyDescent="0.25">
      <c r="A287" t="s">
        <v>899</v>
      </c>
      <c r="B287">
        <v>11000</v>
      </c>
      <c r="C287">
        <v>30</v>
      </c>
      <c r="D287">
        <v>1</v>
      </c>
      <c r="E287">
        <v>7700</v>
      </c>
      <c r="F287">
        <v>285</v>
      </c>
      <c r="G287" t="b">
        <v>0</v>
      </c>
      <c r="H287">
        <v>285</v>
      </c>
    </row>
    <row r="288" spans="1:8" x14ac:dyDescent="0.25">
      <c r="A288" t="s">
        <v>892</v>
      </c>
      <c r="B288">
        <v>5500</v>
      </c>
      <c r="C288">
        <v>30</v>
      </c>
      <c r="D288">
        <v>6</v>
      </c>
      <c r="E288">
        <v>3800</v>
      </c>
      <c r="F288">
        <v>80</v>
      </c>
      <c r="G288" t="b">
        <v>0</v>
      </c>
      <c r="H288">
        <v>80</v>
      </c>
    </row>
    <row r="289" spans="1:8" x14ac:dyDescent="0.25">
      <c r="A289" t="s">
        <v>900</v>
      </c>
      <c r="B289">
        <v>5500</v>
      </c>
      <c r="C289">
        <v>0</v>
      </c>
      <c r="D289">
        <v>3</v>
      </c>
      <c r="E289">
        <v>5500</v>
      </c>
      <c r="F289">
        <v>190</v>
      </c>
      <c r="G289" t="b">
        <v>0</v>
      </c>
      <c r="H289">
        <v>190</v>
      </c>
    </row>
    <row r="290" spans="1:8" x14ac:dyDescent="0.25">
      <c r="A290" t="s">
        <v>901</v>
      </c>
      <c r="B290">
        <v>66000</v>
      </c>
      <c r="C290">
        <v>10</v>
      </c>
      <c r="D290">
        <v>1</v>
      </c>
      <c r="E290">
        <v>59400</v>
      </c>
      <c r="F290">
        <v>3000</v>
      </c>
      <c r="G290" t="b">
        <v>0</v>
      </c>
      <c r="H290">
        <v>3</v>
      </c>
    </row>
    <row r="291" spans="1:8" x14ac:dyDescent="0.25">
      <c r="A291" t="s">
        <v>793</v>
      </c>
      <c r="B291">
        <v>18500</v>
      </c>
      <c r="C291">
        <v>5</v>
      </c>
      <c r="D291">
        <v>6</v>
      </c>
      <c r="E291">
        <v>17500</v>
      </c>
      <c r="F291">
        <v>475</v>
      </c>
      <c r="G291" t="b">
        <v>0</v>
      </c>
      <c r="H291">
        <v>475</v>
      </c>
    </row>
    <row r="292" spans="1:8" x14ac:dyDescent="0.25">
      <c r="A292" t="s">
        <v>800</v>
      </c>
      <c r="B292">
        <v>69000</v>
      </c>
      <c r="C292">
        <v>6</v>
      </c>
      <c r="D292">
        <v>2</v>
      </c>
      <c r="E292">
        <v>64800</v>
      </c>
      <c r="F292">
        <v>3000</v>
      </c>
      <c r="G292" t="b">
        <v>0</v>
      </c>
      <c r="H292">
        <v>3</v>
      </c>
    </row>
    <row r="293" spans="1:8" x14ac:dyDescent="0.25">
      <c r="A293" t="s">
        <v>902</v>
      </c>
      <c r="B293">
        <v>11000</v>
      </c>
      <c r="C293">
        <v>30</v>
      </c>
      <c r="D293">
        <v>5</v>
      </c>
      <c r="E293">
        <v>7700</v>
      </c>
      <c r="F293">
        <v>285</v>
      </c>
      <c r="G293" t="b">
        <v>0</v>
      </c>
      <c r="H293">
        <v>285</v>
      </c>
    </row>
    <row r="294" spans="1:8" x14ac:dyDescent="0.25">
      <c r="A294" t="s">
        <v>903</v>
      </c>
      <c r="B294">
        <v>11000</v>
      </c>
      <c r="C294">
        <v>30</v>
      </c>
      <c r="D294">
        <v>2</v>
      </c>
      <c r="E294">
        <v>7700</v>
      </c>
      <c r="F294">
        <v>285</v>
      </c>
      <c r="G294" t="b">
        <v>0</v>
      </c>
      <c r="H294">
        <v>285</v>
      </c>
    </row>
    <row r="295" spans="1:8" x14ac:dyDescent="0.25">
      <c r="A295" t="s">
        <v>904</v>
      </c>
      <c r="B295">
        <v>17900</v>
      </c>
      <c r="C295">
        <v>0</v>
      </c>
      <c r="D295">
        <v>6</v>
      </c>
      <c r="E295">
        <v>17900</v>
      </c>
      <c r="F295">
        <v>450</v>
      </c>
      <c r="G295" t="b">
        <v>0</v>
      </c>
      <c r="H295">
        <v>450</v>
      </c>
    </row>
    <row r="296" spans="1:8" x14ac:dyDescent="0.25">
      <c r="A296" t="s">
        <v>905</v>
      </c>
      <c r="B296">
        <v>14000</v>
      </c>
      <c r="C296">
        <v>15</v>
      </c>
      <c r="D296">
        <v>6</v>
      </c>
      <c r="E296">
        <v>11900</v>
      </c>
      <c r="F296">
        <v>60</v>
      </c>
      <c r="G296" t="b">
        <v>0</v>
      </c>
      <c r="H296">
        <v>60</v>
      </c>
    </row>
    <row r="297" spans="1:8" x14ac:dyDescent="0.25">
      <c r="A297" t="s">
        <v>906</v>
      </c>
      <c r="B297">
        <v>14900</v>
      </c>
      <c r="C297">
        <v>26</v>
      </c>
      <c r="D297">
        <v>6</v>
      </c>
      <c r="E297">
        <v>10900</v>
      </c>
      <c r="F297">
        <v>500</v>
      </c>
      <c r="G297" t="b">
        <v>0</v>
      </c>
      <c r="H297">
        <v>500</v>
      </c>
    </row>
    <row r="298" spans="1:8" x14ac:dyDescent="0.25">
      <c r="A298" t="s">
        <v>907</v>
      </c>
      <c r="B298">
        <v>27900</v>
      </c>
      <c r="C298">
        <v>0</v>
      </c>
      <c r="D298">
        <v>5</v>
      </c>
      <c r="E298">
        <v>27900</v>
      </c>
      <c r="F298">
        <v>300</v>
      </c>
      <c r="G298" t="b">
        <v>0</v>
      </c>
      <c r="H298">
        <v>300</v>
      </c>
    </row>
    <row r="299" spans="1:8" x14ac:dyDescent="0.25">
      <c r="A299" t="s">
        <v>293</v>
      </c>
      <c r="B299">
        <v>5000</v>
      </c>
      <c r="C299">
        <v>2</v>
      </c>
      <c r="D299">
        <v>2</v>
      </c>
      <c r="E299">
        <v>4900</v>
      </c>
      <c r="F299">
        <v>200</v>
      </c>
      <c r="G299" t="b">
        <v>0</v>
      </c>
      <c r="H299">
        <v>200</v>
      </c>
    </row>
    <row r="300" spans="1:8" x14ac:dyDescent="0.25">
      <c r="A300" t="s">
        <v>908</v>
      </c>
      <c r="B300">
        <v>14000</v>
      </c>
      <c r="C300">
        <v>20</v>
      </c>
      <c r="D300">
        <v>6</v>
      </c>
      <c r="E300">
        <v>11200</v>
      </c>
      <c r="F300">
        <v>80</v>
      </c>
      <c r="G300" t="b">
        <v>0</v>
      </c>
      <c r="H300">
        <v>80</v>
      </c>
    </row>
    <row r="301" spans="1:8" x14ac:dyDescent="0.25">
      <c r="A301" t="s">
        <v>909</v>
      </c>
      <c r="B301">
        <v>16100</v>
      </c>
      <c r="C301">
        <v>0</v>
      </c>
      <c r="D301">
        <v>6</v>
      </c>
      <c r="E301">
        <v>16100</v>
      </c>
      <c r="F301">
        <v>300</v>
      </c>
      <c r="G301" t="b">
        <v>0</v>
      </c>
      <c r="H301">
        <v>300</v>
      </c>
    </row>
    <row r="302" spans="1:8" x14ac:dyDescent="0.25">
      <c r="A302" t="s">
        <v>910</v>
      </c>
      <c r="B302">
        <v>22500</v>
      </c>
      <c r="C302">
        <v>15</v>
      </c>
      <c r="D302">
        <v>6</v>
      </c>
      <c r="E302">
        <v>19100</v>
      </c>
      <c r="F302">
        <v>200</v>
      </c>
      <c r="G302" t="b">
        <v>0</v>
      </c>
      <c r="H302">
        <v>200</v>
      </c>
    </row>
    <row r="303" spans="1:8" x14ac:dyDescent="0.25">
      <c r="A303" t="s">
        <v>510</v>
      </c>
      <c r="B303">
        <v>19000</v>
      </c>
      <c r="C303">
        <v>11</v>
      </c>
      <c r="D303">
        <v>6</v>
      </c>
      <c r="E303">
        <v>16900</v>
      </c>
      <c r="F303">
        <v>500</v>
      </c>
      <c r="G303" t="b">
        <v>0</v>
      </c>
      <c r="H303">
        <v>500</v>
      </c>
    </row>
    <row r="304" spans="1:8" x14ac:dyDescent="0.25">
      <c r="A304" t="s">
        <v>911</v>
      </c>
      <c r="B304">
        <v>12300</v>
      </c>
      <c r="C304">
        <v>0</v>
      </c>
      <c r="D304">
        <v>6</v>
      </c>
      <c r="E304">
        <v>12300</v>
      </c>
      <c r="F304">
        <v>600</v>
      </c>
      <c r="G304" t="b">
        <v>0</v>
      </c>
      <c r="H304">
        <v>600</v>
      </c>
    </row>
    <row r="305" spans="1:8" x14ac:dyDescent="0.25">
      <c r="A305" t="s">
        <v>912</v>
      </c>
      <c r="B305">
        <v>27500</v>
      </c>
      <c r="C305">
        <v>10</v>
      </c>
      <c r="D305">
        <v>6</v>
      </c>
      <c r="E305">
        <v>24500</v>
      </c>
      <c r="F305">
        <v>200</v>
      </c>
      <c r="G305" t="b">
        <v>0</v>
      </c>
      <c r="H305">
        <v>200</v>
      </c>
    </row>
    <row r="306" spans="1:8" x14ac:dyDescent="0.25">
      <c r="A306" t="s">
        <v>913</v>
      </c>
      <c r="B306">
        <v>7500</v>
      </c>
      <c r="C306">
        <v>0</v>
      </c>
      <c r="D306">
        <v>6</v>
      </c>
      <c r="E306">
        <v>7500</v>
      </c>
      <c r="F306">
        <v>180</v>
      </c>
      <c r="G306" t="b">
        <v>0</v>
      </c>
      <c r="H306">
        <v>180</v>
      </c>
    </row>
    <row r="307" spans="1:8" x14ac:dyDescent="0.25">
      <c r="A307" t="s">
        <v>914</v>
      </c>
      <c r="B307">
        <v>35000</v>
      </c>
      <c r="C307">
        <v>0</v>
      </c>
      <c r="D307">
        <v>6</v>
      </c>
      <c r="E307">
        <v>35000</v>
      </c>
      <c r="F307">
        <v>880</v>
      </c>
      <c r="G307" t="b">
        <v>0</v>
      </c>
      <c r="H307">
        <v>800</v>
      </c>
    </row>
    <row r="308" spans="1:8" x14ac:dyDescent="0.25">
      <c r="A308" t="s">
        <v>915</v>
      </c>
      <c r="B308">
        <v>13500</v>
      </c>
      <c r="C308">
        <v>11</v>
      </c>
      <c r="D308">
        <v>6</v>
      </c>
      <c r="E308">
        <v>12000</v>
      </c>
      <c r="F308">
        <v>300</v>
      </c>
      <c r="G308" t="b">
        <v>0</v>
      </c>
      <c r="H308">
        <v>300</v>
      </c>
    </row>
    <row r="309" spans="1:8" x14ac:dyDescent="0.25">
      <c r="A309" t="s">
        <v>916</v>
      </c>
      <c r="B309">
        <v>5500</v>
      </c>
      <c r="C309">
        <v>0</v>
      </c>
      <c r="D309">
        <v>5</v>
      </c>
      <c r="E309">
        <v>5500</v>
      </c>
      <c r="F309">
        <v>190</v>
      </c>
      <c r="G309" t="b">
        <v>0</v>
      </c>
      <c r="H309">
        <v>190</v>
      </c>
    </row>
    <row r="310" spans="1:8" x14ac:dyDescent="0.25">
      <c r="A310" t="s">
        <v>501</v>
      </c>
      <c r="B310">
        <v>12000</v>
      </c>
      <c r="C310">
        <v>30</v>
      </c>
      <c r="D310">
        <v>4</v>
      </c>
      <c r="E310">
        <v>8400</v>
      </c>
      <c r="F310">
        <v>285</v>
      </c>
      <c r="G310" t="b">
        <v>0</v>
      </c>
      <c r="H310">
        <v>285</v>
      </c>
    </row>
    <row r="311" spans="1:8" x14ac:dyDescent="0.25">
      <c r="A311" t="s">
        <v>812</v>
      </c>
      <c r="B311">
        <v>6000</v>
      </c>
      <c r="C311">
        <v>6</v>
      </c>
      <c r="D311">
        <v>6</v>
      </c>
      <c r="E311">
        <v>5600</v>
      </c>
      <c r="F311">
        <v>50</v>
      </c>
      <c r="G311" t="b">
        <v>0</v>
      </c>
      <c r="H311">
        <v>50</v>
      </c>
    </row>
    <row r="312" spans="1:8" x14ac:dyDescent="0.25">
      <c r="A312" t="s">
        <v>657</v>
      </c>
      <c r="B312">
        <v>11000</v>
      </c>
      <c r="C312">
        <v>0</v>
      </c>
      <c r="D312">
        <v>6</v>
      </c>
      <c r="E312">
        <v>11000</v>
      </c>
      <c r="F312">
        <v>180</v>
      </c>
      <c r="G312" t="b">
        <v>0</v>
      </c>
      <c r="H312">
        <v>180</v>
      </c>
    </row>
    <row r="313" spans="1:8" x14ac:dyDescent="0.25">
      <c r="A313" t="s">
        <v>917</v>
      </c>
      <c r="B313">
        <v>11000</v>
      </c>
      <c r="C313">
        <v>0</v>
      </c>
      <c r="D313">
        <v>5</v>
      </c>
      <c r="E313">
        <v>11000</v>
      </c>
      <c r="F313">
        <v>300</v>
      </c>
      <c r="G313" t="b">
        <v>0</v>
      </c>
      <c r="H313">
        <v>300</v>
      </c>
    </row>
    <row r="314" spans="1:8" x14ac:dyDescent="0.25">
      <c r="A314" t="s">
        <v>918</v>
      </c>
      <c r="B314">
        <v>27500</v>
      </c>
      <c r="C314">
        <v>14</v>
      </c>
      <c r="D314">
        <v>6</v>
      </c>
      <c r="E314">
        <v>23400</v>
      </c>
      <c r="F314">
        <v>200</v>
      </c>
      <c r="G314" t="b">
        <v>0</v>
      </c>
      <c r="H314">
        <v>200</v>
      </c>
    </row>
    <row r="315" spans="1:8" x14ac:dyDescent="0.25">
      <c r="A315" t="s">
        <v>481</v>
      </c>
      <c r="B315">
        <v>25000</v>
      </c>
      <c r="C315">
        <v>14</v>
      </c>
      <c r="D315">
        <v>6</v>
      </c>
      <c r="E315">
        <v>21300</v>
      </c>
      <c r="F315">
        <v>410</v>
      </c>
      <c r="G315" t="b">
        <v>0</v>
      </c>
      <c r="H315">
        <v>410</v>
      </c>
    </row>
    <row r="316" spans="1:8" x14ac:dyDescent="0.25">
      <c r="A316" t="s">
        <v>919</v>
      </c>
      <c r="B316">
        <v>11400</v>
      </c>
      <c r="C316">
        <v>0</v>
      </c>
      <c r="D316">
        <v>6</v>
      </c>
      <c r="E316">
        <v>11400</v>
      </c>
      <c r="F316">
        <v>480</v>
      </c>
      <c r="G316" t="b">
        <v>0</v>
      </c>
      <c r="H316">
        <v>480</v>
      </c>
    </row>
    <row r="317" spans="1:8" x14ac:dyDescent="0.25">
      <c r="A317" t="s">
        <v>920</v>
      </c>
      <c r="B317">
        <v>23000</v>
      </c>
      <c r="C317">
        <v>0</v>
      </c>
      <c r="D317">
        <v>6</v>
      </c>
      <c r="E317">
        <v>23000</v>
      </c>
      <c r="F317">
        <v>250</v>
      </c>
      <c r="G317" t="b">
        <v>0</v>
      </c>
      <c r="H317">
        <v>250</v>
      </c>
    </row>
    <row r="318" spans="1:8" x14ac:dyDescent="0.25">
      <c r="A318" t="s">
        <v>921</v>
      </c>
      <c r="B318">
        <v>23000</v>
      </c>
      <c r="C318">
        <v>0</v>
      </c>
      <c r="D318">
        <v>4</v>
      </c>
      <c r="E318">
        <v>23000</v>
      </c>
      <c r="F318">
        <v>400</v>
      </c>
      <c r="G318" t="b">
        <v>0</v>
      </c>
      <c r="H318">
        <v>400</v>
      </c>
    </row>
    <row r="319" spans="1:8" x14ac:dyDescent="0.25">
      <c r="A319" t="s">
        <v>922</v>
      </c>
      <c r="B319">
        <v>11000</v>
      </c>
      <c r="C319">
        <v>0</v>
      </c>
      <c r="D319">
        <v>4</v>
      </c>
      <c r="E319">
        <v>11000</v>
      </c>
      <c r="F319">
        <v>300</v>
      </c>
      <c r="G319" t="b">
        <v>0</v>
      </c>
      <c r="H319">
        <v>300</v>
      </c>
    </row>
    <row r="320" spans="1:8" x14ac:dyDescent="0.25">
      <c r="A320" t="s">
        <v>923</v>
      </c>
      <c r="B320">
        <v>11000</v>
      </c>
      <c r="C320">
        <v>0</v>
      </c>
      <c r="D320">
        <v>6</v>
      </c>
      <c r="E320">
        <v>11000</v>
      </c>
      <c r="F320">
        <v>300</v>
      </c>
      <c r="G320" t="b">
        <v>0</v>
      </c>
      <c r="H320">
        <v>300</v>
      </c>
    </row>
    <row r="321" spans="1:8" x14ac:dyDescent="0.25">
      <c r="A321" t="s">
        <v>475</v>
      </c>
      <c r="B321">
        <v>2500</v>
      </c>
      <c r="C321">
        <v>0</v>
      </c>
      <c r="D321">
        <v>1</v>
      </c>
      <c r="E321">
        <v>2500</v>
      </c>
      <c r="F321">
        <v>77</v>
      </c>
      <c r="G321" t="b">
        <v>0</v>
      </c>
      <c r="H321">
        <v>77</v>
      </c>
    </row>
    <row r="322" spans="1:8" x14ac:dyDescent="0.25">
      <c r="A322" t="s">
        <v>924</v>
      </c>
      <c r="B322">
        <v>27200</v>
      </c>
      <c r="C322">
        <v>0</v>
      </c>
      <c r="D322">
        <v>1</v>
      </c>
      <c r="E322">
        <v>27200</v>
      </c>
      <c r="F322">
        <v>300</v>
      </c>
      <c r="G322" t="b">
        <v>0</v>
      </c>
      <c r="H322">
        <v>300</v>
      </c>
    </row>
    <row r="323" spans="1:8" x14ac:dyDescent="0.25">
      <c r="A323" t="s">
        <v>925</v>
      </c>
      <c r="B323">
        <v>25000</v>
      </c>
      <c r="C323">
        <v>0</v>
      </c>
      <c r="D323">
        <v>6</v>
      </c>
      <c r="E323">
        <v>25000</v>
      </c>
      <c r="F323">
        <v>250</v>
      </c>
      <c r="G323" t="b">
        <v>0</v>
      </c>
      <c r="H323">
        <v>250</v>
      </c>
    </row>
    <row r="324" spans="1:8" x14ac:dyDescent="0.25">
      <c r="A324" t="s">
        <v>926</v>
      </c>
      <c r="B324">
        <v>33000</v>
      </c>
      <c r="C324">
        <v>0</v>
      </c>
      <c r="D324">
        <v>6</v>
      </c>
      <c r="E324">
        <v>33000</v>
      </c>
      <c r="F324">
        <v>500</v>
      </c>
      <c r="G324" t="b">
        <v>0</v>
      </c>
      <c r="H324">
        <v>500</v>
      </c>
    </row>
    <row r="325" spans="1:8" x14ac:dyDescent="0.25">
      <c r="A325" t="s">
        <v>927</v>
      </c>
      <c r="B325">
        <v>17500</v>
      </c>
      <c r="C325">
        <v>9</v>
      </c>
      <c r="D325">
        <v>4</v>
      </c>
      <c r="E325">
        <v>15800</v>
      </c>
      <c r="F325">
        <v>375</v>
      </c>
      <c r="G325" t="b">
        <v>0</v>
      </c>
      <c r="H325">
        <v>375</v>
      </c>
    </row>
    <row r="326" spans="1:8" x14ac:dyDescent="0.25">
      <c r="A326" t="s">
        <v>928</v>
      </c>
      <c r="B326">
        <v>12000</v>
      </c>
      <c r="C326">
        <v>0</v>
      </c>
      <c r="D326">
        <v>6</v>
      </c>
      <c r="E326">
        <v>12000</v>
      </c>
      <c r="F326">
        <v>160</v>
      </c>
      <c r="G326" t="b">
        <v>0</v>
      </c>
      <c r="H326">
        <v>160</v>
      </c>
    </row>
    <row r="327" spans="1:8" x14ac:dyDescent="0.25">
      <c r="A327" t="s">
        <v>929</v>
      </c>
      <c r="B327">
        <v>28000</v>
      </c>
      <c r="C327">
        <v>50</v>
      </c>
      <c r="D327">
        <v>6</v>
      </c>
      <c r="E327">
        <v>14000</v>
      </c>
      <c r="F327">
        <v>175</v>
      </c>
      <c r="G327" t="b">
        <v>0</v>
      </c>
      <c r="H327">
        <v>175</v>
      </c>
    </row>
    <row r="328" spans="1:8" x14ac:dyDescent="0.25">
      <c r="A328" t="s">
        <v>930</v>
      </c>
      <c r="B328">
        <v>66000</v>
      </c>
      <c r="C328">
        <v>7</v>
      </c>
      <c r="D328">
        <v>2</v>
      </c>
      <c r="E328">
        <v>60800</v>
      </c>
      <c r="F328">
        <v>3000</v>
      </c>
      <c r="G328" t="b">
        <v>0</v>
      </c>
      <c r="H328">
        <v>3</v>
      </c>
    </row>
    <row r="329" spans="1:8" x14ac:dyDescent="0.25">
      <c r="A329" t="s">
        <v>931</v>
      </c>
      <c r="B329">
        <v>22500</v>
      </c>
      <c r="C329">
        <v>15</v>
      </c>
      <c r="D329">
        <v>6</v>
      </c>
      <c r="E329">
        <v>19100</v>
      </c>
      <c r="F329">
        <v>200</v>
      </c>
      <c r="G329" t="b">
        <v>0</v>
      </c>
      <c r="H329">
        <v>200</v>
      </c>
    </row>
    <row r="330" spans="1:8" x14ac:dyDescent="0.25">
      <c r="A330" t="s">
        <v>932</v>
      </c>
      <c r="B330">
        <v>27500</v>
      </c>
      <c r="C330">
        <v>14</v>
      </c>
      <c r="D330">
        <v>6</v>
      </c>
      <c r="E330">
        <v>23400</v>
      </c>
      <c r="F330">
        <v>200</v>
      </c>
      <c r="G330" t="b">
        <v>0</v>
      </c>
      <c r="H330">
        <v>200</v>
      </c>
    </row>
    <row r="331" spans="1:8" x14ac:dyDescent="0.25">
      <c r="A331" t="s">
        <v>933</v>
      </c>
      <c r="B331">
        <v>27500</v>
      </c>
      <c r="C331">
        <v>14</v>
      </c>
      <c r="D331">
        <v>6</v>
      </c>
      <c r="E331">
        <v>23400</v>
      </c>
      <c r="F331">
        <v>200</v>
      </c>
      <c r="G331" t="b">
        <v>0</v>
      </c>
      <c r="H331">
        <v>200</v>
      </c>
    </row>
    <row r="332" spans="1:8" x14ac:dyDescent="0.25">
      <c r="A332" t="s">
        <v>656</v>
      </c>
      <c r="B332">
        <v>24900</v>
      </c>
      <c r="C332">
        <v>0</v>
      </c>
      <c r="D332">
        <v>4</v>
      </c>
      <c r="E332">
        <v>24900</v>
      </c>
      <c r="F332">
        <v>400</v>
      </c>
      <c r="G332" t="b">
        <v>0</v>
      </c>
      <c r="H332">
        <v>400</v>
      </c>
    </row>
    <row r="333" spans="1:8" x14ac:dyDescent="0.25">
      <c r="A333" t="s">
        <v>934</v>
      </c>
      <c r="B333">
        <v>14000</v>
      </c>
      <c r="C333">
        <v>15</v>
      </c>
      <c r="D333">
        <v>6</v>
      </c>
      <c r="E333">
        <v>11900</v>
      </c>
      <c r="F333">
        <v>60</v>
      </c>
      <c r="G333" t="b">
        <v>0</v>
      </c>
      <c r="H333">
        <v>60</v>
      </c>
    </row>
    <row r="334" spans="1:8" x14ac:dyDescent="0.25">
      <c r="A334" t="s">
        <v>935</v>
      </c>
      <c r="B334">
        <v>32500</v>
      </c>
      <c r="C334">
        <v>9</v>
      </c>
      <c r="D334">
        <v>5</v>
      </c>
      <c r="E334">
        <v>29300</v>
      </c>
      <c r="F334">
        <v>200</v>
      </c>
      <c r="G334" t="b">
        <v>0</v>
      </c>
      <c r="H334">
        <v>200</v>
      </c>
    </row>
    <row r="335" spans="1:8" x14ac:dyDescent="0.25">
      <c r="A335" t="s">
        <v>936</v>
      </c>
      <c r="B335">
        <v>27500</v>
      </c>
      <c r="C335">
        <v>14</v>
      </c>
      <c r="D335">
        <v>6</v>
      </c>
      <c r="E335">
        <v>23400</v>
      </c>
      <c r="F335">
        <v>200</v>
      </c>
      <c r="G335" t="b">
        <v>0</v>
      </c>
      <c r="H335">
        <v>200</v>
      </c>
    </row>
    <row r="336" spans="1:8" x14ac:dyDescent="0.25">
      <c r="A336" t="s">
        <v>937</v>
      </c>
      <c r="B336">
        <v>11400</v>
      </c>
      <c r="C336">
        <v>0</v>
      </c>
      <c r="D336">
        <v>6</v>
      </c>
      <c r="E336">
        <v>11400</v>
      </c>
      <c r="F336">
        <v>480</v>
      </c>
      <c r="G336" t="b">
        <v>0</v>
      </c>
      <c r="H336">
        <v>480</v>
      </c>
    </row>
    <row r="337" spans="1:8" x14ac:dyDescent="0.25">
      <c r="A337" t="s">
        <v>478</v>
      </c>
      <c r="B337">
        <v>25000</v>
      </c>
      <c r="C337">
        <v>0</v>
      </c>
      <c r="D337">
        <v>5</v>
      </c>
      <c r="E337">
        <v>25000</v>
      </c>
      <c r="F337">
        <v>400</v>
      </c>
      <c r="G337" t="b">
        <v>0</v>
      </c>
      <c r="H337">
        <v>400</v>
      </c>
    </row>
    <row r="338" spans="1:8" x14ac:dyDescent="0.25">
      <c r="A338" t="s">
        <v>938</v>
      </c>
      <c r="B338">
        <v>61000</v>
      </c>
      <c r="C338">
        <v>0</v>
      </c>
      <c r="D338">
        <v>2</v>
      </c>
      <c r="E338">
        <v>61000</v>
      </c>
      <c r="F338">
        <v>400</v>
      </c>
      <c r="G338" t="b">
        <v>0</v>
      </c>
      <c r="H338">
        <v>400</v>
      </c>
    </row>
    <row r="339" spans="1:8" x14ac:dyDescent="0.25">
      <c r="A339" t="s">
        <v>939</v>
      </c>
      <c r="B339">
        <v>9100</v>
      </c>
      <c r="C339">
        <v>0</v>
      </c>
      <c r="D339">
        <v>6</v>
      </c>
      <c r="E339">
        <v>9100</v>
      </c>
      <c r="F339">
        <v>60</v>
      </c>
      <c r="G339" t="b">
        <v>0</v>
      </c>
      <c r="H339">
        <v>60</v>
      </c>
    </row>
    <row r="340" spans="1:8" x14ac:dyDescent="0.25">
      <c r="A340" t="s">
        <v>940</v>
      </c>
      <c r="B340">
        <v>23000</v>
      </c>
      <c r="C340">
        <v>0</v>
      </c>
      <c r="D340">
        <v>4</v>
      </c>
      <c r="E340">
        <v>23000</v>
      </c>
      <c r="F340">
        <v>400</v>
      </c>
      <c r="G340" t="b">
        <v>0</v>
      </c>
      <c r="H340">
        <v>400</v>
      </c>
    </row>
    <row r="341" spans="1:8" x14ac:dyDescent="0.25">
      <c r="A341" t="s">
        <v>941</v>
      </c>
      <c r="B341">
        <v>27500</v>
      </c>
      <c r="C341">
        <v>14</v>
      </c>
      <c r="D341">
        <v>6</v>
      </c>
      <c r="E341">
        <v>23400</v>
      </c>
      <c r="F341">
        <v>200</v>
      </c>
      <c r="G341" t="b">
        <v>0</v>
      </c>
      <c r="H341">
        <v>200</v>
      </c>
    </row>
    <row r="342" spans="1:8" x14ac:dyDescent="0.25">
      <c r="A342" t="s">
        <v>942</v>
      </c>
      <c r="B342">
        <v>6500</v>
      </c>
      <c r="C342">
        <v>6</v>
      </c>
      <c r="D342">
        <v>3</v>
      </c>
      <c r="E342">
        <v>6100</v>
      </c>
      <c r="F342">
        <v>52</v>
      </c>
      <c r="G342" t="b">
        <v>0</v>
      </c>
      <c r="H342">
        <v>52</v>
      </c>
    </row>
    <row r="343" spans="1:8" x14ac:dyDescent="0.25">
      <c r="A343" t="s">
        <v>943</v>
      </c>
      <c r="B343">
        <v>59500</v>
      </c>
      <c r="C343">
        <v>0</v>
      </c>
      <c r="D343">
        <v>5</v>
      </c>
      <c r="E343">
        <v>59500</v>
      </c>
      <c r="F343">
        <v>1000</v>
      </c>
      <c r="G343" t="b">
        <v>0</v>
      </c>
      <c r="H343">
        <v>1</v>
      </c>
    </row>
    <row r="344" spans="1:8" x14ac:dyDescent="0.25">
      <c r="A344" t="s">
        <v>860</v>
      </c>
      <c r="B344">
        <v>10500</v>
      </c>
      <c r="C344">
        <v>0</v>
      </c>
      <c r="D344">
        <v>4</v>
      </c>
      <c r="E344">
        <v>10500</v>
      </c>
      <c r="F344">
        <v>850</v>
      </c>
      <c r="G344" t="b">
        <v>0</v>
      </c>
      <c r="H344">
        <v>850</v>
      </c>
    </row>
    <row r="345" spans="1:8" x14ac:dyDescent="0.25">
      <c r="A345" t="s">
        <v>523</v>
      </c>
      <c r="B345">
        <v>4400</v>
      </c>
      <c r="C345">
        <v>0</v>
      </c>
      <c r="D345">
        <v>0</v>
      </c>
      <c r="E345">
        <v>4400</v>
      </c>
      <c r="F345">
        <v>280</v>
      </c>
      <c r="G345" t="b">
        <v>1</v>
      </c>
      <c r="H345">
        <v>280</v>
      </c>
    </row>
    <row r="346" spans="1:8" x14ac:dyDescent="0.25">
      <c r="A346" t="s">
        <v>944</v>
      </c>
      <c r="B346">
        <v>2000</v>
      </c>
      <c r="C346">
        <v>0</v>
      </c>
      <c r="D346">
        <v>0</v>
      </c>
      <c r="E346">
        <v>2000</v>
      </c>
      <c r="F346">
        <v>90</v>
      </c>
      <c r="G346" t="b">
        <v>1</v>
      </c>
      <c r="H346">
        <v>90</v>
      </c>
    </row>
    <row r="347" spans="1:8" x14ac:dyDescent="0.25">
      <c r="A347" t="s">
        <v>945</v>
      </c>
      <c r="B347">
        <v>6000</v>
      </c>
      <c r="C347">
        <v>6</v>
      </c>
      <c r="D347">
        <v>0</v>
      </c>
      <c r="E347">
        <v>5600</v>
      </c>
      <c r="F347">
        <v>156</v>
      </c>
      <c r="G347" t="b">
        <v>1</v>
      </c>
      <c r="H347">
        <v>156</v>
      </c>
    </row>
    <row r="348" spans="1:8" x14ac:dyDescent="0.25">
      <c r="A348" t="s">
        <v>946</v>
      </c>
      <c r="B348">
        <v>15500</v>
      </c>
      <c r="C348">
        <v>0</v>
      </c>
      <c r="D348">
        <v>0</v>
      </c>
      <c r="E348">
        <v>15500</v>
      </c>
      <c r="F348">
        <v>500</v>
      </c>
      <c r="G348" t="b">
        <v>1</v>
      </c>
      <c r="H348">
        <v>500</v>
      </c>
    </row>
    <row r="349" spans="1:8" x14ac:dyDescent="0.25">
      <c r="A349" t="s">
        <v>947</v>
      </c>
      <c r="B349">
        <v>6000</v>
      </c>
      <c r="C349">
        <v>5</v>
      </c>
      <c r="D349">
        <v>0</v>
      </c>
      <c r="E349">
        <v>5700</v>
      </c>
      <c r="F349">
        <v>200</v>
      </c>
      <c r="G349" t="b">
        <v>1</v>
      </c>
      <c r="H349">
        <v>200</v>
      </c>
    </row>
    <row r="350" spans="1:8" x14ac:dyDescent="0.25">
      <c r="A350" t="s">
        <v>668</v>
      </c>
      <c r="B350">
        <v>8500</v>
      </c>
      <c r="C350">
        <v>0</v>
      </c>
      <c r="D350">
        <v>0</v>
      </c>
      <c r="E350">
        <v>8500</v>
      </c>
      <c r="F350">
        <v>200</v>
      </c>
      <c r="G350" t="b">
        <v>1</v>
      </c>
      <c r="H350">
        <v>200</v>
      </c>
    </row>
    <row r="351" spans="1:8" x14ac:dyDescent="0.25">
      <c r="A351" t="s">
        <v>948</v>
      </c>
      <c r="B351">
        <v>5000</v>
      </c>
      <c r="C351">
        <v>24</v>
      </c>
      <c r="D351">
        <v>0</v>
      </c>
      <c r="E351">
        <v>3800</v>
      </c>
      <c r="F351">
        <v>200</v>
      </c>
      <c r="G351" t="b">
        <v>1</v>
      </c>
      <c r="H351">
        <v>200</v>
      </c>
    </row>
    <row r="352" spans="1:8" x14ac:dyDescent="0.25">
      <c r="A352" t="s">
        <v>949</v>
      </c>
      <c r="B352">
        <v>4000</v>
      </c>
      <c r="C352">
        <v>2</v>
      </c>
      <c r="D352">
        <v>0</v>
      </c>
      <c r="E352">
        <v>3900</v>
      </c>
      <c r="F352">
        <v>40</v>
      </c>
      <c r="G352" t="b">
        <v>1</v>
      </c>
      <c r="H352">
        <v>40</v>
      </c>
    </row>
    <row r="353" spans="1:8" x14ac:dyDescent="0.25">
      <c r="A353" t="s">
        <v>950</v>
      </c>
      <c r="B353">
        <v>3500</v>
      </c>
      <c r="C353">
        <v>2</v>
      </c>
      <c r="D353">
        <v>0</v>
      </c>
      <c r="E353">
        <v>3400</v>
      </c>
      <c r="F353">
        <v>70</v>
      </c>
      <c r="G353" t="b">
        <v>1</v>
      </c>
      <c r="H353">
        <v>70</v>
      </c>
    </row>
    <row r="354" spans="1:8" x14ac:dyDescent="0.25">
      <c r="A354" t="s">
        <v>674</v>
      </c>
      <c r="B354">
        <v>18500</v>
      </c>
      <c r="C354">
        <v>20</v>
      </c>
      <c r="D354">
        <v>0</v>
      </c>
      <c r="E354">
        <v>14800</v>
      </c>
      <c r="F354">
        <v>325</v>
      </c>
      <c r="G354" t="b">
        <v>1</v>
      </c>
      <c r="H354">
        <v>325</v>
      </c>
    </row>
    <row r="355" spans="1:8" x14ac:dyDescent="0.25">
      <c r="A355" t="s">
        <v>538</v>
      </c>
      <c r="B355">
        <v>1000</v>
      </c>
      <c r="C355">
        <v>0</v>
      </c>
      <c r="D355">
        <v>0</v>
      </c>
      <c r="E355">
        <v>1000</v>
      </c>
      <c r="F355">
        <v>20</v>
      </c>
      <c r="G355" t="b">
        <v>1</v>
      </c>
      <c r="H355">
        <v>20</v>
      </c>
    </row>
    <row r="356" spans="1:8" x14ac:dyDescent="0.25">
      <c r="A356" t="s">
        <v>94</v>
      </c>
      <c r="B356">
        <v>6000</v>
      </c>
      <c r="C356">
        <v>5</v>
      </c>
      <c r="D356">
        <v>0</v>
      </c>
      <c r="E356">
        <v>5700</v>
      </c>
      <c r="F356">
        <v>500</v>
      </c>
      <c r="G356" t="b">
        <v>1</v>
      </c>
      <c r="H356">
        <v>500</v>
      </c>
    </row>
    <row r="357" spans="1:8" x14ac:dyDescent="0.25">
      <c r="A357" t="s">
        <v>95</v>
      </c>
      <c r="B357">
        <v>4100</v>
      </c>
      <c r="C357">
        <v>4</v>
      </c>
      <c r="D357">
        <v>0</v>
      </c>
      <c r="E357">
        <v>3900</v>
      </c>
      <c r="F357">
        <v>200</v>
      </c>
      <c r="G357" t="b">
        <v>1</v>
      </c>
      <c r="H357">
        <v>200</v>
      </c>
    </row>
    <row r="358" spans="1:8" x14ac:dyDescent="0.25">
      <c r="A358" t="s">
        <v>675</v>
      </c>
      <c r="B358">
        <v>8500</v>
      </c>
      <c r="C358">
        <v>3</v>
      </c>
      <c r="D358">
        <v>0</v>
      </c>
      <c r="E358">
        <v>8200</v>
      </c>
      <c r="F358">
        <v>200</v>
      </c>
      <c r="G358" t="b">
        <v>1</v>
      </c>
      <c r="H358">
        <v>200</v>
      </c>
    </row>
    <row r="359" spans="1:8" x14ac:dyDescent="0.25">
      <c r="A359" t="s">
        <v>541</v>
      </c>
      <c r="B359">
        <v>10700</v>
      </c>
      <c r="C359">
        <v>0</v>
      </c>
      <c r="D359">
        <v>0</v>
      </c>
      <c r="E359">
        <v>10700</v>
      </c>
      <c r="F359">
        <v>600</v>
      </c>
      <c r="G359" t="b">
        <v>1</v>
      </c>
      <c r="H359">
        <v>600</v>
      </c>
    </row>
    <row r="360" spans="1:8" x14ac:dyDescent="0.25">
      <c r="A360" t="s">
        <v>542</v>
      </c>
      <c r="B360">
        <v>1500</v>
      </c>
      <c r="C360">
        <v>0</v>
      </c>
      <c r="D360">
        <v>0</v>
      </c>
      <c r="E360">
        <v>1500</v>
      </c>
      <c r="F360">
        <v>38</v>
      </c>
      <c r="G360" t="b">
        <v>1</v>
      </c>
      <c r="H360">
        <v>38</v>
      </c>
    </row>
    <row r="361" spans="1:8" x14ac:dyDescent="0.25">
      <c r="A361" t="s">
        <v>951</v>
      </c>
      <c r="B361">
        <v>6000</v>
      </c>
      <c r="C361">
        <v>5</v>
      </c>
      <c r="D361">
        <v>0</v>
      </c>
      <c r="E361">
        <v>5700</v>
      </c>
      <c r="F361">
        <v>200</v>
      </c>
      <c r="G361" t="b">
        <v>1</v>
      </c>
      <c r="H361">
        <v>200</v>
      </c>
    </row>
    <row r="362" spans="1:8" x14ac:dyDescent="0.25">
      <c r="A362" t="s">
        <v>952</v>
      </c>
      <c r="B362">
        <v>3100</v>
      </c>
      <c r="C362">
        <v>9</v>
      </c>
      <c r="D362">
        <v>0</v>
      </c>
      <c r="E362">
        <v>2800</v>
      </c>
      <c r="F362">
        <v>70</v>
      </c>
      <c r="G362" t="b">
        <v>1</v>
      </c>
      <c r="H362">
        <v>70</v>
      </c>
    </row>
    <row r="363" spans="1:8" x14ac:dyDescent="0.25">
      <c r="A363" t="s">
        <v>548</v>
      </c>
      <c r="B363">
        <v>5000</v>
      </c>
      <c r="C363">
        <v>0</v>
      </c>
      <c r="D363">
        <v>0</v>
      </c>
      <c r="E363">
        <v>5000</v>
      </c>
      <c r="F363">
        <v>70</v>
      </c>
      <c r="G363" t="b">
        <v>1</v>
      </c>
      <c r="H363">
        <v>70</v>
      </c>
    </row>
    <row r="364" spans="1:8" x14ac:dyDescent="0.25">
      <c r="A364" t="s">
        <v>953</v>
      </c>
      <c r="B364">
        <v>6900</v>
      </c>
      <c r="C364">
        <v>8</v>
      </c>
      <c r="D364">
        <v>0</v>
      </c>
      <c r="E364">
        <v>6300</v>
      </c>
      <c r="F364">
        <v>250</v>
      </c>
      <c r="G364" t="b">
        <v>1</v>
      </c>
      <c r="H364">
        <v>250</v>
      </c>
    </row>
    <row r="365" spans="1:8" x14ac:dyDescent="0.25">
      <c r="A365" t="s">
        <v>555</v>
      </c>
      <c r="B365">
        <v>4800</v>
      </c>
      <c r="C365">
        <v>6</v>
      </c>
      <c r="D365">
        <v>0</v>
      </c>
      <c r="E365">
        <v>4500</v>
      </c>
      <c r="F365">
        <v>240</v>
      </c>
      <c r="G365" t="b">
        <v>1</v>
      </c>
      <c r="H365">
        <v>240</v>
      </c>
    </row>
    <row r="366" spans="1:8" x14ac:dyDescent="0.25">
      <c r="A366" t="s">
        <v>558</v>
      </c>
      <c r="B366">
        <v>9100</v>
      </c>
      <c r="C366">
        <v>9</v>
      </c>
      <c r="D366">
        <v>0</v>
      </c>
      <c r="E366">
        <v>8200</v>
      </c>
      <c r="F366">
        <v>560</v>
      </c>
      <c r="G366" t="b">
        <v>1</v>
      </c>
      <c r="H366">
        <v>560</v>
      </c>
    </row>
    <row r="367" spans="1:8" x14ac:dyDescent="0.25">
      <c r="A367" t="s">
        <v>954</v>
      </c>
      <c r="B367">
        <v>26500</v>
      </c>
      <c r="C367">
        <v>10</v>
      </c>
      <c r="D367">
        <v>0</v>
      </c>
      <c r="E367">
        <v>23600</v>
      </c>
      <c r="F367">
        <v>575</v>
      </c>
      <c r="G367" t="b">
        <v>1</v>
      </c>
      <c r="H367">
        <v>575</v>
      </c>
    </row>
    <row r="368" spans="1:8" x14ac:dyDescent="0.25">
      <c r="A368" t="s">
        <v>955</v>
      </c>
      <c r="B368">
        <v>3100</v>
      </c>
      <c r="C368">
        <v>9</v>
      </c>
      <c r="D368">
        <v>0</v>
      </c>
      <c r="E368">
        <v>2800</v>
      </c>
      <c r="F368">
        <v>70</v>
      </c>
      <c r="G368" t="b">
        <v>1</v>
      </c>
      <c r="H368">
        <v>75</v>
      </c>
    </row>
    <row r="369" spans="1:8" x14ac:dyDescent="0.25">
      <c r="A369" t="s">
        <v>956</v>
      </c>
      <c r="B369">
        <v>2400</v>
      </c>
      <c r="C369">
        <v>0</v>
      </c>
      <c r="D369">
        <v>0</v>
      </c>
      <c r="E369">
        <v>2400</v>
      </c>
      <c r="F369">
        <v>75</v>
      </c>
      <c r="G369" t="b">
        <v>1</v>
      </c>
      <c r="H369">
        <v>75</v>
      </c>
    </row>
    <row r="370" spans="1:8" x14ac:dyDescent="0.25">
      <c r="A370" t="s">
        <v>562</v>
      </c>
      <c r="B370">
        <v>16000</v>
      </c>
      <c r="C370">
        <v>50</v>
      </c>
      <c r="D370">
        <v>0</v>
      </c>
      <c r="E370">
        <v>8000</v>
      </c>
      <c r="F370">
        <v>500</v>
      </c>
      <c r="G370" t="b">
        <v>1</v>
      </c>
      <c r="H370">
        <v>500</v>
      </c>
    </row>
    <row r="371" spans="1:8" x14ac:dyDescent="0.25">
      <c r="A371" t="s">
        <v>957</v>
      </c>
      <c r="B371">
        <v>2000</v>
      </c>
      <c r="C371">
        <v>10</v>
      </c>
      <c r="D371">
        <v>0</v>
      </c>
      <c r="E371">
        <v>1800</v>
      </c>
      <c r="F371">
        <v>100</v>
      </c>
      <c r="G371" t="b">
        <v>1</v>
      </c>
      <c r="H371">
        <v>100</v>
      </c>
    </row>
    <row r="372" spans="1:8" x14ac:dyDescent="0.25">
      <c r="A372" t="s">
        <v>565</v>
      </c>
      <c r="B372">
        <v>19000</v>
      </c>
      <c r="C372">
        <v>0</v>
      </c>
      <c r="D372">
        <v>0</v>
      </c>
      <c r="E372">
        <v>19000</v>
      </c>
      <c r="F372">
        <v>300</v>
      </c>
      <c r="G372" t="b">
        <v>1</v>
      </c>
      <c r="H372">
        <v>300</v>
      </c>
    </row>
    <row r="373" spans="1:8" x14ac:dyDescent="0.25">
      <c r="A373" t="s">
        <v>566</v>
      </c>
      <c r="B373">
        <v>2800</v>
      </c>
      <c r="C373">
        <v>17</v>
      </c>
      <c r="D373">
        <v>0</v>
      </c>
      <c r="E373">
        <v>2300</v>
      </c>
      <c r="F373">
        <v>65</v>
      </c>
      <c r="G373" t="b">
        <v>1</v>
      </c>
      <c r="H373">
        <v>65</v>
      </c>
    </row>
    <row r="374" spans="1:8" x14ac:dyDescent="0.25">
      <c r="A374" t="s">
        <v>96</v>
      </c>
      <c r="B374">
        <v>16000</v>
      </c>
      <c r="C374">
        <v>5</v>
      </c>
      <c r="D374">
        <v>0</v>
      </c>
      <c r="E374">
        <v>15200</v>
      </c>
      <c r="F374">
        <v>1000</v>
      </c>
      <c r="G374" t="b">
        <v>1</v>
      </c>
      <c r="H374">
        <v>1</v>
      </c>
    </row>
    <row r="375" spans="1:8" x14ac:dyDescent="0.25">
      <c r="A375" t="s">
        <v>958</v>
      </c>
      <c r="B375">
        <v>2500</v>
      </c>
      <c r="C375">
        <v>0</v>
      </c>
      <c r="D375">
        <v>0</v>
      </c>
      <c r="E375">
        <v>2500</v>
      </c>
      <c r="F375">
        <v>60</v>
      </c>
      <c r="G375" t="b">
        <v>1</v>
      </c>
      <c r="H375">
        <v>60</v>
      </c>
    </row>
    <row r="376" spans="1:8" x14ac:dyDescent="0.25">
      <c r="A376" t="s">
        <v>959</v>
      </c>
      <c r="B376">
        <v>12000</v>
      </c>
      <c r="C376">
        <v>7</v>
      </c>
      <c r="D376">
        <v>0</v>
      </c>
      <c r="E376">
        <v>11100</v>
      </c>
      <c r="F376">
        <v>950</v>
      </c>
      <c r="G376" t="b">
        <v>1</v>
      </c>
      <c r="H376">
        <v>950</v>
      </c>
    </row>
    <row r="377" spans="1:8" x14ac:dyDescent="0.25">
      <c r="A377" t="s">
        <v>960</v>
      </c>
      <c r="B377">
        <v>5500</v>
      </c>
      <c r="C377">
        <v>3</v>
      </c>
      <c r="D377">
        <v>0</v>
      </c>
      <c r="E377">
        <v>5300</v>
      </c>
      <c r="F377">
        <v>180</v>
      </c>
      <c r="G377" t="b">
        <v>1</v>
      </c>
      <c r="H377">
        <v>180</v>
      </c>
    </row>
    <row r="378" spans="1:8" x14ac:dyDescent="0.25">
      <c r="A378" t="s">
        <v>961</v>
      </c>
      <c r="B378">
        <v>13500</v>
      </c>
      <c r="C378">
        <v>6</v>
      </c>
      <c r="D378">
        <v>0</v>
      </c>
      <c r="E378">
        <v>12600</v>
      </c>
      <c r="F378">
        <v>500</v>
      </c>
      <c r="G378" t="b">
        <v>1</v>
      </c>
      <c r="H378">
        <v>500</v>
      </c>
    </row>
    <row r="379" spans="1:8" x14ac:dyDescent="0.25">
      <c r="A379" t="s">
        <v>962</v>
      </c>
      <c r="B379">
        <v>16000</v>
      </c>
      <c r="C379">
        <v>5</v>
      </c>
      <c r="D379">
        <v>0</v>
      </c>
      <c r="E379">
        <v>15200</v>
      </c>
      <c r="F379">
        <v>320</v>
      </c>
      <c r="G379" t="b">
        <v>1</v>
      </c>
      <c r="H379">
        <v>320</v>
      </c>
    </row>
    <row r="380" spans="1:8" x14ac:dyDescent="0.25">
      <c r="A380" t="s">
        <v>963</v>
      </c>
      <c r="B380">
        <v>11500</v>
      </c>
      <c r="C380">
        <v>4</v>
      </c>
      <c r="D380">
        <v>0</v>
      </c>
      <c r="E380">
        <v>11000</v>
      </c>
      <c r="F380">
        <v>400</v>
      </c>
      <c r="G380" t="b">
        <v>1</v>
      </c>
      <c r="H380">
        <v>400</v>
      </c>
    </row>
    <row r="381" spans="1:8" x14ac:dyDescent="0.25">
      <c r="A381" t="s">
        <v>573</v>
      </c>
      <c r="B381">
        <v>15000</v>
      </c>
      <c r="C381">
        <v>4</v>
      </c>
      <c r="D381">
        <v>0</v>
      </c>
      <c r="E381">
        <v>14300</v>
      </c>
      <c r="F381">
        <v>250</v>
      </c>
      <c r="G381" t="b">
        <v>1</v>
      </c>
      <c r="H381">
        <v>250</v>
      </c>
    </row>
    <row r="382" spans="1:8" x14ac:dyDescent="0.25">
      <c r="A382" t="s">
        <v>964</v>
      </c>
      <c r="B382">
        <v>29500</v>
      </c>
      <c r="C382">
        <v>9</v>
      </c>
      <c r="D382">
        <v>0</v>
      </c>
      <c r="E382">
        <v>26600</v>
      </c>
      <c r="F382">
        <v>350</v>
      </c>
      <c r="G382" t="b">
        <v>1</v>
      </c>
      <c r="H382">
        <v>350</v>
      </c>
    </row>
    <row r="383" spans="1:8" x14ac:dyDescent="0.25">
      <c r="A383" t="s">
        <v>572</v>
      </c>
      <c r="B383">
        <v>7200</v>
      </c>
      <c r="C383">
        <v>0</v>
      </c>
      <c r="D383">
        <v>0</v>
      </c>
      <c r="E383">
        <v>7200</v>
      </c>
      <c r="F383">
        <v>280</v>
      </c>
      <c r="G383" t="b">
        <v>1</v>
      </c>
      <c r="H383">
        <v>280</v>
      </c>
    </row>
    <row r="384" spans="1:8" x14ac:dyDescent="0.25">
      <c r="A384" t="s">
        <v>965</v>
      </c>
      <c r="B384">
        <v>5500</v>
      </c>
      <c r="C384">
        <v>0</v>
      </c>
      <c r="D384">
        <v>0</v>
      </c>
      <c r="E384">
        <v>5500</v>
      </c>
      <c r="F384">
        <v>190</v>
      </c>
      <c r="G384" t="b">
        <v>1</v>
      </c>
      <c r="H384">
        <v>190</v>
      </c>
    </row>
    <row r="385" spans="1:8" x14ac:dyDescent="0.25">
      <c r="A385" t="s">
        <v>966</v>
      </c>
      <c r="B385">
        <v>13500</v>
      </c>
      <c r="C385">
        <v>0</v>
      </c>
      <c r="D385">
        <v>0</v>
      </c>
      <c r="E385">
        <v>13500</v>
      </c>
      <c r="F385">
        <v>500</v>
      </c>
      <c r="G385" t="b">
        <v>1</v>
      </c>
      <c r="H385">
        <v>500</v>
      </c>
    </row>
    <row r="386" spans="1:8" x14ac:dyDescent="0.25">
      <c r="A386" t="s">
        <v>966</v>
      </c>
      <c r="B386">
        <v>25000</v>
      </c>
      <c r="C386">
        <v>0</v>
      </c>
      <c r="D386">
        <v>0</v>
      </c>
      <c r="E386">
        <v>25000</v>
      </c>
      <c r="F386">
        <v>1000</v>
      </c>
      <c r="G386" t="b">
        <v>1</v>
      </c>
      <c r="H386">
        <v>1</v>
      </c>
    </row>
    <row r="387" spans="1:8" x14ac:dyDescent="0.25">
      <c r="A387" t="s">
        <v>967</v>
      </c>
      <c r="B387">
        <v>8500</v>
      </c>
      <c r="C387">
        <v>0</v>
      </c>
      <c r="D387">
        <v>0</v>
      </c>
      <c r="E387">
        <v>8500</v>
      </c>
      <c r="F387">
        <v>400</v>
      </c>
      <c r="G387" t="b">
        <v>1</v>
      </c>
      <c r="H387">
        <v>400</v>
      </c>
    </row>
    <row r="388" spans="1:8" x14ac:dyDescent="0.25">
      <c r="A388" t="s">
        <v>968</v>
      </c>
      <c r="B388">
        <v>7900</v>
      </c>
      <c r="C388">
        <v>0</v>
      </c>
      <c r="D388">
        <v>0</v>
      </c>
      <c r="E388">
        <v>7900</v>
      </c>
      <c r="F388">
        <v>250</v>
      </c>
      <c r="G388" t="b">
        <v>1</v>
      </c>
      <c r="H388">
        <v>250</v>
      </c>
    </row>
    <row r="389" spans="1:8" x14ac:dyDescent="0.25">
      <c r="A389" t="s">
        <v>969</v>
      </c>
      <c r="B389">
        <v>25000</v>
      </c>
      <c r="C389">
        <v>0</v>
      </c>
      <c r="D389">
        <v>0</v>
      </c>
      <c r="E389">
        <v>25000</v>
      </c>
      <c r="F389">
        <v>450</v>
      </c>
      <c r="G389" t="b">
        <v>1</v>
      </c>
      <c r="H389">
        <v>450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H64"/>
  <sheetViews>
    <sheetView topLeftCell="A46" workbookViewId="0">
      <selection activeCell="A2" sqref="A2:H130"/>
    </sheetView>
  </sheetViews>
  <sheetFormatPr defaultRowHeight="15" x14ac:dyDescent="0.25"/>
  <cols>
    <col min="1" max="1" width="44.7109375" bestFit="1" customWidth="1"/>
  </cols>
  <sheetData>
    <row r="1" spans="1:8" x14ac:dyDescent="0.25">
      <c r="A1" s="1" t="s">
        <v>0</v>
      </c>
      <c r="B1" s="1" t="s">
        <v>1</v>
      </c>
      <c r="C1" s="1" t="s">
        <v>2</v>
      </c>
      <c r="D1" s="1" t="s">
        <v>3</v>
      </c>
      <c r="E1" s="1" t="s">
        <v>4</v>
      </c>
      <c r="F1" s="1" t="s">
        <v>5</v>
      </c>
      <c r="G1" s="1" t="s">
        <v>6</v>
      </c>
      <c r="H1" s="1" t="s">
        <v>7</v>
      </c>
    </row>
    <row r="2" spans="1:8" x14ac:dyDescent="0.25">
      <c r="A2" t="s">
        <v>100</v>
      </c>
      <c r="B2">
        <v>9700</v>
      </c>
      <c r="C2">
        <v>0</v>
      </c>
      <c r="D2">
        <v>4</v>
      </c>
      <c r="E2">
        <v>9700</v>
      </c>
      <c r="F2">
        <v>696</v>
      </c>
      <c r="G2" t="b">
        <v>0</v>
      </c>
      <c r="H2">
        <v>12</v>
      </c>
    </row>
    <row r="3" spans="1:8" x14ac:dyDescent="0.25">
      <c r="A3" t="s">
        <v>100</v>
      </c>
      <c r="B3">
        <v>6500</v>
      </c>
      <c r="C3">
        <v>15</v>
      </c>
      <c r="D3">
        <v>4</v>
      </c>
      <c r="E3">
        <v>5500</v>
      </c>
      <c r="F3">
        <v>348</v>
      </c>
      <c r="G3" t="b">
        <v>0</v>
      </c>
      <c r="H3">
        <v>6</v>
      </c>
    </row>
    <row r="4" spans="1:8" x14ac:dyDescent="0.25">
      <c r="A4" t="s">
        <v>104</v>
      </c>
      <c r="B4">
        <v>8500</v>
      </c>
      <c r="C4">
        <v>7</v>
      </c>
      <c r="D4">
        <v>4</v>
      </c>
      <c r="E4">
        <v>7900</v>
      </c>
      <c r="F4">
        <v>348</v>
      </c>
      <c r="G4" t="b">
        <v>0</v>
      </c>
      <c r="H4">
        <v>6</v>
      </c>
    </row>
    <row r="5" spans="1:8" x14ac:dyDescent="0.25">
      <c r="A5" t="s">
        <v>970</v>
      </c>
      <c r="B5">
        <v>30000</v>
      </c>
      <c r="C5">
        <v>10</v>
      </c>
      <c r="D5">
        <v>4</v>
      </c>
      <c r="E5">
        <v>27000</v>
      </c>
      <c r="F5">
        <v>1000</v>
      </c>
      <c r="G5" t="b">
        <v>0</v>
      </c>
      <c r="H5">
        <v>1</v>
      </c>
    </row>
    <row r="6" spans="1:8" x14ac:dyDescent="0.25">
      <c r="A6" t="s">
        <v>971</v>
      </c>
      <c r="B6">
        <v>14500</v>
      </c>
      <c r="C6">
        <v>8</v>
      </c>
      <c r="D6">
        <v>3</v>
      </c>
      <c r="E6">
        <v>13300</v>
      </c>
      <c r="F6">
        <v>250</v>
      </c>
      <c r="G6" t="b">
        <v>0</v>
      </c>
      <c r="H6">
        <v>250</v>
      </c>
    </row>
    <row r="7" spans="1:8" x14ac:dyDescent="0.25">
      <c r="A7" t="s">
        <v>972</v>
      </c>
      <c r="B7">
        <v>17500</v>
      </c>
      <c r="C7">
        <v>9</v>
      </c>
      <c r="D7">
        <v>3</v>
      </c>
      <c r="E7">
        <v>15800</v>
      </c>
      <c r="F7">
        <v>500</v>
      </c>
      <c r="G7" t="b">
        <v>0</v>
      </c>
      <c r="H7">
        <v>500</v>
      </c>
    </row>
    <row r="8" spans="1:8" x14ac:dyDescent="0.25">
      <c r="A8" t="s">
        <v>973</v>
      </c>
      <c r="B8">
        <v>24900</v>
      </c>
      <c r="C8">
        <v>25</v>
      </c>
      <c r="D8">
        <v>1</v>
      </c>
      <c r="E8">
        <v>18600</v>
      </c>
      <c r="F8">
        <v>500</v>
      </c>
      <c r="G8" t="b">
        <v>0</v>
      </c>
      <c r="H8">
        <v>500</v>
      </c>
    </row>
    <row r="9" spans="1:8" x14ac:dyDescent="0.25">
      <c r="A9" t="s">
        <v>148</v>
      </c>
      <c r="B9">
        <v>11000</v>
      </c>
      <c r="C9">
        <v>13</v>
      </c>
      <c r="D9">
        <v>4</v>
      </c>
      <c r="E9">
        <v>9500</v>
      </c>
      <c r="F9">
        <v>348</v>
      </c>
      <c r="G9" t="b">
        <v>0</v>
      </c>
      <c r="H9">
        <v>6</v>
      </c>
    </row>
    <row r="10" spans="1:8" x14ac:dyDescent="0.25">
      <c r="A10" t="s">
        <v>974</v>
      </c>
      <c r="B10">
        <v>27500</v>
      </c>
      <c r="C10">
        <v>9</v>
      </c>
      <c r="D10">
        <v>6</v>
      </c>
      <c r="E10">
        <v>24800</v>
      </c>
      <c r="F10">
        <v>450</v>
      </c>
      <c r="G10" t="b">
        <v>0</v>
      </c>
      <c r="H10">
        <v>450</v>
      </c>
    </row>
    <row r="11" spans="1:8" x14ac:dyDescent="0.25">
      <c r="A11" t="s">
        <v>975</v>
      </c>
      <c r="B11">
        <v>21500</v>
      </c>
      <c r="C11">
        <v>5</v>
      </c>
      <c r="D11">
        <v>1</v>
      </c>
      <c r="E11">
        <v>20400</v>
      </c>
      <c r="F11">
        <v>500</v>
      </c>
      <c r="G11" t="b">
        <v>0</v>
      </c>
      <c r="H11">
        <v>500</v>
      </c>
    </row>
    <row r="12" spans="1:8" x14ac:dyDescent="0.25">
      <c r="A12" t="s">
        <v>976</v>
      </c>
      <c r="B12">
        <v>25500</v>
      </c>
      <c r="C12">
        <v>9</v>
      </c>
      <c r="D12">
        <v>3</v>
      </c>
      <c r="E12">
        <v>23000</v>
      </c>
      <c r="F12">
        <v>450</v>
      </c>
      <c r="G12" t="b">
        <v>0</v>
      </c>
      <c r="H12">
        <v>450</v>
      </c>
    </row>
    <row r="13" spans="1:8" x14ac:dyDescent="0.25">
      <c r="A13" t="s">
        <v>609</v>
      </c>
      <c r="B13">
        <v>7200</v>
      </c>
      <c r="C13">
        <v>13</v>
      </c>
      <c r="D13">
        <v>3</v>
      </c>
      <c r="E13">
        <v>6200</v>
      </c>
      <c r="F13">
        <v>348</v>
      </c>
      <c r="G13" t="b">
        <v>0</v>
      </c>
      <c r="H13">
        <v>6</v>
      </c>
    </row>
    <row r="14" spans="1:8" x14ac:dyDescent="0.25">
      <c r="A14" t="s">
        <v>977</v>
      </c>
      <c r="B14">
        <v>31900</v>
      </c>
      <c r="C14">
        <v>14</v>
      </c>
      <c r="D14">
        <v>1</v>
      </c>
      <c r="E14">
        <v>27400</v>
      </c>
      <c r="F14">
        <v>500</v>
      </c>
      <c r="G14" t="b">
        <v>0</v>
      </c>
      <c r="H14">
        <v>500</v>
      </c>
    </row>
    <row r="15" spans="1:8" x14ac:dyDescent="0.25">
      <c r="A15" t="s">
        <v>978</v>
      </c>
      <c r="B15">
        <v>16500</v>
      </c>
      <c r="C15">
        <v>0</v>
      </c>
      <c r="D15">
        <v>1</v>
      </c>
      <c r="E15">
        <v>16500</v>
      </c>
      <c r="F15">
        <v>500</v>
      </c>
      <c r="G15" t="b">
        <v>0</v>
      </c>
      <c r="H15">
        <v>500</v>
      </c>
    </row>
    <row r="16" spans="1:8" x14ac:dyDescent="0.25">
      <c r="A16" t="s">
        <v>979</v>
      </c>
      <c r="B16">
        <v>26500</v>
      </c>
      <c r="C16">
        <v>9</v>
      </c>
      <c r="D16">
        <v>2</v>
      </c>
      <c r="E16">
        <v>23900</v>
      </c>
      <c r="F16">
        <v>500</v>
      </c>
      <c r="G16" t="b">
        <v>0</v>
      </c>
      <c r="H16">
        <v>500</v>
      </c>
    </row>
    <row r="17" spans="1:8" x14ac:dyDescent="0.25">
      <c r="A17" t="s">
        <v>616</v>
      </c>
      <c r="B17">
        <v>7200</v>
      </c>
      <c r="C17">
        <v>13</v>
      </c>
      <c r="D17">
        <v>4</v>
      </c>
      <c r="E17">
        <v>6200</v>
      </c>
      <c r="F17">
        <v>348</v>
      </c>
      <c r="G17" t="b">
        <v>0</v>
      </c>
      <c r="H17">
        <v>6</v>
      </c>
    </row>
    <row r="18" spans="1:8" x14ac:dyDescent="0.25">
      <c r="A18" t="s">
        <v>980</v>
      </c>
      <c r="B18">
        <v>20000</v>
      </c>
      <c r="C18">
        <v>10</v>
      </c>
      <c r="D18">
        <v>2</v>
      </c>
      <c r="E18">
        <v>18000</v>
      </c>
      <c r="F18">
        <v>580</v>
      </c>
      <c r="G18" t="b">
        <v>0</v>
      </c>
      <c r="H18">
        <v>10</v>
      </c>
    </row>
    <row r="19" spans="1:8" x14ac:dyDescent="0.25">
      <c r="A19" t="s">
        <v>245</v>
      </c>
      <c r="B19">
        <v>32500</v>
      </c>
      <c r="C19">
        <v>9</v>
      </c>
      <c r="D19">
        <v>1</v>
      </c>
      <c r="E19">
        <v>29300</v>
      </c>
      <c r="F19">
        <v>500</v>
      </c>
      <c r="G19" t="b">
        <v>0</v>
      </c>
      <c r="H19">
        <v>500</v>
      </c>
    </row>
    <row r="20" spans="1:8" x14ac:dyDescent="0.25">
      <c r="A20" t="s">
        <v>255</v>
      </c>
      <c r="B20">
        <v>7000</v>
      </c>
      <c r="C20">
        <v>7</v>
      </c>
      <c r="D20">
        <v>3</v>
      </c>
      <c r="E20">
        <v>6500</v>
      </c>
      <c r="F20">
        <v>100</v>
      </c>
      <c r="G20" t="b">
        <v>0</v>
      </c>
      <c r="H20">
        <v>100</v>
      </c>
    </row>
    <row r="21" spans="1:8" x14ac:dyDescent="0.25">
      <c r="A21" t="s">
        <v>259</v>
      </c>
      <c r="B21">
        <v>1000</v>
      </c>
      <c r="C21">
        <v>0</v>
      </c>
      <c r="D21">
        <v>6</v>
      </c>
      <c r="E21">
        <v>1000</v>
      </c>
      <c r="F21">
        <v>20</v>
      </c>
      <c r="G21" t="b">
        <v>0</v>
      </c>
      <c r="H21">
        <v>20</v>
      </c>
    </row>
    <row r="22" spans="1:8" x14ac:dyDescent="0.25">
      <c r="A22" t="s">
        <v>981</v>
      </c>
      <c r="B22">
        <v>16500</v>
      </c>
      <c r="C22">
        <v>4</v>
      </c>
      <c r="D22">
        <v>1</v>
      </c>
      <c r="E22">
        <v>15700</v>
      </c>
      <c r="F22">
        <v>500</v>
      </c>
      <c r="G22" t="b">
        <v>0</v>
      </c>
      <c r="H22">
        <v>500</v>
      </c>
    </row>
    <row r="23" spans="1:8" x14ac:dyDescent="0.25">
      <c r="A23" t="s">
        <v>271</v>
      </c>
      <c r="B23">
        <v>22000</v>
      </c>
      <c r="C23">
        <v>50</v>
      </c>
      <c r="D23">
        <v>6</v>
      </c>
      <c r="E23">
        <v>11000</v>
      </c>
      <c r="F23">
        <v>200</v>
      </c>
      <c r="G23" t="b">
        <v>0</v>
      </c>
      <c r="H23">
        <v>200</v>
      </c>
    </row>
    <row r="24" spans="1:8" x14ac:dyDescent="0.25">
      <c r="A24" t="s">
        <v>982</v>
      </c>
      <c r="B24">
        <v>25900</v>
      </c>
      <c r="C24">
        <v>43</v>
      </c>
      <c r="D24">
        <v>1</v>
      </c>
      <c r="E24">
        <v>14700</v>
      </c>
      <c r="F24">
        <v>500</v>
      </c>
      <c r="G24" t="b">
        <v>0</v>
      </c>
      <c r="H24">
        <v>500</v>
      </c>
    </row>
    <row r="25" spans="1:8" x14ac:dyDescent="0.25">
      <c r="A25" t="s">
        <v>759</v>
      </c>
      <c r="B25">
        <v>26000</v>
      </c>
      <c r="C25">
        <v>10</v>
      </c>
      <c r="D25">
        <v>4</v>
      </c>
      <c r="E25">
        <v>23400</v>
      </c>
      <c r="F25">
        <v>400</v>
      </c>
      <c r="G25" t="b">
        <v>0</v>
      </c>
      <c r="H25">
        <v>400</v>
      </c>
    </row>
    <row r="26" spans="1:8" x14ac:dyDescent="0.25">
      <c r="A26" t="s">
        <v>983</v>
      </c>
      <c r="B26">
        <v>24500</v>
      </c>
      <c r="C26">
        <v>9</v>
      </c>
      <c r="D26">
        <v>2</v>
      </c>
      <c r="E26">
        <v>22100</v>
      </c>
      <c r="F26">
        <v>450</v>
      </c>
      <c r="G26" t="b">
        <v>0</v>
      </c>
      <c r="H26">
        <v>450</v>
      </c>
    </row>
    <row r="27" spans="1:8" x14ac:dyDescent="0.25">
      <c r="A27" t="s">
        <v>291</v>
      </c>
      <c r="B27">
        <v>7400</v>
      </c>
      <c r="C27">
        <v>9</v>
      </c>
      <c r="D27">
        <v>3</v>
      </c>
      <c r="E27">
        <v>6700</v>
      </c>
      <c r="F27">
        <v>100</v>
      </c>
      <c r="G27" t="b">
        <v>0</v>
      </c>
      <c r="H27">
        <v>100</v>
      </c>
    </row>
    <row r="28" spans="1:8" x14ac:dyDescent="0.25">
      <c r="A28" t="s">
        <v>628</v>
      </c>
      <c r="B28">
        <v>7200</v>
      </c>
      <c r="C28">
        <v>13</v>
      </c>
      <c r="D28">
        <v>4</v>
      </c>
      <c r="E28">
        <v>6200</v>
      </c>
      <c r="F28">
        <v>348</v>
      </c>
      <c r="G28" t="b">
        <v>0</v>
      </c>
      <c r="H28">
        <v>6</v>
      </c>
    </row>
    <row r="29" spans="1:8" x14ac:dyDescent="0.25">
      <c r="A29" t="s">
        <v>300</v>
      </c>
      <c r="B29">
        <v>4000</v>
      </c>
      <c r="C29">
        <v>2</v>
      </c>
      <c r="D29">
        <v>6</v>
      </c>
      <c r="E29">
        <v>3900</v>
      </c>
      <c r="F29">
        <v>50</v>
      </c>
      <c r="G29" t="b">
        <v>0</v>
      </c>
      <c r="H29">
        <v>50</v>
      </c>
    </row>
    <row r="30" spans="1:8" x14ac:dyDescent="0.25">
      <c r="A30" t="s">
        <v>984</v>
      </c>
      <c r="B30">
        <v>26100</v>
      </c>
      <c r="C30">
        <v>14</v>
      </c>
      <c r="D30">
        <v>1</v>
      </c>
      <c r="E30">
        <v>22200</v>
      </c>
      <c r="F30">
        <v>500</v>
      </c>
      <c r="G30" t="b">
        <v>0</v>
      </c>
      <c r="H30">
        <v>500</v>
      </c>
    </row>
    <row r="31" spans="1:8" x14ac:dyDescent="0.25">
      <c r="A31" t="s">
        <v>309</v>
      </c>
      <c r="B31">
        <v>20500</v>
      </c>
      <c r="C31">
        <v>5</v>
      </c>
      <c r="D31">
        <v>1</v>
      </c>
      <c r="E31">
        <v>19400</v>
      </c>
      <c r="F31">
        <v>250</v>
      </c>
      <c r="G31" t="b">
        <v>0</v>
      </c>
      <c r="H31">
        <v>250</v>
      </c>
    </row>
    <row r="32" spans="1:8" x14ac:dyDescent="0.25">
      <c r="A32" t="s">
        <v>633</v>
      </c>
      <c r="B32">
        <v>12000</v>
      </c>
      <c r="C32">
        <v>43</v>
      </c>
      <c r="D32">
        <v>4</v>
      </c>
      <c r="E32">
        <v>6800</v>
      </c>
      <c r="F32">
        <v>348</v>
      </c>
      <c r="G32" t="b">
        <v>0</v>
      </c>
      <c r="H32">
        <v>6</v>
      </c>
    </row>
    <row r="33" spans="1:8" x14ac:dyDescent="0.25">
      <c r="A33" t="s">
        <v>323</v>
      </c>
      <c r="B33">
        <v>3900</v>
      </c>
      <c r="C33">
        <v>2</v>
      </c>
      <c r="D33">
        <v>5</v>
      </c>
      <c r="E33">
        <v>3800</v>
      </c>
      <c r="F33">
        <v>50</v>
      </c>
      <c r="G33" t="b">
        <v>0</v>
      </c>
      <c r="H33">
        <v>50</v>
      </c>
    </row>
    <row r="34" spans="1:8" x14ac:dyDescent="0.25">
      <c r="A34" t="s">
        <v>320</v>
      </c>
      <c r="B34">
        <v>16000</v>
      </c>
      <c r="C34">
        <v>10</v>
      </c>
      <c r="D34">
        <v>3</v>
      </c>
      <c r="E34">
        <v>14400</v>
      </c>
      <c r="F34">
        <v>250</v>
      </c>
      <c r="G34" t="b">
        <v>0</v>
      </c>
      <c r="H34">
        <v>250</v>
      </c>
    </row>
    <row r="35" spans="1:8" x14ac:dyDescent="0.25">
      <c r="A35" t="s">
        <v>336</v>
      </c>
      <c r="B35">
        <v>29500</v>
      </c>
      <c r="C35">
        <v>9</v>
      </c>
      <c r="D35">
        <v>6</v>
      </c>
      <c r="E35">
        <v>26600</v>
      </c>
      <c r="F35">
        <v>360</v>
      </c>
      <c r="G35" t="b">
        <v>0</v>
      </c>
      <c r="H35">
        <v>360</v>
      </c>
    </row>
    <row r="36" spans="1:8" x14ac:dyDescent="0.25">
      <c r="A36" t="s">
        <v>329</v>
      </c>
      <c r="B36">
        <v>4800</v>
      </c>
      <c r="C36">
        <v>2</v>
      </c>
      <c r="D36">
        <v>5</v>
      </c>
      <c r="E36">
        <v>4700</v>
      </c>
      <c r="F36">
        <v>100</v>
      </c>
      <c r="G36" t="b">
        <v>0</v>
      </c>
      <c r="H36">
        <v>100</v>
      </c>
    </row>
    <row r="37" spans="1:8" x14ac:dyDescent="0.25">
      <c r="A37" t="s">
        <v>985</v>
      </c>
      <c r="B37">
        <v>29000</v>
      </c>
      <c r="C37">
        <v>29</v>
      </c>
      <c r="D37">
        <v>1</v>
      </c>
      <c r="E37">
        <v>20400</v>
      </c>
      <c r="F37">
        <v>500</v>
      </c>
      <c r="G37" t="b">
        <v>0</v>
      </c>
      <c r="H37">
        <v>500</v>
      </c>
    </row>
    <row r="38" spans="1:8" x14ac:dyDescent="0.25">
      <c r="A38" t="s">
        <v>986</v>
      </c>
      <c r="B38">
        <v>27500</v>
      </c>
      <c r="C38">
        <v>9</v>
      </c>
      <c r="D38">
        <v>3</v>
      </c>
      <c r="E38">
        <v>24800</v>
      </c>
      <c r="F38">
        <v>450</v>
      </c>
      <c r="G38" t="b">
        <v>0</v>
      </c>
      <c r="H38">
        <v>450</v>
      </c>
    </row>
    <row r="39" spans="1:8" x14ac:dyDescent="0.25">
      <c r="A39" t="s">
        <v>987</v>
      </c>
      <c r="B39">
        <v>24900</v>
      </c>
      <c r="C39">
        <v>28</v>
      </c>
      <c r="D39">
        <v>1</v>
      </c>
      <c r="E39">
        <v>17900</v>
      </c>
      <c r="F39">
        <v>500</v>
      </c>
      <c r="G39" t="b">
        <v>0</v>
      </c>
      <c r="H39">
        <v>500</v>
      </c>
    </row>
    <row r="40" spans="1:8" x14ac:dyDescent="0.25">
      <c r="A40" t="s">
        <v>988</v>
      </c>
      <c r="B40">
        <v>17500</v>
      </c>
      <c r="C40">
        <v>9</v>
      </c>
      <c r="D40">
        <v>1</v>
      </c>
      <c r="E40">
        <v>15800</v>
      </c>
      <c r="F40">
        <v>580</v>
      </c>
      <c r="G40" t="b">
        <v>0</v>
      </c>
      <c r="H40">
        <v>10</v>
      </c>
    </row>
    <row r="41" spans="1:8" x14ac:dyDescent="0.25">
      <c r="A41" t="s">
        <v>989</v>
      </c>
      <c r="B41">
        <v>7500</v>
      </c>
      <c r="C41">
        <v>9</v>
      </c>
      <c r="D41">
        <v>1</v>
      </c>
      <c r="E41">
        <v>6800</v>
      </c>
      <c r="F41">
        <v>200</v>
      </c>
      <c r="G41" t="b">
        <v>0</v>
      </c>
      <c r="H41">
        <v>200</v>
      </c>
    </row>
    <row r="42" spans="1:8" x14ac:dyDescent="0.25">
      <c r="A42" t="s">
        <v>323</v>
      </c>
      <c r="B42">
        <v>7400</v>
      </c>
      <c r="C42">
        <v>9</v>
      </c>
      <c r="D42">
        <v>3</v>
      </c>
      <c r="E42">
        <v>6700</v>
      </c>
      <c r="F42">
        <v>100</v>
      </c>
      <c r="G42" t="b">
        <v>0</v>
      </c>
      <c r="H42">
        <v>100</v>
      </c>
    </row>
    <row r="43" spans="1:8" x14ac:dyDescent="0.25">
      <c r="A43" t="s">
        <v>990</v>
      </c>
      <c r="B43">
        <v>51500</v>
      </c>
      <c r="C43">
        <v>3</v>
      </c>
      <c r="D43">
        <v>1</v>
      </c>
      <c r="E43">
        <v>49500</v>
      </c>
      <c r="F43">
        <v>500</v>
      </c>
      <c r="G43" t="b">
        <v>0</v>
      </c>
      <c r="H43">
        <v>500</v>
      </c>
    </row>
    <row r="44" spans="1:8" x14ac:dyDescent="0.25">
      <c r="A44" t="s">
        <v>991</v>
      </c>
      <c r="B44">
        <v>46500</v>
      </c>
      <c r="C44">
        <v>4</v>
      </c>
      <c r="D44">
        <v>1</v>
      </c>
      <c r="E44">
        <v>44200</v>
      </c>
      <c r="F44">
        <v>500</v>
      </c>
      <c r="G44" t="b">
        <v>0</v>
      </c>
      <c r="H44">
        <v>500</v>
      </c>
    </row>
    <row r="45" spans="1:8" x14ac:dyDescent="0.25">
      <c r="A45" t="s">
        <v>380</v>
      </c>
      <c r="B45">
        <v>22000</v>
      </c>
      <c r="C45">
        <v>50</v>
      </c>
      <c r="D45">
        <v>5</v>
      </c>
      <c r="E45">
        <v>11000</v>
      </c>
      <c r="F45">
        <v>200</v>
      </c>
      <c r="G45" t="b">
        <v>0</v>
      </c>
      <c r="H45">
        <v>200</v>
      </c>
    </row>
    <row r="46" spans="1:8" x14ac:dyDescent="0.25">
      <c r="A46" t="s">
        <v>992</v>
      </c>
      <c r="B46">
        <v>21000</v>
      </c>
      <c r="C46">
        <v>10</v>
      </c>
      <c r="D46">
        <v>1</v>
      </c>
      <c r="E46">
        <v>18900</v>
      </c>
      <c r="F46">
        <v>116</v>
      </c>
      <c r="G46" t="b">
        <v>0</v>
      </c>
      <c r="H46">
        <v>2</v>
      </c>
    </row>
    <row r="47" spans="1:8" x14ac:dyDescent="0.25">
      <c r="A47" t="s">
        <v>849</v>
      </c>
      <c r="B47">
        <v>15000</v>
      </c>
      <c r="C47">
        <v>0</v>
      </c>
      <c r="D47">
        <v>3</v>
      </c>
      <c r="E47">
        <v>15000</v>
      </c>
      <c r="F47">
        <v>250</v>
      </c>
      <c r="G47" t="b">
        <v>0</v>
      </c>
      <c r="H47">
        <v>250</v>
      </c>
    </row>
    <row r="48" spans="1:8" x14ac:dyDescent="0.25">
      <c r="A48" t="s">
        <v>993</v>
      </c>
      <c r="B48">
        <v>32900</v>
      </c>
      <c r="C48">
        <v>24</v>
      </c>
      <c r="D48">
        <v>1</v>
      </c>
      <c r="E48">
        <v>24700</v>
      </c>
      <c r="F48">
        <v>500</v>
      </c>
      <c r="G48" t="b">
        <v>0</v>
      </c>
      <c r="H48">
        <v>500</v>
      </c>
    </row>
    <row r="49" spans="1:8" x14ac:dyDescent="0.25">
      <c r="A49" t="s">
        <v>994</v>
      </c>
      <c r="B49">
        <v>21000</v>
      </c>
      <c r="C49">
        <v>0</v>
      </c>
      <c r="D49">
        <v>1</v>
      </c>
      <c r="E49">
        <v>21000</v>
      </c>
      <c r="F49">
        <v>450</v>
      </c>
      <c r="G49" t="b">
        <v>0</v>
      </c>
      <c r="H49">
        <v>450</v>
      </c>
    </row>
    <row r="50" spans="1:8" x14ac:dyDescent="0.25">
      <c r="A50" t="s">
        <v>469</v>
      </c>
      <c r="B50">
        <v>22000</v>
      </c>
      <c r="C50">
        <v>50</v>
      </c>
      <c r="D50">
        <v>6</v>
      </c>
      <c r="E50">
        <v>11000</v>
      </c>
      <c r="F50">
        <v>200</v>
      </c>
      <c r="G50" t="b">
        <v>0</v>
      </c>
      <c r="H50">
        <v>200</v>
      </c>
    </row>
    <row r="51" spans="1:8" x14ac:dyDescent="0.25">
      <c r="A51" t="s">
        <v>478</v>
      </c>
      <c r="B51">
        <v>25000</v>
      </c>
      <c r="C51">
        <v>0</v>
      </c>
      <c r="D51">
        <v>5</v>
      </c>
      <c r="E51">
        <v>25000</v>
      </c>
      <c r="F51">
        <v>400</v>
      </c>
      <c r="G51" t="b">
        <v>0</v>
      </c>
      <c r="H51">
        <v>400</v>
      </c>
    </row>
    <row r="52" spans="1:8" x14ac:dyDescent="0.25">
      <c r="A52" t="s">
        <v>485</v>
      </c>
      <c r="B52">
        <v>6600</v>
      </c>
      <c r="C52">
        <v>0</v>
      </c>
      <c r="D52">
        <v>6</v>
      </c>
      <c r="E52">
        <v>6600</v>
      </c>
      <c r="F52">
        <v>50</v>
      </c>
      <c r="G52" t="b">
        <v>0</v>
      </c>
      <c r="H52">
        <v>50</v>
      </c>
    </row>
    <row r="53" spans="1:8" x14ac:dyDescent="0.25">
      <c r="A53" t="s">
        <v>670</v>
      </c>
      <c r="B53">
        <v>6200</v>
      </c>
      <c r="C53">
        <v>0</v>
      </c>
      <c r="D53">
        <v>0</v>
      </c>
      <c r="E53">
        <v>6200</v>
      </c>
      <c r="F53">
        <v>696</v>
      </c>
      <c r="G53" t="b">
        <v>1</v>
      </c>
      <c r="H53">
        <v>12</v>
      </c>
    </row>
    <row r="54" spans="1:8" x14ac:dyDescent="0.25">
      <c r="A54" t="s">
        <v>995</v>
      </c>
      <c r="B54">
        <v>14000</v>
      </c>
      <c r="C54">
        <v>0</v>
      </c>
      <c r="D54">
        <v>0</v>
      </c>
      <c r="E54">
        <v>14000</v>
      </c>
      <c r="F54">
        <v>500</v>
      </c>
      <c r="G54" t="b">
        <v>1</v>
      </c>
      <c r="H54">
        <v>500</v>
      </c>
    </row>
    <row r="55" spans="1:8" x14ac:dyDescent="0.25">
      <c r="A55" t="s">
        <v>996</v>
      </c>
      <c r="B55">
        <v>14500</v>
      </c>
      <c r="C55">
        <v>0</v>
      </c>
      <c r="D55">
        <v>0</v>
      </c>
      <c r="E55">
        <v>14500</v>
      </c>
      <c r="F55">
        <v>450</v>
      </c>
      <c r="G55" t="b">
        <v>1</v>
      </c>
      <c r="H55">
        <v>450</v>
      </c>
    </row>
    <row r="56" spans="1:8" x14ac:dyDescent="0.25">
      <c r="A56" t="s">
        <v>565</v>
      </c>
      <c r="B56">
        <v>19000</v>
      </c>
      <c r="C56">
        <v>0</v>
      </c>
      <c r="D56">
        <v>0</v>
      </c>
      <c r="E56">
        <v>19000</v>
      </c>
      <c r="F56">
        <v>300</v>
      </c>
      <c r="G56" t="b">
        <v>1</v>
      </c>
      <c r="H56">
        <v>300</v>
      </c>
    </row>
    <row r="57" spans="1:8" x14ac:dyDescent="0.25">
      <c r="A57" t="s">
        <v>997</v>
      </c>
      <c r="B57">
        <v>21500</v>
      </c>
      <c r="C57">
        <v>5</v>
      </c>
      <c r="D57">
        <v>0</v>
      </c>
      <c r="E57">
        <v>20400</v>
      </c>
      <c r="F57">
        <v>500</v>
      </c>
      <c r="G57" t="b">
        <v>1</v>
      </c>
      <c r="H57">
        <v>500</v>
      </c>
    </row>
    <row r="58" spans="1:8" x14ac:dyDescent="0.25">
      <c r="A58" t="s">
        <v>998</v>
      </c>
      <c r="B58">
        <v>27500</v>
      </c>
      <c r="C58">
        <v>9</v>
      </c>
      <c r="D58">
        <v>0</v>
      </c>
      <c r="E58">
        <v>24800</v>
      </c>
      <c r="F58">
        <v>450</v>
      </c>
      <c r="G58" t="b">
        <v>1</v>
      </c>
      <c r="H58">
        <v>450</v>
      </c>
    </row>
    <row r="59" spans="1:8" x14ac:dyDescent="0.25">
      <c r="A59" t="s">
        <v>678</v>
      </c>
      <c r="B59">
        <v>7500</v>
      </c>
      <c r="C59">
        <v>17</v>
      </c>
      <c r="D59">
        <v>0</v>
      </c>
      <c r="E59">
        <v>6200</v>
      </c>
      <c r="F59">
        <v>348</v>
      </c>
      <c r="G59" t="b">
        <v>1</v>
      </c>
      <c r="H59">
        <v>6</v>
      </c>
    </row>
    <row r="60" spans="1:8" x14ac:dyDescent="0.25">
      <c r="A60" t="s">
        <v>681</v>
      </c>
      <c r="B60">
        <v>7200</v>
      </c>
      <c r="C60">
        <v>16</v>
      </c>
      <c r="D60">
        <v>0</v>
      </c>
      <c r="E60">
        <v>6000</v>
      </c>
      <c r="F60">
        <v>348</v>
      </c>
      <c r="G60" t="b">
        <v>1</v>
      </c>
      <c r="H60">
        <v>6</v>
      </c>
    </row>
    <row r="61" spans="1:8" x14ac:dyDescent="0.25">
      <c r="A61" t="s">
        <v>999</v>
      </c>
      <c r="B61">
        <v>25000</v>
      </c>
      <c r="C61">
        <v>0</v>
      </c>
      <c r="D61">
        <v>0</v>
      </c>
      <c r="E61">
        <v>25000</v>
      </c>
      <c r="F61">
        <v>450</v>
      </c>
      <c r="G61" t="b">
        <v>1</v>
      </c>
      <c r="H61">
        <v>450</v>
      </c>
    </row>
    <row r="62" spans="1:8" x14ac:dyDescent="0.25">
      <c r="A62" t="s">
        <v>1000</v>
      </c>
      <c r="B62">
        <v>25000</v>
      </c>
      <c r="C62">
        <v>0</v>
      </c>
      <c r="D62">
        <v>0</v>
      </c>
      <c r="E62">
        <v>25000</v>
      </c>
      <c r="F62">
        <v>450</v>
      </c>
      <c r="G62" t="b">
        <v>1</v>
      </c>
      <c r="H62">
        <v>450</v>
      </c>
    </row>
    <row r="63" spans="1:8" x14ac:dyDescent="0.25">
      <c r="A63" t="s">
        <v>573</v>
      </c>
      <c r="B63">
        <v>15000</v>
      </c>
      <c r="C63">
        <v>4</v>
      </c>
      <c r="D63">
        <v>0</v>
      </c>
      <c r="E63">
        <v>14300</v>
      </c>
      <c r="F63">
        <v>250</v>
      </c>
      <c r="G63" t="b">
        <v>1</v>
      </c>
      <c r="H63">
        <v>250</v>
      </c>
    </row>
    <row r="64" spans="1:8" x14ac:dyDescent="0.25">
      <c r="A64" t="s">
        <v>1001</v>
      </c>
      <c r="B64">
        <v>27000</v>
      </c>
      <c r="C64">
        <v>0</v>
      </c>
      <c r="D64">
        <v>0</v>
      </c>
      <c r="E64">
        <v>27000</v>
      </c>
      <c r="F64">
        <v>500</v>
      </c>
      <c r="G64" t="b">
        <v>1</v>
      </c>
      <c r="H64">
        <v>500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H148"/>
  <sheetViews>
    <sheetView topLeftCell="A139" workbookViewId="0">
      <selection activeCell="M159" sqref="M159"/>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1002</v>
      </c>
      <c r="B2">
        <v>1000</v>
      </c>
      <c r="C2">
        <v>0</v>
      </c>
      <c r="D2">
        <v>6</v>
      </c>
      <c r="E2">
        <v>1000</v>
      </c>
      <c r="F2">
        <v>60</v>
      </c>
      <c r="G2" t="b">
        <v>0</v>
      </c>
      <c r="H2">
        <v>58</v>
      </c>
    </row>
    <row r="3" spans="1:8" x14ac:dyDescent="0.25">
      <c r="A3" t="s">
        <v>1003</v>
      </c>
      <c r="B3">
        <v>3200</v>
      </c>
      <c r="C3">
        <v>3</v>
      </c>
      <c r="D3">
        <v>6</v>
      </c>
      <c r="E3">
        <v>3100</v>
      </c>
      <c r="F3">
        <v>120</v>
      </c>
      <c r="G3" t="b">
        <v>0</v>
      </c>
      <c r="H3">
        <v>120</v>
      </c>
    </row>
    <row r="4" spans="1:8" x14ac:dyDescent="0.25">
      <c r="A4" t="s">
        <v>1004</v>
      </c>
      <c r="B4">
        <v>4500</v>
      </c>
      <c r="C4">
        <v>51</v>
      </c>
      <c r="D4">
        <v>4</v>
      </c>
      <c r="E4">
        <v>2200</v>
      </c>
      <c r="F4">
        <v>60</v>
      </c>
      <c r="G4" t="b">
        <v>0</v>
      </c>
      <c r="H4">
        <v>75</v>
      </c>
    </row>
    <row r="5" spans="1:8" x14ac:dyDescent="0.25">
      <c r="A5" t="s">
        <v>1005</v>
      </c>
      <c r="B5">
        <v>4500</v>
      </c>
      <c r="C5">
        <v>0</v>
      </c>
      <c r="D5">
        <v>1</v>
      </c>
      <c r="E5">
        <v>4500</v>
      </c>
      <c r="F5">
        <v>200</v>
      </c>
      <c r="G5" t="b">
        <v>0</v>
      </c>
      <c r="H5">
        <v>150</v>
      </c>
    </row>
    <row r="6" spans="1:8" x14ac:dyDescent="0.25">
      <c r="A6" t="s">
        <v>1006</v>
      </c>
      <c r="B6">
        <v>12000</v>
      </c>
      <c r="C6">
        <v>17</v>
      </c>
      <c r="D6">
        <v>5</v>
      </c>
      <c r="E6">
        <v>9900</v>
      </c>
      <c r="F6">
        <v>400</v>
      </c>
      <c r="G6" t="b">
        <v>0</v>
      </c>
      <c r="H6">
        <v>400</v>
      </c>
    </row>
    <row r="7" spans="1:8" x14ac:dyDescent="0.25">
      <c r="A7" t="s">
        <v>1007</v>
      </c>
      <c r="B7">
        <v>4500</v>
      </c>
      <c r="C7">
        <v>2</v>
      </c>
      <c r="D7">
        <v>1</v>
      </c>
      <c r="E7">
        <v>4400</v>
      </c>
      <c r="F7">
        <v>200</v>
      </c>
      <c r="G7" t="b">
        <v>0</v>
      </c>
      <c r="H7">
        <v>200</v>
      </c>
    </row>
    <row r="8" spans="1:8" x14ac:dyDescent="0.25">
      <c r="A8" t="s">
        <v>1008</v>
      </c>
      <c r="B8">
        <v>3000</v>
      </c>
      <c r="C8">
        <v>0</v>
      </c>
      <c r="D8">
        <v>5</v>
      </c>
      <c r="E8">
        <v>3000</v>
      </c>
      <c r="F8">
        <v>75</v>
      </c>
      <c r="G8" t="b">
        <v>0</v>
      </c>
      <c r="H8">
        <v>75</v>
      </c>
    </row>
    <row r="9" spans="1:8" x14ac:dyDescent="0.25">
      <c r="A9" t="s">
        <v>1009</v>
      </c>
      <c r="B9">
        <v>15000</v>
      </c>
      <c r="C9">
        <v>50</v>
      </c>
      <c r="D9">
        <v>3</v>
      </c>
      <c r="E9">
        <v>7500</v>
      </c>
      <c r="F9">
        <v>250</v>
      </c>
      <c r="G9" t="b">
        <v>0</v>
      </c>
      <c r="H9">
        <v>250</v>
      </c>
    </row>
    <row r="10" spans="1:8" x14ac:dyDescent="0.25">
      <c r="A10" t="s">
        <v>1010</v>
      </c>
      <c r="B10">
        <v>7000</v>
      </c>
      <c r="C10">
        <v>0</v>
      </c>
      <c r="D10">
        <v>4</v>
      </c>
      <c r="E10">
        <v>7000</v>
      </c>
      <c r="F10">
        <v>400</v>
      </c>
      <c r="G10" t="b">
        <v>0</v>
      </c>
      <c r="H10">
        <v>400</v>
      </c>
    </row>
    <row r="11" spans="1:8" x14ac:dyDescent="0.25">
      <c r="A11" t="s">
        <v>1011</v>
      </c>
      <c r="B11">
        <v>4500</v>
      </c>
      <c r="C11">
        <v>51</v>
      </c>
      <c r="D11">
        <v>5</v>
      </c>
      <c r="E11">
        <v>2200</v>
      </c>
      <c r="F11">
        <v>60</v>
      </c>
      <c r="G11" t="b">
        <v>0</v>
      </c>
      <c r="H11">
        <v>75</v>
      </c>
    </row>
    <row r="12" spans="1:8" x14ac:dyDescent="0.25">
      <c r="A12" t="s">
        <v>1007</v>
      </c>
      <c r="B12">
        <v>2000</v>
      </c>
      <c r="C12">
        <v>0</v>
      </c>
      <c r="D12">
        <v>6</v>
      </c>
      <c r="E12">
        <v>2000</v>
      </c>
      <c r="F12">
        <v>100</v>
      </c>
      <c r="G12" t="b">
        <v>0</v>
      </c>
      <c r="H12">
        <v>100</v>
      </c>
    </row>
    <row r="13" spans="1:8" x14ac:dyDescent="0.25">
      <c r="A13" t="s">
        <v>1012</v>
      </c>
      <c r="B13">
        <v>2000</v>
      </c>
      <c r="C13">
        <v>0</v>
      </c>
      <c r="D13">
        <v>3</v>
      </c>
      <c r="E13">
        <v>2000</v>
      </c>
      <c r="F13">
        <v>200</v>
      </c>
      <c r="G13" t="b">
        <v>0</v>
      </c>
      <c r="H13">
        <v>200</v>
      </c>
    </row>
    <row r="14" spans="1:8" x14ac:dyDescent="0.25">
      <c r="A14" t="s">
        <v>1013</v>
      </c>
      <c r="B14">
        <v>6500</v>
      </c>
      <c r="C14">
        <v>0</v>
      </c>
      <c r="D14">
        <v>6</v>
      </c>
      <c r="E14">
        <v>6500</v>
      </c>
      <c r="F14">
        <v>400</v>
      </c>
      <c r="G14" t="b">
        <v>0</v>
      </c>
      <c r="H14">
        <v>400</v>
      </c>
    </row>
    <row r="15" spans="1:8" x14ac:dyDescent="0.25">
      <c r="A15" t="s">
        <v>1014</v>
      </c>
      <c r="B15">
        <v>4500</v>
      </c>
      <c r="C15">
        <v>51</v>
      </c>
      <c r="D15">
        <v>2</v>
      </c>
      <c r="E15">
        <v>2200</v>
      </c>
      <c r="F15">
        <v>60</v>
      </c>
      <c r="G15" t="b">
        <v>0</v>
      </c>
      <c r="H15">
        <v>75</v>
      </c>
    </row>
    <row r="16" spans="1:8" x14ac:dyDescent="0.25">
      <c r="A16" t="s">
        <v>1015</v>
      </c>
      <c r="B16">
        <v>3500</v>
      </c>
      <c r="C16">
        <v>0</v>
      </c>
      <c r="D16">
        <v>3</v>
      </c>
      <c r="E16">
        <v>3500</v>
      </c>
      <c r="F16">
        <v>182</v>
      </c>
      <c r="G16" t="b">
        <v>0</v>
      </c>
      <c r="H16">
        <v>182</v>
      </c>
    </row>
    <row r="17" spans="1:8" x14ac:dyDescent="0.25">
      <c r="A17" t="s">
        <v>1016</v>
      </c>
      <c r="B17">
        <v>8000</v>
      </c>
      <c r="C17">
        <v>10</v>
      </c>
      <c r="D17">
        <v>3</v>
      </c>
      <c r="E17">
        <v>7200</v>
      </c>
      <c r="F17">
        <v>168</v>
      </c>
      <c r="G17" t="b">
        <v>0</v>
      </c>
      <c r="H17">
        <v>168</v>
      </c>
    </row>
    <row r="18" spans="1:8" x14ac:dyDescent="0.25">
      <c r="A18" t="s">
        <v>1017</v>
      </c>
      <c r="B18">
        <v>1500</v>
      </c>
      <c r="C18">
        <v>0</v>
      </c>
      <c r="D18">
        <v>2</v>
      </c>
      <c r="E18">
        <v>1500</v>
      </c>
      <c r="F18">
        <v>45</v>
      </c>
      <c r="G18" t="b">
        <v>0</v>
      </c>
      <c r="H18">
        <v>45</v>
      </c>
    </row>
    <row r="19" spans="1:8" x14ac:dyDescent="0.25">
      <c r="A19" t="s">
        <v>1018</v>
      </c>
      <c r="B19">
        <v>15000</v>
      </c>
      <c r="C19">
        <v>15</v>
      </c>
      <c r="D19">
        <v>3</v>
      </c>
      <c r="E19">
        <v>12700</v>
      </c>
      <c r="F19">
        <v>300</v>
      </c>
      <c r="G19" t="b">
        <v>0</v>
      </c>
      <c r="H19">
        <v>300</v>
      </c>
    </row>
    <row r="20" spans="1:8" x14ac:dyDescent="0.25">
      <c r="A20" t="s">
        <v>1019</v>
      </c>
      <c r="B20">
        <v>7500</v>
      </c>
      <c r="C20">
        <v>10</v>
      </c>
      <c r="D20">
        <v>6</v>
      </c>
      <c r="E20">
        <v>6750</v>
      </c>
      <c r="F20">
        <v>300</v>
      </c>
      <c r="G20" t="b">
        <v>0</v>
      </c>
      <c r="H20">
        <v>300</v>
      </c>
    </row>
    <row r="21" spans="1:8" x14ac:dyDescent="0.25">
      <c r="A21" t="s">
        <v>1020</v>
      </c>
      <c r="B21">
        <v>2500</v>
      </c>
      <c r="C21">
        <v>0</v>
      </c>
      <c r="D21">
        <v>4</v>
      </c>
      <c r="E21">
        <v>2500</v>
      </c>
      <c r="F21">
        <v>200</v>
      </c>
      <c r="G21" t="b">
        <v>0</v>
      </c>
      <c r="H21">
        <v>200</v>
      </c>
    </row>
    <row r="22" spans="1:8" x14ac:dyDescent="0.25">
      <c r="A22" t="s">
        <v>1021</v>
      </c>
      <c r="B22">
        <v>5000</v>
      </c>
      <c r="C22">
        <v>15</v>
      </c>
      <c r="D22">
        <v>6</v>
      </c>
      <c r="E22">
        <v>4250</v>
      </c>
      <c r="F22">
        <v>120</v>
      </c>
      <c r="G22" t="b">
        <v>0</v>
      </c>
      <c r="H22">
        <v>120</v>
      </c>
    </row>
    <row r="23" spans="1:8" x14ac:dyDescent="0.25">
      <c r="A23" t="s">
        <v>1022</v>
      </c>
      <c r="B23">
        <v>2300</v>
      </c>
      <c r="C23">
        <v>13</v>
      </c>
      <c r="D23">
        <v>1</v>
      </c>
      <c r="E23">
        <v>2000</v>
      </c>
      <c r="F23">
        <v>200</v>
      </c>
      <c r="G23" t="b">
        <v>0</v>
      </c>
      <c r="H23">
        <v>200</v>
      </c>
    </row>
    <row r="24" spans="1:8" x14ac:dyDescent="0.25">
      <c r="A24" t="s">
        <v>1023</v>
      </c>
      <c r="B24">
        <v>8000</v>
      </c>
      <c r="C24">
        <v>10</v>
      </c>
      <c r="D24">
        <v>2</v>
      </c>
      <c r="E24">
        <v>7200</v>
      </c>
      <c r="F24">
        <v>500</v>
      </c>
      <c r="G24" t="b">
        <v>0</v>
      </c>
      <c r="H24">
        <v>500</v>
      </c>
    </row>
    <row r="25" spans="1:8" x14ac:dyDescent="0.25">
      <c r="A25" t="s">
        <v>1024</v>
      </c>
      <c r="B25">
        <v>6500</v>
      </c>
      <c r="C25">
        <v>6</v>
      </c>
      <c r="D25">
        <v>5</v>
      </c>
      <c r="E25">
        <v>6100</v>
      </c>
      <c r="F25">
        <v>200</v>
      </c>
      <c r="G25" t="b">
        <v>0</v>
      </c>
      <c r="H25">
        <v>200</v>
      </c>
    </row>
    <row r="26" spans="1:8" x14ac:dyDescent="0.25">
      <c r="A26" t="s">
        <v>1025</v>
      </c>
      <c r="B26">
        <v>2500</v>
      </c>
      <c r="C26">
        <v>10</v>
      </c>
      <c r="D26">
        <v>6</v>
      </c>
      <c r="E26">
        <v>2250</v>
      </c>
      <c r="F26">
        <v>75</v>
      </c>
      <c r="G26" t="b">
        <v>0</v>
      </c>
      <c r="H26">
        <v>75</v>
      </c>
    </row>
    <row r="27" spans="1:8" x14ac:dyDescent="0.25">
      <c r="A27" t="s">
        <v>1026</v>
      </c>
      <c r="B27">
        <v>8000</v>
      </c>
      <c r="C27">
        <v>27</v>
      </c>
      <c r="D27">
        <v>4</v>
      </c>
      <c r="E27">
        <v>5800</v>
      </c>
      <c r="F27">
        <v>300</v>
      </c>
      <c r="G27" t="b">
        <v>0</v>
      </c>
      <c r="H27">
        <v>300</v>
      </c>
    </row>
    <row r="28" spans="1:8" x14ac:dyDescent="0.25">
      <c r="A28" t="s">
        <v>1027</v>
      </c>
      <c r="B28">
        <v>2500</v>
      </c>
      <c r="C28">
        <v>0</v>
      </c>
      <c r="D28">
        <v>6</v>
      </c>
      <c r="E28">
        <v>2500</v>
      </c>
      <c r="F28">
        <v>56</v>
      </c>
      <c r="G28" t="b">
        <v>0</v>
      </c>
      <c r="H28">
        <v>56</v>
      </c>
    </row>
    <row r="29" spans="1:8" x14ac:dyDescent="0.25">
      <c r="A29" t="s">
        <v>1028</v>
      </c>
      <c r="B29">
        <v>3000</v>
      </c>
      <c r="C29">
        <v>10</v>
      </c>
      <c r="D29">
        <v>3</v>
      </c>
      <c r="E29">
        <v>2700</v>
      </c>
      <c r="F29">
        <v>200</v>
      </c>
      <c r="G29" t="b">
        <v>0</v>
      </c>
      <c r="H29">
        <v>200</v>
      </c>
    </row>
    <row r="30" spans="1:8" x14ac:dyDescent="0.25">
      <c r="A30" t="s">
        <v>1029</v>
      </c>
      <c r="B30">
        <v>5000</v>
      </c>
      <c r="C30">
        <v>16</v>
      </c>
      <c r="D30">
        <v>3</v>
      </c>
      <c r="E30">
        <v>4200</v>
      </c>
      <c r="F30">
        <v>75</v>
      </c>
      <c r="G30" t="b">
        <v>0</v>
      </c>
      <c r="H30">
        <v>75</v>
      </c>
    </row>
    <row r="31" spans="1:8" x14ac:dyDescent="0.25">
      <c r="A31" t="s">
        <v>1030</v>
      </c>
      <c r="B31">
        <v>3000</v>
      </c>
      <c r="C31">
        <v>3</v>
      </c>
      <c r="D31">
        <v>1</v>
      </c>
      <c r="E31">
        <v>2900</v>
      </c>
      <c r="F31">
        <v>100</v>
      </c>
      <c r="G31" t="b">
        <v>0</v>
      </c>
      <c r="H31">
        <v>100</v>
      </c>
    </row>
    <row r="32" spans="1:8" x14ac:dyDescent="0.25">
      <c r="A32" t="s">
        <v>1031</v>
      </c>
      <c r="B32">
        <v>2500</v>
      </c>
      <c r="C32">
        <v>8</v>
      </c>
      <c r="D32">
        <v>3</v>
      </c>
      <c r="E32">
        <v>2300</v>
      </c>
      <c r="F32">
        <v>67</v>
      </c>
      <c r="G32" t="b">
        <v>0</v>
      </c>
      <c r="H32">
        <v>67</v>
      </c>
    </row>
    <row r="33" spans="1:8" x14ac:dyDescent="0.25">
      <c r="A33" t="s">
        <v>1032</v>
      </c>
      <c r="B33">
        <v>14000</v>
      </c>
      <c r="C33">
        <v>25</v>
      </c>
      <c r="D33">
        <v>5</v>
      </c>
      <c r="E33">
        <v>10500</v>
      </c>
      <c r="F33">
        <v>253</v>
      </c>
      <c r="G33" t="b">
        <v>0</v>
      </c>
      <c r="H33">
        <v>276</v>
      </c>
    </row>
    <row r="34" spans="1:8" x14ac:dyDescent="0.25">
      <c r="A34" t="s">
        <v>1015</v>
      </c>
      <c r="B34">
        <v>11000</v>
      </c>
      <c r="C34">
        <v>14</v>
      </c>
      <c r="D34">
        <v>1</v>
      </c>
      <c r="E34">
        <v>9400</v>
      </c>
      <c r="F34">
        <v>700</v>
      </c>
      <c r="G34" t="b">
        <v>0</v>
      </c>
      <c r="H34">
        <v>700</v>
      </c>
    </row>
    <row r="35" spans="1:8" x14ac:dyDescent="0.25">
      <c r="A35" t="s">
        <v>1033</v>
      </c>
      <c r="B35">
        <v>3000</v>
      </c>
      <c r="C35">
        <v>0</v>
      </c>
      <c r="D35">
        <v>6</v>
      </c>
      <c r="E35">
        <v>3000</v>
      </c>
      <c r="F35">
        <v>250</v>
      </c>
      <c r="G35" t="b">
        <v>0</v>
      </c>
      <c r="H35">
        <v>250</v>
      </c>
    </row>
    <row r="36" spans="1:8" x14ac:dyDescent="0.25">
      <c r="A36" t="s">
        <v>1034</v>
      </c>
      <c r="B36">
        <v>2000</v>
      </c>
      <c r="C36">
        <v>10</v>
      </c>
      <c r="D36">
        <v>2</v>
      </c>
      <c r="E36">
        <v>1800</v>
      </c>
      <c r="F36">
        <v>47</v>
      </c>
      <c r="G36" t="b">
        <v>0</v>
      </c>
      <c r="H36">
        <v>47</v>
      </c>
    </row>
    <row r="37" spans="1:8" x14ac:dyDescent="0.25">
      <c r="A37" t="s">
        <v>1035</v>
      </c>
      <c r="B37">
        <v>2500</v>
      </c>
      <c r="C37">
        <v>8</v>
      </c>
      <c r="D37">
        <v>6</v>
      </c>
      <c r="E37">
        <v>2300</v>
      </c>
      <c r="F37">
        <v>75</v>
      </c>
      <c r="G37" t="b">
        <v>0</v>
      </c>
      <c r="H37">
        <v>75</v>
      </c>
    </row>
    <row r="38" spans="1:8" x14ac:dyDescent="0.25">
      <c r="A38" t="s">
        <v>1036</v>
      </c>
      <c r="B38">
        <v>3000</v>
      </c>
      <c r="C38">
        <v>3</v>
      </c>
      <c r="D38">
        <v>6</v>
      </c>
      <c r="E38">
        <v>2900</v>
      </c>
      <c r="F38">
        <v>100</v>
      </c>
      <c r="G38" t="b">
        <v>0</v>
      </c>
      <c r="H38">
        <v>100</v>
      </c>
    </row>
    <row r="39" spans="1:8" x14ac:dyDescent="0.25">
      <c r="A39" t="s">
        <v>1037</v>
      </c>
      <c r="B39">
        <v>9500</v>
      </c>
      <c r="C39">
        <v>6</v>
      </c>
      <c r="D39">
        <v>3</v>
      </c>
      <c r="E39">
        <v>8900</v>
      </c>
      <c r="F39">
        <v>100</v>
      </c>
      <c r="G39" t="b">
        <v>0</v>
      </c>
      <c r="H39">
        <v>100</v>
      </c>
    </row>
    <row r="40" spans="1:8" x14ac:dyDescent="0.25">
      <c r="A40" t="s">
        <v>1038</v>
      </c>
      <c r="B40">
        <v>3500</v>
      </c>
      <c r="C40">
        <v>17</v>
      </c>
      <c r="D40">
        <v>4</v>
      </c>
      <c r="E40">
        <v>2900</v>
      </c>
      <c r="F40">
        <v>100</v>
      </c>
      <c r="G40" t="b">
        <v>0</v>
      </c>
      <c r="H40">
        <v>100</v>
      </c>
    </row>
    <row r="41" spans="1:8" x14ac:dyDescent="0.25">
      <c r="A41" t="s">
        <v>1039</v>
      </c>
      <c r="B41">
        <v>10500</v>
      </c>
      <c r="C41">
        <v>22</v>
      </c>
      <c r="D41">
        <v>4</v>
      </c>
      <c r="E41">
        <v>8100</v>
      </c>
      <c r="F41">
        <v>75</v>
      </c>
      <c r="G41" t="b">
        <v>0</v>
      </c>
      <c r="H41">
        <v>75</v>
      </c>
    </row>
    <row r="42" spans="1:8" x14ac:dyDescent="0.25">
      <c r="A42" t="s">
        <v>1040</v>
      </c>
      <c r="B42">
        <v>7000</v>
      </c>
      <c r="C42">
        <v>10</v>
      </c>
      <c r="D42">
        <v>1</v>
      </c>
      <c r="E42">
        <v>6300</v>
      </c>
      <c r="F42">
        <v>150</v>
      </c>
      <c r="G42" t="b">
        <v>0</v>
      </c>
      <c r="H42">
        <v>150</v>
      </c>
    </row>
    <row r="43" spans="1:8" x14ac:dyDescent="0.25">
      <c r="A43" t="s">
        <v>1041</v>
      </c>
      <c r="B43">
        <v>6000</v>
      </c>
      <c r="C43">
        <v>10</v>
      </c>
      <c r="D43">
        <v>3</v>
      </c>
      <c r="E43">
        <v>5400</v>
      </c>
      <c r="F43">
        <v>150</v>
      </c>
      <c r="G43" t="b">
        <v>0</v>
      </c>
      <c r="H43">
        <v>150</v>
      </c>
    </row>
    <row r="44" spans="1:8" x14ac:dyDescent="0.25">
      <c r="A44" t="s">
        <v>1042</v>
      </c>
      <c r="B44">
        <v>5000</v>
      </c>
      <c r="C44">
        <v>16</v>
      </c>
      <c r="D44">
        <v>6</v>
      </c>
      <c r="E44">
        <v>4200</v>
      </c>
      <c r="F44">
        <v>75</v>
      </c>
      <c r="G44" t="b">
        <v>0</v>
      </c>
      <c r="H44">
        <v>75</v>
      </c>
    </row>
    <row r="45" spans="1:8" x14ac:dyDescent="0.25">
      <c r="A45" t="s">
        <v>1043</v>
      </c>
      <c r="B45">
        <v>12000</v>
      </c>
      <c r="C45">
        <v>12</v>
      </c>
      <c r="D45">
        <v>6</v>
      </c>
      <c r="E45">
        <v>10560</v>
      </c>
      <c r="F45">
        <v>600</v>
      </c>
      <c r="G45" t="b">
        <v>0</v>
      </c>
      <c r="H45">
        <v>600</v>
      </c>
    </row>
    <row r="46" spans="1:8" x14ac:dyDescent="0.25">
      <c r="A46" t="s">
        <v>1044</v>
      </c>
      <c r="B46">
        <v>5500</v>
      </c>
      <c r="C46">
        <v>25</v>
      </c>
      <c r="D46">
        <v>3</v>
      </c>
      <c r="E46">
        <v>4100</v>
      </c>
      <c r="F46">
        <v>150</v>
      </c>
      <c r="G46" t="b">
        <v>0</v>
      </c>
      <c r="H46">
        <v>150</v>
      </c>
    </row>
    <row r="47" spans="1:8" x14ac:dyDescent="0.25">
      <c r="A47" t="s">
        <v>1034</v>
      </c>
      <c r="B47">
        <v>2000</v>
      </c>
      <c r="C47">
        <v>0</v>
      </c>
      <c r="D47">
        <v>6</v>
      </c>
      <c r="E47">
        <v>2000</v>
      </c>
      <c r="F47">
        <v>47</v>
      </c>
      <c r="G47" t="b">
        <v>0</v>
      </c>
      <c r="H47">
        <v>47</v>
      </c>
    </row>
    <row r="48" spans="1:8" x14ac:dyDescent="0.25">
      <c r="A48" t="s">
        <v>1045</v>
      </c>
      <c r="B48">
        <v>5000</v>
      </c>
      <c r="C48">
        <v>2</v>
      </c>
      <c r="D48">
        <v>4</v>
      </c>
      <c r="E48">
        <v>4900</v>
      </c>
      <c r="F48">
        <v>120</v>
      </c>
      <c r="G48" t="b">
        <v>0</v>
      </c>
      <c r="H48">
        <v>120</v>
      </c>
    </row>
    <row r="49" spans="1:8" x14ac:dyDescent="0.25">
      <c r="A49" t="s">
        <v>1046</v>
      </c>
      <c r="B49">
        <v>4500</v>
      </c>
      <c r="C49">
        <v>11</v>
      </c>
      <c r="D49">
        <v>6</v>
      </c>
      <c r="E49">
        <v>4000</v>
      </c>
      <c r="F49">
        <v>60</v>
      </c>
      <c r="G49" t="b">
        <v>0</v>
      </c>
      <c r="H49">
        <v>1</v>
      </c>
    </row>
    <row r="50" spans="1:8" x14ac:dyDescent="0.25">
      <c r="A50" t="s">
        <v>1047</v>
      </c>
      <c r="B50">
        <v>4800</v>
      </c>
      <c r="C50">
        <v>2</v>
      </c>
      <c r="D50">
        <v>6</v>
      </c>
      <c r="E50">
        <v>4700</v>
      </c>
      <c r="F50">
        <v>300</v>
      </c>
      <c r="G50" t="b">
        <v>0</v>
      </c>
      <c r="H50">
        <v>300</v>
      </c>
    </row>
    <row r="51" spans="1:8" x14ac:dyDescent="0.25">
      <c r="A51" t="s">
        <v>1016</v>
      </c>
      <c r="B51">
        <v>14000</v>
      </c>
      <c r="C51">
        <v>6</v>
      </c>
      <c r="D51">
        <v>2</v>
      </c>
      <c r="E51">
        <v>13100</v>
      </c>
      <c r="F51">
        <v>336</v>
      </c>
      <c r="G51" t="b">
        <v>0</v>
      </c>
      <c r="H51">
        <v>336</v>
      </c>
    </row>
    <row r="52" spans="1:8" x14ac:dyDescent="0.25">
      <c r="A52" t="s">
        <v>1048</v>
      </c>
      <c r="B52">
        <v>12000</v>
      </c>
      <c r="C52">
        <v>15</v>
      </c>
      <c r="D52">
        <v>6</v>
      </c>
      <c r="E52">
        <v>10200</v>
      </c>
      <c r="F52">
        <v>600</v>
      </c>
      <c r="G52" t="b">
        <v>0</v>
      </c>
      <c r="H52">
        <v>600</v>
      </c>
    </row>
    <row r="53" spans="1:8" x14ac:dyDescent="0.25">
      <c r="A53" t="s">
        <v>1049</v>
      </c>
      <c r="B53">
        <v>2500</v>
      </c>
      <c r="C53">
        <v>8</v>
      </c>
      <c r="D53">
        <v>6</v>
      </c>
      <c r="E53">
        <v>2300</v>
      </c>
      <c r="F53">
        <v>75</v>
      </c>
      <c r="G53" t="b">
        <v>0</v>
      </c>
      <c r="H53">
        <v>75</v>
      </c>
    </row>
    <row r="54" spans="1:8" x14ac:dyDescent="0.25">
      <c r="A54" t="s">
        <v>1050</v>
      </c>
      <c r="B54">
        <v>6000</v>
      </c>
      <c r="C54">
        <v>10</v>
      </c>
      <c r="D54">
        <v>4</v>
      </c>
      <c r="E54">
        <v>5400</v>
      </c>
      <c r="F54">
        <v>200</v>
      </c>
      <c r="G54" t="b">
        <v>0</v>
      </c>
      <c r="H54">
        <v>200</v>
      </c>
    </row>
    <row r="55" spans="1:8" x14ac:dyDescent="0.25">
      <c r="A55" t="s">
        <v>1051</v>
      </c>
      <c r="B55">
        <v>4000</v>
      </c>
      <c r="C55">
        <v>17</v>
      </c>
      <c r="D55">
        <v>6</v>
      </c>
      <c r="E55">
        <v>3300</v>
      </c>
      <c r="F55">
        <v>30</v>
      </c>
      <c r="G55" t="b">
        <v>0</v>
      </c>
      <c r="H55">
        <v>30</v>
      </c>
    </row>
    <row r="56" spans="1:8" x14ac:dyDescent="0.25">
      <c r="A56" t="s">
        <v>1052</v>
      </c>
      <c r="B56">
        <v>6500</v>
      </c>
      <c r="C56">
        <v>6</v>
      </c>
      <c r="D56">
        <v>2</v>
      </c>
      <c r="E56">
        <v>6100</v>
      </c>
      <c r="F56">
        <v>200</v>
      </c>
      <c r="G56" t="b">
        <v>0</v>
      </c>
      <c r="H56">
        <v>200</v>
      </c>
    </row>
    <row r="57" spans="1:8" x14ac:dyDescent="0.25">
      <c r="A57" t="s">
        <v>1053</v>
      </c>
      <c r="B57">
        <v>10000</v>
      </c>
      <c r="C57">
        <v>0</v>
      </c>
      <c r="D57">
        <v>6</v>
      </c>
      <c r="E57">
        <v>10000</v>
      </c>
      <c r="F57">
        <v>500</v>
      </c>
      <c r="G57" t="b">
        <v>0</v>
      </c>
      <c r="H57">
        <v>500</v>
      </c>
    </row>
    <row r="58" spans="1:8" x14ac:dyDescent="0.25">
      <c r="A58" t="s">
        <v>1054</v>
      </c>
      <c r="B58">
        <v>3500</v>
      </c>
      <c r="C58">
        <v>22</v>
      </c>
      <c r="D58">
        <v>3</v>
      </c>
      <c r="E58">
        <v>2700</v>
      </c>
      <c r="F58">
        <v>25</v>
      </c>
      <c r="G58" t="b">
        <v>0</v>
      </c>
      <c r="H58">
        <v>25</v>
      </c>
    </row>
    <row r="59" spans="1:8" x14ac:dyDescent="0.25">
      <c r="A59" t="s">
        <v>1016</v>
      </c>
      <c r="B59">
        <v>15000</v>
      </c>
      <c r="C59">
        <v>20</v>
      </c>
      <c r="D59">
        <v>6</v>
      </c>
      <c r="E59">
        <v>12000</v>
      </c>
      <c r="F59">
        <v>696</v>
      </c>
      <c r="G59" t="b">
        <v>0</v>
      </c>
      <c r="H59">
        <v>12</v>
      </c>
    </row>
    <row r="60" spans="1:8" x14ac:dyDescent="0.25">
      <c r="A60" t="s">
        <v>1055</v>
      </c>
      <c r="B60">
        <v>3000</v>
      </c>
      <c r="C60">
        <v>10</v>
      </c>
      <c r="D60">
        <v>6</v>
      </c>
      <c r="E60">
        <v>2700</v>
      </c>
      <c r="F60">
        <v>200</v>
      </c>
      <c r="G60" t="b">
        <v>0</v>
      </c>
      <c r="H60">
        <v>200</v>
      </c>
    </row>
    <row r="61" spans="1:8" x14ac:dyDescent="0.25">
      <c r="A61" t="s">
        <v>1045</v>
      </c>
      <c r="B61">
        <v>3000</v>
      </c>
      <c r="C61">
        <v>0</v>
      </c>
      <c r="D61">
        <v>1</v>
      </c>
      <c r="E61">
        <v>3000</v>
      </c>
      <c r="F61">
        <v>75</v>
      </c>
      <c r="G61" t="b">
        <v>0</v>
      </c>
      <c r="H61">
        <v>75</v>
      </c>
    </row>
    <row r="62" spans="1:8" x14ac:dyDescent="0.25">
      <c r="A62" t="s">
        <v>1056</v>
      </c>
      <c r="B62">
        <v>8000</v>
      </c>
      <c r="C62">
        <v>15</v>
      </c>
      <c r="D62">
        <v>6</v>
      </c>
      <c r="E62">
        <v>6800</v>
      </c>
      <c r="F62">
        <v>300</v>
      </c>
      <c r="G62" t="b">
        <v>0</v>
      </c>
      <c r="H62">
        <v>300</v>
      </c>
    </row>
    <row r="63" spans="1:8" x14ac:dyDescent="0.25">
      <c r="A63" t="s">
        <v>1057</v>
      </c>
      <c r="B63">
        <v>3000</v>
      </c>
      <c r="C63">
        <v>0</v>
      </c>
      <c r="D63">
        <v>3</v>
      </c>
      <c r="E63">
        <v>3000</v>
      </c>
      <c r="F63">
        <v>120</v>
      </c>
      <c r="G63" t="b">
        <v>0</v>
      </c>
      <c r="H63">
        <v>120</v>
      </c>
    </row>
    <row r="64" spans="1:8" x14ac:dyDescent="0.25">
      <c r="A64" t="s">
        <v>1058</v>
      </c>
      <c r="B64">
        <v>3500</v>
      </c>
      <c r="C64">
        <v>2</v>
      </c>
      <c r="D64">
        <v>3</v>
      </c>
      <c r="E64">
        <v>3400</v>
      </c>
      <c r="F64">
        <v>75</v>
      </c>
      <c r="G64" t="b">
        <v>0</v>
      </c>
      <c r="H64">
        <v>75</v>
      </c>
    </row>
    <row r="65" spans="1:8" x14ac:dyDescent="0.25">
      <c r="A65" t="s">
        <v>1059</v>
      </c>
      <c r="B65">
        <v>21000</v>
      </c>
      <c r="C65">
        <v>5</v>
      </c>
      <c r="D65">
        <v>4</v>
      </c>
      <c r="E65">
        <v>19900</v>
      </c>
      <c r="F65">
        <v>400</v>
      </c>
      <c r="G65" t="b">
        <v>0</v>
      </c>
      <c r="H65">
        <v>400</v>
      </c>
    </row>
    <row r="66" spans="1:8" x14ac:dyDescent="0.25">
      <c r="A66" t="s">
        <v>1060</v>
      </c>
      <c r="B66">
        <v>12000</v>
      </c>
      <c r="C66">
        <v>20</v>
      </c>
      <c r="D66">
        <v>4</v>
      </c>
      <c r="E66">
        <v>9600</v>
      </c>
      <c r="F66">
        <v>300</v>
      </c>
      <c r="G66" t="b">
        <v>0</v>
      </c>
      <c r="H66">
        <v>300</v>
      </c>
    </row>
    <row r="67" spans="1:8" x14ac:dyDescent="0.25">
      <c r="A67" t="s">
        <v>1061</v>
      </c>
      <c r="B67">
        <v>4500</v>
      </c>
      <c r="C67">
        <v>11</v>
      </c>
      <c r="D67">
        <v>6</v>
      </c>
      <c r="E67">
        <v>4000</v>
      </c>
      <c r="F67">
        <v>60</v>
      </c>
      <c r="G67" t="b">
        <v>0</v>
      </c>
      <c r="H67">
        <v>1</v>
      </c>
    </row>
    <row r="68" spans="1:8" x14ac:dyDescent="0.25">
      <c r="A68" t="s">
        <v>1062</v>
      </c>
      <c r="B68">
        <v>3000</v>
      </c>
      <c r="C68">
        <v>6</v>
      </c>
      <c r="D68">
        <v>6</v>
      </c>
      <c r="E68">
        <v>2800</v>
      </c>
      <c r="F68">
        <v>75</v>
      </c>
      <c r="G68" t="b">
        <v>0</v>
      </c>
      <c r="H68">
        <v>75</v>
      </c>
    </row>
    <row r="69" spans="1:8" x14ac:dyDescent="0.25">
      <c r="A69" t="s">
        <v>1063</v>
      </c>
      <c r="B69">
        <v>6000</v>
      </c>
      <c r="C69">
        <v>0</v>
      </c>
      <c r="D69">
        <v>6</v>
      </c>
      <c r="E69">
        <v>6000</v>
      </c>
      <c r="F69">
        <v>150</v>
      </c>
      <c r="G69" t="b">
        <v>0</v>
      </c>
      <c r="H69">
        <v>150</v>
      </c>
    </row>
    <row r="70" spans="1:8" x14ac:dyDescent="0.25">
      <c r="A70" t="s">
        <v>1064</v>
      </c>
      <c r="B70">
        <v>6000</v>
      </c>
      <c r="C70">
        <v>6</v>
      </c>
      <c r="D70">
        <v>2</v>
      </c>
      <c r="E70">
        <v>5600</v>
      </c>
      <c r="F70">
        <v>200</v>
      </c>
      <c r="G70" t="b">
        <v>0</v>
      </c>
      <c r="H70">
        <v>200</v>
      </c>
    </row>
    <row r="71" spans="1:8" x14ac:dyDescent="0.25">
      <c r="A71" t="s">
        <v>1065</v>
      </c>
      <c r="B71">
        <v>4500</v>
      </c>
      <c r="C71">
        <v>15</v>
      </c>
      <c r="D71">
        <v>5</v>
      </c>
      <c r="E71">
        <v>3800</v>
      </c>
      <c r="F71">
        <v>75</v>
      </c>
      <c r="G71" t="b">
        <v>0</v>
      </c>
      <c r="H71">
        <v>75</v>
      </c>
    </row>
    <row r="72" spans="1:8" x14ac:dyDescent="0.25">
      <c r="A72" t="s">
        <v>1066</v>
      </c>
      <c r="B72">
        <v>4500</v>
      </c>
      <c r="C72">
        <v>11</v>
      </c>
      <c r="D72">
        <v>6</v>
      </c>
      <c r="E72">
        <v>4000</v>
      </c>
      <c r="F72">
        <v>60</v>
      </c>
      <c r="G72" t="b">
        <v>0</v>
      </c>
      <c r="H72">
        <v>60</v>
      </c>
    </row>
    <row r="73" spans="1:8" x14ac:dyDescent="0.25">
      <c r="A73" t="s">
        <v>1067</v>
      </c>
      <c r="B73">
        <v>6000</v>
      </c>
      <c r="C73">
        <v>10</v>
      </c>
      <c r="D73">
        <v>6</v>
      </c>
      <c r="E73">
        <v>5400</v>
      </c>
      <c r="F73">
        <v>180</v>
      </c>
      <c r="G73" t="b">
        <v>0</v>
      </c>
      <c r="H73">
        <v>190</v>
      </c>
    </row>
    <row r="74" spans="1:8" x14ac:dyDescent="0.25">
      <c r="A74" t="s">
        <v>1068</v>
      </c>
      <c r="B74">
        <v>5000</v>
      </c>
      <c r="C74">
        <v>6</v>
      </c>
      <c r="D74">
        <v>6</v>
      </c>
      <c r="E74">
        <v>4700</v>
      </c>
      <c r="F74">
        <v>150</v>
      </c>
      <c r="G74" t="b">
        <v>0</v>
      </c>
      <c r="H74">
        <v>150</v>
      </c>
    </row>
    <row r="75" spans="1:8" x14ac:dyDescent="0.25">
      <c r="A75" t="s">
        <v>1069</v>
      </c>
      <c r="B75">
        <v>15000</v>
      </c>
      <c r="C75">
        <v>25</v>
      </c>
      <c r="D75">
        <v>2</v>
      </c>
      <c r="E75">
        <v>11200</v>
      </c>
      <c r="F75">
        <v>336</v>
      </c>
      <c r="G75" t="b">
        <v>0</v>
      </c>
      <c r="H75">
        <v>336</v>
      </c>
    </row>
    <row r="76" spans="1:8" x14ac:dyDescent="0.25">
      <c r="A76" t="s">
        <v>1070</v>
      </c>
      <c r="B76">
        <v>12000</v>
      </c>
      <c r="C76">
        <v>10</v>
      </c>
      <c r="D76">
        <v>6</v>
      </c>
      <c r="E76">
        <v>10800</v>
      </c>
      <c r="F76">
        <v>120</v>
      </c>
      <c r="G76" t="b">
        <v>0</v>
      </c>
      <c r="H76">
        <v>120</v>
      </c>
    </row>
    <row r="77" spans="1:8" x14ac:dyDescent="0.25">
      <c r="A77" t="s">
        <v>1071</v>
      </c>
      <c r="B77">
        <v>3000</v>
      </c>
      <c r="C77">
        <v>0</v>
      </c>
      <c r="D77">
        <v>3</v>
      </c>
      <c r="E77">
        <v>3000</v>
      </c>
      <c r="F77">
        <v>150</v>
      </c>
      <c r="G77" t="b">
        <v>0</v>
      </c>
      <c r="H77">
        <v>150</v>
      </c>
    </row>
    <row r="78" spans="1:8" x14ac:dyDescent="0.25">
      <c r="A78" t="s">
        <v>1072</v>
      </c>
      <c r="B78">
        <v>3500</v>
      </c>
      <c r="C78">
        <v>22</v>
      </c>
      <c r="D78">
        <v>1</v>
      </c>
      <c r="E78">
        <v>2700</v>
      </c>
      <c r="F78">
        <v>25</v>
      </c>
      <c r="G78" t="b">
        <v>0</v>
      </c>
      <c r="H78">
        <v>25</v>
      </c>
    </row>
    <row r="79" spans="1:8" x14ac:dyDescent="0.25">
      <c r="A79" t="s">
        <v>1073</v>
      </c>
      <c r="B79">
        <v>6000</v>
      </c>
      <c r="C79">
        <v>6</v>
      </c>
      <c r="D79">
        <v>1</v>
      </c>
      <c r="E79">
        <v>5600</v>
      </c>
      <c r="F79">
        <v>100</v>
      </c>
      <c r="G79" t="b">
        <v>0</v>
      </c>
      <c r="H79">
        <v>100</v>
      </c>
    </row>
    <row r="80" spans="1:8" x14ac:dyDescent="0.25">
      <c r="A80" t="s">
        <v>1074</v>
      </c>
      <c r="B80">
        <v>14900</v>
      </c>
      <c r="C80">
        <v>8</v>
      </c>
      <c r="D80">
        <v>6</v>
      </c>
      <c r="E80">
        <v>13700</v>
      </c>
      <c r="F80">
        <v>450</v>
      </c>
      <c r="G80" t="b">
        <v>0</v>
      </c>
      <c r="H80">
        <v>450</v>
      </c>
    </row>
    <row r="81" spans="1:8" x14ac:dyDescent="0.25">
      <c r="A81" t="s">
        <v>1075</v>
      </c>
      <c r="B81">
        <v>6000</v>
      </c>
      <c r="C81">
        <v>6</v>
      </c>
      <c r="D81">
        <v>4</v>
      </c>
      <c r="E81">
        <v>5600</v>
      </c>
      <c r="F81">
        <v>200</v>
      </c>
      <c r="G81" t="b">
        <v>0</v>
      </c>
      <c r="H81">
        <v>200</v>
      </c>
    </row>
    <row r="82" spans="1:8" x14ac:dyDescent="0.25">
      <c r="A82" t="s">
        <v>1076</v>
      </c>
      <c r="B82">
        <v>9000</v>
      </c>
      <c r="C82">
        <v>10</v>
      </c>
      <c r="D82">
        <v>6</v>
      </c>
      <c r="E82">
        <v>8100</v>
      </c>
      <c r="F82">
        <v>168</v>
      </c>
      <c r="G82" t="b">
        <v>0</v>
      </c>
      <c r="H82">
        <v>168</v>
      </c>
    </row>
    <row r="83" spans="1:8" x14ac:dyDescent="0.25">
      <c r="A83" t="s">
        <v>1077</v>
      </c>
      <c r="B83">
        <v>1500</v>
      </c>
      <c r="C83">
        <v>0</v>
      </c>
      <c r="D83">
        <v>5</v>
      </c>
      <c r="E83">
        <v>1500</v>
      </c>
      <c r="F83">
        <v>45</v>
      </c>
      <c r="G83" t="b">
        <v>0</v>
      </c>
      <c r="H83">
        <v>47</v>
      </c>
    </row>
    <row r="84" spans="1:8" x14ac:dyDescent="0.25">
      <c r="A84" t="s">
        <v>1078</v>
      </c>
      <c r="B84">
        <v>7500</v>
      </c>
      <c r="C84">
        <v>6</v>
      </c>
      <c r="D84">
        <v>6</v>
      </c>
      <c r="E84">
        <v>7000</v>
      </c>
      <c r="F84">
        <v>100</v>
      </c>
      <c r="G84" t="b">
        <v>0</v>
      </c>
      <c r="H84">
        <v>200</v>
      </c>
    </row>
    <row r="85" spans="1:8" x14ac:dyDescent="0.25">
      <c r="A85" t="s">
        <v>1079</v>
      </c>
      <c r="B85">
        <v>3000</v>
      </c>
      <c r="C85">
        <v>0</v>
      </c>
      <c r="D85">
        <v>6</v>
      </c>
      <c r="E85">
        <v>3000</v>
      </c>
      <c r="F85">
        <v>120</v>
      </c>
      <c r="G85" t="b">
        <v>0</v>
      </c>
      <c r="H85">
        <v>120</v>
      </c>
    </row>
    <row r="86" spans="1:8" x14ac:dyDescent="0.25">
      <c r="A86" t="s">
        <v>1080</v>
      </c>
      <c r="B86">
        <v>3000</v>
      </c>
      <c r="C86">
        <v>10</v>
      </c>
      <c r="D86">
        <v>6</v>
      </c>
      <c r="E86">
        <v>2700</v>
      </c>
      <c r="F86">
        <v>200</v>
      </c>
      <c r="G86" t="b">
        <v>0</v>
      </c>
      <c r="H86">
        <v>200</v>
      </c>
    </row>
    <row r="87" spans="1:8" x14ac:dyDescent="0.25">
      <c r="A87" t="s">
        <v>1081</v>
      </c>
      <c r="B87">
        <v>6000</v>
      </c>
      <c r="C87">
        <v>6</v>
      </c>
      <c r="D87">
        <v>4</v>
      </c>
      <c r="E87">
        <v>5600</v>
      </c>
      <c r="F87">
        <v>200</v>
      </c>
      <c r="G87" t="b">
        <v>0</v>
      </c>
      <c r="H87">
        <v>200</v>
      </c>
    </row>
    <row r="88" spans="1:8" x14ac:dyDescent="0.25">
      <c r="A88" t="s">
        <v>1082</v>
      </c>
      <c r="B88">
        <v>10500</v>
      </c>
      <c r="C88">
        <v>22</v>
      </c>
      <c r="D88">
        <v>6</v>
      </c>
      <c r="E88">
        <v>8100</v>
      </c>
      <c r="F88">
        <v>75</v>
      </c>
      <c r="G88" t="b">
        <v>0</v>
      </c>
      <c r="H88">
        <v>75</v>
      </c>
    </row>
    <row r="89" spans="1:8" x14ac:dyDescent="0.25">
      <c r="A89" t="s">
        <v>1083</v>
      </c>
      <c r="B89">
        <v>10500</v>
      </c>
      <c r="C89">
        <v>22</v>
      </c>
      <c r="D89">
        <v>6</v>
      </c>
      <c r="E89">
        <v>8100</v>
      </c>
      <c r="F89">
        <v>75</v>
      </c>
      <c r="G89" t="b">
        <v>0</v>
      </c>
      <c r="H89">
        <v>75</v>
      </c>
    </row>
    <row r="90" spans="1:8" x14ac:dyDescent="0.25">
      <c r="A90" t="s">
        <v>1084</v>
      </c>
      <c r="B90">
        <v>7500</v>
      </c>
      <c r="C90">
        <v>6</v>
      </c>
      <c r="D90">
        <v>3</v>
      </c>
      <c r="E90">
        <v>7000</v>
      </c>
      <c r="F90">
        <v>100</v>
      </c>
      <c r="G90" t="b">
        <v>0</v>
      </c>
      <c r="H90">
        <v>200</v>
      </c>
    </row>
    <row r="91" spans="1:8" x14ac:dyDescent="0.25">
      <c r="A91" t="s">
        <v>1085</v>
      </c>
      <c r="B91">
        <v>4500</v>
      </c>
      <c r="C91">
        <v>0</v>
      </c>
      <c r="D91">
        <v>2</v>
      </c>
      <c r="E91">
        <v>4500</v>
      </c>
      <c r="F91">
        <v>120</v>
      </c>
      <c r="G91" t="b">
        <v>0</v>
      </c>
      <c r="H91">
        <v>120</v>
      </c>
    </row>
    <row r="92" spans="1:8" x14ac:dyDescent="0.25">
      <c r="A92" t="s">
        <v>1086</v>
      </c>
      <c r="B92">
        <v>12000</v>
      </c>
      <c r="C92">
        <v>0</v>
      </c>
      <c r="D92">
        <v>4</v>
      </c>
      <c r="E92">
        <v>12000</v>
      </c>
      <c r="F92">
        <v>400</v>
      </c>
      <c r="G92" t="b">
        <v>0</v>
      </c>
      <c r="H92">
        <v>400</v>
      </c>
    </row>
    <row r="93" spans="1:8" x14ac:dyDescent="0.25">
      <c r="A93" t="s">
        <v>1087</v>
      </c>
      <c r="B93">
        <v>3000</v>
      </c>
      <c r="C93">
        <v>10</v>
      </c>
      <c r="D93">
        <v>6</v>
      </c>
      <c r="E93">
        <v>2700</v>
      </c>
      <c r="F93">
        <v>200</v>
      </c>
      <c r="G93" t="b">
        <v>0</v>
      </c>
      <c r="H93">
        <v>200</v>
      </c>
    </row>
    <row r="94" spans="1:8" x14ac:dyDescent="0.25">
      <c r="A94" t="s">
        <v>1088</v>
      </c>
      <c r="B94">
        <v>1500</v>
      </c>
      <c r="C94">
        <v>0</v>
      </c>
      <c r="D94">
        <v>5</v>
      </c>
      <c r="E94">
        <v>1500</v>
      </c>
      <c r="F94">
        <v>45</v>
      </c>
      <c r="G94" t="b">
        <v>0</v>
      </c>
      <c r="H94">
        <v>45</v>
      </c>
    </row>
    <row r="95" spans="1:8" x14ac:dyDescent="0.25">
      <c r="A95" t="s">
        <v>1089</v>
      </c>
      <c r="B95">
        <v>8000</v>
      </c>
      <c r="C95">
        <v>10</v>
      </c>
      <c r="D95">
        <v>6</v>
      </c>
      <c r="E95">
        <v>7200</v>
      </c>
      <c r="F95">
        <v>600</v>
      </c>
      <c r="G95" t="b">
        <v>0</v>
      </c>
      <c r="H95">
        <v>600</v>
      </c>
    </row>
    <row r="96" spans="1:8" x14ac:dyDescent="0.25">
      <c r="A96" t="s">
        <v>1045</v>
      </c>
      <c r="B96">
        <v>6000</v>
      </c>
      <c r="C96">
        <v>0</v>
      </c>
      <c r="D96">
        <v>1</v>
      </c>
      <c r="E96">
        <v>6000</v>
      </c>
      <c r="F96">
        <v>120</v>
      </c>
      <c r="G96" t="b">
        <v>0</v>
      </c>
      <c r="H96">
        <v>120</v>
      </c>
    </row>
    <row r="97" spans="1:8" x14ac:dyDescent="0.25">
      <c r="A97" t="s">
        <v>1090</v>
      </c>
      <c r="B97">
        <v>6000</v>
      </c>
      <c r="C97">
        <v>6</v>
      </c>
      <c r="D97">
        <v>6</v>
      </c>
      <c r="E97">
        <v>5600</v>
      </c>
      <c r="F97">
        <v>100</v>
      </c>
      <c r="G97" t="b">
        <v>0</v>
      </c>
      <c r="H97">
        <v>100</v>
      </c>
    </row>
    <row r="98" spans="1:8" x14ac:dyDescent="0.25">
      <c r="A98" t="s">
        <v>1091</v>
      </c>
      <c r="B98">
        <v>3000</v>
      </c>
      <c r="C98">
        <v>3</v>
      </c>
      <c r="D98">
        <v>6</v>
      </c>
      <c r="E98">
        <v>2900</v>
      </c>
      <c r="F98">
        <v>120</v>
      </c>
      <c r="G98" t="b">
        <v>0</v>
      </c>
      <c r="H98">
        <v>120</v>
      </c>
    </row>
    <row r="99" spans="1:8" x14ac:dyDescent="0.25">
      <c r="A99" t="s">
        <v>1092</v>
      </c>
      <c r="B99">
        <v>7000</v>
      </c>
      <c r="C99">
        <v>11</v>
      </c>
      <c r="D99">
        <v>6</v>
      </c>
      <c r="E99">
        <v>6200</v>
      </c>
      <c r="F99">
        <v>250</v>
      </c>
      <c r="G99" t="b">
        <v>0</v>
      </c>
      <c r="H99">
        <v>250</v>
      </c>
    </row>
    <row r="100" spans="1:8" x14ac:dyDescent="0.25">
      <c r="A100" t="s">
        <v>1093</v>
      </c>
      <c r="B100">
        <v>3500</v>
      </c>
      <c r="C100">
        <v>2</v>
      </c>
      <c r="D100">
        <v>6</v>
      </c>
      <c r="E100">
        <v>3400</v>
      </c>
      <c r="F100">
        <v>100</v>
      </c>
      <c r="G100" t="b">
        <v>0</v>
      </c>
      <c r="H100">
        <v>100</v>
      </c>
    </row>
    <row r="101" spans="1:8" x14ac:dyDescent="0.25">
      <c r="A101" t="s">
        <v>1094</v>
      </c>
      <c r="B101">
        <v>13000</v>
      </c>
      <c r="C101">
        <v>10</v>
      </c>
      <c r="D101">
        <v>3</v>
      </c>
      <c r="E101">
        <v>11600</v>
      </c>
      <c r="F101">
        <v>100</v>
      </c>
      <c r="G101" t="b">
        <v>0</v>
      </c>
      <c r="H101">
        <v>150</v>
      </c>
    </row>
    <row r="102" spans="1:8" x14ac:dyDescent="0.25">
      <c r="A102" t="s">
        <v>1095</v>
      </c>
      <c r="B102">
        <v>7000</v>
      </c>
      <c r="C102">
        <v>10</v>
      </c>
      <c r="D102">
        <v>6</v>
      </c>
      <c r="E102">
        <v>6300</v>
      </c>
      <c r="F102">
        <v>150</v>
      </c>
      <c r="G102" t="b">
        <v>0</v>
      </c>
      <c r="H102">
        <v>150</v>
      </c>
    </row>
    <row r="103" spans="1:8" x14ac:dyDescent="0.25">
      <c r="A103" t="s">
        <v>1096</v>
      </c>
      <c r="B103">
        <v>6000</v>
      </c>
      <c r="C103">
        <v>0</v>
      </c>
      <c r="D103">
        <v>2</v>
      </c>
      <c r="E103">
        <v>6000</v>
      </c>
      <c r="F103">
        <v>250</v>
      </c>
      <c r="G103" t="b">
        <v>0</v>
      </c>
      <c r="H103">
        <v>250</v>
      </c>
    </row>
    <row r="104" spans="1:8" x14ac:dyDescent="0.25">
      <c r="A104" t="s">
        <v>1097</v>
      </c>
      <c r="B104">
        <v>5000</v>
      </c>
      <c r="C104">
        <v>0</v>
      </c>
      <c r="D104">
        <v>6</v>
      </c>
      <c r="E104">
        <v>5000</v>
      </c>
      <c r="F104">
        <v>150</v>
      </c>
      <c r="G104" t="b">
        <v>0</v>
      </c>
      <c r="H104">
        <v>150</v>
      </c>
    </row>
    <row r="105" spans="1:8" x14ac:dyDescent="0.25">
      <c r="A105" t="s">
        <v>1098</v>
      </c>
      <c r="B105">
        <v>35000</v>
      </c>
      <c r="C105">
        <v>0</v>
      </c>
      <c r="D105">
        <v>1</v>
      </c>
      <c r="E105">
        <v>35000</v>
      </c>
      <c r="F105">
        <v>400</v>
      </c>
      <c r="G105" t="b">
        <v>0</v>
      </c>
      <c r="H105">
        <v>400</v>
      </c>
    </row>
    <row r="106" spans="1:8" x14ac:dyDescent="0.25">
      <c r="A106" t="s">
        <v>1099</v>
      </c>
      <c r="B106">
        <v>13000</v>
      </c>
      <c r="C106">
        <v>10</v>
      </c>
      <c r="D106">
        <v>4</v>
      </c>
      <c r="E106">
        <v>11600</v>
      </c>
      <c r="F106">
        <v>100</v>
      </c>
      <c r="G106" t="b">
        <v>0</v>
      </c>
      <c r="H106">
        <v>150</v>
      </c>
    </row>
    <row r="107" spans="1:8" x14ac:dyDescent="0.25">
      <c r="A107" t="s">
        <v>1100</v>
      </c>
      <c r="B107">
        <v>1000</v>
      </c>
      <c r="C107">
        <v>0</v>
      </c>
      <c r="D107">
        <v>0</v>
      </c>
      <c r="E107">
        <v>1000</v>
      </c>
      <c r="F107">
        <v>75</v>
      </c>
      <c r="G107" t="b">
        <v>1</v>
      </c>
      <c r="H107">
        <v>75</v>
      </c>
    </row>
    <row r="108" spans="1:8" x14ac:dyDescent="0.25">
      <c r="A108" t="s">
        <v>1101</v>
      </c>
      <c r="B108">
        <v>3000</v>
      </c>
      <c r="C108">
        <v>0</v>
      </c>
      <c r="D108">
        <v>0</v>
      </c>
      <c r="E108">
        <v>3000</v>
      </c>
      <c r="F108">
        <v>250</v>
      </c>
      <c r="G108" t="b">
        <v>1</v>
      </c>
      <c r="H108">
        <v>250</v>
      </c>
    </row>
    <row r="109" spans="1:8" x14ac:dyDescent="0.25">
      <c r="A109" t="s">
        <v>1002</v>
      </c>
      <c r="B109">
        <v>2000</v>
      </c>
      <c r="C109">
        <v>0</v>
      </c>
      <c r="D109">
        <v>0</v>
      </c>
      <c r="E109">
        <v>2000</v>
      </c>
      <c r="F109">
        <v>100</v>
      </c>
      <c r="G109" t="b">
        <v>1</v>
      </c>
      <c r="H109">
        <v>100</v>
      </c>
    </row>
    <row r="110" spans="1:8" x14ac:dyDescent="0.25">
      <c r="A110" t="s">
        <v>1102</v>
      </c>
      <c r="B110">
        <v>3500</v>
      </c>
      <c r="C110">
        <v>8</v>
      </c>
      <c r="D110">
        <v>0</v>
      </c>
      <c r="E110">
        <v>3200</v>
      </c>
      <c r="F110">
        <v>75</v>
      </c>
      <c r="G110" t="b">
        <v>1</v>
      </c>
      <c r="H110">
        <v>75</v>
      </c>
    </row>
    <row r="111" spans="1:8" x14ac:dyDescent="0.25">
      <c r="A111" t="s">
        <v>1103</v>
      </c>
      <c r="B111">
        <v>2500</v>
      </c>
      <c r="C111">
        <v>0</v>
      </c>
      <c r="D111">
        <v>0</v>
      </c>
      <c r="E111">
        <v>2500</v>
      </c>
      <c r="F111">
        <v>100</v>
      </c>
      <c r="G111" t="b">
        <v>1</v>
      </c>
      <c r="H111">
        <v>100</v>
      </c>
    </row>
    <row r="112" spans="1:8" x14ac:dyDescent="0.25">
      <c r="A112" t="s">
        <v>1104</v>
      </c>
      <c r="B112">
        <v>2500</v>
      </c>
      <c r="C112">
        <v>0</v>
      </c>
      <c r="D112">
        <v>0</v>
      </c>
      <c r="E112">
        <v>2500</v>
      </c>
      <c r="F112">
        <v>75</v>
      </c>
      <c r="G112" t="b">
        <v>1</v>
      </c>
      <c r="H112">
        <v>75</v>
      </c>
    </row>
    <row r="113" spans="1:8" x14ac:dyDescent="0.25">
      <c r="A113" t="s">
        <v>1043</v>
      </c>
      <c r="B113">
        <v>4000</v>
      </c>
      <c r="C113">
        <v>5</v>
      </c>
      <c r="D113">
        <v>0</v>
      </c>
      <c r="E113">
        <v>3800</v>
      </c>
      <c r="F113">
        <v>200</v>
      </c>
      <c r="G113" t="b">
        <v>1</v>
      </c>
      <c r="H113">
        <v>200</v>
      </c>
    </row>
    <row r="114" spans="1:8" x14ac:dyDescent="0.25">
      <c r="A114" t="s">
        <v>1105</v>
      </c>
      <c r="B114">
        <v>2500</v>
      </c>
      <c r="C114">
        <v>0</v>
      </c>
      <c r="D114">
        <v>0</v>
      </c>
      <c r="E114">
        <v>2500</v>
      </c>
      <c r="F114">
        <v>150</v>
      </c>
      <c r="G114" t="b">
        <v>1</v>
      </c>
      <c r="H114">
        <v>150</v>
      </c>
    </row>
    <row r="115" spans="1:8" x14ac:dyDescent="0.25">
      <c r="A115" t="s">
        <v>1106</v>
      </c>
      <c r="B115">
        <v>4500</v>
      </c>
      <c r="C115">
        <v>0</v>
      </c>
      <c r="D115">
        <v>0</v>
      </c>
      <c r="E115">
        <v>4500</v>
      </c>
      <c r="F115">
        <v>200</v>
      </c>
      <c r="G115" t="b">
        <v>1</v>
      </c>
      <c r="H115">
        <v>200</v>
      </c>
    </row>
    <row r="116" spans="1:8" x14ac:dyDescent="0.25">
      <c r="A116" t="s">
        <v>1107</v>
      </c>
      <c r="B116">
        <v>3500</v>
      </c>
      <c r="C116">
        <v>2</v>
      </c>
      <c r="D116">
        <v>0</v>
      </c>
      <c r="E116">
        <v>3400</v>
      </c>
      <c r="F116">
        <v>150</v>
      </c>
      <c r="G116" t="b">
        <v>1</v>
      </c>
      <c r="H116">
        <v>150</v>
      </c>
    </row>
    <row r="117" spans="1:8" x14ac:dyDescent="0.25">
      <c r="A117" t="s">
        <v>1108</v>
      </c>
      <c r="B117">
        <v>15000</v>
      </c>
      <c r="C117">
        <v>50</v>
      </c>
      <c r="D117">
        <v>0</v>
      </c>
      <c r="E117">
        <v>7500</v>
      </c>
      <c r="F117">
        <v>250</v>
      </c>
      <c r="G117" t="b">
        <v>1</v>
      </c>
      <c r="H117">
        <v>250</v>
      </c>
    </row>
    <row r="118" spans="1:8" x14ac:dyDescent="0.25">
      <c r="A118" t="s">
        <v>1109</v>
      </c>
      <c r="B118">
        <v>2500</v>
      </c>
      <c r="C118">
        <v>0</v>
      </c>
      <c r="D118">
        <v>0</v>
      </c>
      <c r="E118">
        <v>2500</v>
      </c>
      <c r="F118">
        <v>120</v>
      </c>
      <c r="G118" t="b">
        <v>1</v>
      </c>
      <c r="H118">
        <v>120</v>
      </c>
    </row>
    <row r="119" spans="1:8" x14ac:dyDescent="0.25">
      <c r="A119" t="s">
        <v>1110</v>
      </c>
      <c r="B119">
        <v>2800</v>
      </c>
      <c r="C119">
        <v>0</v>
      </c>
      <c r="D119">
        <v>0</v>
      </c>
      <c r="E119">
        <v>2800</v>
      </c>
      <c r="F119">
        <v>200</v>
      </c>
      <c r="G119" t="b">
        <v>1</v>
      </c>
      <c r="H119">
        <v>200</v>
      </c>
    </row>
    <row r="120" spans="1:8" x14ac:dyDescent="0.25">
      <c r="A120" t="s">
        <v>1111</v>
      </c>
      <c r="B120">
        <v>8000</v>
      </c>
      <c r="C120">
        <v>0</v>
      </c>
      <c r="D120">
        <v>0</v>
      </c>
      <c r="E120">
        <v>8000</v>
      </c>
      <c r="F120">
        <v>600</v>
      </c>
      <c r="G120" t="b">
        <v>1</v>
      </c>
      <c r="H120">
        <v>600</v>
      </c>
    </row>
    <row r="121" spans="1:8" x14ac:dyDescent="0.25">
      <c r="A121" t="s">
        <v>1019</v>
      </c>
      <c r="B121">
        <v>1000</v>
      </c>
      <c r="C121">
        <v>0</v>
      </c>
      <c r="D121">
        <v>0</v>
      </c>
      <c r="E121">
        <v>1000</v>
      </c>
      <c r="F121">
        <v>46</v>
      </c>
      <c r="G121" t="b">
        <v>1</v>
      </c>
      <c r="H121">
        <v>45</v>
      </c>
    </row>
    <row r="122" spans="1:8" x14ac:dyDescent="0.25">
      <c r="A122" t="s">
        <v>1112</v>
      </c>
      <c r="B122">
        <v>2500</v>
      </c>
      <c r="C122">
        <v>8</v>
      </c>
      <c r="D122">
        <v>0</v>
      </c>
      <c r="E122">
        <v>2300</v>
      </c>
      <c r="F122">
        <v>75</v>
      </c>
      <c r="G122" t="b">
        <v>1</v>
      </c>
      <c r="H122">
        <v>75</v>
      </c>
    </row>
    <row r="123" spans="1:8" x14ac:dyDescent="0.25">
      <c r="A123" t="s">
        <v>1113</v>
      </c>
      <c r="B123">
        <v>4500</v>
      </c>
      <c r="C123">
        <v>0</v>
      </c>
      <c r="D123">
        <v>0</v>
      </c>
      <c r="E123">
        <v>4500</v>
      </c>
      <c r="F123">
        <v>300</v>
      </c>
      <c r="G123" t="b">
        <v>1</v>
      </c>
      <c r="H123">
        <v>300</v>
      </c>
    </row>
    <row r="124" spans="1:8" x14ac:dyDescent="0.25">
      <c r="A124" t="s">
        <v>1114</v>
      </c>
      <c r="B124">
        <v>6500</v>
      </c>
      <c r="C124">
        <v>6</v>
      </c>
      <c r="D124">
        <v>0</v>
      </c>
      <c r="E124">
        <v>6100</v>
      </c>
      <c r="F124">
        <v>200</v>
      </c>
      <c r="G124" t="b">
        <v>1</v>
      </c>
      <c r="H124">
        <v>100</v>
      </c>
    </row>
    <row r="125" spans="1:8" x14ac:dyDescent="0.25">
      <c r="A125" t="s">
        <v>1115</v>
      </c>
      <c r="B125">
        <v>3500</v>
      </c>
      <c r="C125">
        <v>2</v>
      </c>
      <c r="D125">
        <v>0</v>
      </c>
      <c r="E125">
        <v>3400</v>
      </c>
      <c r="F125">
        <v>150</v>
      </c>
      <c r="G125" t="b">
        <v>1</v>
      </c>
      <c r="H125">
        <v>150</v>
      </c>
    </row>
    <row r="126" spans="1:8" x14ac:dyDescent="0.25">
      <c r="A126" t="s">
        <v>1116</v>
      </c>
      <c r="B126">
        <v>2500</v>
      </c>
      <c r="C126">
        <v>12</v>
      </c>
      <c r="D126">
        <v>0</v>
      </c>
      <c r="E126">
        <v>2200</v>
      </c>
      <c r="F126">
        <v>150</v>
      </c>
      <c r="G126" t="b">
        <v>1</v>
      </c>
      <c r="H126">
        <v>150</v>
      </c>
    </row>
    <row r="127" spans="1:8" x14ac:dyDescent="0.25">
      <c r="A127" t="s">
        <v>1117</v>
      </c>
      <c r="B127">
        <v>7500</v>
      </c>
      <c r="C127">
        <v>0</v>
      </c>
      <c r="D127">
        <v>0</v>
      </c>
      <c r="E127">
        <v>7500</v>
      </c>
      <c r="F127">
        <v>200</v>
      </c>
      <c r="G127" t="b">
        <v>1</v>
      </c>
      <c r="H127">
        <v>200</v>
      </c>
    </row>
    <row r="128" spans="1:8" x14ac:dyDescent="0.25">
      <c r="A128" t="s">
        <v>1118</v>
      </c>
      <c r="B128">
        <v>3000</v>
      </c>
      <c r="C128">
        <v>3</v>
      </c>
      <c r="D128">
        <v>0</v>
      </c>
      <c r="E128">
        <v>2900</v>
      </c>
      <c r="F128">
        <v>120</v>
      </c>
      <c r="G128" t="b">
        <v>1</v>
      </c>
      <c r="H128">
        <v>120</v>
      </c>
    </row>
    <row r="129" spans="1:8" x14ac:dyDescent="0.25">
      <c r="A129" t="s">
        <v>1119</v>
      </c>
      <c r="B129">
        <v>1000</v>
      </c>
      <c r="C129">
        <v>0</v>
      </c>
      <c r="D129">
        <v>0</v>
      </c>
      <c r="E129">
        <v>1000</v>
      </c>
      <c r="F129">
        <v>60</v>
      </c>
      <c r="G129" t="b">
        <v>1</v>
      </c>
      <c r="H129">
        <v>60</v>
      </c>
    </row>
    <row r="130" spans="1:8" x14ac:dyDescent="0.25">
      <c r="A130" t="s">
        <v>1120</v>
      </c>
      <c r="B130">
        <v>1000</v>
      </c>
      <c r="C130">
        <v>0</v>
      </c>
      <c r="D130">
        <v>0</v>
      </c>
      <c r="E130">
        <v>1000</v>
      </c>
      <c r="F130">
        <v>28</v>
      </c>
      <c r="G130" t="b">
        <v>1</v>
      </c>
      <c r="H130">
        <v>28</v>
      </c>
    </row>
    <row r="131" spans="1:8" x14ac:dyDescent="0.25">
      <c r="A131" t="s">
        <v>1121</v>
      </c>
      <c r="B131">
        <v>1500</v>
      </c>
      <c r="C131">
        <v>0</v>
      </c>
      <c r="D131">
        <v>0</v>
      </c>
      <c r="E131">
        <v>1500</v>
      </c>
      <c r="F131">
        <v>45</v>
      </c>
      <c r="G131" t="b">
        <v>1</v>
      </c>
      <c r="H131">
        <v>45</v>
      </c>
    </row>
    <row r="132" spans="1:8" x14ac:dyDescent="0.25">
      <c r="A132" t="s">
        <v>1122</v>
      </c>
      <c r="B132">
        <v>2500</v>
      </c>
      <c r="C132">
        <v>10</v>
      </c>
      <c r="D132">
        <v>0</v>
      </c>
      <c r="E132">
        <v>2250</v>
      </c>
      <c r="F132">
        <v>100</v>
      </c>
      <c r="G132" t="b">
        <v>1</v>
      </c>
      <c r="H132">
        <v>75</v>
      </c>
    </row>
    <row r="133" spans="1:8" x14ac:dyDescent="0.25">
      <c r="A133" t="s">
        <v>1123</v>
      </c>
      <c r="B133">
        <v>3500</v>
      </c>
      <c r="C133">
        <v>0</v>
      </c>
      <c r="D133">
        <v>0</v>
      </c>
      <c r="E133">
        <v>3500</v>
      </c>
      <c r="F133">
        <v>300</v>
      </c>
      <c r="G133" t="b">
        <v>1</v>
      </c>
      <c r="H133">
        <v>300</v>
      </c>
    </row>
    <row r="134" spans="1:8" x14ac:dyDescent="0.25">
      <c r="A134" t="s">
        <v>1124</v>
      </c>
      <c r="B134">
        <v>8000</v>
      </c>
      <c r="C134">
        <v>0</v>
      </c>
      <c r="D134">
        <v>0</v>
      </c>
      <c r="E134">
        <v>8000</v>
      </c>
      <c r="F134">
        <v>300</v>
      </c>
      <c r="G134" t="b">
        <v>1</v>
      </c>
      <c r="H134">
        <v>300</v>
      </c>
    </row>
    <row r="135" spans="1:8" x14ac:dyDescent="0.25">
      <c r="A135" t="s">
        <v>1125</v>
      </c>
      <c r="B135">
        <v>1500</v>
      </c>
      <c r="C135">
        <v>0</v>
      </c>
      <c r="D135">
        <v>0</v>
      </c>
      <c r="E135">
        <v>1500</v>
      </c>
      <c r="F135">
        <v>45</v>
      </c>
      <c r="G135" t="b">
        <v>1</v>
      </c>
      <c r="H135">
        <v>45</v>
      </c>
    </row>
    <row r="136" spans="1:8" x14ac:dyDescent="0.25">
      <c r="A136" t="s">
        <v>1126</v>
      </c>
      <c r="B136">
        <v>2500</v>
      </c>
      <c r="C136">
        <v>0</v>
      </c>
      <c r="D136">
        <v>0</v>
      </c>
      <c r="E136">
        <v>2500</v>
      </c>
      <c r="F136">
        <v>100</v>
      </c>
      <c r="G136" t="b">
        <v>1</v>
      </c>
      <c r="H136">
        <v>100</v>
      </c>
    </row>
    <row r="137" spans="1:8" x14ac:dyDescent="0.25">
      <c r="A137" t="s">
        <v>1015</v>
      </c>
      <c r="B137">
        <v>5000</v>
      </c>
      <c r="C137">
        <v>6</v>
      </c>
      <c r="D137">
        <v>0</v>
      </c>
      <c r="E137">
        <v>4700</v>
      </c>
      <c r="F137">
        <v>300</v>
      </c>
      <c r="G137" t="b">
        <v>1</v>
      </c>
      <c r="H137">
        <v>300</v>
      </c>
    </row>
    <row r="138" spans="1:8" x14ac:dyDescent="0.25">
      <c r="A138" t="s">
        <v>1127</v>
      </c>
      <c r="B138">
        <v>6500</v>
      </c>
      <c r="C138">
        <v>0</v>
      </c>
      <c r="D138">
        <v>0</v>
      </c>
      <c r="E138">
        <v>6500</v>
      </c>
      <c r="F138">
        <v>200</v>
      </c>
      <c r="G138" t="b">
        <v>1</v>
      </c>
      <c r="H138">
        <v>200</v>
      </c>
    </row>
    <row r="139" spans="1:8" x14ac:dyDescent="0.25">
      <c r="A139" t="s">
        <v>1128</v>
      </c>
      <c r="B139">
        <v>3000</v>
      </c>
      <c r="C139">
        <v>3</v>
      </c>
      <c r="D139">
        <v>0</v>
      </c>
      <c r="E139">
        <v>2900</v>
      </c>
      <c r="F139">
        <v>120</v>
      </c>
      <c r="G139" t="b">
        <v>1</v>
      </c>
      <c r="H139">
        <v>120</v>
      </c>
    </row>
    <row r="140" spans="1:8" x14ac:dyDescent="0.25">
      <c r="A140" t="s">
        <v>1002</v>
      </c>
      <c r="B140">
        <v>23000</v>
      </c>
      <c r="C140">
        <v>25</v>
      </c>
      <c r="D140">
        <v>0</v>
      </c>
      <c r="E140">
        <v>17200</v>
      </c>
      <c r="F140">
        <v>1000</v>
      </c>
      <c r="G140" t="b">
        <v>1</v>
      </c>
      <c r="H140">
        <v>1</v>
      </c>
    </row>
    <row r="141" spans="1:8" x14ac:dyDescent="0.25">
      <c r="A141" t="s">
        <v>1129</v>
      </c>
      <c r="B141">
        <v>1500</v>
      </c>
      <c r="C141">
        <v>0</v>
      </c>
      <c r="D141">
        <v>0</v>
      </c>
      <c r="E141">
        <v>1500</v>
      </c>
      <c r="F141">
        <v>45</v>
      </c>
      <c r="G141" t="b">
        <v>1</v>
      </c>
      <c r="H141">
        <v>45</v>
      </c>
    </row>
    <row r="142" spans="1:8" x14ac:dyDescent="0.25">
      <c r="A142" t="s">
        <v>1130</v>
      </c>
      <c r="B142">
        <v>1000</v>
      </c>
      <c r="C142">
        <v>0</v>
      </c>
      <c r="D142">
        <v>0</v>
      </c>
      <c r="E142">
        <v>1000</v>
      </c>
      <c r="F142">
        <v>28</v>
      </c>
      <c r="G142" t="b">
        <v>1</v>
      </c>
      <c r="H142">
        <v>28</v>
      </c>
    </row>
    <row r="143" spans="1:8" x14ac:dyDescent="0.25">
      <c r="A143" t="s">
        <v>1106</v>
      </c>
      <c r="B143">
        <v>7000</v>
      </c>
      <c r="C143">
        <v>0</v>
      </c>
      <c r="D143">
        <v>0</v>
      </c>
      <c r="E143">
        <v>7000</v>
      </c>
      <c r="F143">
        <v>500</v>
      </c>
      <c r="G143" t="b">
        <v>1</v>
      </c>
      <c r="H143">
        <v>500</v>
      </c>
    </row>
    <row r="144" spans="1:8" x14ac:dyDescent="0.25">
      <c r="A144" t="s">
        <v>1131</v>
      </c>
      <c r="B144">
        <v>10500</v>
      </c>
      <c r="C144">
        <v>22</v>
      </c>
      <c r="D144">
        <v>0</v>
      </c>
      <c r="E144">
        <v>8100</v>
      </c>
      <c r="F144">
        <v>75</v>
      </c>
      <c r="G144" t="b">
        <v>1</v>
      </c>
      <c r="H144">
        <v>75</v>
      </c>
    </row>
    <row r="145" spans="1:8" x14ac:dyDescent="0.25">
      <c r="A145" t="s">
        <v>1132</v>
      </c>
      <c r="B145">
        <v>6000</v>
      </c>
      <c r="C145">
        <v>10</v>
      </c>
      <c r="D145">
        <v>0</v>
      </c>
      <c r="E145">
        <v>5400</v>
      </c>
      <c r="F145">
        <v>200</v>
      </c>
      <c r="G145" t="b">
        <v>1</v>
      </c>
      <c r="H145">
        <v>200</v>
      </c>
    </row>
    <row r="146" spans="1:8" x14ac:dyDescent="0.25">
      <c r="A146" t="s">
        <v>1133</v>
      </c>
      <c r="B146">
        <v>3500</v>
      </c>
      <c r="C146">
        <v>17</v>
      </c>
      <c r="D146">
        <v>0</v>
      </c>
      <c r="E146">
        <v>2900</v>
      </c>
      <c r="F146">
        <v>150</v>
      </c>
      <c r="G146" t="b">
        <v>1</v>
      </c>
      <c r="H146">
        <v>150</v>
      </c>
    </row>
    <row r="147" spans="1:8" x14ac:dyDescent="0.25">
      <c r="A147" t="s">
        <v>1134</v>
      </c>
      <c r="B147">
        <v>4000</v>
      </c>
      <c r="C147">
        <v>0</v>
      </c>
      <c r="D147">
        <v>0</v>
      </c>
      <c r="E147">
        <v>4000</v>
      </c>
      <c r="F147">
        <v>300</v>
      </c>
      <c r="G147" t="b">
        <v>1</v>
      </c>
      <c r="H147">
        <v>300</v>
      </c>
    </row>
    <row r="148" spans="1:8" x14ac:dyDescent="0.25">
      <c r="A148" t="s">
        <v>1133</v>
      </c>
      <c r="B148">
        <v>3500</v>
      </c>
      <c r="C148">
        <v>0</v>
      </c>
      <c r="D148">
        <v>0</v>
      </c>
      <c r="E148">
        <v>3500</v>
      </c>
      <c r="F148">
        <v>150</v>
      </c>
      <c r="G148" t="b">
        <v>1</v>
      </c>
      <c r="H148">
        <v>150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H345"/>
  <sheetViews>
    <sheetView topLeftCell="A333"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1135</v>
      </c>
      <c r="B2">
        <v>16000</v>
      </c>
      <c r="C2">
        <v>35</v>
      </c>
      <c r="D2">
        <v>3</v>
      </c>
      <c r="E2">
        <v>10400</v>
      </c>
      <c r="F2">
        <v>80</v>
      </c>
      <c r="G2" t="b">
        <v>0</v>
      </c>
      <c r="H2">
        <v>80</v>
      </c>
    </row>
    <row r="3" spans="1:8" x14ac:dyDescent="0.25">
      <c r="A3" t="s">
        <v>1136</v>
      </c>
      <c r="B3">
        <v>2500</v>
      </c>
      <c r="C3">
        <v>0</v>
      </c>
      <c r="D3">
        <v>6</v>
      </c>
      <c r="E3">
        <v>2500</v>
      </c>
      <c r="F3">
        <v>50</v>
      </c>
      <c r="G3" t="b">
        <v>0</v>
      </c>
      <c r="H3">
        <v>50</v>
      </c>
    </row>
    <row r="4" spans="1:8" x14ac:dyDescent="0.25">
      <c r="A4" t="s">
        <v>1137</v>
      </c>
      <c r="B4">
        <v>11500</v>
      </c>
      <c r="C4">
        <v>10</v>
      </c>
      <c r="D4">
        <v>6</v>
      </c>
      <c r="E4">
        <v>10300</v>
      </c>
      <c r="F4">
        <v>100</v>
      </c>
      <c r="G4" t="b">
        <v>0</v>
      </c>
      <c r="H4">
        <v>100</v>
      </c>
    </row>
    <row r="5" spans="1:8" x14ac:dyDescent="0.25">
      <c r="A5" t="s">
        <v>1138</v>
      </c>
      <c r="B5">
        <v>10900</v>
      </c>
      <c r="C5">
        <v>3</v>
      </c>
      <c r="D5">
        <v>6</v>
      </c>
      <c r="E5">
        <v>10500</v>
      </c>
      <c r="F5">
        <v>750</v>
      </c>
      <c r="G5" t="b">
        <v>0</v>
      </c>
      <c r="H5">
        <v>750</v>
      </c>
    </row>
    <row r="6" spans="1:8" x14ac:dyDescent="0.25">
      <c r="A6" t="s">
        <v>1139</v>
      </c>
      <c r="B6">
        <v>11500</v>
      </c>
      <c r="C6">
        <v>4</v>
      </c>
      <c r="D6">
        <v>6</v>
      </c>
      <c r="E6">
        <v>11000</v>
      </c>
      <c r="F6">
        <v>750</v>
      </c>
      <c r="G6" t="b">
        <v>0</v>
      </c>
      <c r="H6">
        <v>500</v>
      </c>
    </row>
    <row r="7" spans="1:8" x14ac:dyDescent="0.25">
      <c r="A7" t="s">
        <v>1140</v>
      </c>
      <c r="B7">
        <v>12000</v>
      </c>
      <c r="C7">
        <v>10</v>
      </c>
      <c r="D7">
        <v>6</v>
      </c>
      <c r="E7">
        <v>10800</v>
      </c>
      <c r="F7">
        <v>120</v>
      </c>
      <c r="G7" t="b">
        <v>0</v>
      </c>
      <c r="H7">
        <v>120</v>
      </c>
    </row>
    <row r="8" spans="1:8" x14ac:dyDescent="0.25">
      <c r="A8" t="s">
        <v>1141</v>
      </c>
      <c r="B8">
        <v>3500</v>
      </c>
      <c r="C8">
        <v>2</v>
      </c>
      <c r="D8">
        <v>6</v>
      </c>
      <c r="E8">
        <v>3400</v>
      </c>
      <c r="F8">
        <v>75</v>
      </c>
      <c r="G8" t="b">
        <v>0</v>
      </c>
      <c r="H8">
        <v>75</v>
      </c>
    </row>
    <row r="9" spans="1:8" x14ac:dyDescent="0.25">
      <c r="A9" t="s">
        <v>1142</v>
      </c>
      <c r="B9">
        <v>11400</v>
      </c>
      <c r="C9">
        <v>18</v>
      </c>
      <c r="D9">
        <v>2</v>
      </c>
      <c r="E9">
        <v>9300</v>
      </c>
      <c r="F9">
        <v>200</v>
      </c>
      <c r="G9" t="b">
        <v>0</v>
      </c>
      <c r="H9">
        <v>200</v>
      </c>
    </row>
    <row r="10" spans="1:8" x14ac:dyDescent="0.25">
      <c r="A10" t="s">
        <v>1143</v>
      </c>
      <c r="B10">
        <v>22500</v>
      </c>
      <c r="C10">
        <v>24</v>
      </c>
      <c r="D10">
        <v>6</v>
      </c>
      <c r="E10">
        <v>16900</v>
      </c>
      <c r="F10">
        <v>150</v>
      </c>
      <c r="G10" t="b">
        <v>0</v>
      </c>
      <c r="H10">
        <v>150</v>
      </c>
    </row>
    <row r="11" spans="1:8" x14ac:dyDescent="0.25">
      <c r="A11" t="s">
        <v>1144</v>
      </c>
      <c r="B11">
        <v>5800</v>
      </c>
      <c r="C11">
        <v>5</v>
      </c>
      <c r="D11">
        <v>6</v>
      </c>
      <c r="E11">
        <v>5500</v>
      </c>
      <c r="F11">
        <v>100</v>
      </c>
      <c r="G11" t="b">
        <v>0</v>
      </c>
      <c r="H11">
        <v>100</v>
      </c>
    </row>
    <row r="12" spans="1:8" x14ac:dyDescent="0.25">
      <c r="A12" t="s">
        <v>1145</v>
      </c>
      <c r="B12">
        <v>10100</v>
      </c>
      <c r="C12">
        <v>5</v>
      </c>
      <c r="D12">
        <v>2</v>
      </c>
      <c r="E12">
        <v>9500</v>
      </c>
      <c r="F12">
        <v>150</v>
      </c>
      <c r="G12" t="b">
        <v>0</v>
      </c>
      <c r="H12">
        <v>150</v>
      </c>
    </row>
    <row r="13" spans="1:8" x14ac:dyDescent="0.25">
      <c r="A13" t="s">
        <v>1146</v>
      </c>
      <c r="B13">
        <v>43200</v>
      </c>
      <c r="C13">
        <v>15</v>
      </c>
      <c r="D13">
        <v>6</v>
      </c>
      <c r="E13">
        <v>36700</v>
      </c>
      <c r="F13">
        <v>100</v>
      </c>
      <c r="G13" t="b">
        <v>0</v>
      </c>
      <c r="H13">
        <v>100</v>
      </c>
    </row>
    <row r="14" spans="1:8" x14ac:dyDescent="0.25">
      <c r="A14" t="s">
        <v>1147</v>
      </c>
      <c r="B14">
        <v>5000</v>
      </c>
      <c r="C14">
        <v>0</v>
      </c>
      <c r="D14">
        <v>6</v>
      </c>
      <c r="E14">
        <v>5000</v>
      </c>
      <c r="F14">
        <v>58</v>
      </c>
      <c r="G14" t="b">
        <v>0</v>
      </c>
      <c r="H14">
        <v>1</v>
      </c>
    </row>
    <row r="15" spans="1:8" x14ac:dyDescent="0.25">
      <c r="A15" t="s">
        <v>1148</v>
      </c>
      <c r="B15">
        <v>7500</v>
      </c>
      <c r="C15">
        <v>0</v>
      </c>
      <c r="D15">
        <v>6</v>
      </c>
      <c r="E15">
        <v>7500</v>
      </c>
      <c r="F15">
        <v>125</v>
      </c>
      <c r="G15" t="b">
        <v>0</v>
      </c>
      <c r="H15">
        <v>125</v>
      </c>
    </row>
    <row r="16" spans="1:8" x14ac:dyDescent="0.25">
      <c r="A16" t="s">
        <v>1149</v>
      </c>
      <c r="B16">
        <v>7900</v>
      </c>
      <c r="C16">
        <v>13</v>
      </c>
      <c r="D16">
        <v>6</v>
      </c>
      <c r="E16">
        <v>6800</v>
      </c>
      <c r="F16">
        <v>50</v>
      </c>
      <c r="G16" t="b">
        <v>0</v>
      </c>
      <c r="H16">
        <v>50</v>
      </c>
    </row>
    <row r="17" spans="1:8" x14ac:dyDescent="0.25">
      <c r="A17" t="s">
        <v>1150</v>
      </c>
      <c r="B17">
        <v>16600</v>
      </c>
      <c r="C17">
        <v>5</v>
      </c>
      <c r="D17">
        <v>4</v>
      </c>
      <c r="E17">
        <v>15700</v>
      </c>
      <c r="F17">
        <v>375</v>
      </c>
      <c r="G17" t="b">
        <v>0</v>
      </c>
      <c r="H17">
        <v>375</v>
      </c>
    </row>
    <row r="18" spans="1:8" x14ac:dyDescent="0.25">
      <c r="A18" t="s">
        <v>1151</v>
      </c>
      <c r="B18">
        <v>26000</v>
      </c>
      <c r="C18">
        <v>5</v>
      </c>
      <c r="D18">
        <v>6</v>
      </c>
      <c r="E18">
        <v>24700</v>
      </c>
      <c r="F18">
        <v>625</v>
      </c>
      <c r="G18" t="b">
        <v>0</v>
      </c>
      <c r="H18">
        <v>625</v>
      </c>
    </row>
    <row r="19" spans="1:8" x14ac:dyDescent="0.25">
      <c r="A19" t="s">
        <v>1152</v>
      </c>
      <c r="B19">
        <v>25000</v>
      </c>
      <c r="C19">
        <v>10</v>
      </c>
      <c r="D19">
        <v>3</v>
      </c>
      <c r="E19">
        <v>22500</v>
      </c>
      <c r="F19">
        <v>100</v>
      </c>
      <c r="G19" t="b">
        <v>0</v>
      </c>
      <c r="H19">
        <v>100</v>
      </c>
    </row>
    <row r="20" spans="1:8" x14ac:dyDescent="0.25">
      <c r="A20" t="s">
        <v>1153</v>
      </c>
      <c r="B20">
        <v>3000</v>
      </c>
      <c r="C20">
        <v>3</v>
      </c>
      <c r="D20">
        <v>3</v>
      </c>
      <c r="E20">
        <v>2900</v>
      </c>
      <c r="F20">
        <v>100</v>
      </c>
      <c r="G20" t="b">
        <v>0</v>
      </c>
      <c r="H20">
        <v>125</v>
      </c>
    </row>
    <row r="21" spans="1:8" x14ac:dyDescent="0.25">
      <c r="A21" t="s">
        <v>1141</v>
      </c>
      <c r="B21">
        <v>7000</v>
      </c>
      <c r="C21">
        <v>10</v>
      </c>
      <c r="D21">
        <v>6</v>
      </c>
      <c r="E21">
        <v>6300</v>
      </c>
      <c r="F21">
        <v>125</v>
      </c>
      <c r="G21" t="b">
        <v>0</v>
      </c>
      <c r="H21">
        <v>125</v>
      </c>
    </row>
    <row r="22" spans="1:8" x14ac:dyDescent="0.25">
      <c r="A22" t="s">
        <v>1154</v>
      </c>
      <c r="B22">
        <v>1000</v>
      </c>
      <c r="C22">
        <v>0</v>
      </c>
      <c r="D22">
        <v>6</v>
      </c>
      <c r="E22">
        <v>1000</v>
      </c>
      <c r="F22">
        <v>18</v>
      </c>
      <c r="G22" t="b">
        <v>0</v>
      </c>
      <c r="H22">
        <v>18</v>
      </c>
    </row>
    <row r="23" spans="1:8" x14ac:dyDescent="0.25">
      <c r="A23" t="s">
        <v>1155</v>
      </c>
      <c r="B23">
        <v>21300</v>
      </c>
      <c r="C23">
        <v>10</v>
      </c>
      <c r="D23">
        <v>6</v>
      </c>
      <c r="E23">
        <v>19000</v>
      </c>
      <c r="F23">
        <v>110</v>
      </c>
      <c r="G23" t="b">
        <v>0</v>
      </c>
      <c r="H23">
        <v>110</v>
      </c>
    </row>
    <row r="24" spans="1:8" x14ac:dyDescent="0.25">
      <c r="A24" t="s">
        <v>1156</v>
      </c>
      <c r="B24">
        <v>5000</v>
      </c>
      <c r="C24">
        <v>10</v>
      </c>
      <c r="D24">
        <v>4</v>
      </c>
      <c r="E24">
        <v>4500</v>
      </c>
      <c r="F24">
        <v>50</v>
      </c>
      <c r="G24" t="b">
        <v>0</v>
      </c>
      <c r="H24">
        <v>50</v>
      </c>
    </row>
    <row r="25" spans="1:8" x14ac:dyDescent="0.25">
      <c r="A25" t="s">
        <v>1157</v>
      </c>
      <c r="B25">
        <v>3000</v>
      </c>
      <c r="C25">
        <v>0</v>
      </c>
      <c r="D25">
        <v>6</v>
      </c>
      <c r="E25">
        <v>3000</v>
      </c>
      <c r="F25">
        <v>20</v>
      </c>
      <c r="G25" t="b">
        <v>0</v>
      </c>
      <c r="H25">
        <v>20</v>
      </c>
    </row>
    <row r="26" spans="1:8" x14ac:dyDescent="0.25">
      <c r="A26" t="s">
        <v>1158</v>
      </c>
      <c r="B26">
        <v>13000</v>
      </c>
      <c r="C26">
        <v>8</v>
      </c>
      <c r="D26">
        <v>1</v>
      </c>
      <c r="E26">
        <v>11900</v>
      </c>
      <c r="F26">
        <v>150</v>
      </c>
      <c r="G26" t="b">
        <v>0</v>
      </c>
      <c r="H26">
        <v>200</v>
      </c>
    </row>
    <row r="27" spans="1:8" x14ac:dyDescent="0.25">
      <c r="A27" t="s">
        <v>1159</v>
      </c>
      <c r="B27">
        <v>3000</v>
      </c>
      <c r="C27">
        <v>0</v>
      </c>
      <c r="D27">
        <v>6</v>
      </c>
      <c r="E27">
        <v>3000</v>
      </c>
      <c r="F27">
        <v>20</v>
      </c>
      <c r="G27" t="b">
        <v>0</v>
      </c>
      <c r="H27">
        <v>20</v>
      </c>
    </row>
    <row r="28" spans="1:8" x14ac:dyDescent="0.25">
      <c r="A28" t="s">
        <v>1160</v>
      </c>
      <c r="B28">
        <v>13500</v>
      </c>
      <c r="C28">
        <v>5</v>
      </c>
      <c r="D28">
        <v>6</v>
      </c>
      <c r="E28">
        <v>12800</v>
      </c>
      <c r="F28">
        <v>50</v>
      </c>
      <c r="G28" t="b">
        <v>0</v>
      </c>
      <c r="H28">
        <v>50</v>
      </c>
    </row>
    <row r="29" spans="1:8" x14ac:dyDescent="0.25">
      <c r="A29" t="s">
        <v>1161</v>
      </c>
      <c r="B29">
        <v>5000</v>
      </c>
      <c r="C29">
        <v>2</v>
      </c>
      <c r="D29">
        <v>1</v>
      </c>
      <c r="E29">
        <v>4900</v>
      </c>
      <c r="F29">
        <v>80</v>
      </c>
      <c r="G29" t="b">
        <v>0</v>
      </c>
      <c r="H29">
        <v>80</v>
      </c>
    </row>
    <row r="30" spans="1:8" x14ac:dyDescent="0.25">
      <c r="A30" t="s">
        <v>1162</v>
      </c>
      <c r="B30">
        <v>19900</v>
      </c>
      <c r="C30">
        <v>6</v>
      </c>
      <c r="D30">
        <v>5</v>
      </c>
      <c r="E30">
        <v>18600</v>
      </c>
      <c r="F30">
        <v>375</v>
      </c>
      <c r="G30" t="b">
        <v>0</v>
      </c>
      <c r="H30">
        <v>375</v>
      </c>
    </row>
    <row r="31" spans="1:8" x14ac:dyDescent="0.25">
      <c r="A31" t="s">
        <v>1163</v>
      </c>
      <c r="B31">
        <v>8800</v>
      </c>
      <c r="C31">
        <v>6</v>
      </c>
      <c r="D31">
        <v>6</v>
      </c>
      <c r="E31">
        <v>8200</v>
      </c>
      <c r="F31">
        <v>290</v>
      </c>
      <c r="G31" t="b">
        <v>0</v>
      </c>
      <c r="H31">
        <v>5</v>
      </c>
    </row>
    <row r="32" spans="1:8" x14ac:dyDescent="0.25">
      <c r="A32" t="s">
        <v>1161</v>
      </c>
      <c r="B32">
        <v>16000</v>
      </c>
      <c r="C32">
        <v>10</v>
      </c>
      <c r="D32">
        <v>4</v>
      </c>
      <c r="E32">
        <v>14400</v>
      </c>
      <c r="F32">
        <v>300</v>
      </c>
      <c r="G32" t="b">
        <v>0</v>
      </c>
      <c r="H32">
        <v>300</v>
      </c>
    </row>
    <row r="33" spans="1:8" x14ac:dyDescent="0.25">
      <c r="A33" t="s">
        <v>1164</v>
      </c>
      <c r="B33">
        <v>3000</v>
      </c>
      <c r="C33">
        <v>0</v>
      </c>
      <c r="D33">
        <v>4</v>
      </c>
      <c r="E33">
        <v>3000</v>
      </c>
      <c r="F33">
        <v>20</v>
      </c>
      <c r="G33" t="b">
        <v>0</v>
      </c>
      <c r="H33">
        <v>20</v>
      </c>
    </row>
    <row r="34" spans="1:8" x14ac:dyDescent="0.25">
      <c r="A34" t="s">
        <v>1165</v>
      </c>
      <c r="B34">
        <v>18500</v>
      </c>
      <c r="C34">
        <v>15</v>
      </c>
      <c r="D34">
        <v>3</v>
      </c>
      <c r="E34">
        <v>15700</v>
      </c>
      <c r="F34">
        <v>100</v>
      </c>
      <c r="G34" t="b">
        <v>0</v>
      </c>
      <c r="H34">
        <v>100</v>
      </c>
    </row>
    <row r="35" spans="1:8" x14ac:dyDescent="0.25">
      <c r="A35" t="s">
        <v>1166</v>
      </c>
      <c r="B35">
        <v>29000</v>
      </c>
      <c r="C35">
        <v>10</v>
      </c>
      <c r="D35">
        <v>6</v>
      </c>
      <c r="E35">
        <v>26100</v>
      </c>
      <c r="F35">
        <v>625</v>
      </c>
      <c r="G35" t="b">
        <v>0</v>
      </c>
      <c r="H35">
        <v>625</v>
      </c>
    </row>
    <row r="36" spans="1:8" x14ac:dyDescent="0.25">
      <c r="A36" t="s">
        <v>1167</v>
      </c>
      <c r="B36">
        <v>22500</v>
      </c>
      <c r="C36">
        <v>6</v>
      </c>
      <c r="D36">
        <v>4</v>
      </c>
      <c r="E36">
        <v>21000</v>
      </c>
      <c r="F36">
        <v>418</v>
      </c>
      <c r="G36" t="b">
        <v>0</v>
      </c>
      <c r="H36">
        <v>418</v>
      </c>
    </row>
    <row r="37" spans="1:8" x14ac:dyDescent="0.25">
      <c r="A37" t="s">
        <v>1168</v>
      </c>
      <c r="B37">
        <v>15000</v>
      </c>
      <c r="C37">
        <v>6</v>
      </c>
      <c r="D37">
        <v>5</v>
      </c>
      <c r="E37">
        <v>14100</v>
      </c>
      <c r="F37">
        <v>180</v>
      </c>
      <c r="G37" t="b">
        <v>0</v>
      </c>
      <c r="H37">
        <v>180</v>
      </c>
    </row>
    <row r="38" spans="1:8" x14ac:dyDescent="0.25">
      <c r="A38" t="s">
        <v>1169</v>
      </c>
      <c r="B38">
        <v>49900</v>
      </c>
      <c r="C38">
        <v>7</v>
      </c>
      <c r="D38">
        <v>4</v>
      </c>
      <c r="E38">
        <v>46000</v>
      </c>
      <c r="F38">
        <v>232</v>
      </c>
      <c r="G38" t="b">
        <v>0</v>
      </c>
      <c r="H38">
        <v>4</v>
      </c>
    </row>
    <row r="39" spans="1:8" x14ac:dyDescent="0.25">
      <c r="A39" t="s">
        <v>1170</v>
      </c>
      <c r="B39">
        <v>19900</v>
      </c>
      <c r="C39">
        <v>20</v>
      </c>
      <c r="D39">
        <v>2</v>
      </c>
      <c r="E39">
        <v>15900</v>
      </c>
      <c r="F39">
        <v>250</v>
      </c>
      <c r="G39" t="b">
        <v>0</v>
      </c>
      <c r="H39">
        <v>250</v>
      </c>
    </row>
    <row r="40" spans="1:8" x14ac:dyDescent="0.25">
      <c r="A40" t="s">
        <v>1171</v>
      </c>
      <c r="B40">
        <v>9900</v>
      </c>
      <c r="C40">
        <v>0</v>
      </c>
      <c r="D40">
        <v>6</v>
      </c>
      <c r="E40">
        <v>9900</v>
      </c>
      <c r="F40">
        <v>750</v>
      </c>
      <c r="G40" t="b">
        <v>0</v>
      </c>
      <c r="H40">
        <v>750</v>
      </c>
    </row>
    <row r="41" spans="1:8" x14ac:dyDescent="0.25">
      <c r="A41" t="s">
        <v>1172</v>
      </c>
      <c r="B41">
        <v>10000</v>
      </c>
      <c r="C41">
        <v>5</v>
      </c>
      <c r="D41">
        <v>6</v>
      </c>
      <c r="E41">
        <v>9500</v>
      </c>
      <c r="F41">
        <v>200</v>
      </c>
      <c r="G41" t="b">
        <v>0</v>
      </c>
      <c r="H41">
        <v>200</v>
      </c>
    </row>
    <row r="42" spans="1:8" x14ac:dyDescent="0.25">
      <c r="A42" t="s">
        <v>1173</v>
      </c>
      <c r="B42">
        <v>8800</v>
      </c>
      <c r="C42">
        <v>0</v>
      </c>
      <c r="D42">
        <v>2</v>
      </c>
      <c r="E42">
        <v>8800</v>
      </c>
      <c r="F42">
        <v>180</v>
      </c>
      <c r="G42" t="b">
        <v>0</v>
      </c>
      <c r="H42">
        <v>180</v>
      </c>
    </row>
    <row r="43" spans="1:8" x14ac:dyDescent="0.25">
      <c r="A43" t="s">
        <v>1174</v>
      </c>
      <c r="B43">
        <v>8900</v>
      </c>
      <c r="C43">
        <v>4</v>
      </c>
      <c r="D43">
        <v>6</v>
      </c>
      <c r="E43">
        <v>8500</v>
      </c>
      <c r="F43">
        <v>200</v>
      </c>
      <c r="G43" t="b">
        <v>0</v>
      </c>
      <c r="H43">
        <v>200</v>
      </c>
    </row>
    <row r="44" spans="1:8" x14ac:dyDescent="0.25">
      <c r="A44" t="s">
        <v>1175</v>
      </c>
      <c r="B44">
        <v>19900</v>
      </c>
      <c r="C44">
        <v>0</v>
      </c>
      <c r="D44">
        <v>6</v>
      </c>
      <c r="E44">
        <v>19900</v>
      </c>
      <c r="F44">
        <v>192</v>
      </c>
      <c r="G44" t="b">
        <v>0</v>
      </c>
      <c r="H44">
        <v>180</v>
      </c>
    </row>
    <row r="45" spans="1:8" x14ac:dyDescent="0.25">
      <c r="A45" t="s">
        <v>1176</v>
      </c>
      <c r="B45">
        <v>9000</v>
      </c>
      <c r="C45">
        <v>0</v>
      </c>
      <c r="D45">
        <v>5</v>
      </c>
      <c r="E45">
        <v>9000</v>
      </c>
      <c r="F45">
        <v>150</v>
      </c>
      <c r="G45" t="b">
        <v>0</v>
      </c>
      <c r="H45">
        <v>150</v>
      </c>
    </row>
    <row r="46" spans="1:8" x14ac:dyDescent="0.25">
      <c r="A46" t="s">
        <v>1177</v>
      </c>
      <c r="B46">
        <v>19500</v>
      </c>
      <c r="C46">
        <v>10</v>
      </c>
      <c r="D46">
        <v>4</v>
      </c>
      <c r="E46">
        <v>17400</v>
      </c>
      <c r="F46">
        <v>180</v>
      </c>
      <c r="G46" t="b">
        <v>0</v>
      </c>
      <c r="H46">
        <v>180</v>
      </c>
    </row>
    <row r="47" spans="1:8" x14ac:dyDescent="0.25">
      <c r="A47" t="s">
        <v>1178</v>
      </c>
      <c r="B47">
        <v>13000</v>
      </c>
      <c r="C47">
        <v>10</v>
      </c>
      <c r="D47">
        <v>2</v>
      </c>
      <c r="E47">
        <v>11700</v>
      </c>
      <c r="F47">
        <v>80</v>
      </c>
      <c r="G47" t="b">
        <v>0</v>
      </c>
      <c r="H47">
        <v>80</v>
      </c>
    </row>
    <row r="48" spans="1:8" x14ac:dyDescent="0.25">
      <c r="A48" t="s">
        <v>1179</v>
      </c>
      <c r="B48">
        <v>14000</v>
      </c>
      <c r="C48">
        <v>8</v>
      </c>
      <c r="D48">
        <v>2</v>
      </c>
      <c r="E48">
        <v>12800</v>
      </c>
      <c r="F48">
        <v>200</v>
      </c>
      <c r="G48" t="b">
        <v>0</v>
      </c>
      <c r="H48">
        <v>200</v>
      </c>
    </row>
    <row r="49" spans="1:8" x14ac:dyDescent="0.25">
      <c r="A49" t="s">
        <v>1180</v>
      </c>
      <c r="B49">
        <v>3000</v>
      </c>
      <c r="C49">
        <v>3</v>
      </c>
      <c r="D49">
        <v>6</v>
      </c>
      <c r="E49">
        <v>2900</v>
      </c>
      <c r="F49">
        <v>406</v>
      </c>
      <c r="G49" t="b">
        <v>0</v>
      </c>
      <c r="H49">
        <v>7</v>
      </c>
    </row>
    <row r="50" spans="1:8" x14ac:dyDescent="0.25">
      <c r="A50" t="s">
        <v>1181</v>
      </c>
      <c r="B50">
        <v>9900</v>
      </c>
      <c r="C50">
        <v>4</v>
      </c>
      <c r="D50">
        <v>6</v>
      </c>
      <c r="E50">
        <v>9500</v>
      </c>
      <c r="F50">
        <v>750</v>
      </c>
      <c r="G50" t="b">
        <v>0</v>
      </c>
      <c r="H50">
        <v>750</v>
      </c>
    </row>
    <row r="51" spans="1:8" x14ac:dyDescent="0.25">
      <c r="A51" t="s">
        <v>1182</v>
      </c>
      <c r="B51">
        <v>19000</v>
      </c>
      <c r="C51">
        <v>14</v>
      </c>
      <c r="D51">
        <v>6</v>
      </c>
      <c r="E51">
        <v>16200</v>
      </c>
      <c r="F51">
        <v>175</v>
      </c>
      <c r="G51" t="b">
        <v>0</v>
      </c>
      <c r="H51">
        <v>80</v>
      </c>
    </row>
    <row r="52" spans="1:8" x14ac:dyDescent="0.25">
      <c r="A52" t="s">
        <v>1183</v>
      </c>
      <c r="B52">
        <v>7500</v>
      </c>
      <c r="C52">
        <v>5</v>
      </c>
      <c r="D52">
        <v>4</v>
      </c>
      <c r="E52">
        <v>7100</v>
      </c>
      <c r="F52">
        <v>100</v>
      </c>
      <c r="G52" t="b">
        <v>0</v>
      </c>
      <c r="H52">
        <v>100</v>
      </c>
    </row>
    <row r="53" spans="1:8" x14ac:dyDescent="0.25">
      <c r="A53" t="s">
        <v>1184</v>
      </c>
      <c r="B53">
        <v>8200</v>
      </c>
      <c r="C53">
        <v>9</v>
      </c>
      <c r="D53">
        <v>6</v>
      </c>
      <c r="E53">
        <v>7400</v>
      </c>
      <c r="F53">
        <v>190</v>
      </c>
      <c r="G53" t="b">
        <v>0</v>
      </c>
      <c r="H53">
        <v>190</v>
      </c>
    </row>
    <row r="54" spans="1:8" x14ac:dyDescent="0.25">
      <c r="A54" t="s">
        <v>1185</v>
      </c>
      <c r="B54">
        <v>7900</v>
      </c>
      <c r="C54">
        <v>6</v>
      </c>
      <c r="D54">
        <v>6</v>
      </c>
      <c r="E54">
        <v>7400</v>
      </c>
      <c r="F54">
        <v>1160</v>
      </c>
      <c r="G54" t="b">
        <v>0</v>
      </c>
      <c r="H54">
        <v>20</v>
      </c>
    </row>
    <row r="55" spans="1:8" x14ac:dyDescent="0.25">
      <c r="A55" t="s">
        <v>1186</v>
      </c>
      <c r="B55">
        <v>7900</v>
      </c>
      <c r="C55">
        <v>0</v>
      </c>
      <c r="D55">
        <v>6</v>
      </c>
      <c r="E55">
        <v>7900</v>
      </c>
      <c r="F55">
        <v>200</v>
      </c>
      <c r="G55" t="b">
        <v>0</v>
      </c>
      <c r="H55">
        <v>200</v>
      </c>
    </row>
    <row r="56" spans="1:8" x14ac:dyDescent="0.25">
      <c r="A56" t="s">
        <v>1187</v>
      </c>
      <c r="B56">
        <v>7500</v>
      </c>
      <c r="C56">
        <v>9</v>
      </c>
      <c r="D56">
        <v>6</v>
      </c>
      <c r="E56">
        <v>6800</v>
      </c>
      <c r="F56">
        <v>70</v>
      </c>
      <c r="G56" t="b">
        <v>0</v>
      </c>
      <c r="H56">
        <v>70</v>
      </c>
    </row>
    <row r="57" spans="1:8" x14ac:dyDescent="0.25">
      <c r="A57" t="s">
        <v>1188</v>
      </c>
      <c r="B57">
        <v>13500</v>
      </c>
      <c r="C57">
        <v>5</v>
      </c>
      <c r="D57">
        <v>5</v>
      </c>
      <c r="E57">
        <v>12800</v>
      </c>
      <c r="F57">
        <v>50</v>
      </c>
      <c r="G57" t="b">
        <v>0</v>
      </c>
      <c r="H57">
        <v>50</v>
      </c>
    </row>
    <row r="58" spans="1:8" x14ac:dyDescent="0.25">
      <c r="A58" t="s">
        <v>1189</v>
      </c>
      <c r="B58">
        <v>26500</v>
      </c>
      <c r="C58">
        <v>0</v>
      </c>
      <c r="D58">
        <v>2</v>
      </c>
      <c r="E58">
        <v>26500</v>
      </c>
      <c r="F58">
        <v>396</v>
      </c>
      <c r="G58" t="b">
        <v>0</v>
      </c>
      <c r="H58">
        <v>360</v>
      </c>
    </row>
    <row r="59" spans="1:8" x14ac:dyDescent="0.25">
      <c r="A59" t="s">
        <v>1190</v>
      </c>
      <c r="B59">
        <v>16000</v>
      </c>
      <c r="C59">
        <v>11</v>
      </c>
      <c r="D59">
        <v>6</v>
      </c>
      <c r="E59">
        <v>14100</v>
      </c>
      <c r="F59">
        <v>375</v>
      </c>
      <c r="G59" t="b">
        <v>0</v>
      </c>
      <c r="H59">
        <v>375</v>
      </c>
    </row>
    <row r="60" spans="1:8" x14ac:dyDescent="0.25">
      <c r="A60" t="s">
        <v>1191</v>
      </c>
      <c r="B60">
        <v>14000</v>
      </c>
      <c r="C60">
        <v>15</v>
      </c>
      <c r="D60">
        <v>6</v>
      </c>
      <c r="E60">
        <v>11900</v>
      </c>
      <c r="F60">
        <v>5</v>
      </c>
      <c r="G60" t="b">
        <v>0</v>
      </c>
      <c r="H60">
        <v>4</v>
      </c>
    </row>
    <row r="61" spans="1:8" x14ac:dyDescent="0.25">
      <c r="A61" t="s">
        <v>1192</v>
      </c>
      <c r="B61">
        <v>9900</v>
      </c>
      <c r="C61">
        <v>0</v>
      </c>
      <c r="D61">
        <v>3</v>
      </c>
      <c r="E61">
        <v>9900</v>
      </c>
      <c r="F61">
        <v>232</v>
      </c>
      <c r="G61" t="b">
        <v>0</v>
      </c>
      <c r="H61">
        <v>4</v>
      </c>
    </row>
    <row r="62" spans="1:8" x14ac:dyDescent="0.25">
      <c r="A62" t="s">
        <v>1193</v>
      </c>
      <c r="B62">
        <v>25000</v>
      </c>
      <c r="C62">
        <v>10</v>
      </c>
      <c r="D62">
        <v>3</v>
      </c>
      <c r="E62">
        <v>22500</v>
      </c>
      <c r="F62">
        <v>30</v>
      </c>
      <c r="G62" t="b">
        <v>0</v>
      </c>
      <c r="H62">
        <v>30</v>
      </c>
    </row>
    <row r="63" spans="1:8" x14ac:dyDescent="0.25">
      <c r="A63" t="s">
        <v>1194</v>
      </c>
      <c r="B63">
        <v>49900</v>
      </c>
      <c r="C63">
        <v>10</v>
      </c>
      <c r="D63">
        <v>3</v>
      </c>
      <c r="E63">
        <v>44900</v>
      </c>
      <c r="F63">
        <v>650</v>
      </c>
      <c r="G63" t="b">
        <v>0</v>
      </c>
      <c r="H63">
        <v>650</v>
      </c>
    </row>
    <row r="64" spans="1:8" x14ac:dyDescent="0.25">
      <c r="A64" t="s">
        <v>1195</v>
      </c>
      <c r="B64">
        <v>9800</v>
      </c>
      <c r="C64">
        <v>0</v>
      </c>
      <c r="D64">
        <v>5</v>
      </c>
      <c r="E64">
        <v>9800</v>
      </c>
      <c r="F64">
        <v>100</v>
      </c>
      <c r="G64" t="b">
        <v>0</v>
      </c>
      <c r="H64">
        <v>100</v>
      </c>
    </row>
    <row r="65" spans="1:8" x14ac:dyDescent="0.25">
      <c r="A65" t="s">
        <v>1196</v>
      </c>
      <c r="B65">
        <v>12000</v>
      </c>
      <c r="C65">
        <v>0</v>
      </c>
      <c r="D65">
        <v>3</v>
      </c>
      <c r="E65">
        <v>12000</v>
      </c>
      <c r="F65">
        <v>348</v>
      </c>
      <c r="G65" t="b">
        <v>0</v>
      </c>
      <c r="H65">
        <v>6</v>
      </c>
    </row>
    <row r="66" spans="1:8" x14ac:dyDescent="0.25">
      <c r="A66" t="s">
        <v>1197</v>
      </c>
      <c r="B66">
        <v>18900</v>
      </c>
      <c r="C66">
        <v>0</v>
      </c>
      <c r="D66">
        <v>6</v>
      </c>
      <c r="E66">
        <v>18900</v>
      </c>
      <c r="F66">
        <v>1500</v>
      </c>
      <c r="G66" t="b">
        <v>0</v>
      </c>
      <c r="H66">
        <v>1500</v>
      </c>
    </row>
    <row r="67" spans="1:8" x14ac:dyDescent="0.25">
      <c r="A67" t="s">
        <v>1198</v>
      </c>
      <c r="B67">
        <v>7500</v>
      </c>
      <c r="C67">
        <v>0</v>
      </c>
      <c r="D67">
        <v>6</v>
      </c>
      <c r="E67">
        <v>7500</v>
      </c>
      <c r="F67">
        <v>40</v>
      </c>
      <c r="G67" t="b">
        <v>0</v>
      </c>
      <c r="H67">
        <v>40</v>
      </c>
    </row>
    <row r="68" spans="1:8" x14ac:dyDescent="0.25">
      <c r="A68" t="s">
        <v>1199</v>
      </c>
      <c r="B68">
        <v>33000</v>
      </c>
      <c r="C68">
        <v>2</v>
      </c>
      <c r="D68">
        <v>6</v>
      </c>
      <c r="E68">
        <v>32300</v>
      </c>
      <c r="F68">
        <v>30</v>
      </c>
      <c r="G68" t="b">
        <v>0</v>
      </c>
      <c r="H68">
        <v>30</v>
      </c>
    </row>
    <row r="69" spans="1:8" x14ac:dyDescent="0.25">
      <c r="A69" t="s">
        <v>1200</v>
      </c>
      <c r="B69">
        <v>8000</v>
      </c>
      <c r="C69">
        <v>0</v>
      </c>
      <c r="D69">
        <v>1</v>
      </c>
      <c r="E69">
        <v>8000</v>
      </c>
      <c r="F69">
        <v>60</v>
      </c>
      <c r="G69" t="b">
        <v>0</v>
      </c>
      <c r="H69">
        <v>60</v>
      </c>
    </row>
    <row r="70" spans="1:8" x14ac:dyDescent="0.25">
      <c r="A70" t="s">
        <v>1201</v>
      </c>
      <c r="B70">
        <v>21000</v>
      </c>
      <c r="C70">
        <v>0</v>
      </c>
      <c r="D70">
        <v>6</v>
      </c>
      <c r="E70">
        <v>21000</v>
      </c>
      <c r="F70">
        <v>150</v>
      </c>
      <c r="G70" t="b">
        <v>0</v>
      </c>
      <c r="H70">
        <v>150</v>
      </c>
    </row>
    <row r="71" spans="1:8" x14ac:dyDescent="0.25">
      <c r="A71" t="s">
        <v>1202</v>
      </c>
      <c r="B71">
        <v>9900</v>
      </c>
      <c r="C71">
        <v>0</v>
      </c>
      <c r="D71">
        <v>6</v>
      </c>
      <c r="E71">
        <v>9900</v>
      </c>
      <c r="F71">
        <v>232</v>
      </c>
      <c r="G71" t="b">
        <v>0</v>
      </c>
      <c r="H71">
        <v>4</v>
      </c>
    </row>
    <row r="72" spans="1:8" x14ac:dyDescent="0.25">
      <c r="A72" t="s">
        <v>1203</v>
      </c>
      <c r="B72">
        <v>44900</v>
      </c>
      <c r="C72">
        <v>7</v>
      </c>
      <c r="D72">
        <v>6</v>
      </c>
      <c r="E72">
        <v>41500</v>
      </c>
      <c r="F72">
        <v>44</v>
      </c>
      <c r="G72" t="b">
        <v>0</v>
      </c>
      <c r="H72">
        <v>44</v>
      </c>
    </row>
    <row r="73" spans="1:8" x14ac:dyDescent="0.25">
      <c r="A73" t="s">
        <v>1204</v>
      </c>
      <c r="B73">
        <v>9000</v>
      </c>
      <c r="C73">
        <v>0</v>
      </c>
      <c r="D73">
        <v>6</v>
      </c>
      <c r="E73">
        <v>9000</v>
      </c>
      <c r="F73">
        <v>1160</v>
      </c>
      <c r="G73" t="b">
        <v>0</v>
      </c>
      <c r="H73">
        <v>20</v>
      </c>
    </row>
    <row r="74" spans="1:8" x14ac:dyDescent="0.25">
      <c r="A74" t="s">
        <v>1205</v>
      </c>
      <c r="B74">
        <v>21000</v>
      </c>
      <c r="C74">
        <v>7</v>
      </c>
      <c r="D74">
        <v>5</v>
      </c>
      <c r="E74">
        <v>19400</v>
      </c>
      <c r="F74">
        <v>150</v>
      </c>
      <c r="G74" t="b">
        <v>0</v>
      </c>
      <c r="H74">
        <v>150</v>
      </c>
    </row>
    <row r="75" spans="1:8" x14ac:dyDescent="0.25">
      <c r="A75" t="s">
        <v>1206</v>
      </c>
      <c r="B75">
        <v>15000</v>
      </c>
      <c r="C75">
        <v>0</v>
      </c>
      <c r="D75">
        <v>4</v>
      </c>
      <c r="E75">
        <v>15000</v>
      </c>
      <c r="F75">
        <v>180</v>
      </c>
      <c r="G75" t="b">
        <v>0</v>
      </c>
      <c r="H75">
        <v>180</v>
      </c>
    </row>
    <row r="76" spans="1:8" x14ac:dyDescent="0.25">
      <c r="A76" t="s">
        <v>1207</v>
      </c>
      <c r="B76">
        <v>10500</v>
      </c>
      <c r="C76">
        <v>0</v>
      </c>
      <c r="D76">
        <v>2</v>
      </c>
      <c r="E76">
        <v>10500</v>
      </c>
      <c r="F76">
        <v>175</v>
      </c>
      <c r="G76" t="b">
        <v>0</v>
      </c>
      <c r="H76">
        <v>175</v>
      </c>
    </row>
    <row r="77" spans="1:8" x14ac:dyDescent="0.25">
      <c r="A77" t="s">
        <v>1208</v>
      </c>
      <c r="B77">
        <v>21000</v>
      </c>
      <c r="C77">
        <v>7</v>
      </c>
      <c r="D77">
        <v>6</v>
      </c>
      <c r="E77">
        <v>19400</v>
      </c>
      <c r="F77">
        <v>120</v>
      </c>
      <c r="G77" t="b">
        <v>0</v>
      </c>
      <c r="H77">
        <v>120</v>
      </c>
    </row>
    <row r="78" spans="1:8" x14ac:dyDescent="0.25">
      <c r="A78" t="s">
        <v>1209</v>
      </c>
      <c r="B78">
        <v>38000</v>
      </c>
      <c r="C78">
        <v>0</v>
      </c>
      <c r="D78">
        <v>3</v>
      </c>
      <c r="E78">
        <v>38000</v>
      </c>
      <c r="F78">
        <v>340</v>
      </c>
      <c r="G78" t="b">
        <v>0</v>
      </c>
      <c r="H78">
        <v>340</v>
      </c>
    </row>
    <row r="79" spans="1:8" x14ac:dyDescent="0.25">
      <c r="A79" t="s">
        <v>1210</v>
      </c>
      <c r="B79">
        <v>18000</v>
      </c>
      <c r="C79">
        <v>0</v>
      </c>
      <c r="D79">
        <v>1</v>
      </c>
      <c r="E79">
        <v>18000</v>
      </c>
      <c r="F79">
        <v>100</v>
      </c>
      <c r="G79" t="b">
        <v>0</v>
      </c>
      <c r="H79">
        <v>100</v>
      </c>
    </row>
    <row r="80" spans="1:8" x14ac:dyDescent="0.25">
      <c r="A80" t="s">
        <v>1211</v>
      </c>
      <c r="B80">
        <v>7500</v>
      </c>
      <c r="C80">
        <v>13</v>
      </c>
      <c r="D80">
        <v>4</v>
      </c>
      <c r="E80">
        <v>6500</v>
      </c>
      <c r="F80">
        <v>25</v>
      </c>
      <c r="G80" t="b">
        <v>0</v>
      </c>
      <c r="H80">
        <v>25</v>
      </c>
    </row>
    <row r="81" spans="1:8" x14ac:dyDescent="0.25">
      <c r="A81" t="s">
        <v>1212</v>
      </c>
      <c r="B81">
        <v>19500</v>
      </c>
      <c r="C81">
        <v>10</v>
      </c>
      <c r="D81">
        <v>6</v>
      </c>
      <c r="E81">
        <v>17400</v>
      </c>
      <c r="F81">
        <v>150</v>
      </c>
      <c r="G81" t="b">
        <v>0</v>
      </c>
      <c r="H81">
        <v>150</v>
      </c>
    </row>
    <row r="82" spans="1:8" x14ac:dyDescent="0.25">
      <c r="A82" t="s">
        <v>1213</v>
      </c>
      <c r="B82">
        <v>2000</v>
      </c>
      <c r="C82">
        <v>0</v>
      </c>
      <c r="D82">
        <v>1</v>
      </c>
      <c r="E82">
        <v>2000</v>
      </c>
      <c r="F82">
        <v>58</v>
      </c>
      <c r="G82" t="b">
        <v>0</v>
      </c>
      <c r="H82">
        <v>1</v>
      </c>
    </row>
    <row r="83" spans="1:8" x14ac:dyDescent="0.25">
      <c r="A83" t="s">
        <v>1214</v>
      </c>
      <c r="B83">
        <v>15000</v>
      </c>
      <c r="C83">
        <v>20</v>
      </c>
      <c r="D83">
        <v>5</v>
      </c>
      <c r="E83">
        <v>12000</v>
      </c>
      <c r="F83">
        <v>250</v>
      </c>
      <c r="G83" t="b">
        <v>0</v>
      </c>
      <c r="H83">
        <v>250</v>
      </c>
    </row>
    <row r="84" spans="1:8" x14ac:dyDescent="0.25">
      <c r="A84" t="s">
        <v>1215</v>
      </c>
      <c r="B84">
        <v>9900</v>
      </c>
      <c r="C84">
        <v>0</v>
      </c>
      <c r="D84">
        <v>6</v>
      </c>
      <c r="E84">
        <v>9900</v>
      </c>
      <c r="F84">
        <v>232</v>
      </c>
      <c r="G84" t="b">
        <v>0</v>
      </c>
      <c r="H84">
        <v>4</v>
      </c>
    </row>
    <row r="85" spans="1:8" x14ac:dyDescent="0.25">
      <c r="A85" t="s">
        <v>1216</v>
      </c>
      <c r="B85">
        <v>9900</v>
      </c>
      <c r="C85">
        <v>0</v>
      </c>
      <c r="D85">
        <v>3</v>
      </c>
      <c r="E85">
        <v>9900</v>
      </c>
      <c r="F85">
        <v>750</v>
      </c>
      <c r="G85" t="b">
        <v>0</v>
      </c>
      <c r="H85">
        <v>750</v>
      </c>
    </row>
    <row r="86" spans="1:8" x14ac:dyDescent="0.25">
      <c r="A86" t="s">
        <v>1217</v>
      </c>
      <c r="B86">
        <v>11000</v>
      </c>
      <c r="C86">
        <v>10</v>
      </c>
      <c r="D86">
        <v>3</v>
      </c>
      <c r="E86">
        <v>9900</v>
      </c>
      <c r="F86">
        <v>120</v>
      </c>
      <c r="G86" t="b">
        <v>0</v>
      </c>
      <c r="H86">
        <v>120</v>
      </c>
    </row>
    <row r="87" spans="1:8" x14ac:dyDescent="0.25">
      <c r="A87" t="s">
        <v>1218</v>
      </c>
      <c r="B87">
        <v>3000</v>
      </c>
      <c r="C87">
        <v>16</v>
      </c>
      <c r="D87">
        <v>6</v>
      </c>
      <c r="E87">
        <v>2500</v>
      </c>
      <c r="F87">
        <v>58</v>
      </c>
      <c r="G87" t="b">
        <v>0</v>
      </c>
      <c r="H87">
        <v>1</v>
      </c>
    </row>
    <row r="88" spans="1:8" x14ac:dyDescent="0.25">
      <c r="A88" t="s">
        <v>1219</v>
      </c>
      <c r="B88">
        <v>26000</v>
      </c>
      <c r="C88">
        <v>10</v>
      </c>
      <c r="D88">
        <v>6</v>
      </c>
      <c r="E88">
        <v>23400</v>
      </c>
      <c r="F88">
        <v>116</v>
      </c>
      <c r="G88" t="b">
        <v>0</v>
      </c>
      <c r="H88">
        <v>2</v>
      </c>
    </row>
    <row r="89" spans="1:8" x14ac:dyDescent="0.25">
      <c r="A89" t="s">
        <v>1220</v>
      </c>
      <c r="B89">
        <v>14900</v>
      </c>
      <c r="C89">
        <v>0</v>
      </c>
      <c r="D89">
        <v>2</v>
      </c>
      <c r="E89">
        <v>14900</v>
      </c>
      <c r="F89">
        <v>0</v>
      </c>
      <c r="G89" t="b">
        <v>0</v>
      </c>
      <c r="H89">
        <v>0</v>
      </c>
    </row>
    <row r="90" spans="1:8" x14ac:dyDescent="0.25">
      <c r="A90" t="s">
        <v>1221</v>
      </c>
      <c r="B90">
        <v>5500</v>
      </c>
      <c r="C90">
        <v>0</v>
      </c>
      <c r="D90">
        <v>3</v>
      </c>
      <c r="E90">
        <v>5500</v>
      </c>
      <c r="F90">
        <v>100</v>
      </c>
      <c r="G90" t="b">
        <v>0</v>
      </c>
      <c r="H90">
        <v>100</v>
      </c>
    </row>
    <row r="91" spans="1:8" x14ac:dyDescent="0.25">
      <c r="A91" t="s">
        <v>1222</v>
      </c>
      <c r="B91">
        <v>5800</v>
      </c>
      <c r="C91">
        <v>0</v>
      </c>
      <c r="D91">
        <v>6</v>
      </c>
      <c r="E91">
        <v>5800</v>
      </c>
      <c r="F91">
        <v>150</v>
      </c>
      <c r="G91" t="b">
        <v>0</v>
      </c>
      <c r="H91">
        <v>150</v>
      </c>
    </row>
    <row r="92" spans="1:8" x14ac:dyDescent="0.25">
      <c r="A92" t="s">
        <v>1223</v>
      </c>
      <c r="B92">
        <v>3300</v>
      </c>
      <c r="C92">
        <v>0</v>
      </c>
      <c r="D92">
        <v>6</v>
      </c>
      <c r="E92">
        <v>3300</v>
      </c>
      <c r="F92">
        <v>20</v>
      </c>
      <c r="G92" t="b">
        <v>0</v>
      </c>
      <c r="H92">
        <v>20</v>
      </c>
    </row>
    <row r="93" spans="1:8" x14ac:dyDescent="0.25">
      <c r="A93" t="s">
        <v>1224</v>
      </c>
      <c r="B93">
        <v>12000</v>
      </c>
      <c r="C93">
        <v>10</v>
      </c>
      <c r="D93">
        <v>4</v>
      </c>
      <c r="E93">
        <v>10800</v>
      </c>
      <c r="F93">
        <v>232</v>
      </c>
      <c r="G93" t="b">
        <v>0</v>
      </c>
      <c r="H93">
        <v>4</v>
      </c>
    </row>
    <row r="94" spans="1:8" x14ac:dyDescent="0.25">
      <c r="A94" t="s">
        <v>1225</v>
      </c>
      <c r="B94">
        <v>17500</v>
      </c>
      <c r="C94">
        <v>10</v>
      </c>
      <c r="D94">
        <v>4</v>
      </c>
      <c r="E94">
        <v>15700</v>
      </c>
      <c r="F94">
        <v>100</v>
      </c>
      <c r="G94" t="b">
        <v>0</v>
      </c>
      <c r="H94">
        <v>100</v>
      </c>
    </row>
    <row r="95" spans="1:8" x14ac:dyDescent="0.25">
      <c r="A95" t="s">
        <v>1226</v>
      </c>
      <c r="B95">
        <v>9900</v>
      </c>
      <c r="C95">
        <v>0</v>
      </c>
      <c r="D95">
        <v>1</v>
      </c>
      <c r="E95">
        <v>9900</v>
      </c>
      <c r="F95">
        <v>232</v>
      </c>
      <c r="G95" t="b">
        <v>0</v>
      </c>
      <c r="H95">
        <v>4</v>
      </c>
    </row>
    <row r="96" spans="1:8" x14ac:dyDescent="0.25">
      <c r="A96" t="s">
        <v>1227</v>
      </c>
      <c r="B96">
        <v>14900</v>
      </c>
      <c r="C96">
        <v>10</v>
      </c>
      <c r="D96">
        <v>4</v>
      </c>
      <c r="E96">
        <v>13400</v>
      </c>
      <c r="F96">
        <v>50</v>
      </c>
      <c r="G96" t="b">
        <v>0</v>
      </c>
      <c r="H96">
        <v>50</v>
      </c>
    </row>
    <row r="97" spans="1:8" x14ac:dyDescent="0.25">
      <c r="A97" t="s">
        <v>1228</v>
      </c>
      <c r="B97">
        <v>20000</v>
      </c>
      <c r="C97">
        <v>10</v>
      </c>
      <c r="D97">
        <v>3</v>
      </c>
      <c r="E97">
        <v>18000</v>
      </c>
      <c r="F97">
        <v>72</v>
      </c>
      <c r="G97" t="b">
        <v>0</v>
      </c>
      <c r="H97">
        <v>72</v>
      </c>
    </row>
    <row r="98" spans="1:8" x14ac:dyDescent="0.25">
      <c r="A98" t="s">
        <v>1229</v>
      </c>
      <c r="B98">
        <v>34000</v>
      </c>
      <c r="C98">
        <v>12</v>
      </c>
      <c r="D98">
        <v>6</v>
      </c>
      <c r="E98">
        <v>29800</v>
      </c>
      <c r="F98">
        <v>28</v>
      </c>
      <c r="G98" t="b">
        <v>0</v>
      </c>
      <c r="H98">
        <v>28</v>
      </c>
    </row>
    <row r="99" spans="1:8" x14ac:dyDescent="0.25">
      <c r="A99" t="s">
        <v>1230</v>
      </c>
      <c r="B99">
        <v>62000</v>
      </c>
      <c r="C99">
        <v>0</v>
      </c>
      <c r="D99">
        <v>1</v>
      </c>
      <c r="E99">
        <v>62000</v>
      </c>
      <c r="F99">
        <v>172</v>
      </c>
      <c r="G99" t="b">
        <v>0</v>
      </c>
      <c r="H99">
        <v>172</v>
      </c>
    </row>
    <row r="100" spans="1:8" x14ac:dyDescent="0.25">
      <c r="A100" t="s">
        <v>1231</v>
      </c>
      <c r="B100">
        <v>8500</v>
      </c>
      <c r="C100">
        <v>15</v>
      </c>
      <c r="D100">
        <v>4</v>
      </c>
      <c r="E100">
        <v>7200</v>
      </c>
      <c r="F100">
        <v>64</v>
      </c>
      <c r="G100" t="b">
        <v>0</v>
      </c>
      <c r="H100">
        <v>64</v>
      </c>
    </row>
    <row r="101" spans="1:8" x14ac:dyDescent="0.25">
      <c r="A101" t="s">
        <v>1232</v>
      </c>
      <c r="B101">
        <v>19500</v>
      </c>
      <c r="C101">
        <v>10</v>
      </c>
      <c r="D101">
        <v>5</v>
      </c>
      <c r="E101">
        <v>17400</v>
      </c>
      <c r="F101">
        <v>150</v>
      </c>
      <c r="G101" t="b">
        <v>0</v>
      </c>
      <c r="H101">
        <v>150</v>
      </c>
    </row>
    <row r="102" spans="1:8" x14ac:dyDescent="0.25">
      <c r="A102" t="s">
        <v>1233</v>
      </c>
      <c r="B102">
        <v>6000</v>
      </c>
      <c r="C102">
        <v>0</v>
      </c>
      <c r="D102">
        <v>6</v>
      </c>
      <c r="E102">
        <v>6000</v>
      </c>
      <c r="F102">
        <v>100</v>
      </c>
      <c r="G102" t="b">
        <v>0</v>
      </c>
      <c r="H102">
        <v>100</v>
      </c>
    </row>
    <row r="103" spans="1:8" x14ac:dyDescent="0.25">
      <c r="A103" t="s">
        <v>1234</v>
      </c>
      <c r="B103">
        <v>9900</v>
      </c>
      <c r="C103">
        <v>10</v>
      </c>
      <c r="D103">
        <v>4</v>
      </c>
      <c r="E103">
        <v>8900</v>
      </c>
      <c r="F103">
        <v>100</v>
      </c>
      <c r="G103" t="b">
        <v>0</v>
      </c>
      <c r="H103">
        <v>100</v>
      </c>
    </row>
    <row r="104" spans="1:8" x14ac:dyDescent="0.25">
      <c r="A104" t="s">
        <v>1235</v>
      </c>
      <c r="B104">
        <v>109900</v>
      </c>
      <c r="C104">
        <v>18</v>
      </c>
      <c r="D104">
        <v>2</v>
      </c>
      <c r="E104">
        <v>89900</v>
      </c>
      <c r="F104">
        <v>44</v>
      </c>
      <c r="G104" t="b">
        <v>0</v>
      </c>
      <c r="H104">
        <v>44</v>
      </c>
    </row>
    <row r="105" spans="1:8" x14ac:dyDescent="0.25">
      <c r="A105" t="s">
        <v>1236</v>
      </c>
      <c r="B105">
        <v>19900</v>
      </c>
      <c r="C105">
        <v>20</v>
      </c>
      <c r="D105">
        <v>2</v>
      </c>
      <c r="E105">
        <v>15900</v>
      </c>
      <c r="F105">
        <v>150</v>
      </c>
      <c r="G105" t="b">
        <v>0</v>
      </c>
      <c r="H105">
        <v>150</v>
      </c>
    </row>
    <row r="106" spans="1:8" x14ac:dyDescent="0.25">
      <c r="A106" t="s">
        <v>1237</v>
      </c>
      <c r="B106">
        <v>62000</v>
      </c>
      <c r="C106">
        <v>0</v>
      </c>
      <c r="D106">
        <v>6</v>
      </c>
      <c r="E106">
        <v>62000</v>
      </c>
      <c r="F106">
        <v>172</v>
      </c>
      <c r="G106" t="b">
        <v>0</v>
      </c>
      <c r="H106">
        <v>172</v>
      </c>
    </row>
    <row r="107" spans="1:8" x14ac:dyDescent="0.25">
      <c r="A107" t="s">
        <v>1238</v>
      </c>
      <c r="B107">
        <v>7500</v>
      </c>
      <c r="C107">
        <v>9</v>
      </c>
      <c r="D107">
        <v>4</v>
      </c>
      <c r="E107">
        <v>6800</v>
      </c>
      <c r="F107">
        <v>200</v>
      </c>
      <c r="G107" t="b">
        <v>0</v>
      </c>
      <c r="H107">
        <v>200</v>
      </c>
    </row>
    <row r="108" spans="1:8" x14ac:dyDescent="0.25">
      <c r="A108" t="s">
        <v>1239</v>
      </c>
      <c r="B108">
        <v>14900</v>
      </c>
      <c r="C108">
        <v>0</v>
      </c>
      <c r="D108">
        <v>6</v>
      </c>
      <c r="E108">
        <v>14900</v>
      </c>
      <c r="F108">
        <v>600</v>
      </c>
      <c r="G108" t="b">
        <v>0</v>
      </c>
      <c r="H108">
        <v>600</v>
      </c>
    </row>
    <row r="109" spans="1:8" x14ac:dyDescent="0.25">
      <c r="A109" t="s">
        <v>1240</v>
      </c>
      <c r="B109">
        <v>12000</v>
      </c>
      <c r="C109">
        <v>6</v>
      </c>
      <c r="D109">
        <v>5</v>
      </c>
      <c r="E109">
        <v>11200</v>
      </c>
      <c r="F109">
        <v>180</v>
      </c>
      <c r="G109" t="b">
        <v>0</v>
      </c>
      <c r="H109">
        <v>180</v>
      </c>
    </row>
    <row r="110" spans="1:8" x14ac:dyDescent="0.25">
      <c r="A110" t="s">
        <v>1241</v>
      </c>
      <c r="B110">
        <v>23500</v>
      </c>
      <c r="C110">
        <v>7</v>
      </c>
      <c r="D110">
        <v>6</v>
      </c>
      <c r="E110">
        <v>21800</v>
      </c>
      <c r="F110">
        <v>1160</v>
      </c>
      <c r="G110" t="b">
        <v>0</v>
      </c>
      <c r="H110">
        <v>20</v>
      </c>
    </row>
    <row r="111" spans="1:8" x14ac:dyDescent="0.25">
      <c r="A111" t="s">
        <v>1185</v>
      </c>
      <c r="B111">
        <v>24500</v>
      </c>
      <c r="C111">
        <v>9</v>
      </c>
      <c r="D111">
        <v>6</v>
      </c>
      <c r="E111">
        <v>22100</v>
      </c>
      <c r="F111">
        <v>72</v>
      </c>
      <c r="G111" t="b">
        <v>0</v>
      </c>
      <c r="H111">
        <v>72</v>
      </c>
    </row>
    <row r="112" spans="1:8" x14ac:dyDescent="0.25">
      <c r="A112" t="s">
        <v>1242</v>
      </c>
      <c r="B112">
        <v>19900</v>
      </c>
      <c r="C112">
        <v>11</v>
      </c>
      <c r="D112">
        <v>4</v>
      </c>
      <c r="E112">
        <v>17700</v>
      </c>
      <c r="F112">
        <v>196</v>
      </c>
      <c r="G112" t="b">
        <v>0</v>
      </c>
      <c r="H112">
        <v>196</v>
      </c>
    </row>
    <row r="113" spans="1:8" x14ac:dyDescent="0.25">
      <c r="A113" t="s">
        <v>1243</v>
      </c>
      <c r="B113">
        <v>21500</v>
      </c>
      <c r="C113">
        <v>6</v>
      </c>
      <c r="D113">
        <v>3</v>
      </c>
      <c r="E113">
        <v>20000</v>
      </c>
      <c r="F113">
        <v>100</v>
      </c>
      <c r="G113" t="b">
        <v>0</v>
      </c>
      <c r="H113">
        <v>100</v>
      </c>
    </row>
    <row r="114" spans="1:8" x14ac:dyDescent="0.25">
      <c r="A114" t="s">
        <v>1244</v>
      </c>
      <c r="B114">
        <v>31500</v>
      </c>
      <c r="C114">
        <v>0</v>
      </c>
      <c r="D114">
        <v>4</v>
      </c>
      <c r="E114">
        <v>31500</v>
      </c>
      <c r="F114">
        <v>30</v>
      </c>
      <c r="G114" t="b">
        <v>0</v>
      </c>
      <c r="H114">
        <v>30</v>
      </c>
    </row>
    <row r="115" spans="1:8" x14ac:dyDescent="0.25">
      <c r="A115" t="s">
        <v>1245</v>
      </c>
      <c r="B115">
        <v>8000</v>
      </c>
      <c r="C115">
        <v>8</v>
      </c>
      <c r="D115">
        <v>4</v>
      </c>
      <c r="E115">
        <v>7300</v>
      </c>
      <c r="F115">
        <v>100</v>
      </c>
      <c r="G115" t="b">
        <v>0</v>
      </c>
      <c r="H115">
        <v>100</v>
      </c>
    </row>
    <row r="116" spans="1:8" x14ac:dyDescent="0.25">
      <c r="A116" t="s">
        <v>1246</v>
      </c>
      <c r="B116">
        <v>22500</v>
      </c>
      <c r="C116">
        <v>20</v>
      </c>
      <c r="D116">
        <v>4</v>
      </c>
      <c r="E116">
        <v>18000</v>
      </c>
      <c r="F116">
        <v>250</v>
      </c>
      <c r="G116" t="b">
        <v>0</v>
      </c>
      <c r="H116">
        <v>250</v>
      </c>
    </row>
    <row r="117" spans="1:8" x14ac:dyDescent="0.25">
      <c r="A117" t="s">
        <v>1247</v>
      </c>
      <c r="B117">
        <v>17500</v>
      </c>
      <c r="C117">
        <v>0</v>
      </c>
      <c r="D117">
        <v>5</v>
      </c>
      <c r="E117">
        <v>17500</v>
      </c>
      <c r="F117">
        <v>870</v>
      </c>
      <c r="G117" t="b">
        <v>0</v>
      </c>
      <c r="H117">
        <v>15</v>
      </c>
    </row>
    <row r="118" spans="1:8" x14ac:dyDescent="0.25">
      <c r="A118" t="s">
        <v>1248</v>
      </c>
      <c r="B118">
        <v>14300</v>
      </c>
      <c r="C118">
        <v>0</v>
      </c>
      <c r="D118">
        <v>6</v>
      </c>
      <c r="E118">
        <v>14300</v>
      </c>
      <c r="F118">
        <v>200</v>
      </c>
      <c r="G118" t="b">
        <v>0</v>
      </c>
      <c r="H118">
        <v>200</v>
      </c>
    </row>
    <row r="119" spans="1:8" x14ac:dyDescent="0.25">
      <c r="A119" t="s">
        <v>1249</v>
      </c>
      <c r="B119">
        <v>23500</v>
      </c>
      <c r="C119">
        <v>9</v>
      </c>
      <c r="D119">
        <v>6</v>
      </c>
      <c r="E119">
        <v>21200</v>
      </c>
      <c r="F119">
        <v>125</v>
      </c>
      <c r="G119" t="b">
        <v>0</v>
      </c>
      <c r="H119">
        <v>125</v>
      </c>
    </row>
    <row r="120" spans="1:8" x14ac:dyDescent="0.25">
      <c r="A120" t="s">
        <v>1250</v>
      </c>
      <c r="B120">
        <v>9500</v>
      </c>
      <c r="C120">
        <v>0</v>
      </c>
      <c r="D120">
        <v>4</v>
      </c>
      <c r="E120">
        <v>9500</v>
      </c>
      <c r="F120">
        <v>200</v>
      </c>
      <c r="G120" t="b">
        <v>0</v>
      </c>
      <c r="H120">
        <v>200</v>
      </c>
    </row>
    <row r="121" spans="1:8" x14ac:dyDescent="0.25">
      <c r="A121" t="s">
        <v>1251</v>
      </c>
      <c r="B121">
        <v>19900</v>
      </c>
      <c r="C121">
        <v>0</v>
      </c>
      <c r="D121">
        <v>3</v>
      </c>
      <c r="E121">
        <v>19900</v>
      </c>
      <c r="F121">
        <v>192</v>
      </c>
      <c r="G121" t="b">
        <v>0</v>
      </c>
      <c r="H121">
        <v>192</v>
      </c>
    </row>
    <row r="122" spans="1:8" x14ac:dyDescent="0.25">
      <c r="A122" t="s">
        <v>1252</v>
      </c>
      <c r="B122">
        <v>19900</v>
      </c>
      <c r="C122">
        <v>4</v>
      </c>
      <c r="D122">
        <v>5</v>
      </c>
      <c r="E122">
        <v>19100</v>
      </c>
      <c r="F122">
        <v>250</v>
      </c>
      <c r="G122" t="b">
        <v>0</v>
      </c>
      <c r="H122">
        <v>250</v>
      </c>
    </row>
    <row r="123" spans="1:8" x14ac:dyDescent="0.25">
      <c r="A123" t="s">
        <v>1253</v>
      </c>
      <c r="B123">
        <v>13500</v>
      </c>
      <c r="C123">
        <v>0</v>
      </c>
      <c r="D123">
        <v>1</v>
      </c>
      <c r="E123">
        <v>13500</v>
      </c>
      <c r="F123">
        <v>192</v>
      </c>
      <c r="G123" t="b">
        <v>0</v>
      </c>
      <c r="H123">
        <v>192</v>
      </c>
    </row>
    <row r="124" spans="1:8" x14ac:dyDescent="0.25">
      <c r="A124" t="s">
        <v>1254</v>
      </c>
      <c r="B124">
        <v>2500</v>
      </c>
      <c r="C124">
        <v>0</v>
      </c>
      <c r="D124">
        <v>5</v>
      </c>
      <c r="E124">
        <v>2500</v>
      </c>
      <c r="F124">
        <v>20</v>
      </c>
      <c r="G124" t="b">
        <v>0</v>
      </c>
      <c r="H124">
        <v>20</v>
      </c>
    </row>
    <row r="125" spans="1:8" x14ac:dyDescent="0.25">
      <c r="A125" t="s">
        <v>1255</v>
      </c>
      <c r="B125">
        <v>8000</v>
      </c>
      <c r="C125">
        <v>6</v>
      </c>
      <c r="D125">
        <v>2</v>
      </c>
      <c r="E125">
        <v>7500</v>
      </c>
      <c r="F125">
        <v>250</v>
      </c>
      <c r="G125" t="b">
        <v>0</v>
      </c>
      <c r="H125">
        <v>250</v>
      </c>
    </row>
    <row r="126" spans="1:8" x14ac:dyDescent="0.25">
      <c r="A126" t="s">
        <v>1256</v>
      </c>
      <c r="B126">
        <v>17000</v>
      </c>
      <c r="C126">
        <v>10</v>
      </c>
      <c r="D126">
        <v>6</v>
      </c>
      <c r="E126">
        <v>15300</v>
      </c>
      <c r="F126">
        <v>150</v>
      </c>
      <c r="G126" t="b">
        <v>0</v>
      </c>
      <c r="H126">
        <v>150</v>
      </c>
    </row>
    <row r="127" spans="1:8" x14ac:dyDescent="0.25">
      <c r="A127" t="s">
        <v>1257</v>
      </c>
      <c r="B127">
        <v>6500</v>
      </c>
      <c r="C127">
        <v>9</v>
      </c>
      <c r="D127">
        <v>3</v>
      </c>
      <c r="E127">
        <v>5900</v>
      </c>
      <c r="F127">
        <v>24</v>
      </c>
      <c r="G127" t="b">
        <v>0</v>
      </c>
      <c r="H127">
        <v>24</v>
      </c>
    </row>
    <row r="128" spans="1:8" x14ac:dyDescent="0.25">
      <c r="A128" t="s">
        <v>1258</v>
      </c>
      <c r="B128">
        <v>13300</v>
      </c>
      <c r="C128">
        <v>2</v>
      </c>
      <c r="D128">
        <v>5</v>
      </c>
      <c r="E128">
        <v>13000</v>
      </c>
      <c r="F128">
        <v>1160</v>
      </c>
      <c r="G128" t="b">
        <v>0</v>
      </c>
      <c r="H128">
        <v>20</v>
      </c>
    </row>
    <row r="129" spans="1:8" x14ac:dyDescent="0.25">
      <c r="A129" t="s">
        <v>1259</v>
      </c>
      <c r="B129">
        <v>15800</v>
      </c>
      <c r="C129">
        <v>6</v>
      </c>
      <c r="D129">
        <v>5</v>
      </c>
      <c r="E129">
        <v>14700</v>
      </c>
      <c r="F129">
        <v>180</v>
      </c>
      <c r="G129" t="b">
        <v>0</v>
      </c>
      <c r="H129">
        <v>180</v>
      </c>
    </row>
    <row r="130" spans="1:8" x14ac:dyDescent="0.25">
      <c r="A130" t="s">
        <v>1260</v>
      </c>
      <c r="B130">
        <v>28500</v>
      </c>
      <c r="C130">
        <v>0</v>
      </c>
      <c r="D130">
        <v>5</v>
      </c>
      <c r="E130">
        <v>28500</v>
      </c>
      <c r="F130">
        <v>340</v>
      </c>
      <c r="G130" t="b">
        <v>0</v>
      </c>
      <c r="H130">
        <v>240</v>
      </c>
    </row>
    <row r="131" spans="1:8" x14ac:dyDescent="0.25">
      <c r="A131" t="s">
        <v>1261</v>
      </c>
      <c r="B131">
        <v>55000</v>
      </c>
      <c r="C131">
        <v>0</v>
      </c>
      <c r="D131">
        <v>6</v>
      </c>
      <c r="E131">
        <v>55000</v>
      </c>
      <c r="F131">
        <v>159</v>
      </c>
      <c r="G131" t="b">
        <v>0</v>
      </c>
      <c r="H131">
        <v>87</v>
      </c>
    </row>
    <row r="132" spans="1:8" x14ac:dyDescent="0.25">
      <c r="A132" t="s">
        <v>1262</v>
      </c>
      <c r="B132">
        <v>39900</v>
      </c>
      <c r="C132">
        <v>10</v>
      </c>
      <c r="D132">
        <v>6</v>
      </c>
      <c r="E132">
        <v>35900</v>
      </c>
      <c r="F132">
        <v>150</v>
      </c>
      <c r="G132" t="b">
        <v>0</v>
      </c>
      <c r="H132">
        <v>150</v>
      </c>
    </row>
    <row r="133" spans="1:8" x14ac:dyDescent="0.25">
      <c r="A133" t="s">
        <v>1263</v>
      </c>
      <c r="B133">
        <v>55000</v>
      </c>
      <c r="C133">
        <v>0</v>
      </c>
      <c r="D133">
        <v>4</v>
      </c>
      <c r="E133">
        <v>55000</v>
      </c>
      <c r="F133">
        <v>159</v>
      </c>
      <c r="G133" t="b">
        <v>0</v>
      </c>
      <c r="H133">
        <v>159</v>
      </c>
    </row>
    <row r="134" spans="1:8" x14ac:dyDescent="0.25">
      <c r="A134" t="s">
        <v>1264</v>
      </c>
      <c r="B134">
        <v>9900</v>
      </c>
      <c r="C134">
        <v>10</v>
      </c>
      <c r="D134">
        <v>6</v>
      </c>
      <c r="E134">
        <v>8900</v>
      </c>
      <c r="F134">
        <v>250</v>
      </c>
      <c r="G134" t="b">
        <v>0</v>
      </c>
      <c r="H134">
        <v>250</v>
      </c>
    </row>
    <row r="135" spans="1:8" x14ac:dyDescent="0.25">
      <c r="A135" t="s">
        <v>1265</v>
      </c>
      <c r="B135">
        <v>9800</v>
      </c>
      <c r="C135">
        <v>0</v>
      </c>
      <c r="D135">
        <v>4</v>
      </c>
      <c r="E135">
        <v>9800</v>
      </c>
      <c r="F135">
        <v>232</v>
      </c>
      <c r="G135" t="b">
        <v>0</v>
      </c>
      <c r="H135">
        <v>4</v>
      </c>
    </row>
    <row r="136" spans="1:8" x14ac:dyDescent="0.25">
      <c r="A136" t="s">
        <v>1266</v>
      </c>
      <c r="B136">
        <v>20000</v>
      </c>
      <c r="C136">
        <v>10</v>
      </c>
      <c r="D136">
        <v>3</v>
      </c>
      <c r="E136">
        <v>18000</v>
      </c>
      <c r="F136">
        <v>120</v>
      </c>
      <c r="G136" t="b">
        <v>0</v>
      </c>
      <c r="H136">
        <v>120</v>
      </c>
    </row>
    <row r="137" spans="1:8" x14ac:dyDescent="0.25">
      <c r="A137" t="s">
        <v>1267</v>
      </c>
      <c r="B137">
        <v>19900</v>
      </c>
      <c r="C137">
        <v>0</v>
      </c>
      <c r="D137">
        <v>4</v>
      </c>
      <c r="E137">
        <v>19900</v>
      </c>
      <c r="F137">
        <v>200</v>
      </c>
      <c r="G137" t="b">
        <v>0</v>
      </c>
      <c r="H137">
        <v>200</v>
      </c>
    </row>
    <row r="138" spans="1:8" x14ac:dyDescent="0.25">
      <c r="A138" t="s">
        <v>1268</v>
      </c>
      <c r="B138">
        <v>26000</v>
      </c>
      <c r="C138">
        <v>5</v>
      </c>
      <c r="D138">
        <v>6</v>
      </c>
      <c r="E138">
        <v>24700</v>
      </c>
      <c r="F138">
        <v>625</v>
      </c>
      <c r="G138" t="b">
        <v>0</v>
      </c>
      <c r="H138">
        <v>625</v>
      </c>
    </row>
    <row r="139" spans="1:8" x14ac:dyDescent="0.25">
      <c r="A139" t="s">
        <v>1269</v>
      </c>
      <c r="B139">
        <v>7500</v>
      </c>
      <c r="C139">
        <v>0</v>
      </c>
      <c r="D139">
        <v>6</v>
      </c>
      <c r="E139">
        <v>7500</v>
      </c>
      <c r="F139">
        <v>200</v>
      </c>
      <c r="G139" t="b">
        <v>0</v>
      </c>
      <c r="H139">
        <v>200</v>
      </c>
    </row>
    <row r="140" spans="1:8" x14ac:dyDescent="0.25">
      <c r="A140" t="s">
        <v>1270</v>
      </c>
      <c r="B140">
        <v>29900</v>
      </c>
      <c r="C140">
        <v>6</v>
      </c>
      <c r="D140">
        <v>5</v>
      </c>
      <c r="E140">
        <v>27900</v>
      </c>
      <c r="F140">
        <v>28</v>
      </c>
      <c r="G140" t="b">
        <v>0</v>
      </c>
      <c r="H140">
        <v>28</v>
      </c>
    </row>
    <row r="141" spans="1:8" x14ac:dyDescent="0.25">
      <c r="A141" t="s">
        <v>1271</v>
      </c>
      <c r="B141">
        <v>7000</v>
      </c>
      <c r="C141">
        <v>0</v>
      </c>
      <c r="D141">
        <v>6</v>
      </c>
      <c r="E141">
        <v>7000</v>
      </c>
      <c r="F141">
        <v>100</v>
      </c>
      <c r="G141" t="b">
        <v>0</v>
      </c>
      <c r="H141">
        <v>100</v>
      </c>
    </row>
    <row r="142" spans="1:8" x14ac:dyDescent="0.25">
      <c r="A142" t="s">
        <v>1272</v>
      </c>
      <c r="B142">
        <v>20000</v>
      </c>
      <c r="C142">
        <v>10</v>
      </c>
      <c r="D142">
        <v>6</v>
      </c>
      <c r="E142">
        <v>18000</v>
      </c>
      <c r="F142">
        <v>120</v>
      </c>
      <c r="G142" t="b">
        <v>0</v>
      </c>
      <c r="H142">
        <v>120</v>
      </c>
    </row>
    <row r="143" spans="1:8" x14ac:dyDescent="0.25">
      <c r="A143" t="s">
        <v>1273</v>
      </c>
      <c r="B143">
        <v>6500</v>
      </c>
      <c r="C143">
        <v>10</v>
      </c>
      <c r="D143">
        <v>4</v>
      </c>
      <c r="E143">
        <v>5800</v>
      </c>
      <c r="F143">
        <v>40</v>
      </c>
      <c r="G143" t="b">
        <v>0</v>
      </c>
      <c r="H143">
        <v>40</v>
      </c>
    </row>
    <row r="144" spans="1:8" x14ac:dyDescent="0.25">
      <c r="A144" t="s">
        <v>1274</v>
      </c>
      <c r="B144">
        <v>19000</v>
      </c>
      <c r="C144">
        <v>0</v>
      </c>
      <c r="D144">
        <v>4</v>
      </c>
      <c r="E144">
        <v>19000</v>
      </c>
      <c r="F144">
        <v>175</v>
      </c>
      <c r="G144" t="b">
        <v>0</v>
      </c>
      <c r="H144">
        <v>175</v>
      </c>
    </row>
    <row r="145" spans="1:8" x14ac:dyDescent="0.25">
      <c r="A145" t="s">
        <v>1275</v>
      </c>
      <c r="B145">
        <v>13000</v>
      </c>
      <c r="C145">
        <v>12</v>
      </c>
      <c r="D145">
        <v>2</v>
      </c>
      <c r="E145">
        <v>11400</v>
      </c>
      <c r="F145">
        <v>200</v>
      </c>
      <c r="G145" t="b">
        <v>0</v>
      </c>
      <c r="H145">
        <v>200</v>
      </c>
    </row>
    <row r="146" spans="1:8" x14ac:dyDescent="0.25">
      <c r="A146" t="s">
        <v>1276</v>
      </c>
      <c r="B146">
        <v>17600</v>
      </c>
      <c r="C146">
        <v>10</v>
      </c>
      <c r="D146">
        <v>3</v>
      </c>
      <c r="E146">
        <v>15800</v>
      </c>
      <c r="F146">
        <v>375</v>
      </c>
      <c r="G146" t="b">
        <v>0</v>
      </c>
      <c r="H146">
        <v>375</v>
      </c>
    </row>
    <row r="147" spans="1:8" x14ac:dyDescent="0.25">
      <c r="A147" t="s">
        <v>1277</v>
      </c>
      <c r="B147">
        <v>12500</v>
      </c>
      <c r="C147">
        <v>0</v>
      </c>
      <c r="D147">
        <v>6</v>
      </c>
      <c r="E147">
        <v>12500</v>
      </c>
      <c r="F147">
        <v>75</v>
      </c>
      <c r="G147" t="b">
        <v>0</v>
      </c>
      <c r="H147">
        <v>75</v>
      </c>
    </row>
    <row r="148" spans="1:8" x14ac:dyDescent="0.25">
      <c r="A148" t="s">
        <v>1278</v>
      </c>
      <c r="B148">
        <v>15000</v>
      </c>
      <c r="C148">
        <v>6</v>
      </c>
      <c r="D148">
        <v>3</v>
      </c>
      <c r="E148">
        <v>14000</v>
      </c>
      <c r="F148">
        <v>400</v>
      </c>
      <c r="G148" t="b">
        <v>0</v>
      </c>
      <c r="H148">
        <v>400</v>
      </c>
    </row>
    <row r="149" spans="1:8" x14ac:dyDescent="0.25">
      <c r="A149" t="s">
        <v>1279</v>
      </c>
      <c r="B149">
        <v>9900</v>
      </c>
      <c r="C149">
        <v>10</v>
      </c>
      <c r="D149">
        <v>6</v>
      </c>
      <c r="E149">
        <v>8900</v>
      </c>
      <c r="F149">
        <v>250</v>
      </c>
      <c r="G149" t="b">
        <v>0</v>
      </c>
      <c r="H149">
        <v>250</v>
      </c>
    </row>
    <row r="150" spans="1:8" x14ac:dyDescent="0.25">
      <c r="A150" t="s">
        <v>1280</v>
      </c>
      <c r="B150">
        <v>16000</v>
      </c>
      <c r="C150">
        <v>0</v>
      </c>
      <c r="D150">
        <v>5</v>
      </c>
      <c r="E150">
        <v>16000</v>
      </c>
      <c r="F150">
        <v>232</v>
      </c>
      <c r="G150" t="b">
        <v>0</v>
      </c>
      <c r="H150">
        <v>4</v>
      </c>
    </row>
    <row r="151" spans="1:8" x14ac:dyDescent="0.25">
      <c r="A151" t="s">
        <v>1281</v>
      </c>
      <c r="B151">
        <v>34900</v>
      </c>
      <c r="C151">
        <v>6</v>
      </c>
      <c r="D151">
        <v>5</v>
      </c>
      <c r="E151">
        <v>32500</v>
      </c>
      <c r="F151">
        <v>58</v>
      </c>
      <c r="G151" t="b">
        <v>0</v>
      </c>
      <c r="H151">
        <v>1</v>
      </c>
    </row>
    <row r="152" spans="1:8" x14ac:dyDescent="0.25">
      <c r="A152" t="s">
        <v>1282</v>
      </c>
      <c r="B152">
        <v>16500</v>
      </c>
      <c r="C152">
        <v>12</v>
      </c>
      <c r="D152">
        <v>3</v>
      </c>
      <c r="E152">
        <v>14500</v>
      </c>
      <c r="F152">
        <v>200</v>
      </c>
      <c r="G152" t="b">
        <v>0</v>
      </c>
      <c r="H152">
        <v>200</v>
      </c>
    </row>
    <row r="153" spans="1:8" x14ac:dyDescent="0.25">
      <c r="A153" t="s">
        <v>1283</v>
      </c>
      <c r="B153">
        <v>37500</v>
      </c>
      <c r="C153">
        <v>0</v>
      </c>
      <c r="D153">
        <v>1</v>
      </c>
      <c r="E153">
        <v>37500</v>
      </c>
      <c r="F153">
        <v>340</v>
      </c>
      <c r="G153" t="b">
        <v>0</v>
      </c>
      <c r="H153">
        <v>180</v>
      </c>
    </row>
    <row r="154" spans="1:8" x14ac:dyDescent="0.25">
      <c r="A154" t="s">
        <v>1284</v>
      </c>
      <c r="B154">
        <v>24900</v>
      </c>
      <c r="C154">
        <v>6</v>
      </c>
      <c r="D154">
        <v>6</v>
      </c>
      <c r="E154">
        <v>23400</v>
      </c>
      <c r="F154">
        <v>340</v>
      </c>
      <c r="G154" t="b">
        <v>0</v>
      </c>
      <c r="H154">
        <v>340</v>
      </c>
    </row>
    <row r="155" spans="1:8" x14ac:dyDescent="0.25">
      <c r="A155" t="s">
        <v>1285</v>
      </c>
      <c r="B155">
        <v>22500</v>
      </c>
      <c r="C155">
        <v>4</v>
      </c>
      <c r="D155">
        <v>3</v>
      </c>
      <c r="E155">
        <v>21400</v>
      </c>
      <c r="F155">
        <v>250</v>
      </c>
      <c r="G155" t="b">
        <v>0</v>
      </c>
      <c r="H155">
        <v>250</v>
      </c>
    </row>
    <row r="156" spans="1:8" x14ac:dyDescent="0.25">
      <c r="A156" t="s">
        <v>1286</v>
      </c>
      <c r="B156">
        <v>60000</v>
      </c>
      <c r="C156">
        <v>10</v>
      </c>
      <c r="D156">
        <v>2</v>
      </c>
      <c r="E156">
        <v>54000</v>
      </c>
      <c r="F156">
        <v>200</v>
      </c>
      <c r="G156" t="b">
        <v>0</v>
      </c>
      <c r="H156">
        <v>200</v>
      </c>
    </row>
    <row r="157" spans="1:8" x14ac:dyDescent="0.25">
      <c r="A157" t="s">
        <v>1287</v>
      </c>
      <c r="B157">
        <v>15000</v>
      </c>
      <c r="C157">
        <v>10</v>
      </c>
      <c r="D157">
        <v>6</v>
      </c>
      <c r="E157">
        <v>13500</v>
      </c>
      <c r="F157">
        <v>250</v>
      </c>
      <c r="G157" t="b">
        <v>0</v>
      </c>
      <c r="H157">
        <v>250</v>
      </c>
    </row>
    <row r="158" spans="1:8" x14ac:dyDescent="0.25">
      <c r="A158" t="s">
        <v>1288</v>
      </c>
      <c r="B158">
        <v>62000</v>
      </c>
      <c r="C158">
        <v>0</v>
      </c>
      <c r="D158">
        <v>6</v>
      </c>
      <c r="E158">
        <v>62000</v>
      </c>
      <c r="F158">
        <v>172</v>
      </c>
      <c r="G158" t="b">
        <v>0</v>
      </c>
      <c r="H158">
        <v>172</v>
      </c>
    </row>
    <row r="159" spans="1:8" x14ac:dyDescent="0.25">
      <c r="A159" t="s">
        <v>1289</v>
      </c>
      <c r="B159">
        <v>16500</v>
      </c>
      <c r="C159">
        <v>9</v>
      </c>
      <c r="D159">
        <v>6</v>
      </c>
      <c r="E159">
        <v>15000</v>
      </c>
      <c r="F159">
        <v>200</v>
      </c>
      <c r="G159" t="b">
        <v>0</v>
      </c>
      <c r="H159">
        <v>200</v>
      </c>
    </row>
    <row r="160" spans="1:8" x14ac:dyDescent="0.25">
      <c r="A160" t="s">
        <v>1290</v>
      </c>
      <c r="B160">
        <v>55000</v>
      </c>
      <c r="C160">
        <v>0</v>
      </c>
      <c r="D160">
        <v>4</v>
      </c>
      <c r="E160">
        <v>55000</v>
      </c>
      <c r="F160">
        <v>160</v>
      </c>
      <c r="G160" t="b">
        <v>0</v>
      </c>
      <c r="H160">
        <v>159</v>
      </c>
    </row>
    <row r="161" spans="1:8" x14ac:dyDescent="0.25">
      <c r="A161" t="s">
        <v>1291</v>
      </c>
      <c r="B161">
        <v>28200</v>
      </c>
      <c r="C161">
        <v>0</v>
      </c>
      <c r="D161">
        <v>3</v>
      </c>
      <c r="E161">
        <v>28200</v>
      </c>
      <c r="F161">
        <v>360</v>
      </c>
      <c r="G161" t="b">
        <v>0</v>
      </c>
      <c r="H161">
        <v>360</v>
      </c>
    </row>
    <row r="162" spans="1:8" x14ac:dyDescent="0.25">
      <c r="A162" t="s">
        <v>1292</v>
      </c>
      <c r="B162">
        <v>17600</v>
      </c>
      <c r="C162">
        <v>10</v>
      </c>
      <c r="D162">
        <v>6</v>
      </c>
      <c r="E162">
        <v>15800</v>
      </c>
      <c r="F162">
        <v>375</v>
      </c>
      <c r="G162" t="b">
        <v>0</v>
      </c>
      <c r="H162">
        <v>375</v>
      </c>
    </row>
    <row r="163" spans="1:8" x14ac:dyDescent="0.25">
      <c r="A163" t="s">
        <v>1293</v>
      </c>
      <c r="B163">
        <v>15000</v>
      </c>
      <c r="C163">
        <v>20</v>
      </c>
      <c r="D163">
        <v>5</v>
      </c>
      <c r="E163">
        <v>12000</v>
      </c>
      <c r="F163">
        <v>250</v>
      </c>
      <c r="G163" t="b">
        <v>0</v>
      </c>
      <c r="H163">
        <v>250</v>
      </c>
    </row>
    <row r="164" spans="1:8" x14ac:dyDescent="0.25">
      <c r="A164" t="s">
        <v>1294</v>
      </c>
      <c r="B164">
        <v>9000</v>
      </c>
      <c r="C164">
        <v>10</v>
      </c>
      <c r="D164">
        <v>1</v>
      </c>
      <c r="E164">
        <v>8100</v>
      </c>
      <c r="F164">
        <v>80</v>
      </c>
      <c r="G164" t="b">
        <v>0</v>
      </c>
      <c r="H164">
        <v>80</v>
      </c>
    </row>
    <row r="165" spans="1:8" x14ac:dyDescent="0.25">
      <c r="A165" t="s">
        <v>1295</v>
      </c>
      <c r="B165">
        <v>11000</v>
      </c>
      <c r="C165">
        <v>0</v>
      </c>
      <c r="D165">
        <v>6</v>
      </c>
      <c r="E165">
        <v>11000</v>
      </c>
      <c r="F165">
        <v>200</v>
      </c>
      <c r="G165" t="b">
        <v>0</v>
      </c>
      <c r="H165">
        <v>200</v>
      </c>
    </row>
    <row r="166" spans="1:8" x14ac:dyDescent="0.25">
      <c r="A166" t="s">
        <v>1296</v>
      </c>
      <c r="B166">
        <v>25000</v>
      </c>
      <c r="C166">
        <v>0</v>
      </c>
      <c r="D166">
        <v>1</v>
      </c>
      <c r="E166">
        <v>25000</v>
      </c>
      <c r="F166">
        <v>150</v>
      </c>
      <c r="G166" t="b">
        <v>0</v>
      </c>
      <c r="H166">
        <v>150</v>
      </c>
    </row>
    <row r="167" spans="1:8" x14ac:dyDescent="0.25">
      <c r="A167" t="s">
        <v>1168</v>
      </c>
      <c r="B167">
        <v>13700</v>
      </c>
      <c r="C167">
        <v>10</v>
      </c>
      <c r="D167">
        <v>4</v>
      </c>
      <c r="E167">
        <v>12300</v>
      </c>
      <c r="F167">
        <v>180</v>
      </c>
      <c r="G167" t="b">
        <v>0</v>
      </c>
      <c r="H167">
        <v>180</v>
      </c>
    </row>
    <row r="168" spans="1:8" x14ac:dyDescent="0.25">
      <c r="A168" t="s">
        <v>1297</v>
      </c>
      <c r="B168">
        <v>25000</v>
      </c>
      <c r="C168">
        <v>10</v>
      </c>
      <c r="D168">
        <v>6</v>
      </c>
      <c r="E168">
        <v>22500</v>
      </c>
      <c r="F168">
        <v>500</v>
      </c>
      <c r="G168" t="b">
        <v>0</v>
      </c>
      <c r="H168">
        <v>500</v>
      </c>
    </row>
    <row r="169" spans="1:8" x14ac:dyDescent="0.25">
      <c r="A169" t="s">
        <v>1298</v>
      </c>
      <c r="B169">
        <v>39900</v>
      </c>
      <c r="C169">
        <v>20</v>
      </c>
      <c r="D169">
        <v>3</v>
      </c>
      <c r="E169">
        <v>31900</v>
      </c>
      <c r="F169">
        <v>300</v>
      </c>
      <c r="G169" t="b">
        <v>0</v>
      </c>
      <c r="H169">
        <v>300</v>
      </c>
    </row>
    <row r="170" spans="1:8" x14ac:dyDescent="0.25">
      <c r="A170" t="s">
        <v>1299</v>
      </c>
      <c r="B170">
        <v>42900</v>
      </c>
      <c r="C170">
        <v>15</v>
      </c>
      <c r="D170">
        <v>1</v>
      </c>
      <c r="E170">
        <v>36400</v>
      </c>
      <c r="F170">
        <v>24</v>
      </c>
      <c r="G170" t="b">
        <v>0</v>
      </c>
      <c r="H170">
        <v>24</v>
      </c>
    </row>
    <row r="171" spans="1:8" x14ac:dyDescent="0.25">
      <c r="A171" t="s">
        <v>1300</v>
      </c>
      <c r="B171">
        <v>9900</v>
      </c>
      <c r="C171">
        <v>0</v>
      </c>
      <c r="D171">
        <v>6</v>
      </c>
      <c r="E171">
        <v>9900</v>
      </c>
      <c r="F171">
        <v>200</v>
      </c>
      <c r="G171" t="b">
        <v>0</v>
      </c>
      <c r="H171">
        <v>200</v>
      </c>
    </row>
    <row r="172" spans="1:8" x14ac:dyDescent="0.25">
      <c r="A172" t="s">
        <v>1301</v>
      </c>
      <c r="B172">
        <v>39900</v>
      </c>
      <c r="C172">
        <v>20</v>
      </c>
      <c r="D172">
        <v>6</v>
      </c>
      <c r="E172">
        <v>31900</v>
      </c>
      <c r="F172">
        <v>400</v>
      </c>
      <c r="G172" t="b">
        <v>0</v>
      </c>
      <c r="H172">
        <v>400</v>
      </c>
    </row>
    <row r="173" spans="1:8" x14ac:dyDescent="0.25">
      <c r="A173" t="s">
        <v>1302</v>
      </c>
      <c r="B173">
        <v>22500</v>
      </c>
      <c r="C173">
        <v>0</v>
      </c>
      <c r="D173">
        <v>6</v>
      </c>
      <c r="E173">
        <v>22500</v>
      </c>
      <c r="F173">
        <v>60</v>
      </c>
      <c r="G173" t="b">
        <v>0</v>
      </c>
      <c r="H173">
        <v>60</v>
      </c>
    </row>
    <row r="174" spans="1:8" x14ac:dyDescent="0.25">
      <c r="A174" t="s">
        <v>1303</v>
      </c>
      <c r="B174">
        <v>17000</v>
      </c>
      <c r="C174">
        <v>0</v>
      </c>
      <c r="D174">
        <v>6</v>
      </c>
      <c r="E174">
        <v>17000</v>
      </c>
      <c r="F174">
        <v>180</v>
      </c>
      <c r="G174" t="b">
        <v>0</v>
      </c>
      <c r="H174">
        <v>180</v>
      </c>
    </row>
    <row r="175" spans="1:8" x14ac:dyDescent="0.25">
      <c r="A175" t="s">
        <v>1304</v>
      </c>
      <c r="B175">
        <v>7500</v>
      </c>
      <c r="C175">
        <v>0</v>
      </c>
      <c r="D175">
        <v>5</v>
      </c>
      <c r="E175">
        <v>7500</v>
      </c>
      <c r="F175">
        <v>150</v>
      </c>
      <c r="G175" t="b">
        <v>0</v>
      </c>
      <c r="H175">
        <v>120</v>
      </c>
    </row>
    <row r="176" spans="1:8" x14ac:dyDescent="0.25">
      <c r="A176" t="s">
        <v>1305</v>
      </c>
      <c r="B176">
        <v>10000</v>
      </c>
      <c r="C176">
        <v>0</v>
      </c>
      <c r="D176">
        <v>4</v>
      </c>
      <c r="E176">
        <v>10000</v>
      </c>
      <c r="F176">
        <v>100</v>
      </c>
      <c r="G176" t="b">
        <v>0</v>
      </c>
      <c r="H176">
        <v>100</v>
      </c>
    </row>
    <row r="177" spans="1:8" x14ac:dyDescent="0.25">
      <c r="A177" t="s">
        <v>1179</v>
      </c>
      <c r="B177">
        <v>14000</v>
      </c>
      <c r="C177">
        <v>10</v>
      </c>
      <c r="D177">
        <v>1</v>
      </c>
      <c r="E177">
        <v>12600</v>
      </c>
      <c r="F177">
        <v>200</v>
      </c>
      <c r="G177" t="b">
        <v>0</v>
      </c>
      <c r="H177">
        <v>200</v>
      </c>
    </row>
    <row r="178" spans="1:8" x14ac:dyDescent="0.25">
      <c r="A178" t="s">
        <v>1306</v>
      </c>
      <c r="B178">
        <v>30000</v>
      </c>
      <c r="C178">
        <v>8</v>
      </c>
      <c r="D178">
        <v>3</v>
      </c>
      <c r="E178">
        <v>27500</v>
      </c>
      <c r="F178">
        <v>0</v>
      </c>
      <c r="G178" t="b">
        <v>0</v>
      </c>
      <c r="H178">
        <v>0</v>
      </c>
    </row>
    <row r="179" spans="1:8" x14ac:dyDescent="0.25">
      <c r="A179" t="s">
        <v>1307</v>
      </c>
      <c r="B179">
        <v>9000</v>
      </c>
      <c r="C179">
        <v>10</v>
      </c>
      <c r="D179">
        <v>6</v>
      </c>
      <c r="E179">
        <v>8100</v>
      </c>
      <c r="F179">
        <v>406</v>
      </c>
      <c r="G179" t="b">
        <v>0</v>
      </c>
      <c r="H179">
        <v>7</v>
      </c>
    </row>
    <row r="180" spans="1:8" x14ac:dyDescent="0.25">
      <c r="A180" t="s">
        <v>1308</v>
      </c>
      <c r="B180">
        <v>64500</v>
      </c>
      <c r="C180">
        <v>5</v>
      </c>
      <c r="D180">
        <v>3</v>
      </c>
      <c r="E180">
        <v>61200</v>
      </c>
      <c r="F180">
        <v>650</v>
      </c>
      <c r="G180" t="b">
        <v>0</v>
      </c>
      <c r="H180">
        <v>650</v>
      </c>
    </row>
    <row r="181" spans="1:8" x14ac:dyDescent="0.25">
      <c r="A181" t="s">
        <v>1309</v>
      </c>
      <c r="B181">
        <v>2900</v>
      </c>
      <c r="C181">
        <v>0</v>
      </c>
      <c r="D181">
        <v>5</v>
      </c>
      <c r="E181">
        <v>2900</v>
      </c>
      <c r="F181">
        <v>20</v>
      </c>
      <c r="G181" t="b">
        <v>0</v>
      </c>
      <c r="H181">
        <v>20</v>
      </c>
    </row>
    <row r="182" spans="1:8" x14ac:dyDescent="0.25">
      <c r="A182" t="s">
        <v>1310</v>
      </c>
      <c r="B182">
        <v>14000</v>
      </c>
      <c r="C182">
        <v>0</v>
      </c>
      <c r="D182">
        <v>6</v>
      </c>
      <c r="E182">
        <v>14000</v>
      </c>
      <c r="F182">
        <v>160</v>
      </c>
      <c r="G182" t="b">
        <v>0</v>
      </c>
      <c r="H182">
        <v>160</v>
      </c>
    </row>
    <row r="183" spans="1:8" x14ac:dyDescent="0.25">
      <c r="A183" t="s">
        <v>1311</v>
      </c>
      <c r="B183">
        <v>18200</v>
      </c>
      <c r="C183">
        <v>15</v>
      </c>
      <c r="D183">
        <v>6</v>
      </c>
      <c r="E183">
        <v>15400</v>
      </c>
      <c r="F183">
        <v>300</v>
      </c>
      <c r="G183" t="b">
        <v>0</v>
      </c>
      <c r="H183">
        <v>300</v>
      </c>
    </row>
    <row r="184" spans="1:8" x14ac:dyDescent="0.25">
      <c r="A184" t="s">
        <v>1312</v>
      </c>
      <c r="B184">
        <v>30900</v>
      </c>
      <c r="C184">
        <v>10</v>
      </c>
      <c r="D184">
        <v>6</v>
      </c>
      <c r="E184">
        <v>27800</v>
      </c>
      <c r="F184">
        <v>250</v>
      </c>
      <c r="G184" t="b">
        <v>0</v>
      </c>
      <c r="H184">
        <v>250</v>
      </c>
    </row>
    <row r="185" spans="1:8" x14ac:dyDescent="0.25">
      <c r="A185" t="s">
        <v>1313</v>
      </c>
      <c r="B185">
        <v>19500</v>
      </c>
      <c r="C185">
        <v>10</v>
      </c>
      <c r="D185">
        <v>5</v>
      </c>
      <c r="E185">
        <v>17400</v>
      </c>
      <c r="F185">
        <v>150</v>
      </c>
      <c r="G185" t="b">
        <v>0</v>
      </c>
      <c r="H185">
        <v>150</v>
      </c>
    </row>
    <row r="186" spans="1:8" x14ac:dyDescent="0.25">
      <c r="A186" t="s">
        <v>1314</v>
      </c>
      <c r="B186">
        <v>12000</v>
      </c>
      <c r="C186">
        <v>0</v>
      </c>
      <c r="D186">
        <v>5</v>
      </c>
      <c r="E186">
        <v>12000</v>
      </c>
      <c r="F186">
        <v>180</v>
      </c>
      <c r="G186" t="b">
        <v>0</v>
      </c>
      <c r="H186">
        <v>180</v>
      </c>
    </row>
    <row r="187" spans="1:8" x14ac:dyDescent="0.25">
      <c r="A187" t="s">
        <v>1315</v>
      </c>
      <c r="B187">
        <v>3000</v>
      </c>
      <c r="C187">
        <v>0</v>
      </c>
      <c r="D187">
        <v>2</v>
      </c>
      <c r="E187">
        <v>3000</v>
      </c>
      <c r="F187">
        <v>406</v>
      </c>
      <c r="G187" t="b">
        <v>0</v>
      </c>
      <c r="H187">
        <v>7</v>
      </c>
    </row>
    <row r="188" spans="1:8" x14ac:dyDescent="0.25">
      <c r="A188" t="s">
        <v>1316</v>
      </c>
      <c r="B188">
        <v>15000</v>
      </c>
      <c r="C188">
        <v>18</v>
      </c>
      <c r="D188">
        <v>4</v>
      </c>
      <c r="E188">
        <v>12300</v>
      </c>
      <c r="F188">
        <v>232</v>
      </c>
      <c r="G188" t="b">
        <v>0</v>
      </c>
      <c r="H188">
        <v>4</v>
      </c>
    </row>
    <row r="189" spans="1:8" x14ac:dyDescent="0.25">
      <c r="A189" t="s">
        <v>1317</v>
      </c>
      <c r="B189">
        <v>19900</v>
      </c>
      <c r="C189">
        <v>6</v>
      </c>
      <c r="D189">
        <v>5</v>
      </c>
      <c r="E189">
        <v>18600</v>
      </c>
      <c r="F189">
        <v>250</v>
      </c>
      <c r="G189" t="b">
        <v>0</v>
      </c>
      <c r="H189">
        <v>250</v>
      </c>
    </row>
    <row r="190" spans="1:8" x14ac:dyDescent="0.25">
      <c r="A190" t="s">
        <v>1318</v>
      </c>
      <c r="B190">
        <v>39900</v>
      </c>
      <c r="C190">
        <v>15</v>
      </c>
      <c r="D190">
        <v>4</v>
      </c>
      <c r="E190">
        <v>33900</v>
      </c>
      <c r="F190">
        <v>400</v>
      </c>
      <c r="G190" t="b">
        <v>0</v>
      </c>
      <c r="H190">
        <v>400</v>
      </c>
    </row>
    <row r="191" spans="1:8" x14ac:dyDescent="0.25">
      <c r="A191" t="s">
        <v>1319</v>
      </c>
      <c r="B191">
        <v>5500</v>
      </c>
      <c r="C191">
        <v>0</v>
      </c>
      <c r="D191">
        <v>6</v>
      </c>
      <c r="E191">
        <v>5500</v>
      </c>
      <c r="F191">
        <v>10</v>
      </c>
      <c r="G191" t="b">
        <v>0</v>
      </c>
      <c r="H191">
        <v>10</v>
      </c>
    </row>
    <row r="192" spans="1:8" x14ac:dyDescent="0.25">
      <c r="A192" t="s">
        <v>1320</v>
      </c>
      <c r="B192">
        <v>23000</v>
      </c>
      <c r="C192">
        <v>18</v>
      </c>
      <c r="D192">
        <v>1</v>
      </c>
      <c r="E192">
        <v>18800</v>
      </c>
      <c r="F192">
        <v>400</v>
      </c>
      <c r="G192" t="b">
        <v>0</v>
      </c>
      <c r="H192">
        <v>400</v>
      </c>
    </row>
    <row r="193" spans="1:8" x14ac:dyDescent="0.25">
      <c r="A193" t="s">
        <v>1298</v>
      </c>
      <c r="B193">
        <v>31000</v>
      </c>
      <c r="C193">
        <v>15</v>
      </c>
      <c r="D193">
        <v>6</v>
      </c>
      <c r="E193">
        <v>26300</v>
      </c>
      <c r="F193">
        <v>200</v>
      </c>
      <c r="G193" t="b">
        <v>0</v>
      </c>
      <c r="H193">
        <v>200</v>
      </c>
    </row>
    <row r="194" spans="1:8" x14ac:dyDescent="0.25">
      <c r="A194" t="s">
        <v>1321</v>
      </c>
      <c r="B194">
        <v>20000</v>
      </c>
      <c r="C194">
        <v>10</v>
      </c>
      <c r="D194">
        <v>6</v>
      </c>
      <c r="E194">
        <v>18000</v>
      </c>
      <c r="F194">
        <v>120</v>
      </c>
      <c r="G194" t="b">
        <v>0</v>
      </c>
      <c r="H194">
        <v>120</v>
      </c>
    </row>
    <row r="195" spans="1:8" x14ac:dyDescent="0.25">
      <c r="A195" t="s">
        <v>1287</v>
      </c>
      <c r="B195">
        <v>15000</v>
      </c>
      <c r="C195">
        <v>10</v>
      </c>
      <c r="D195">
        <v>6</v>
      </c>
      <c r="E195">
        <v>13500</v>
      </c>
      <c r="F195">
        <v>250</v>
      </c>
      <c r="G195" t="b">
        <v>0</v>
      </c>
      <c r="H195">
        <v>250</v>
      </c>
    </row>
    <row r="196" spans="1:8" x14ac:dyDescent="0.25">
      <c r="A196" t="s">
        <v>1322</v>
      </c>
      <c r="B196">
        <v>34900</v>
      </c>
      <c r="C196">
        <v>10</v>
      </c>
      <c r="D196">
        <v>1</v>
      </c>
      <c r="E196">
        <v>31400</v>
      </c>
      <c r="F196">
        <v>100</v>
      </c>
      <c r="G196" t="b">
        <v>0</v>
      </c>
      <c r="H196">
        <v>100</v>
      </c>
    </row>
    <row r="197" spans="1:8" x14ac:dyDescent="0.25">
      <c r="A197" t="s">
        <v>1323</v>
      </c>
      <c r="B197">
        <v>27000</v>
      </c>
      <c r="C197">
        <v>15</v>
      </c>
      <c r="D197">
        <v>6</v>
      </c>
      <c r="E197">
        <v>22900</v>
      </c>
      <c r="F197">
        <v>300</v>
      </c>
      <c r="G197" t="b">
        <v>0</v>
      </c>
      <c r="H197">
        <v>300</v>
      </c>
    </row>
    <row r="198" spans="1:8" x14ac:dyDescent="0.25">
      <c r="A198" t="s">
        <v>1324</v>
      </c>
      <c r="B198">
        <v>16500</v>
      </c>
      <c r="C198">
        <v>0</v>
      </c>
      <c r="D198">
        <v>4</v>
      </c>
      <c r="E198">
        <v>16500</v>
      </c>
      <c r="F198">
        <v>210</v>
      </c>
      <c r="G198" t="b">
        <v>0</v>
      </c>
      <c r="H198">
        <v>210</v>
      </c>
    </row>
    <row r="199" spans="1:8" x14ac:dyDescent="0.25">
      <c r="A199" t="s">
        <v>1325</v>
      </c>
      <c r="B199">
        <v>24900</v>
      </c>
      <c r="C199">
        <v>0</v>
      </c>
      <c r="D199">
        <v>6</v>
      </c>
      <c r="E199">
        <v>24900</v>
      </c>
      <c r="F199">
        <v>116</v>
      </c>
      <c r="G199" t="b">
        <v>0</v>
      </c>
      <c r="H199">
        <v>2</v>
      </c>
    </row>
    <row r="200" spans="1:8" x14ac:dyDescent="0.25">
      <c r="A200" t="s">
        <v>1326</v>
      </c>
      <c r="B200">
        <v>18500</v>
      </c>
      <c r="C200">
        <v>0</v>
      </c>
      <c r="D200">
        <v>2</v>
      </c>
      <c r="E200">
        <v>18500</v>
      </c>
      <c r="F200">
        <v>100</v>
      </c>
      <c r="G200" t="b">
        <v>0</v>
      </c>
      <c r="H200">
        <v>100</v>
      </c>
    </row>
    <row r="201" spans="1:8" x14ac:dyDescent="0.25">
      <c r="A201" t="s">
        <v>1327</v>
      </c>
      <c r="B201">
        <v>15000</v>
      </c>
      <c r="C201">
        <v>0</v>
      </c>
      <c r="D201">
        <v>6</v>
      </c>
      <c r="E201">
        <v>15000</v>
      </c>
      <c r="F201">
        <v>100</v>
      </c>
      <c r="G201" t="b">
        <v>0</v>
      </c>
      <c r="H201">
        <v>100</v>
      </c>
    </row>
    <row r="202" spans="1:8" x14ac:dyDescent="0.25">
      <c r="A202" t="s">
        <v>1271</v>
      </c>
      <c r="B202">
        <v>10500</v>
      </c>
      <c r="C202">
        <v>0</v>
      </c>
      <c r="D202">
        <v>6</v>
      </c>
      <c r="E202">
        <v>10500</v>
      </c>
      <c r="F202">
        <v>150</v>
      </c>
      <c r="G202" t="b">
        <v>0</v>
      </c>
      <c r="H202">
        <v>150</v>
      </c>
    </row>
    <row r="203" spans="1:8" x14ac:dyDescent="0.25">
      <c r="A203" t="s">
        <v>1328</v>
      </c>
      <c r="B203">
        <v>32000</v>
      </c>
      <c r="C203">
        <v>17</v>
      </c>
      <c r="D203">
        <v>6</v>
      </c>
      <c r="E203">
        <v>26500</v>
      </c>
      <c r="F203">
        <v>400</v>
      </c>
      <c r="G203" t="b">
        <v>0</v>
      </c>
      <c r="H203">
        <v>400</v>
      </c>
    </row>
    <row r="204" spans="1:8" x14ac:dyDescent="0.25">
      <c r="A204" t="s">
        <v>1329</v>
      </c>
      <c r="B204">
        <v>55000</v>
      </c>
      <c r="C204">
        <v>0</v>
      </c>
      <c r="D204">
        <v>3</v>
      </c>
      <c r="E204">
        <v>55000</v>
      </c>
      <c r="F204">
        <v>88</v>
      </c>
      <c r="G204" t="b">
        <v>0</v>
      </c>
      <c r="H204">
        <v>87</v>
      </c>
    </row>
    <row r="205" spans="1:8" x14ac:dyDescent="0.25">
      <c r="A205" t="s">
        <v>1330</v>
      </c>
      <c r="B205">
        <v>19000</v>
      </c>
      <c r="C205">
        <v>11</v>
      </c>
      <c r="D205">
        <v>6</v>
      </c>
      <c r="E205">
        <v>16900</v>
      </c>
      <c r="F205">
        <v>150</v>
      </c>
      <c r="G205" t="b">
        <v>0</v>
      </c>
      <c r="H205">
        <v>150</v>
      </c>
    </row>
    <row r="206" spans="1:8" x14ac:dyDescent="0.25">
      <c r="A206" t="s">
        <v>1331</v>
      </c>
      <c r="B206">
        <v>14000</v>
      </c>
      <c r="C206">
        <v>10</v>
      </c>
      <c r="D206">
        <v>4</v>
      </c>
      <c r="E206">
        <v>12600</v>
      </c>
      <c r="F206">
        <v>100</v>
      </c>
      <c r="G206" t="b">
        <v>0</v>
      </c>
      <c r="H206">
        <v>100</v>
      </c>
    </row>
    <row r="207" spans="1:8" x14ac:dyDescent="0.25">
      <c r="A207" t="s">
        <v>1332</v>
      </c>
      <c r="B207">
        <v>7500</v>
      </c>
      <c r="C207">
        <v>5</v>
      </c>
      <c r="D207">
        <v>6</v>
      </c>
      <c r="E207">
        <v>7100</v>
      </c>
      <c r="F207">
        <v>78</v>
      </c>
      <c r="G207" t="b">
        <v>0</v>
      </c>
      <c r="H207">
        <v>78</v>
      </c>
    </row>
    <row r="208" spans="1:8" x14ac:dyDescent="0.25">
      <c r="A208" t="s">
        <v>1333</v>
      </c>
      <c r="B208">
        <v>19900</v>
      </c>
      <c r="C208">
        <v>0</v>
      </c>
      <c r="D208">
        <v>4</v>
      </c>
      <c r="E208">
        <v>19900</v>
      </c>
      <c r="F208">
        <v>196</v>
      </c>
      <c r="G208" t="b">
        <v>0</v>
      </c>
      <c r="H208">
        <v>196</v>
      </c>
    </row>
    <row r="209" spans="1:8" x14ac:dyDescent="0.25">
      <c r="A209" t="s">
        <v>1294</v>
      </c>
      <c r="B209">
        <v>19000</v>
      </c>
      <c r="C209">
        <v>0</v>
      </c>
      <c r="D209">
        <v>6</v>
      </c>
      <c r="E209">
        <v>19000</v>
      </c>
      <c r="F209">
        <v>175</v>
      </c>
      <c r="G209" t="b">
        <v>0</v>
      </c>
      <c r="H209">
        <v>180</v>
      </c>
    </row>
    <row r="210" spans="1:8" x14ac:dyDescent="0.25">
      <c r="A210" t="s">
        <v>1334</v>
      </c>
      <c r="B210">
        <v>18000</v>
      </c>
      <c r="C210">
        <v>0</v>
      </c>
      <c r="D210">
        <v>6</v>
      </c>
      <c r="E210">
        <v>18000</v>
      </c>
      <c r="F210">
        <v>200</v>
      </c>
      <c r="G210" t="b">
        <v>0</v>
      </c>
      <c r="H210">
        <v>200</v>
      </c>
    </row>
    <row r="211" spans="1:8" x14ac:dyDescent="0.25">
      <c r="A211" t="s">
        <v>1335</v>
      </c>
      <c r="B211">
        <v>15500</v>
      </c>
      <c r="C211">
        <v>9</v>
      </c>
      <c r="D211">
        <v>4</v>
      </c>
      <c r="E211">
        <v>14000</v>
      </c>
      <c r="F211">
        <v>180</v>
      </c>
      <c r="G211" t="b">
        <v>0</v>
      </c>
      <c r="H211">
        <v>180</v>
      </c>
    </row>
    <row r="212" spans="1:8" x14ac:dyDescent="0.25">
      <c r="A212" t="s">
        <v>1336</v>
      </c>
      <c r="B212">
        <v>12000</v>
      </c>
      <c r="C212">
        <v>6</v>
      </c>
      <c r="D212">
        <v>6</v>
      </c>
      <c r="E212">
        <v>11200</v>
      </c>
      <c r="F212">
        <v>180</v>
      </c>
      <c r="G212" t="b">
        <v>0</v>
      </c>
      <c r="H212">
        <v>180</v>
      </c>
    </row>
    <row r="213" spans="1:8" x14ac:dyDescent="0.25">
      <c r="A213" t="s">
        <v>1337</v>
      </c>
      <c r="B213">
        <v>6500</v>
      </c>
      <c r="C213">
        <v>10</v>
      </c>
      <c r="D213">
        <v>6</v>
      </c>
      <c r="E213">
        <v>5800</v>
      </c>
      <c r="F213">
        <v>40</v>
      </c>
      <c r="G213" t="b">
        <v>0</v>
      </c>
      <c r="H213">
        <v>40</v>
      </c>
    </row>
    <row r="214" spans="1:8" x14ac:dyDescent="0.25">
      <c r="A214" t="s">
        <v>1338</v>
      </c>
      <c r="B214">
        <v>55500</v>
      </c>
      <c r="C214">
        <v>6</v>
      </c>
      <c r="D214">
        <v>6</v>
      </c>
      <c r="E214">
        <v>52100</v>
      </c>
      <c r="F214">
        <v>650</v>
      </c>
      <c r="G214" t="b">
        <v>0</v>
      </c>
      <c r="H214">
        <v>650</v>
      </c>
    </row>
    <row r="215" spans="1:8" x14ac:dyDescent="0.25">
      <c r="A215" t="s">
        <v>1144</v>
      </c>
      <c r="B215">
        <v>10000</v>
      </c>
      <c r="C215">
        <v>0</v>
      </c>
      <c r="D215">
        <v>1</v>
      </c>
      <c r="E215">
        <v>10000</v>
      </c>
      <c r="F215">
        <v>200</v>
      </c>
      <c r="G215" t="b">
        <v>0</v>
      </c>
      <c r="H215">
        <v>200</v>
      </c>
    </row>
    <row r="216" spans="1:8" x14ac:dyDescent="0.25">
      <c r="A216" t="s">
        <v>1339</v>
      </c>
      <c r="B216">
        <v>8500</v>
      </c>
      <c r="C216">
        <v>0</v>
      </c>
      <c r="D216">
        <v>5</v>
      </c>
      <c r="E216">
        <v>8500</v>
      </c>
      <c r="F216">
        <v>200</v>
      </c>
      <c r="G216" t="b">
        <v>0</v>
      </c>
      <c r="H216">
        <v>200</v>
      </c>
    </row>
    <row r="217" spans="1:8" x14ac:dyDescent="0.25">
      <c r="A217" t="s">
        <v>1340</v>
      </c>
      <c r="B217">
        <v>18500</v>
      </c>
      <c r="C217">
        <v>8</v>
      </c>
      <c r="D217">
        <v>6</v>
      </c>
      <c r="E217">
        <v>16900</v>
      </c>
      <c r="F217">
        <v>5</v>
      </c>
      <c r="G217" t="b">
        <v>0</v>
      </c>
      <c r="H217">
        <v>4</v>
      </c>
    </row>
    <row r="218" spans="1:8" x14ac:dyDescent="0.25">
      <c r="A218" t="s">
        <v>1341</v>
      </c>
      <c r="B218">
        <v>18000</v>
      </c>
      <c r="C218">
        <v>0</v>
      </c>
      <c r="D218">
        <v>6</v>
      </c>
      <c r="E218">
        <v>18000</v>
      </c>
      <c r="F218">
        <v>600</v>
      </c>
      <c r="G218" t="b">
        <v>0</v>
      </c>
      <c r="H218">
        <v>600</v>
      </c>
    </row>
    <row r="219" spans="1:8" x14ac:dyDescent="0.25">
      <c r="A219" t="s">
        <v>1342</v>
      </c>
      <c r="B219">
        <v>62000</v>
      </c>
      <c r="C219">
        <v>0</v>
      </c>
      <c r="D219">
        <v>1</v>
      </c>
      <c r="E219">
        <v>62000</v>
      </c>
      <c r="F219">
        <v>172</v>
      </c>
      <c r="G219" t="b">
        <v>0</v>
      </c>
      <c r="H219">
        <v>172</v>
      </c>
    </row>
    <row r="220" spans="1:8" x14ac:dyDescent="0.25">
      <c r="A220" t="s">
        <v>1343</v>
      </c>
      <c r="B220">
        <v>22500</v>
      </c>
      <c r="C220">
        <v>0</v>
      </c>
      <c r="D220">
        <v>6</v>
      </c>
      <c r="E220">
        <v>22500</v>
      </c>
      <c r="F220">
        <v>418</v>
      </c>
      <c r="G220" t="b">
        <v>0</v>
      </c>
      <c r="H220">
        <v>418</v>
      </c>
    </row>
    <row r="221" spans="1:8" x14ac:dyDescent="0.25">
      <c r="A221" t="s">
        <v>1344</v>
      </c>
      <c r="B221">
        <v>19900</v>
      </c>
      <c r="C221">
        <v>10</v>
      </c>
      <c r="D221">
        <v>6</v>
      </c>
      <c r="E221">
        <v>17900</v>
      </c>
      <c r="F221">
        <v>250</v>
      </c>
      <c r="G221" t="b">
        <v>0</v>
      </c>
      <c r="H221">
        <v>250</v>
      </c>
    </row>
    <row r="222" spans="1:8" x14ac:dyDescent="0.25">
      <c r="A222" t="s">
        <v>1345</v>
      </c>
      <c r="B222">
        <v>14000</v>
      </c>
      <c r="C222">
        <v>10</v>
      </c>
      <c r="D222">
        <v>4</v>
      </c>
      <c r="E222">
        <v>12600</v>
      </c>
      <c r="F222">
        <v>250</v>
      </c>
      <c r="G222" t="b">
        <v>0</v>
      </c>
      <c r="H222">
        <v>250</v>
      </c>
    </row>
    <row r="223" spans="1:8" x14ac:dyDescent="0.25">
      <c r="A223" t="s">
        <v>1346</v>
      </c>
      <c r="B223">
        <v>29900</v>
      </c>
      <c r="C223">
        <v>17</v>
      </c>
      <c r="D223">
        <v>5</v>
      </c>
      <c r="E223">
        <v>24700</v>
      </c>
      <c r="F223">
        <v>200</v>
      </c>
      <c r="G223" t="b">
        <v>0</v>
      </c>
      <c r="H223">
        <v>200</v>
      </c>
    </row>
    <row r="224" spans="1:8" x14ac:dyDescent="0.25">
      <c r="A224" t="s">
        <v>1347</v>
      </c>
      <c r="B224">
        <v>24000</v>
      </c>
      <c r="C224">
        <v>7</v>
      </c>
      <c r="D224">
        <v>2</v>
      </c>
      <c r="E224">
        <v>22100</v>
      </c>
      <c r="F224">
        <v>340</v>
      </c>
      <c r="G224" t="b">
        <v>0</v>
      </c>
      <c r="H224">
        <v>340</v>
      </c>
    </row>
    <row r="225" spans="1:8" x14ac:dyDescent="0.25">
      <c r="A225" t="s">
        <v>1348</v>
      </c>
      <c r="B225">
        <v>25000</v>
      </c>
      <c r="C225">
        <v>0</v>
      </c>
      <c r="D225">
        <v>5</v>
      </c>
      <c r="E225">
        <v>25000</v>
      </c>
      <c r="F225">
        <v>120</v>
      </c>
      <c r="G225" t="b">
        <v>0</v>
      </c>
      <c r="H225">
        <v>120</v>
      </c>
    </row>
    <row r="226" spans="1:8" x14ac:dyDescent="0.25">
      <c r="A226" t="s">
        <v>1349</v>
      </c>
      <c r="B226">
        <v>22000</v>
      </c>
      <c r="C226">
        <v>0</v>
      </c>
      <c r="D226">
        <v>5</v>
      </c>
      <c r="E226">
        <v>22000</v>
      </c>
      <c r="F226">
        <v>190</v>
      </c>
      <c r="G226" t="b">
        <v>0</v>
      </c>
      <c r="H226">
        <v>190</v>
      </c>
    </row>
    <row r="227" spans="1:8" x14ac:dyDescent="0.25">
      <c r="A227" t="s">
        <v>1247</v>
      </c>
      <c r="B227">
        <v>15500</v>
      </c>
      <c r="C227">
        <v>0</v>
      </c>
      <c r="D227">
        <v>6</v>
      </c>
      <c r="E227">
        <v>15500</v>
      </c>
      <c r="F227">
        <v>870</v>
      </c>
      <c r="G227" t="b">
        <v>0</v>
      </c>
      <c r="H227">
        <v>15</v>
      </c>
    </row>
    <row r="228" spans="1:8" x14ac:dyDescent="0.25">
      <c r="A228" t="s">
        <v>1350</v>
      </c>
      <c r="B228">
        <v>9300</v>
      </c>
      <c r="C228">
        <v>5</v>
      </c>
      <c r="D228">
        <v>6</v>
      </c>
      <c r="E228">
        <v>8800</v>
      </c>
      <c r="F228">
        <v>80</v>
      </c>
      <c r="G228" t="b">
        <v>0</v>
      </c>
      <c r="H228">
        <v>80</v>
      </c>
    </row>
    <row r="229" spans="1:8" x14ac:dyDescent="0.25">
      <c r="A229" t="s">
        <v>1351</v>
      </c>
      <c r="B229">
        <v>31000</v>
      </c>
      <c r="C229">
        <v>12</v>
      </c>
      <c r="D229">
        <v>1</v>
      </c>
      <c r="E229">
        <v>27200</v>
      </c>
      <c r="F229">
        <v>200</v>
      </c>
      <c r="G229" t="b">
        <v>0</v>
      </c>
      <c r="H229">
        <v>200</v>
      </c>
    </row>
    <row r="230" spans="1:8" x14ac:dyDescent="0.25">
      <c r="A230" t="s">
        <v>1352</v>
      </c>
      <c r="B230">
        <v>8500</v>
      </c>
      <c r="C230">
        <v>0</v>
      </c>
      <c r="D230">
        <v>5</v>
      </c>
      <c r="E230">
        <v>8500</v>
      </c>
      <c r="F230">
        <v>200</v>
      </c>
      <c r="G230" t="b">
        <v>0</v>
      </c>
      <c r="H230">
        <v>200</v>
      </c>
    </row>
    <row r="231" spans="1:8" x14ac:dyDescent="0.25">
      <c r="A231" t="s">
        <v>1353</v>
      </c>
      <c r="B231">
        <v>13000</v>
      </c>
      <c r="C231">
        <v>11</v>
      </c>
      <c r="D231">
        <v>2</v>
      </c>
      <c r="E231">
        <v>11500</v>
      </c>
      <c r="F231">
        <v>50</v>
      </c>
      <c r="G231" t="b">
        <v>0</v>
      </c>
      <c r="H231">
        <v>50</v>
      </c>
    </row>
    <row r="232" spans="1:8" x14ac:dyDescent="0.25">
      <c r="A232" t="s">
        <v>1354</v>
      </c>
      <c r="B232">
        <v>15500</v>
      </c>
      <c r="C232">
        <v>6</v>
      </c>
      <c r="D232">
        <v>6</v>
      </c>
      <c r="E232">
        <v>14500</v>
      </c>
      <c r="F232">
        <v>100</v>
      </c>
      <c r="G232" t="b">
        <v>0</v>
      </c>
      <c r="H232">
        <v>100</v>
      </c>
    </row>
    <row r="233" spans="1:8" x14ac:dyDescent="0.25">
      <c r="A233" t="s">
        <v>1355</v>
      </c>
      <c r="B233">
        <v>32000</v>
      </c>
      <c r="C233">
        <v>0</v>
      </c>
      <c r="D233">
        <v>4</v>
      </c>
      <c r="E233">
        <v>32000</v>
      </c>
      <c r="F233">
        <v>24</v>
      </c>
      <c r="G233" t="b">
        <v>0</v>
      </c>
      <c r="H233">
        <v>24</v>
      </c>
    </row>
    <row r="234" spans="1:8" x14ac:dyDescent="0.25">
      <c r="A234" t="s">
        <v>1356</v>
      </c>
      <c r="B234">
        <v>22500</v>
      </c>
      <c r="C234">
        <v>9</v>
      </c>
      <c r="D234">
        <v>6</v>
      </c>
      <c r="E234">
        <v>20300</v>
      </c>
      <c r="F234">
        <v>200</v>
      </c>
      <c r="G234" t="b">
        <v>0</v>
      </c>
      <c r="H234">
        <v>200</v>
      </c>
    </row>
    <row r="235" spans="1:8" x14ac:dyDescent="0.25">
      <c r="A235" t="s">
        <v>1357</v>
      </c>
      <c r="B235">
        <v>14900</v>
      </c>
      <c r="C235">
        <v>0</v>
      </c>
      <c r="D235">
        <v>6</v>
      </c>
      <c r="E235">
        <v>14900</v>
      </c>
      <c r="F235">
        <v>192</v>
      </c>
      <c r="G235" t="b">
        <v>0</v>
      </c>
      <c r="H235">
        <v>192</v>
      </c>
    </row>
    <row r="236" spans="1:8" x14ac:dyDescent="0.25">
      <c r="A236" t="s">
        <v>1358</v>
      </c>
      <c r="B236">
        <v>11500</v>
      </c>
      <c r="C236">
        <v>0</v>
      </c>
      <c r="D236">
        <v>4</v>
      </c>
      <c r="E236">
        <v>11500</v>
      </c>
      <c r="F236">
        <v>100</v>
      </c>
      <c r="G236" t="b">
        <v>0</v>
      </c>
      <c r="H236">
        <v>100</v>
      </c>
    </row>
    <row r="237" spans="1:8" x14ac:dyDescent="0.25">
      <c r="A237" t="s">
        <v>1359</v>
      </c>
      <c r="B237">
        <v>19500</v>
      </c>
      <c r="C237">
        <v>9</v>
      </c>
      <c r="D237">
        <v>6</v>
      </c>
      <c r="E237">
        <v>17600</v>
      </c>
      <c r="F237">
        <v>150</v>
      </c>
      <c r="G237" t="b">
        <v>0</v>
      </c>
      <c r="H237">
        <v>150</v>
      </c>
    </row>
    <row r="238" spans="1:8" x14ac:dyDescent="0.25">
      <c r="A238" t="s">
        <v>1314</v>
      </c>
      <c r="B238">
        <v>26400</v>
      </c>
      <c r="C238">
        <v>0</v>
      </c>
      <c r="D238">
        <v>6</v>
      </c>
      <c r="E238">
        <v>26400</v>
      </c>
      <c r="F238">
        <v>340</v>
      </c>
      <c r="G238" t="b">
        <v>0</v>
      </c>
      <c r="H238">
        <v>340</v>
      </c>
    </row>
    <row r="239" spans="1:8" x14ac:dyDescent="0.25">
      <c r="A239" t="s">
        <v>1360</v>
      </c>
      <c r="B239">
        <v>10500</v>
      </c>
      <c r="C239">
        <v>0</v>
      </c>
      <c r="D239">
        <v>4</v>
      </c>
      <c r="E239">
        <v>10500</v>
      </c>
      <c r="F239">
        <v>1160</v>
      </c>
      <c r="G239" t="b">
        <v>0</v>
      </c>
      <c r="H239">
        <v>20</v>
      </c>
    </row>
    <row r="240" spans="1:8" x14ac:dyDescent="0.25">
      <c r="A240" t="s">
        <v>1361</v>
      </c>
      <c r="B240">
        <v>18000</v>
      </c>
      <c r="C240">
        <v>9</v>
      </c>
      <c r="D240">
        <v>2</v>
      </c>
      <c r="E240">
        <v>16300</v>
      </c>
      <c r="F240">
        <v>100</v>
      </c>
      <c r="G240" t="b">
        <v>0</v>
      </c>
      <c r="H240">
        <v>100</v>
      </c>
    </row>
    <row r="241" spans="1:8" x14ac:dyDescent="0.25">
      <c r="A241" t="s">
        <v>1362</v>
      </c>
      <c r="B241">
        <v>19000</v>
      </c>
      <c r="C241">
        <v>0</v>
      </c>
      <c r="D241">
        <v>5</v>
      </c>
      <c r="E241">
        <v>19000</v>
      </c>
      <c r="F241">
        <v>200</v>
      </c>
      <c r="G241" t="b">
        <v>0</v>
      </c>
      <c r="H241">
        <v>200</v>
      </c>
    </row>
    <row r="242" spans="1:8" x14ac:dyDescent="0.25">
      <c r="A242" t="s">
        <v>1363</v>
      </c>
      <c r="B242">
        <v>9000</v>
      </c>
      <c r="C242">
        <v>10</v>
      </c>
      <c r="D242">
        <v>6</v>
      </c>
      <c r="E242">
        <v>8100</v>
      </c>
      <c r="F242">
        <v>100</v>
      </c>
      <c r="G242" t="b">
        <v>0</v>
      </c>
      <c r="H242">
        <v>100</v>
      </c>
    </row>
    <row r="243" spans="1:8" x14ac:dyDescent="0.25">
      <c r="A243" t="s">
        <v>1364</v>
      </c>
      <c r="B243">
        <v>19900</v>
      </c>
      <c r="C243">
        <v>0</v>
      </c>
      <c r="D243">
        <v>6</v>
      </c>
      <c r="E243">
        <v>19900</v>
      </c>
      <c r="F243">
        <v>200</v>
      </c>
      <c r="G243" t="b">
        <v>0</v>
      </c>
      <c r="H243">
        <v>200</v>
      </c>
    </row>
    <row r="244" spans="1:8" x14ac:dyDescent="0.25">
      <c r="A244" t="s">
        <v>1365</v>
      </c>
      <c r="B244">
        <v>17500</v>
      </c>
      <c r="C244">
        <v>0</v>
      </c>
      <c r="D244">
        <v>3</v>
      </c>
      <c r="E244">
        <v>17500</v>
      </c>
      <c r="F244">
        <v>812</v>
      </c>
      <c r="G244" t="b">
        <v>0</v>
      </c>
      <c r="H244">
        <v>14</v>
      </c>
    </row>
    <row r="245" spans="1:8" x14ac:dyDescent="0.25">
      <c r="A245" t="s">
        <v>1366</v>
      </c>
      <c r="B245">
        <v>109900</v>
      </c>
      <c r="C245">
        <v>18</v>
      </c>
      <c r="D245">
        <v>6</v>
      </c>
      <c r="E245">
        <v>89900</v>
      </c>
      <c r="F245">
        <v>54</v>
      </c>
      <c r="G245" t="b">
        <v>0</v>
      </c>
      <c r="H245">
        <v>54</v>
      </c>
    </row>
    <row r="246" spans="1:8" x14ac:dyDescent="0.25">
      <c r="A246" t="s">
        <v>1246</v>
      </c>
      <c r="B246">
        <v>19900</v>
      </c>
      <c r="C246">
        <v>10</v>
      </c>
      <c r="D246">
        <v>6</v>
      </c>
      <c r="E246">
        <v>17900</v>
      </c>
      <c r="F246">
        <v>250</v>
      </c>
      <c r="G246" t="b">
        <v>0</v>
      </c>
      <c r="H246">
        <v>250</v>
      </c>
    </row>
    <row r="247" spans="1:8" x14ac:dyDescent="0.25">
      <c r="A247" t="s">
        <v>1367</v>
      </c>
      <c r="B247">
        <v>12500</v>
      </c>
      <c r="C247">
        <v>10</v>
      </c>
      <c r="D247">
        <v>6</v>
      </c>
      <c r="E247">
        <v>11200</v>
      </c>
      <c r="F247">
        <v>100</v>
      </c>
      <c r="G247" t="b">
        <v>0</v>
      </c>
      <c r="H247">
        <v>100</v>
      </c>
    </row>
    <row r="248" spans="1:8" x14ac:dyDescent="0.25">
      <c r="A248" t="s">
        <v>1331</v>
      </c>
      <c r="B248">
        <v>18000</v>
      </c>
      <c r="C248">
        <v>10</v>
      </c>
      <c r="D248">
        <v>6</v>
      </c>
      <c r="E248">
        <v>16200</v>
      </c>
      <c r="F248">
        <v>150</v>
      </c>
      <c r="G248" t="b">
        <v>0</v>
      </c>
      <c r="H248">
        <v>150</v>
      </c>
    </row>
    <row r="249" spans="1:8" x14ac:dyDescent="0.25">
      <c r="A249" t="s">
        <v>1368</v>
      </c>
      <c r="B249">
        <v>22500</v>
      </c>
      <c r="C249">
        <v>20</v>
      </c>
      <c r="D249">
        <v>6</v>
      </c>
      <c r="E249">
        <v>18000</v>
      </c>
      <c r="F249">
        <v>250</v>
      </c>
      <c r="G249" t="b">
        <v>0</v>
      </c>
      <c r="H249">
        <v>250</v>
      </c>
    </row>
    <row r="250" spans="1:8" x14ac:dyDescent="0.25">
      <c r="A250" t="s">
        <v>1369</v>
      </c>
      <c r="B250">
        <v>18000</v>
      </c>
      <c r="C250">
        <v>0</v>
      </c>
      <c r="D250">
        <v>1</v>
      </c>
      <c r="E250">
        <v>18000</v>
      </c>
      <c r="F250">
        <v>174</v>
      </c>
      <c r="G250" t="b">
        <v>0</v>
      </c>
      <c r="H250">
        <v>3</v>
      </c>
    </row>
    <row r="251" spans="1:8" x14ac:dyDescent="0.25">
      <c r="A251" t="s">
        <v>1345</v>
      </c>
      <c r="B251">
        <v>28500</v>
      </c>
      <c r="C251">
        <v>7</v>
      </c>
      <c r="D251">
        <v>6</v>
      </c>
      <c r="E251">
        <v>26300</v>
      </c>
      <c r="F251">
        <v>500</v>
      </c>
      <c r="G251" t="b">
        <v>0</v>
      </c>
      <c r="H251">
        <v>500</v>
      </c>
    </row>
    <row r="252" spans="1:8" x14ac:dyDescent="0.25">
      <c r="A252" t="s">
        <v>1370</v>
      </c>
      <c r="B252">
        <v>23500</v>
      </c>
      <c r="C252">
        <v>7</v>
      </c>
      <c r="D252">
        <v>6</v>
      </c>
      <c r="E252">
        <v>21800</v>
      </c>
      <c r="F252">
        <v>1160</v>
      </c>
      <c r="G252" t="b">
        <v>0</v>
      </c>
      <c r="H252">
        <v>20</v>
      </c>
    </row>
    <row r="253" spans="1:8" x14ac:dyDescent="0.25">
      <c r="A253" t="s">
        <v>1371</v>
      </c>
      <c r="B253">
        <v>5500</v>
      </c>
      <c r="C253">
        <v>9</v>
      </c>
      <c r="D253">
        <v>6</v>
      </c>
      <c r="E253">
        <v>5000</v>
      </c>
      <c r="F253">
        <v>80</v>
      </c>
      <c r="G253" t="b">
        <v>0</v>
      </c>
      <c r="H253">
        <v>80</v>
      </c>
    </row>
    <row r="254" spans="1:8" x14ac:dyDescent="0.25">
      <c r="A254" t="s">
        <v>1372</v>
      </c>
      <c r="B254">
        <v>18000</v>
      </c>
      <c r="C254">
        <v>0</v>
      </c>
      <c r="D254">
        <v>2</v>
      </c>
      <c r="E254">
        <v>18000</v>
      </c>
      <c r="F254">
        <v>625</v>
      </c>
      <c r="G254" t="b">
        <v>0</v>
      </c>
      <c r="H254">
        <v>625</v>
      </c>
    </row>
    <row r="255" spans="1:8" x14ac:dyDescent="0.25">
      <c r="A255" t="s">
        <v>1373</v>
      </c>
      <c r="B255">
        <v>42500</v>
      </c>
      <c r="C255">
        <v>20</v>
      </c>
      <c r="D255">
        <v>5</v>
      </c>
      <c r="E255">
        <v>34000</v>
      </c>
      <c r="F255">
        <v>400</v>
      </c>
      <c r="G255" t="b">
        <v>0</v>
      </c>
      <c r="H255">
        <v>9</v>
      </c>
    </row>
    <row r="256" spans="1:8" x14ac:dyDescent="0.25">
      <c r="A256" t="s">
        <v>1374</v>
      </c>
      <c r="B256">
        <v>13000</v>
      </c>
      <c r="C256">
        <v>0</v>
      </c>
      <c r="D256">
        <v>4</v>
      </c>
      <c r="E256">
        <v>13000</v>
      </c>
      <c r="F256">
        <v>50</v>
      </c>
      <c r="G256" t="b">
        <v>0</v>
      </c>
      <c r="H256">
        <v>50</v>
      </c>
    </row>
    <row r="257" spans="1:8" x14ac:dyDescent="0.25">
      <c r="A257" t="s">
        <v>1375</v>
      </c>
      <c r="B257">
        <v>55000</v>
      </c>
      <c r="C257">
        <v>0</v>
      </c>
      <c r="D257">
        <v>3</v>
      </c>
      <c r="E257">
        <v>55000</v>
      </c>
      <c r="F257">
        <v>159</v>
      </c>
      <c r="G257" t="b">
        <v>0</v>
      </c>
      <c r="H257">
        <v>172</v>
      </c>
    </row>
    <row r="258" spans="1:8" x14ac:dyDescent="0.25">
      <c r="A258" t="s">
        <v>1248</v>
      </c>
      <c r="B258">
        <v>23500</v>
      </c>
      <c r="C258">
        <v>0</v>
      </c>
      <c r="D258">
        <v>6</v>
      </c>
      <c r="E258">
        <v>23500</v>
      </c>
      <c r="F258">
        <v>400</v>
      </c>
      <c r="G258" t="b">
        <v>0</v>
      </c>
      <c r="H258">
        <v>400</v>
      </c>
    </row>
    <row r="259" spans="1:8" x14ac:dyDescent="0.25">
      <c r="A259" t="s">
        <v>1376</v>
      </c>
      <c r="B259">
        <v>24900</v>
      </c>
      <c r="C259">
        <v>0</v>
      </c>
      <c r="D259">
        <v>4</v>
      </c>
      <c r="E259">
        <v>24900</v>
      </c>
      <c r="F259">
        <v>100</v>
      </c>
      <c r="G259" t="b">
        <v>0</v>
      </c>
      <c r="H259">
        <v>100</v>
      </c>
    </row>
    <row r="260" spans="1:8" x14ac:dyDescent="0.25">
      <c r="A260" t="s">
        <v>1377</v>
      </c>
      <c r="B260">
        <v>2000</v>
      </c>
      <c r="C260">
        <v>0</v>
      </c>
      <c r="D260">
        <v>3</v>
      </c>
      <c r="E260">
        <v>2000</v>
      </c>
      <c r="F260">
        <v>58</v>
      </c>
      <c r="G260" t="b">
        <v>0</v>
      </c>
      <c r="H260">
        <v>1</v>
      </c>
    </row>
    <row r="261" spans="1:8" x14ac:dyDescent="0.25">
      <c r="A261" t="s">
        <v>1378</v>
      </c>
      <c r="B261">
        <v>13500</v>
      </c>
      <c r="C261">
        <v>5</v>
      </c>
      <c r="D261">
        <v>6</v>
      </c>
      <c r="E261">
        <v>12800</v>
      </c>
      <c r="F261">
        <v>50</v>
      </c>
      <c r="G261" t="b">
        <v>0</v>
      </c>
      <c r="H261">
        <v>50</v>
      </c>
    </row>
    <row r="262" spans="1:8" x14ac:dyDescent="0.25">
      <c r="A262" t="s">
        <v>1308</v>
      </c>
      <c r="B262">
        <v>24000</v>
      </c>
      <c r="C262">
        <v>0</v>
      </c>
      <c r="D262">
        <v>4</v>
      </c>
      <c r="E262">
        <v>24000</v>
      </c>
      <c r="F262">
        <v>340</v>
      </c>
      <c r="G262" t="b">
        <v>0</v>
      </c>
      <c r="H262">
        <v>340</v>
      </c>
    </row>
    <row r="263" spans="1:8" x14ac:dyDescent="0.25">
      <c r="A263" t="s">
        <v>1379</v>
      </c>
      <c r="B263">
        <v>19900</v>
      </c>
      <c r="C263">
        <v>0</v>
      </c>
      <c r="D263">
        <v>6</v>
      </c>
      <c r="E263">
        <v>19900</v>
      </c>
      <c r="F263">
        <v>192</v>
      </c>
      <c r="G263" t="b">
        <v>0</v>
      </c>
      <c r="H263">
        <v>192</v>
      </c>
    </row>
    <row r="264" spans="1:8" x14ac:dyDescent="0.25">
      <c r="A264" t="s">
        <v>1380</v>
      </c>
      <c r="B264">
        <v>27500</v>
      </c>
      <c r="C264">
        <v>10</v>
      </c>
      <c r="D264">
        <v>6</v>
      </c>
      <c r="E264">
        <v>24700</v>
      </c>
      <c r="F264">
        <v>200</v>
      </c>
      <c r="G264" t="b">
        <v>0</v>
      </c>
      <c r="H264">
        <v>200</v>
      </c>
    </row>
    <row r="265" spans="1:8" x14ac:dyDescent="0.25">
      <c r="A265" t="s">
        <v>1381</v>
      </c>
      <c r="B265">
        <v>154900</v>
      </c>
      <c r="C265">
        <v>45</v>
      </c>
      <c r="D265">
        <v>3</v>
      </c>
      <c r="E265">
        <v>84900</v>
      </c>
      <c r="F265">
        <v>82</v>
      </c>
      <c r="G265" t="b">
        <v>0</v>
      </c>
      <c r="H265">
        <v>82</v>
      </c>
    </row>
    <row r="266" spans="1:8" x14ac:dyDescent="0.25">
      <c r="A266" t="s">
        <v>1382</v>
      </c>
      <c r="B266">
        <v>19500</v>
      </c>
      <c r="C266">
        <v>10</v>
      </c>
      <c r="D266">
        <v>6</v>
      </c>
      <c r="E266">
        <v>17400</v>
      </c>
      <c r="F266">
        <v>150</v>
      </c>
      <c r="G266" t="b">
        <v>0</v>
      </c>
      <c r="H266">
        <v>150</v>
      </c>
    </row>
    <row r="267" spans="1:8" x14ac:dyDescent="0.25">
      <c r="A267" t="s">
        <v>1383</v>
      </c>
      <c r="B267">
        <v>37500</v>
      </c>
      <c r="C267">
        <v>10</v>
      </c>
      <c r="D267">
        <v>6</v>
      </c>
      <c r="E267">
        <v>33400</v>
      </c>
      <c r="F267">
        <v>340</v>
      </c>
      <c r="G267" t="b">
        <v>0</v>
      </c>
      <c r="H267">
        <v>340</v>
      </c>
    </row>
    <row r="268" spans="1:8" x14ac:dyDescent="0.25">
      <c r="A268" t="s">
        <v>1384</v>
      </c>
      <c r="B268">
        <v>8500</v>
      </c>
      <c r="C268">
        <v>7</v>
      </c>
      <c r="D268">
        <v>4</v>
      </c>
      <c r="E268">
        <v>7900</v>
      </c>
      <c r="F268">
        <v>64</v>
      </c>
      <c r="G268" t="b">
        <v>0</v>
      </c>
      <c r="H268">
        <v>64</v>
      </c>
    </row>
    <row r="269" spans="1:8" x14ac:dyDescent="0.25">
      <c r="A269" t="s">
        <v>1385</v>
      </c>
      <c r="B269">
        <v>19500</v>
      </c>
      <c r="C269">
        <v>9</v>
      </c>
      <c r="D269">
        <v>6</v>
      </c>
      <c r="E269">
        <v>17600</v>
      </c>
      <c r="F269">
        <v>150</v>
      </c>
      <c r="G269" t="b">
        <v>0</v>
      </c>
      <c r="H269">
        <v>150</v>
      </c>
    </row>
    <row r="270" spans="1:8" x14ac:dyDescent="0.25">
      <c r="A270" t="s">
        <v>1386</v>
      </c>
      <c r="B270">
        <v>11500</v>
      </c>
      <c r="C270">
        <v>0</v>
      </c>
      <c r="D270">
        <v>5</v>
      </c>
      <c r="E270">
        <v>11500</v>
      </c>
      <c r="F270">
        <v>1160</v>
      </c>
      <c r="G270" t="b">
        <v>0</v>
      </c>
      <c r="H270">
        <v>20</v>
      </c>
    </row>
    <row r="271" spans="1:8" x14ac:dyDescent="0.25">
      <c r="A271" t="s">
        <v>1387</v>
      </c>
      <c r="B271">
        <v>69900</v>
      </c>
      <c r="C271">
        <v>21</v>
      </c>
      <c r="D271">
        <v>1</v>
      </c>
      <c r="E271">
        <v>54900</v>
      </c>
      <c r="F271">
        <v>50</v>
      </c>
      <c r="G271" t="b">
        <v>0</v>
      </c>
      <c r="H271">
        <v>50</v>
      </c>
    </row>
    <row r="272" spans="1:8" x14ac:dyDescent="0.25">
      <c r="A272" t="s">
        <v>1388</v>
      </c>
      <c r="B272">
        <v>109900</v>
      </c>
      <c r="C272">
        <v>22</v>
      </c>
      <c r="D272">
        <v>3</v>
      </c>
      <c r="E272">
        <v>84900</v>
      </c>
      <c r="F272">
        <v>72</v>
      </c>
      <c r="G272" t="b">
        <v>0</v>
      </c>
      <c r="H272">
        <v>72</v>
      </c>
    </row>
    <row r="273" spans="1:8" x14ac:dyDescent="0.25">
      <c r="A273" t="s">
        <v>1389</v>
      </c>
      <c r="B273">
        <v>17500</v>
      </c>
      <c r="C273">
        <v>9</v>
      </c>
      <c r="D273">
        <v>6</v>
      </c>
      <c r="E273">
        <v>15800</v>
      </c>
      <c r="F273">
        <v>100</v>
      </c>
      <c r="G273" t="b">
        <v>0</v>
      </c>
      <c r="H273">
        <v>100</v>
      </c>
    </row>
    <row r="274" spans="1:8" x14ac:dyDescent="0.25">
      <c r="A274" t="s">
        <v>1390</v>
      </c>
      <c r="B274">
        <v>5000</v>
      </c>
      <c r="C274">
        <v>0</v>
      </c>
      <c r="D274">
        <v>4</v>
      </c>
      <c r="E274">
        <v>5000</v>
      </c>
      <c r="F274">
        <v>130</v>
      </c>
      <c r="G274" t="b">
        <v>0</v>
      </c>
      <c r="H274">
        <v>130</v>
      </c>
    </row>
    <row r="275" spans="1:8" x14ac:dyDescent="0.25">
      <c r="A275" t="s">
        <v>1391</v>
      </c>
      <c r="B275">
        <v>14500</v>
      </c>
      <c r="C275">
        <v>9</v>
      </c>
      <c r="D275">
        <v>5</v>
      </c>
      <c r="E275">
        <v>13100</v>
      </c>
      <c r="F275">
        <v>100</v>
      </c>
      <c r="G275" t="b">
        <v>0</v>
      </c>
      <c r="H275">
        <v>100</v>
      </c>
    </row>
    <row r="276" spans="1:8" x14ac:dyDescent="0.25">
      <c r="A276" t="s">
        <v>1284</v>
      </c>
      <c r="B276">
        <v>55500</v>
      </c>
      <c r="C276">
        <v>6</v>
      </c>
      <c r="D276">
        <v>6</v>
      </c>
      <c r="E276">
        <v>52100</v>
      </c>
      <c r="F276">
        <v>650</v>
      </c>
      <c r="G276" t="b">
        <v>0</v>
      </c>
      <c r="H276">
        <v>650</v>
      </c>
    </row>
    <row r="277" spans="1:8" x14ac:dyDescent="0.25">
      <c r="A277" t="s">
        <v>1392</v>
      </c>
      <c r="B277">
        <v>59900</v>
      </c>
      <c r="C277">
        <v>15</v>
      </c>
      <c r="D277">
        <v>1</v>
      </c>
      <c r="E277">
        <v>50900</v>
      </c>
      <c r="F277">
        <v>30</v>
      </c>
      <c r="G277" t="b">
        <v>0</v>
      </c>
      <c r="H277">
        <v>30</v>
      </c>
    </row>
    <row r="278" spans="1:8" x14ac:dyDescent="0.25">
      <c r="A278" t="s">
        <v>1393</v>
      </c>
      <c r="B278">
        <v>17800</v>
      </c>
      <c r="C278">
        <v>0</v>
      </c>
      <c r="D278">
        <v>6</v>
      </c>
      <c r="E278">
        <v>17800</v>
      </c>
      <c r="F278">
        <v>340</v>
      </c>
      <c r="G278" t="b">
        <v>0</v>
      </c>
      <c r="H278">
        <v>340</v>
      </c>
    </row>
    <row r="279" spans="1:8" x14ac:dyDescent="0.25">
      <c r="A279" t="s">
        <v>1394</v>
      </c>
      <c r="B279">
        <v>22500</v>
      </c>
      <c r="C279">
        <v>6</v>
      </c>
      <c r="D279">
        <v>3</v>
      </c>
      <c r="E279">
        <v>21000</v>
      </c>
      <c r="F279">
        <v>340</v>
      </c>
      <c r="G279" t="b">
        <v>0</v>
      </c>
      <c r="H279">
        <v>340</v>
      </c>
    </row>
    <row r="280" spans="1:8" x14ac:dyDescent="0.25">
      <c r="A280" t="s">
        <v>1395</v>
      </c>
      <c r="B280">
        <v>19900</v>
      </c>
      <c r="C280">
        <v>5</v>
      </c>
      <c r="D280">
        <v>4</v>
      </c>
      <c r="E280">
        <v>18900</v>
      </c>
      <c r="F280">
        <v>125</v>
      </c>
      <c r="G280" t="b">
        <v>0</v>
      </c>
      <c r="H280">
        <v>125</v>
      </c>
    </row>
    <row r="281" spans="1:8" x14ac:dyDescent="0.25">
      <c r="A281" t="s">
        <v>1396</v>
      </c>
      <c r="B281">
        <v>19900</v>
      </c>
      <c r="C281">
        <v>0</v>
      </c>
      <c r="D281">
        <v>1</v>
      </c>
      <c r="E281">
        <v>19900</v>
      </c>
      <c r="F281">
        <v>150</v>
      </c>
      <c r="G281" t="b">
        <v>0</v>
      </c>
      <c r="H281">
        <v>150</v>
      </c>
    </row>
    <row r="282" spans="1:8" x14ac:dyDescent="0.25">
      <c r="A282" t="s">
        <v>1397</v>
      </c>
      <c r="B282">
        <v>69900</v>
      </c>
      <c r="C282">
        <v>17</v>
      </c>
      <c r="D282">
        <v>6</v>
      </c>
      <c r="E282">
        <v>57500</v>
      </c>
      <c r="F282">
        <v>50</v>
      </c>
      <c r="G282" t="b">
        <v>0</v>
      </c>
      <c r="H282">
        <v>50</v>
      </c>
    </row>
    <row r="283" spans="1:8" x14ac:dyDescent="0.25">
      <c r="A283" t="s">
        <v>1398</v>
      </c>
      <c r="B283">
        <v>19900</v>
      </c>
      <c r="C283">
        <v>0</v>
      </c>
      <c r="D283">
        <v>1</v>
      </c>
      <c r="E283">
        <v>19900</v>
      </c>
      <c r="F283">
        <v>150</v>
      </c>
      <c r="G283" t="b">
        <v>0</v>
      </c>
      <c r="H283">
        <v>150</v>
      </c>
    </row>
    <row r="284" spans="1:8" x14ac:dyDescent="0.25">
      <c r="A284" t="s">
        <v>1399</v>
      </c>
      <c r="B284">
        <v>19900</v>
      </c>
      <c r="C284">
        <v>0</v>
      </c>
      <c r="D284">
        <v>6</v>
      </c>
      <c r="E284">
        <v>19900</v>
      </c>
      <c r="F284">
        <v>500</v>
      </c>
      <c r="G284" t="b">
        <v>0</v>
      </c>
      <c r="H284">
        <v>500</v>
      </c>
    </row>
    <row r="285" spans="1:8" x14ac:dyDescent="0.25">
      <c r="A285" t="s">
        <v>1400</v>
      </c>
      <c r="B285">
        <v>37500</v>
      </c>
      <c r="C285">
        <v>9</v>
      </c>
      <c r="D285">
        <v>6</v>
      </c>
      <c r="E285">
        <v>33800</v>
      </c>
      <c r="F285">
        <v>340</v>
      </c>
      <c r="G285" t="b">
        <v>0</v>
      </c>
      <c r="H285">
        <v>340</v>
      </c>
    </row>
    <row r="286" spans="1:8" x14ac:dyDescent="0.25">
      <c r="A286" t="s">
        <v>1401</v>
      </c>
      <c r="B286">
        <v>64900</v>
      </c>
      <c r="C286">
        <v>10</v>
      </c>
      <c r="D286">
        <v>6</v>
      </c>
      <c r="E286">
        <v>57800</v>
      </c>
      <c r="F286">
        <v>232</v>
      </c>
      <c r="G286" t="b">
        <v>0</v>
      </c>
      <c r="H286">
        <v>4</v>
      </c>
    </row>
    <row r="287" spans="1:8" x14ac:dyDescent="0.25">
      <c r="A287" t="s">
        <v>1349</v>
      </c>
      <c r="B287">
        <v>21000</v>
      </c>
      <c r="C287">
        <v>13</v>
      </c>
      <c r="D287">
        <v>1</v>
      </c>
      <c r="E287">
        <v>18200</v>
      </c>
      <c r="F287">
        <v>190</v>
      </c>
      <c r="G287" t="b">
        <v>0</v>
      </c>
      <c r="H287">
        <v>190</v>
      </c>
    </row>
    <row r="288" spans="1:8" x14ac:dyDescent="0.25">
      <c r="A288" t="s">
        <v>1402</v>
      </c>
      <c r="B288">
        <v>37500</v>
      </c>
      <c r="C288">
        <v>0</v>
      </c>
      <c r="D288">
        <v>2</v>
      </c>
      <c r="E288">
        <v>37500</v>
      </c>
      <c r="F288">
        <v>116</v>
      </c>
      <c r="G288" t="b">
        <v>0</v>
      </c>
      <c r="H288">
        <v>2</v>
      </c>
    </row>
    <row r="289" spans="1:8" x14ac:dyDescent="0.25">
      <c r="A289" t="s">
        <v>1282</v>
      </c>
      <c r="B289">
        <v>30000</v>
      </c>
      <c r="C289">
        <v>12</v>
      </c>
      <c r="D289">
        <v>1</v>
      </c>
      <c r="E289">
        <v>26400</v>
      </c>
      <c r="F289">
        <v>400</v>
      </c>
      <c r="G289" t="b">
        <v>0</v>
      </c>
      <c r="H289">
        <v>400</v>
      </c>
    </row>
    <row r="290" spans="1:8" x14ac:dyDescent="0.25">
      <c r="A290" t="s">
        <v>1403</v>
      </c>
      <c r="B290">
        <v>7500</v>
      </c>
      <c r="C290">
        <v>0</v>
      </c>
      <c r="D290">
        <v>6</v>
      </c>
      <c r="E290">
        <v>7500</v>
      </c>
      <c r="F290">
        <v>70</v>
      </c>
      <c r="G290" t="b">
        <v>0</v>
      </c>
      <c r="H290">
        <v>70</v>
      </c>
    </row>
    <row r="291" spans="1:8" x14ac:dyDescent="0.25">
      <c r="A291" t="s">
        <v>1404</v>
      </c>
      <c r="B291">
        <v>14000</v>
      </c>
      <c r="C291">
        <v>10</v>
      </c>
      <c r="D291">
        <v>6</v>
      </c>
      <c r="E291">
        <v>12600</v>
      </c>
      <c r="F291">
        <v>70</v>
      </c>
      <c r="G291" t="b">
        <v>0</v>
      </c>
      <c r="H291">
        <v>70</v>
      </c>
    </row>
    <row r="292" spans="1:8" x14ac:dyDescent="0.25">
      <c r="A292" t="s">
        <v>1405</v>
      </c>
      <c r="B292">
        <v>9300</v>
      </c>
      <c r="C292">
        <v>0</v>
      </c>
      <c r="D292">
        <v>6</v>
      </c>
      <c r="E292">
        <v>9300</v>
      </c>
      <c r="F292">
        <v>80</v>
      </c>
      <c r="G292" t="b">
        <v>0</v>
      </c>
      <c r="H292">
        <v>80</v>
      </c>
    </row>
    <row r="293" spans="1:8" x14ac:dyDescent="0.25">
      <c r="A293" t="s">
        <v>1406</v>
      </c>
      <c r="B293">
        <v>12000</v>
      </c>
      <c r="C293">
        <v>0</v>
      </c>
      <c r="D293">
        <v>6</v>
      </c>
      <c r="E293">
        <v>12000</v>
      </c>
      <c r="F293">
        <v>180</v>
      </c>
      <c r="G293" t="b">
        <v>0</v>
      </c>
      <c r="H293">
        <v>180</v>
      </c>
    </row>
    <row r="294" spans="1:8" x14ac:dyDescent="0.25">
      <c r="A294" t="s">
        <v>1407</v>
      </c>
      <c r="B294">
        <v>10000</v>
      </c>
      <c r="C294">
        <v>10</v>
      </c>
      <c r="D294">
        <v>6</v>
      </c>
      <c r="E294">
        <v>9000</v>
      </c>
      <c r="F294">
        <v>25</v>
      </c>
      <c r="G294" t="b">
        <v>0</v>
      </c>
      <c r="H294">
        <v>25</v>
      </c>
    </row>
    <row r="295" spans="1:8" x14ac:dyDescent="0.25">
      <c r="A295" t="s">
        <v>1181</v>
      </c>
      <c r="B295">
        <v>6900</v>
      </c>
      <c r="C295">
        <v>0</v>
      </c>
      <c r="D295">
        <v>5</v>
      </c>
      <c r="E295">
        <v>6900</v>
      </c>
      <c r="F295">
        <v>200</v>
      </c>
      <c r="G295" t="b">
        <v>0</v>
      </c>
      <c r="H295">
        <v>200</v>
      </c>
    </row>
    <row r="296" spans="1:8" x14ac:dyDescent="0.25">
      <c r="A296" t="s">
        <v>1408</v>
      </c>
      <c r="B296">
        <v>36000</v>
      </c>
      <c r="C296">
        <v>10</v>
      </c>
      <c r="D296">
        <v>6</v>
      </c>
      <c r="E296">
        <v>32400</v>
      </c>
      <c r="F296">
        <v>24</v>
      </c>
      <c r="G296" t="b">
        <v>0</v>
      </c>
      <c r="H296">
        <v>24</v>
      </c>
    </row>
    <row r="297" spans="1:8" x14ac:dyDescent="0.25">
      <c r="A297" t="s">
        <v>1179</v>
      </c>
      <c r="B297">
        <v>26000</v>
      </c>
      <c r="C297">
        <v>18</v>
      </c>
      <c r="D297">
        <v>1</v>
      </c>
      <c r="E297">
        <v>21300</v>
      </c>
      <c r="F297">
        <v>400</v>
      </c>
      <c r="G297" t="b">
        <v>0</v>
      </c>
      <c r="H297">
        <v>400</v>
      </c>
    </row>
    <row r="298" spans="1:8" x14ac:dyDescent="0.25">
      <c r="A298" t="s">
        <v>1275</v>
      </c>
      <c r="B298">
        <v>49000</v>
      </c>
      <c r="C298">
        <v>25</v>
      </c>
      <c r="D298">
        <v>4</v>
      </c>
      <c r="E298">
        <v>36700</v>
      </c>
      <c r="F298">
        <v>700</v>
      </c>
      <c r="G298" t="b">
        <v>0</v>
      </c>
      <c r="H298">
        <v>700</v>
      </c>
    </row>
    <row r="299" spans="1:8" x14ac:dyDescent="0.25">
      <c r="A299" t="s">
        <v>1358</v>
      </c>
      <c r="B299">
        <v>20000</v>
      </c>
      <c r="C299">
        <v>0</v>
      </c>
      <c r="D299">
        <v>6</v>
      </c>
      <c r="E299">
        <v>20000</v>
      </c>
      <c r="F299">
        <v>200</v>
      </c>
      <c r="G299" t="b">
        <v>0</v>
      </c>
      <c r="H299">
        <v>200</v>
      </c>
    </row>
    <row r="300" spans="1:8" x14ac:dyDescent="0.25">
      <c r="A300" t="s">
        <v>1409</v>
      </c>
      <c r="B300">
        <v>32500</v>
      </c>
      <c r="C300">
        <v>0</v>
      </c>
      <c r="D300">
        <v>4</v>
      </c>
      <c r="E300">
        <v>32500</v>
      </c>
      <c r="F300">
        <v>400</v>
      </c>
      <c r="G300" t="b">
        <v>0</v>
      </c>
      <c r="H300">
        <v>400</v>
      </c>
    </row>
    <row r="301" spans="1:8" x14ac:dyDescent="0.25">
      <c r="A301" t="s">
        <v>1410</v>
      </c>
      <c r="B301">
        <v>19900</v>
      </c>
      <c r="C301">
        <v>0</v>
      </c>
      <c r="D301">
        <v>1</v>
      </c>
      <c r="E301">
        <v>19900</v>
      </c>
      <c r="F301">
        <v>193</v>
      </c>
      <c r="G301" t="b">
        <v>0</v>
      </c>
      <c r="H301">
        <v>193</v>
      </c>
    </row>
    <row r="302" spans="1:8" x14ac:dyDescent="0.25">
      <c r="A302" t="s">
        <v>1411</v>
      </c>
      <c r="B302">
        <v>18500</v>
      </c>
      <c r="C302">
        <v>15</v>
      </c>
      <c r="D302">
        <v>6</v>
      </c>
      <c r="E302">
        <v>15700</v>
      </c>
      <c r="F302">
        <v>100</v>
      </c>
      <c r="G302" t="b">
        <v>0</v>
      </c>
      <c r="H302">
        <v>100</v>
      </c>
    </row>
    <row r="303" spans="1:8" x14ac:dyDescent="0.25">
      <c r="A303" t="s">
        <v>1199</v>
      </c>
      <c r="B303">
        <v>55500</v>
      </c>
      <c r="C303">
        <v>0</v>
      </c>
      <c r="D303">
        <v>1</v>
      </c>
      <c r="E303">
        <v>55500</v>
      </c>
      <c r="F303">
        <v>60</v>
      </c>
      <c r="G303" t="b">
        <v>0</v>
      </c>
      <c r="H303">
        <v>60</v>
      </c>
    </row>
    <row r="304" spans="1:8" x14ac:dyDescent="0.25">
      <c r="A304" t="s">
        <v>1412</v>
      </c>
      <c r="B304">
        <v>24900</v>
      </c>
      <c r="C304">
        <v>20</v>
      </c>
      <c r="D304">
        <v>6</v>
      </c>
      <c r="E304">
        <v>19900</v>
      </c>
      <c r="F304">
        <v>250</v>
      </c>
      <c r="G304" t="b">
        <v>0</v>
      </c>
      <c r="H304">
        <v>250</v>
      </c>
    </row>
    <row r="305" spans="1:8" x14ac:dyDescent="0.25">
      <c r="A305" t="s">
        <v>1410</v>
      </c>
      <c r="B305">
        <v>20900</v>
      </c>
      <c r="C305">
        <v>0</v>
      </c>
      <c r="D305">
        <v>3</v>
      </c>
      <c r="E305">
        <v>20900</v>
      </c>
      <c r="F305">
        <v>193</v>
      </c>
      <c r="G305" t="b">
        <v>0</v>
      </c>
      <c r="H305">
        <v>193</v>
      </c>
    </row>
    <row r="306" spans="1:8" x14ac:dyDescent="0.25">
      <c r="A306" t="s">
        <v>1206</v>
      </c>
      <c r="B306">
        <v>28500</v>
      </c>
      <c r="C306">
        <v>6</v>
      </c>
      <c r="D306">
        <v>6</v>
      </c>
      <c r="E306">
        <v>26600</v>
      </c>
      <c r="F306">
        <v>340</v>
      </c>
      <c r="G306" t="b">
        <v>0</v>
      </c>
      <c r="H306">
        <v>340</v>
      </c>
    </row>
    <row r="307" spans="1:8" x14ac:dyDescent="0.25">
      <c r="A307" t="s">
        <v>1413</v>
      </c>
      <c r="B307">
        <v>24900</v>
      </c>
      <c r="C307">
        <v>0</v>
      </c>
      <c r="D307">
        <v>4</v>
      </c>
      <c r="E307">
        <v>24900</v>
      </c>
      <c r="F307">
        <v>150</v>
      </c>
      <c r="G307" t="b">
        <v>0</v>
      </c>
      <c r="H307">
        <v>150</v>
      </c>
    </row>
    <row r="308" spans="1:8" x14ac:dyDescent="0.25">
      <c r="A308" t="s">
        <v>1371</v>
      </c>
      <c r="B308">
        <v>15000</v>
      </c>
      <c r="C308">
        <v>10</v>
      </c>
      <c r="D308">
        <v>6</v>
      </c>
      <c r="E308">
        <v>13500</v>
      </c>
      <c r="F308">
        <v>250</v>
      </c>
      <c r="G308" t="b">
        <v>0</v>
      </c>
      <c r="H308">
        <v>250</v>
      </c>
    </row>
    <row r="309" spans="1:8" x14ac:dyDescent="0.25">
      <c r="A309" t="s">
        <v>1328</v>
      </c>
      <c r="B309">
        <v>17000</v>
      </c>
      <c r="C309">
        <v>14</v>
      </c>
      <c r="D309">
        <v>6</v>
      </c>
      <c r="E309">
        <v>14600</v>
      </c>
      <c r="F309">
        <v>200</v>
      </c>
      <c r="G309" t="b">
        <v>0</v>
      </c>
      <c r="H309">
        <v>200</v>
      </c>
    </row>
    <row r="310" spans="1:8" x14ac:dyDescent="0.25">
      <c r="A310" t="s">
        <v>1414</v>
      </c>
      <c r="B310">
        <v>26800</v>
      </c>
      <c r="C310">
        <v>5</v>
      </c>
      <c r="D310">
        <v>1</v>
      </c>
      <c r="E310">
        <v>25200</v>
      </c>
      <c r="F310">
        <v>340</v>
      </c>
      <c r="G310" t="b">
        <v>0</v>
      </c>
      <c r="H310">
        <v>340</v>
      </c>
    </row>
    <row r="311" spans="1:8" x14ac:dyDescent="0.25">
      <c r="A311" t="s">
        <v>1168</v>
      </c>
      <c r="B311">
        <v>28000</v>
      </c>
      <c r="C311">
        <v>15</v>
      </c>
      <c r="D311">
        <v>6</v>
      </c>
      <c r="E311">
        <v>23600</v>
      </c>
      <c r="F311">
        <v>340</v>
      </c>
      <c r="G311" t="b">
        <v>0</v>
      </c>
      <c r="H311">
        <v>340</v>
      </c>
    </row>
    <row r="312" spans="1:8" x14ac:dyDescent="0.25">
      <c r="A312" t="s">
        <v>1415</v>
      </c>
      <c r="B312">
        <v>29500</v>
      </c>
      <c r="C312">
        <v>9</v>
      </c>
      <c r="D312">
        <v>6</v>
      </c>
      <c r="E312">
        <v>26600</v>
      </c>
      <c r="F312">
        <v>340</v>
      </c>
      <c r="G312" t="b">
        <v>0</v>
      </c>
      <c r="H312">
        <v>340</v>
      </c>
    </row>
    <row r="313" spans="1:8" x14ac:dyDescent="0.25">
      <c r="A313" t="s">
        <v>1416</v>
      </c>
      <c r="B313">
        <v>34500</v>
      </c>
      <c r="C313">
        <v>0</v>
      </c>
      <c r="D313">
        <v>6</v>
      </c>
      <c r="E313">
        <v>34500</v>
      </c>
      <c r="F313">
        <v>58</v>
      </c>
      <c r="G313" t="b">
        <v>0</v>
      </c>
      <c r="H313">
        <v>1</v>
      </c>
    </row>
    <row r="314" spans="1:8" x14ac:dyDescent="0.25">
      <c r="A314" t="s">
        <v>1417</v>
      </c>
      <c r="B314">
        <v>36500</v>
      </c>
      <c r="C314">
        <v>0</v>
      </c>
      <c r="D314">
        <v>1</v>
      </c>
      <c r="E314">
        <v>36500</v>
      </c>
      <c r="F314">
        <v>340</v>
      </c>
      <c r="G314" t="b">
        <v>0</v>
      </c>
      <c r="H314">
        <v>340</v>
      </c>
    </row>
    <row r="315" spans="1:8" x14ac:dyDescent="0.25">
      <c r="A315" t="s">
        <v>1418</v>
      </c>
      <c r="B315">
        <v>20000</v>
      </c>
      <c r="C315">
        <v>20</v>
      </c>
      <c r="D315">
        <v>2</v>
      </c>
      <c r="E315">
        <v>16000</v>
      </c>
      <c r="F315">
        <v>200</v>
      </c>
      <c r="G315" t="b">
        <v>0</v>
      </c>
      <c r="H315">
        <v>250</v>
      </c>
    </row>
    <row r="316" spans="1:8" x14ac:dyDescent="0.25">
      <c r="A316" t="s">
        <v>1245</v>
      </c>
      <c r="B316">
        <v>23500</v>
      </c>
      <c r="C316">
        <v>20</v>
      </c>
      <c r="D316">
        <v>6</v>
      </c>
      <c r="E316">
        <v>18800</v>
      </c>
      <c r="F316">
        <v>400</v>
      </c>
      <c r="G316" t="b">
        <v>0</v>
      </c>
      <c r="H316">
        <v>400</v>
      </c>
    </row>
    <row r="317" spans="1:8" x14ac:dyDescent="0.25">
      <c r="A317" t="s">
        <v>1419</v>
      </c>
      <c r="B317">
        <v>25000</v>
      </c>
      <c r="C317">
        <v>0</v>
      </c>
      <c r="D317">
        <v>6</v>
      </c>
      <c r="E317">
        <v>25000</v>
      </c>
      <c r="F317">
        <v>150</v>
      </c>
      <c r="G317" t="b">
        <v>0</v>
      </c>
      <c r="H317">
        <v>150</v>
      </c>
    </row>
    <row r="318" spans="1:8" x14ac:dyDescent="0.25">
      <c r="A318" t="s">
        <v>1420</v>
      </c>
      <c r="B318">
        <v>7100</v>
      </c>
      <c r="C318">
        <v>0</v>
      </c>
      <c r="D318">
        <v>6</v>
      </c>
      <c r="E318">
        <v>7100</v>
      </c>
      <c r="F318">
        <v>200</v>
      </c>
      <c r="G318" t="b">
        <v>0</v>
      </c>
      <c r="H318">
        <v>200</v>
      </c>
    </row>
    <row r="319" spans="1:8" x14ac:dyDescent="0.25">
      <c r="A319" t="s">
        <v>1421</v>
      </c>
      <c r="B319">
        <v>19000</v>
      </c>
      <c r="C319">
        <v>6</v>
      </c>
      <c r="D319">
        <v>6</v>
      </c>
      <c r="E319">
        <v>17800</v>
      </c>
      <c r="F319">
        <v>200</v>
      </c>
      <c r="G319" t="b">
        <v>0</v>
      </c>
      <c r="H319">
        <v>200</v>
      </c>
    </row>
    <row r="320" spans="1:8" x14ac:dyDescent="0.25">
      <c r="A320" t="s">
        <v>1422</v>
      </c>
      <c r="B320">
        <v>39900</v>
      </c>
      <c r="C320">
        <v>0</v>
      </c>
      <c r="D320">
        <v>1</v>
      </c>
      <c r="E320">
        <v>39900</v>
      </c>
      <c r="F320">
        <v>200</v>
      </c>
      <c r="G320" t="b">
        <v>0</v>
      </c>
      <c r="H320">
        <v>200</v>
      </c>
    </row>
    <row r="321" spans="1:8" x14ac:dyDescent="0.25">
      <c r="A321" t="s">
        <v>1423</v>
      </c>
      <c r="B321">
        <v>8000</v>
      </c>
      <c r="C321">
        <v>10</v>
      </c>
      <c r="D321">
        <v>2</v>
      </c>
      <c r="E321">
        <v>7200</v>
      </c>
      <c r="F321">
        <v>20</v>
      </c>
      <c r="G321" t="b">
        <v>0</v>
      </c>
      <c r="H321">
        <v>20</v>
      </c>
    </row>
    <row r="322" spans="1:8" x14ac:dyDescent="0.25">
      <c r="A322" t="s">
        <v>1424</v>
      </c>
      <c r="B322">
        <v>23000</v>
      </c>
      <c r="C322">
        <v>0</v>
      </c>
      <c r="D322">
        <v>4</v>
      </c>
      <c r="E322">
        <v>23000</v>
      </c>
      <c r="F322">
        <v>150</v>
      </c>
      <c r="G322" t="b">
        <v>0</v>
      </c>
      <c r="H322">
        <v>120</v>
      </c>
    </row>
    <row r="323" spans="1:8" x14ac:dyDescent="0.25">
      <c r="A323" t="s">
        <v>1425</v>
      </c>
      <c r="B323">
        <v>24500</v>
      </c>
      <c r="C323">
        <v>9</v>
      </c>
      <c r="D323">
        <v>6</v>
      </c>
      <c r="E323">
        <v>22100</v>
      </c>
      <c r="F323">
        <v>100</v>
      </c>
      <c r="G323" t="b">
        <v>0</v>
      </c>
      <c r="H323">
        <v>100</v>
      </c>
    </row>
    <row r="324" spans="1:8" x14ac:dyDescent="0.25">
      <c r="A324" t="s">
        <v>1426</v>
      </c>
      <c r="B324">
        <v>9000</v>
      </c>
      <c r="C324">
        <v>6</v>
      </c>
      <c r="D324">
        <v>4</v>
      </c>
      <c r="E324">
        <v>8400</v>
      </c>
      <c r="F324">
        <v>80</v>
      </c>
      <c r="G324" t="b">
        <v>0</v>
      </c>
      <c r="H324">
        <v>80</v>
      </c>
    </row>
    <row r="325" spans="1:8" x14ac:dyDescent="0.25">
      <c r="A325" t="s">
        <v>1427</v>
      </c>
      <c r="B325">
        <v>10900</v>
      </c>
      <c r="C325">
        <v>3</v>
      </c>
      <c r="D325">
        <v>0</v>
      </c>
      <c r="E325">
        <v>10500</v>
      </c>
      <c r="F325">
        <v>750</v>
      </c>
      <c r="G325" t="b">
        <v>1</v>
      </c>
      <c r="H325">
        <v>750</v>
      </c>
    </row>
    <row r="326" spans="1:8" x14ac:dyDescent="0.25">
      <c r="A326" t="s">
        <v>1428</v>
      </c>
      <c r="B326">
        <v>12300</v>
      </c>
      <c r="C326">
        <v>0</v>
      </c>
      <c r="D326">
        <v>0</v>
      </c>
      <c r="E326">
        <v>12300</v>
      </c>
      <c r="F326">
        <v>300</v>
      </c>
      <c r="G326" t="b">
        <v>1</v>
      </c>
      <c r="H326">
        <v>300</v>
      </c>
    </row>
    <row r="327" spans="1:8" x14ac:dyDescent="0.25">
      <c r="A327" t="s">
        <v>1429</v>
      </c>
      <c r="B327">
        <v>3000</v>
      </c>
      <c r="C327">
        <v>3</v>
      </c>
      <c r="D327">
        <v>0</v>
      </c>
      <c r="E327">
        <v>2900</v>
      </c>
      <c r="F327">
        <v>406</v>
      </c>
      <c r="G327" t="b">
        <v>1</v>
      </c>
      <c r="H327">
        <v>7</v>
      </c>
    </row>
    <row r="328" spans="1:8" x14ac:dyDescent="0.25">
      <c r="A328" t="s">
        <v>1430</v>
      </c>
      <c r="B328">
        <v>4800</v>
      </c>
      <c r="C328">
        <v>2</v>
      </c>
      <c r="D328">
        <v>0</v>
      </c>
      <c r="E328">
        <v>4700</v>
      </c>
      <c r="F328">
        <v>120</v>
      </c>
      <c r="G328" t="b">
        <v>1</v>
      </c>
      <c r="H328">
        <v>120</v>
      </c>
    </row>
    <row r="329" spans="1:8" x14ac:dyDescent="0.25">
      <c r="A329" t="s">
        <v>1431</v>
      </c>
      <c r="B329">
        <v>21500</v>
      </c>
      <c r="C329">
        <v>9</v>
      </c>
      <c r="D329">
        <v>0</v>
      </c>
      <c r="E329">
        <v>19400</v>
      </c>
      <c r="F329">
        <v>400</v>
      </c>
      <c r="G329" t="b">
        <v>1</v>
      </c>
      <c r="H329">
        <v>400</v>
      </c>
    </row>
    <row r="330" spans="1:8" x14ac:dyDescent="0.25">
      <c r="A330" t="s">
        <v>1161</v>
      </c>
      <c r="B330">
        <v>9000</v>
      </c>
      <c r="C330">
        <v>10</v>
      </c>
      <c r="D330">
        <v>0</v>
      </c>
      <c r="E330">
        <v>8100</v>
      </c>
      <c r="F330">
        <v>150</v>
      </c>
      <c r="G330" t="b">
        <v>1</v>
      </c>
      <c r="H330">
        <v>150</v>
      </c>
    </row>
    <row r="331" spans="1:8" x14ac:dyDescent="0.25">
      <c r="A331" t="s">
        <v>1239</v>
      </c>
      <c r="B331">
        <v>10000</v>
      </c>
      <c r="C331">
        <v>16</v>
      </c>
      <c r="D331">
        <v>0</v>
      </c>
      <c r="E331">
        <v>8400</v>
      </c>
      <c r="F331">
        <v>500</v>
      </c>
      <c r="G331" t="b">
        <v>1</v>
      </c>
      <c r="H331">
        <v>100</v>
      </c>
    </row>
    <row r="332" spans="1:8" x14ac:dyDescent="0.25">
      <c r="A332" t="s">
        <v>1432</v>
      </c>
      <c r="B332">
        <v>11500</v>
      </c>
      <c r="C332">
        <v>7</v>
      </c>
      <c r="D332">
        <v>0</v>
      </c>
      <c r="E332">
        <v>10600</v>
      </c>
      <c r="F332">
        <v>75</v>
      </c>
      <c r="G332" t="b">
        <v>1</v>
      </c>
      <c r="H332">
        <v>75</v>
      </c>
    </row>
    <row r="333" spans="1:8" x14ac:dyDescent="0.25">
      <c r="A333" t="s">
        <v>1433</v>
      </c>
      <c r="B333">
        <v>9000</v>
      </c>
      <c r="C333">
        <v>0</v>
      </c>
      <c r="D333">
        <v>0</v>
      </c>
      <c r="E333">
        <v>9000</v>
      </c>
      <c r="F333">
        <v>406</v>
      </c>
      <c r="G333" t="b">
        <v>1</v>
      </c>
      <c r="H333">
        <v>7</v>
      </c>
    </row>
    <row r="334" spans="1:8" x14ac:dyDescent="0.25">
      <c r="A334" t="s">
        <v>1434</v>
      </c>
      <c r="B334">
        <v>3200</v>
      </c>
      <c r="C334">
        <v>9</v>
      </c>
      <c r="D334">
        <v>0</v>
      </c>
      <c r="E334">
        <v>2900</v>
      </c>
      <c r="F334">
        <v>406</v>
      </c>
      <c r="G334" t="b">
        <v>1</v>
      </c>
      <c r="H334">
        <v>7</v>
      </c>
    </row>
    <row r="335" spans="1:8" x14ac:dyDescent="0.25">
      <c r="A335" t="s">
        <v>1435</v>
      </c>
      <c r="B335">
        <v>8400</v>
      </c>
      <c r="C335">
        <v>0</v>
      </c>
      <c r="D335">
        <v>0</v>
      </c>
      <c r="E335">
        <v>8400</v>
      </c>
      <c r="F335">
        <v>400</v>
      </c>
      <c r="G335" t="b">
        <v>1</v>
      </c>
      <c r="H335">
        <v>100</v>
      </c>
    </row>
    <row r="336" spans="1:8" x14ac:dyDescent="0.25">
      <c r="A336" t="s">
        <v>1436</v>
      </c>
      <c r="B336">
        <v>24900</v>
      </c>
      <c r="C336">
        <v>7</v>
      </c>
      <c r="D336">
        <v>0</v>
      </c>
      <c r="E336">
        <v>23000</v>
      </c>
      <c r="F336">
        <v>58</v>
      </c>
      <c r="G336" t="b">
        <v>1</v>
      </c>
      <c r="H336">
        <v>1</v>
      </c>
    </row>
    <row r="337" spans="1:8" x14ac:dyDescent="0.25">
      <c r="A337" t="s">
        <v>1204</v>
      </c>
      <c r="B337">
        <v>9000</v>
      </c>
      <c r="C337">
        <v>3</v>
      </c>
      <c r="D337">
        <v>0</v>
      </c>
      <c r="E337">
        <v>8700</v>
      </c>
      <c r="F337">
        <v>58</v>
      </c>
      <c r="G337" t="b">
        <v>1</v>
      </c>
      <c r="H337">
        <v>20</v>
      </c>
    </row>
    <row r="338" spans="1:8" x14ac:dyDescent="0.25">
      <c r="A338" t="s">
        <v>1437</v>
      </c>
      <c r="B338">
        <v>4200</v>
      </c>
      <c r="C338">
        <v>2</v>
      </c>
      <c r="D338">
        <v>0</v>
      </c>
      <c r="E338">
        <v>4100</v>
      </c>
      <c r="F338">
        <v>406</v>
      </c>
      <c r="G338" t="b">
        <v>1</v>
      </c>
      <c r="H338">
        <v>7</v>
      </c>
    </row>
    <row r="339" spans="1:8" x14ac:dyDescent="0.25">
      <c r="A339" t="s">
        <v>1438</v>
      </c>
      <c r="B339">
        <v>8200</v>
      </c>
      <c r="C339">
        <v>9</v>
      </c>
      <c r="D339">
        <v>0</v>
      </c>
      <c r="E339">
        <v>7400</v>
      </c>
      <c r="F339">
        <v>27</v>
      </c>
      <c r="G339" t="b">
        <v>1</v>
      </c>
      <c r="H339">
        <v>27</v>
      </c>
    </row>
    <row r="340" spans="1:8" x14ac:dyDescent="0.25">
      <c r="A340" t="s">
        <v>1439</v>
      </c>
      <c r="B340">
        <v>14500</v>
      </c>
      <c r="C340">
        <v>9</v>
      </c>
      <c r="D340">
        <v>0</v>
      </c>
      <c r="E340">
        <v>13100</v>
      </c>
      <c r="F340">
        <v>100</v>
      </c>
      <c r="G340" t="b">
        <v>1</v>
      </c>
      <c r="H340">
        <v>100</v>
      </c>
    </row>
    <row r="341" spans="1:8" x14ac:dyDescent="0.25">
      <c r="A341" t="s">
        <v>1440</v>
      </c>
      <c r="B341">
        <v>6700</v>
      </c>
      <c r="C341">
        <v>10</v>
      </c>
      <c r="D341">
        <v>0</v>
      </c>
      <c r="E341">
        <v>6000</v>
      </c>
      <c r="F341">
        <v>100</v>
      </c>
      <c r="G341" t="b">
        <v>1</v>
      </c>
      <c r="H341">
        <v>100</v>
      </c>
    </row>
    <row r="342" spans="1:8" x14ac:dyDescent="0.25">
      <c r="A342" t="s">
        <v>1441</v>
      </c>
      <c r="B342">
        <v>13000</v>
      </c>
      <c r="C342">
        <v>7</v>
      </c>
      <c r="D342">
        <v>0</v>
      </c>
      <c r="E342">
        <v>12000</v>
      </c>
      <c r="F342">
        <v>200</v>
      </c>
      <c r="G342" t="b">
        <v>1</v>
      </c>
      <c r="H342">
        <v>200</v>
      </c>
    </row>
    <row r="343" spans="1:8" x14ac:dyDescent="0.25">
      <c r="A343" t="s">
        <v>1442</v>
      </c>
      <c r="B343">
        <v>18500</v>
      </c>
      <c r="C343">
        <v>0</v>
      </c>
      <c r="D343">
        <v>0</v>
      </c>
      <c r="E343">
        <v>18500</v>
      </c>
      <c r="F343">
        <v>870</v>
      </c>
      <c r="G343" t="b">
        <v>1</v>
      </c>
      <c r="H343">
        <v>15</v>
      </c>
    </row>
    <row r="344" spans="1:8" x14ac:dyDescent="0.25">
      <c r="A344" t="s">
        <v>1443</v>
      </c>
      <c r="B344">
        <v>11600</v>
      </c>
      <c r="C344">
        <v>0</v>
      </c>
      <c r="D344">
        <v>0</v>
      </c>
      <c r="E344">
        <v>11600</v>
      </c>
      <c r="F344">
        <v>400</v>
      </c>
      <c r="G344" t="b">
        <v>1</v>
      </c>
      <c r="H344">
        <v>400</v>
      </c>
    </row>
    <row r="345" spans="1:8" x14ac:dyDescent="0.25">
      <c r="A345" t="s">
        <v>1444</v>
      </c>
      <c r="B345">
        <v>39900</v>
      </c>
      <c r="C345">
        <v>7</v>
      </c>
      <c r="D345">
        <v>0</v>
      </c>
      <c r="E345">
        <v>36900</v>
      </c>
      <c r="F345">
        <v>26</v>
      </c>
      <c r="G345" t="b">
        <v>1</v>
      </c>
      <c r="H345">
        <v>26</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H345"/>
  <sheetViews>
    <sheetView topLeftCell="A336"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1135</v>
      </c>
      <c r="B2">
        <v>16000</v>
      </c>
      <c r="C2">
        <v>35</v>
      </c>
      <c r="D2">
        <v>3</v>
      </c>
      <c r="E2">
        <v>10400</v>
      </c>
      <c r="F2">
        <v>80</v>
      </c>
      <c r="G2" t="b">
        <v>0</v>
      </c>
      <c r="H2">
        <v>80</v>
      </c>
    </row>
    <row r="3" spans="1:8" x14ac:dyDescent="0.25">
      <c r="A3" t="s">
        <v>1136</v>
      </c>
      <c r="B3">
        <v>2500</v>
      </c>
      <c r="C3">
        <v>0</v>
      </c>
      <c r="D3">
        <v>6</v>
      </c>
      <c r="E3">
        <v>2500</v>
      </c>
      <c r="F3">
        <v>50</v>
      </c>
      <c r="G3" t="b">
        <v>0</v>
      </c>
      <c r="H3">
        <v>50</v>
      </c>
    </row>
    <row r="4" spans="1:8" x14ac:dyDescent="0.25">
      <c r="A4" t="s">
        <v>1137</v>
      </c>
      <c r="B4">
        <v>11500</v>
      </c>
      <c r="C4">
        <v>10</v>
      </c>
      <c r="D4">
        <v>6</v>
      </c>
      <c r="E4">
        <v>10300</v>
      </c>
      <c r="F4">
        <v>100</v>
      </c>
      <c r="G4" t="b">
        <v>0</v>
      </c>
      <c r="H4">
        <v>100</v>
      </c>
    </row>
    <row r="5" spans="1:8" x14ac:dyDescent="0.25">
      <c r="A5" t="s">
        <v>1138</v>
      </c>
      <c r="B5">
        <v>10900</v>
      </c>
      <c r="C5">
        <v>3</v>
      </c>
      <c r="D5">
        <v>6</v>
      </c>
      <c r="E5">
        <v>10500</v>
      </c>
      <c r="F5">
        <v>750</v>
      </c>
      <c r="G5" t="b">
        <v>0</v>
      </c>
      <c r="H5">
        <v>750</v>
      </c>
    </row>
    <row r="6" spans="1:8" x14ac:dyDescent="0.25">
      <c r="A6" t="s">
        <v>1139</v>
      </c>
      <c r="B6">
        <v>11500</v>
      </c>
      <c r="C6">
        <v>4</v>
      </c>
      <c r="D6">
        <v>6</v>
      </c>
      <c r="E6">
        <v>11000</v>
      </c>
      <c r="F6">
        <v>750</v>
      </c>
      <c r="G6" t="b">
        <v>0</v>
      </c>
      <c r="H6">
        <v>500</v>
      </c>
    </row>
    <row r="7" spans="1:8" x14ac:dyDescent="0.25">
      <c r="A7" t="s">
        <v>1140</v>
      </c>
      <c r="B7">
        <v>12000</v>
      </c>
      <c r="C7">
        <v>10</v>
      </c>
      <c r="D7">
        <v>6</v>
      </c>
      <c r="E7">
        <v>10800</v>
      </c>
      <c r="F7">
        <v>120</v>
      </c>
      <c r="G7" t="b">
        <v>0</v>
      </c>
      <c r="H7">
        <v>120</v>
      </c>
    </row>
    <row r="8" spans="1:8" x14ac:dyDescent="0.25">
      <c r="A8" t="s">
        <v>1141</v>
      </c>
      <c r="B8">
        <v>3500</v>
      </c>
      <c r="C8">
        <v>2</v>
      </c>
      <c r="D8">
        <v>6</v>
      </c>
      <c r="E8">
        <v>3400</v>
      </c>
      <c r="F8">
        <v>75</v>
      </c>
      <c r="G8" t="b">
        <v>0</v>
      </c>
      <c r="H8">
        <v>75</v>
      </c>
    </row>
    <row r="9" spans="1:8" x14ac:dyDescent="0.25">
      <c r="A9" t="s">
        <v>1142</v>
      </c>
      <c r="B9">
        <v>11400</v>
      </c>
      <c r="C9">
        <v>18</v>
      </c>
      <c r="D9">
        <v>2</v>
      </c>
      <c r="E9">
        <v>9300</v>
      </c>
      <c r="F9">
        <v>200</v>
      </c>
      <c r="G9" t="b">
        <v>0</v>
      </c>
      <c r="H9">
        <v>200</v>
      </c>
    </row>
    <row r="10" spans="1:8" x14ac:dyDescent="0.25">
      <c r="A10" t="s">
        <v>1143</v>
      </c>
      <c r="B10">
        <v>22500</v>
      </c>
      <c r="C10">
        <v>24</v>
      </c>
      <c r="D10">
        <v>6</v>
      </c>
      <c r="E10">
        <v>16900</v>
      </c>
      <c r="F10">
        <v>150</v>
      </c>
      <c r="G10" t="b">
        <v>0</v>
      </c>
      <c r="H10">
        <v>150</v>
      </c>
    </row>
    <row r="11" spans="1:8" x14ac:dyDescent="0.25">
      <c r="A11" t="s">
        <v>1144</v>
      </c>
      <c r="B11">
        <v>5800</v>
      </c>
      <c r="C11">
        <v>5</v>
      </c>
      <c r="D11">
        <v>6</v>
      </c>
      <c r="E11">
        <v>5500</v>
      </c>
      <c r="F11">
        <v>100</v>
      </c>
      <c r="G11" t="b">
        <v>0</v>
      </c>
      <c r="H11">
        <v>100</v>
      </c>
    </row>
    <row r="12" spans="1:8" x14ac:dyDescent="0.25">
      <c r="A12" t="s">
        <v>1145</v>
      </c>
      <c r="B12">
        <v>10100</v>
      </c>
      <c r="C12">
        <v>5</v>
      </c>
      <c r="D12">
        <v>2</v>
      </c>
      <c r="E12">
        <v>9500</v>
      </c>
      <c r="F12">
        <v>150</v>
      </c>
      <c r="G12" t="b">
        <v>0</v>
      </c>
      <c r="H12">
        <v>150</v>
      </c>
    </row>
    <row r="13" spans="1:8" x14ac:dyDescent="0.25">
      <c r="A13" t="s">
        <v>1146</v>
      </c>
      <c r="B13">
        <v>43200</v>
      </c>
      <c r="C13">
        <v>15</v>
      </c>
      <c r="D13">
        <v>6</v>
      </c>
      <c r="E13">
        <v>36700</v>
      </c>
      <c r="F13">
        <v>100</v>
      </c>
      <c r="G13" t="b">
        <v>0</v>
      </c>
      <c r="H13">
        <v>100</v>
      </c>
    </row>
    <row r="14" spans="1:8" x14ac:dyDescent="0.25">
      <c r="A14" t="s">
        <v>1147</v>
      </c>
      <c r="B14">
        <v>5000</v>
      </c>
      <c r="C14">
        <v>0</v>
      </c>
      <c r="D14">
        <v>6</v>
      </c>
      <c r="E14">
        <v>5000</v>
      </c>
      <c r="F14">
        <v>58</v>
      </c>
      <c r="G14" t="b">
        <v>0</v>
      </c>
      <c r="H14">
        <v>1</v>
      </c>
    </row>
    <row r="15" spans="1:8" x14ac:dyDescent="0.25">
      <c r="A15" t="s">
        <v>1148</v>
      </c>
      <c r="B15">
        <v>7500</v>
      </c>
      <c r="C15">
        <v>0</v>
      </c>
      <c r="D15">
        <v>6</v>
      </c>
      <c r="E15">
        <v>7500</v>
      </c>
      <c r="F15">
        <v>125</v>
      </c>
      <c r="G15" t="b">
        <v>0</v>
      </c>
      <c r="H15">
        <v>125</v>
      </c>
    </row>
    <row r="16" spans="1:8" x14ac:dyDescent="0.25">
      <c r="A16" t="s">
        <v>1149</v>
      </c>
      <c r="B16">
        <v>7900</v>
      </c>
      <c r="C16">
        <v>13</v>
      </c>
      <c r="D16">
        <v>6</v>
      </c>
      <c r="E16">
        <v>6800</v>
      </c>
      <c r="F16">
        <v>50</v>
      </c>
      <c r="G16" t="b">
        <v>0</v>
      </c>
      <c r="H16">
        <v>50</v>
      </c>
    </row>
    <row r="17" spans="1:8" x14ac:dyDescent="0.25">
      <c r="A17" t="s">
        <v>1150</v>
      </c>
      <c r="B17">
        <v>16600</v>
      </c>
      <c r="C17">
        <v>5</v>
      </c>
      <c r="D17">
        <v>4</v>
      </c>
      <c r="E17">
        <v>15700</v>
      </c>
      <c r="F17">
        <v>375</v>
      </c>
      <c r="G17" t="b">
        <v>0</v>
      </c>
      <c r="H17">
        <v>375</v>
      </c>
    </row>
    <row r="18" spans="1:8" x14ac:dyDescent="0.25">
      <c r="A18" t="s">
        <v>1151</v>
      </c>
      <c r="B18">
        <v>26000</v>
      </c>
      <c r="C18">
        <v>5</v>
      </c>
      <c r="D18">
        <v>6</v>
      </c>
      <c r="E18">
        <v>24700</v>
      </c>
      <c r="F18">
        <v>625</v>
      </c>
      <c r="G18" t="b">
        <v>0</v>
      </c>
      <c r="H18">
        <v>625</v>
      </c>
    </row>
    <row r="19" spans="1:8" x14ac:dyDescent="0.25">
      <c r="A19" t="s">
        <v>1152</v>
      </c>
      <c r="B19">
        <v>25000</v>
      </c>
      <c r="C19">
        <v>10</v>
      </c>
      <c r="D19">
        <v>3</v>
      </c>
      <c r="E19">
        <v>22500</v>
      </c>
      <c r="F19">
        <v>100</v>
      </c>
      <c r="G19" t="b">
        <v>0</v>
      </c>
      <c r="H19">
        <v>100</v>
      </c>
    </row>
    <row r="20" spans="1:8" x14ac:dyDescent="0.25">
      <c r="A20" t="s">
        <v>1153</v>
      </c>
      <c r="B20">
        <v>3000</v>
      </c>
      <c r="C20">
        <v>3</v>
      </c>
      <c r="D20">
        <v>3</v>
      </c>
      <c r="E20">
        <v>2900</v>
      </c>
      <c r="F20">
        <v>100</v>
      </c>
      <c r="G20" t="b">
        <v>0</v>
      </c>
      <c r="H20">
        <v>125</v>
      </c>
    </row>
    <row r="21" spans="1:8" x14ac:dyDescent="0.25">
      <c r="A21" t="s">
        <v>1141</v>
      </c>
      <c r="B21">
        <v>7000</v>
      </c>
      <c r="C21">
        <v>10</v>
      </c>
      <c r="D21">
        <v>6</v>
      </c>
      <c r="E21">
        <v>6300</v>
      </c>
      <c r="F21">
        <v>125</v>
      </c>
      <c r="G21" t="b">
        <v>0</v>
      </c>
      <c r="H21">
        <v>125</v>
      </c>
    </row>
    <row r="22" spans="1:8" x14ac:dyDescent="0.25">
      <c r="A22" t="s">
        <v>1154</v>
      </c>
      <c r="B22">
        <v>1000</v>
      </c>
      <c r="C22">
        <v>0</v>
      </c>
      <c r="D22">
        <v>6</v>
      </c>
      <c r="E22">
        <v>1000</v>
      </c>
      <c r="F22">
        <v>18</v>
      </c>
      <c r="G22" t="b">
        <v>0</v>
      </c>
      <c r="H22">
        <v>18</v>
      </c>
    </row>
    <row r="23" spans="1:8" x14ac:dyDescent="0.25">
      <c r="A23" t="s">
        <v>1155</v>
      </c>
      <c r="B23">
        <v>21300</v>
      </c>
      <c r="C23">
        <v>10</v>
      </c>
      <c r="D23">
        <v>6</v>
      </c>
      <c r="E23">
        <v>19000</v>
      </c>
      <c r="F23">
        <v>110</v>
      </c>
      <c r="G23" t="b">
        <v>0</v>
      </c>
      <c r="H23">
        <v>110</v>
      </c>
    </row>
    <row r="24" spans="1:8" x14ac:dyDescent="0.25">
      <c r="A24" t="s">
        <v>1156</v>
      </c>
      <c r="B24">
        <v>5000</v>
      </c>
      <c r="C24">
        <v>10</v>
      </c>
      <c r="D24">
        <v>4</v>
      </c>
      <c r="E24">
        <v>4500</v>
      </c>
      <c r="F24">
        <v>50</v>
      </c>
      <c r="G24" t="b">
        <v>0</v>
      </c>
      <c r="H24">
        <v>50</v>
      </c>
    </row>
    <row r="25" spans="1:8" x14ac:dyDescent="0.25">
      <c r="A25" t="s">
        <v>1157</v>
      </c>
      <c r="B25">
        <v>3000</v>
      </c>
      <c r="C25">
        <v>0</v>
      </c>
      <c r="D25">
        <v>6</v>
      </c>
      <c r="E25">
        <v>3000</v>
      </c>
      <c r="F25">
        <v>20</v>
      </c>
      <c r="G25" t="b">
        <v>0</v>
      </c>
      <c r="H25">
        <v>20</v>
      </c>
    </row>
    <row r="26" spans="1:8" x14ac:dyDescent="0.25">
      <c r="A26" t="s">
        <v>1158</v>
      </c>
      <c r="B26">
        <v>13000</v>
      </c>
      <c r="C26">
        <v>8</v>
      </c>
      <c r="D26">
        <v>1</v>
      </c>
      <c r="E26">
        <v>11900</v>
      </c>
      <c r="F26">
        <v>150</v>
      </c>
      <c r="G26" t="b">
        <v>0</v>
      </c>
      <c r="H26">
        <v>200</v>
      </c>
    </row>
    <row r="27" spans="1:8" x14ac:dyDescent="0.25">
      <c r="A27" t="s">
        <v>1159</v>
      </c>
      <c r="B27">
        <v>3000</v>
      </c>
      <c r="C27">
        <v>0</v>
      </c>
      <c r="D27">
        <v>6</v>
      </c>
      <c r="E27">
        <v>3000</v>
      </c>
      <c r="F27">
        <v>20</v>
      </c>
      <c r="G27" t="b">
        <v>0</v>
      </c>
      <c r="H27">
        <v>20</v>
      </c>
    </row>
    <row r="28" spans="1:8" x14ac:dyDescent="0.25">
      <c r="A28" t="s">
        <v>1160</v>
      </c>
      <c r="B28">
        <v>13500</v>
      </c>
      <c r="C28">
        <v>5</v>
      </c>
      <c r="D28">
        <v>6</v>
      </c>
      <c r="E28">
        <v>12800</v>
      </c>
      <c r="F28">
        <v>50</v>
      </c>
      <c r="G28" t="b">
        <v>0</v>
      </c>
      <c r="H28">
        <v>50</v>
      </c>
    </row>
    <row r="29" spans="1:8" x14ac:dyDescent="0.25">
      <c r="A29" t="s">
        <v>1161</v>
      </c>
      <c r="B29">
        <v>5000</v>
      </c>
      <c r="C29">
        <v>2</v>
      </c>
      <c r="D29">
        <v>1</v>
      </c>
      <c r="E29">
        <v>4900</v>
      </c>
      <c r="F29">
        <v>80</v>
      </c>
      <c r="G29" t="b">
        <v>0</v>
      </c>
      <c r="H29">
        <v>80</v>
      </c>
    </row>
    <row r="30" spans="1:8" x14ac:dyDescent="0.25">
      <c r="A30" t="s">
        <v>1162</v>
      </c>
      <c r="B30">
        <v>19900</v>
      </c>
      <c r="C30">
        <v>6</v>
      </c>
      <c r="D30">
        <v>5</v>
      </c>
      <c r="E30">
        <v>18600</v>
      </c>
      <c r="F30">
        <v>375</v>
      </c>
      <c r="G30" t="b">
        <v>0</v>
      </c>
      <c r="H30">
        <v>375</v>
      </c>
    </row>
    <row r="31" spans="1:8" x14ac:dyDescent="0.25">
      <c r="A31" t="s">
        <v>1163</v>
      </c>
      <c r="B31">
        <v>8800</v>
      </c>
      <c r="C31">
        <v>6</v>
      </c>
      <c r="D31">
        <v>6</v>
      </c>
      <c r="E31">
        <v>8200</v>
      </c>
      <c r="F31">
        <v>290</v>
      </c>
      <c r="G31" t="b">
        <v>0</v>
      </c>
      <c r="H31">
        <v>5</v>
      </c>
    </row>
    <row r="32" spans="1:8" x14ac:dyDescent="0.25">
      <c r="A32" t="s">
        <v>1161</v>
      </c>
      <c r="B32">
        <v>16000</v>
      </c>
      <c r="C32">
        <v>10</v>
      </c>
      <c r="D32">
        <v>4</v>
      </c>
      <c r="E32">
        <v>14400</v>
      </c>
      <c r="F32">
        <v>300</v>
      </c>
      <c r="G32" t="b">
        <v>0</v>
      </c>
      <c r="H32">
        <v>300</v>
      </c>
    </row>
    <row r="33" spans="1:8" x14ac:dyDescent="0.25">
      <c r="A33" t="s">
        <v>1164</v>
      </c>
      <c r="B33">
        <v>3000</v>
      </c>
      <c r="C33">
        <v>0</v>
      </c>
      <c r="D33">
        <v>4</v>
      </c>
      <c r="E33">
        <v>3000</v>
      </c>
      <c r="F33">
        <v>20</v>
      </c>
      <c r="G33" t="b">
        <v>0</v>
      </c>
      <c r="H33">
        <v>20</v>
      </c>
    </row>
    <row r="34" spans="1:8" x14ac:dyDescent="0.25">
      <c r="A34" t="s">
        <v>1165</v>
      </c>
      <c r="B34">
        <v>18500</v>
      </c>
      <c r="C34">
        <v>15</v>
      </c>
      <c r="D34">
        <v>3</v>
      </c>
      <c r="E34">
        <v>15700</v>
      </c>
      <c r="F34">
        <v>100</v>
      </c>
      <c r="G34" t="b">
        <v>0</v>
      </c>
      <c r="H34">
        <v>100</v>
      </c>
    </row>
    <row r="35" spans="1:8" x14ac:dyDescent="0.25">
      <c r="A35" t="s">
        <v>1166</v>
      </c>
      <c r="B35">
        <v>29000</v>
      </c>
      <c r="C35">
        <v>10</v>
      </c>
      <c r="D35">
        <v>6</v>
      </c>
      <c r="E35">
        <v>26100</v>
      </c>
      <c r="F35">
        <v>625</v>
      </c>
      <c r="G35" t="b">
        <v>0</v>
      </c>
      <c r="H35">
        <v>625</v>
      </c>
    </row>
    <row r="36" spans="1:8" x14ac:dyDescent="0.25">
      <c r="A36" t="s">
        <v>1167</v>
      </c>
      <c r="B36">
        <v>22500</v>
      </c>
      <c r="C36">
        <v>6</v>
      </c>
      <c r="D36">
        <v>4</v>
      </c>
      <c r="E36">
        <v>21000</v>
      </c>
      <c r="F36">
        <v>418</v>
      </c>
      <c r="G36" t="b">
        <v>0</v>
      </c>
      <c r="H36">
        <v>418</v>
      </c>
    </row>
    <row r="37" spans="1:8" x14ac:dyDescent="0.25">
      <c r="A37" t="s">
        <v>1168</v>
      </c>
      <c r="B37">
        <v>15000</v>
      </c>
      <c r="C37">
        <v>6</v>
      </c>
      <c r="D37">
        <v>5</v>
      </c>
      <c r="E37">
        <v>14100</v>
      </c>
      <c r="F37">
        <v>180</v>
      </c>
      <c r="G37" t="b">
        <v>0</v>
      </c>
      <c r="H37">
        <v>180</v>
      </c>
    </row>
    <row r="38" spans="1:8" x14ac:dyDescent="0.25">
      <c r="A38" t="s">
        <v>1169</v>
      </c>
      <c r="B38">
        <v>49900</v>
      </c>
      <c r="C38">
        <v>7</v>
      </c>
      <c r="D38">
        <v>4</v>
      </c>
      <c r="E38">
        <v>46000</v>
      </c>
      <c r="F38">
        <v>232</v>
      </c>
      <c r="G38" t="b">
        <v>0</v>
      </c>
      <c r="H38">
        <v>4</v>
      </c>
    </row>
    <row r="39" spans="1:8" x14ac:dyDescent="0.25">
      <c r="A39" t="s">
        <v>1170</v>
      </c>
      <c r="B39">
        <v>19900</v>
      </c>
      <c r="C39">
        <v>20</v>
      </c>
      <c r="D39">
        <v>2</v>
      </c>
      <c r="E39">
        <v>15900</v>
      </c>
      <c r="F39">
        <v>250</v>
      </c>
      <c r="G39" t="b">
        <v>0</v>
      </c>
      <c r="H39">
        <v>250</v>
      </c>
    </row>
    <row r="40" spans="1:8" x14ac:dyDescent="0.25">
      <c r="A40" t="s">
        <v>1171</v>
      </c>
      <c r="B40">
        <v>9900</v>
      </c>
      <c r="C40">
        <v>0</v>
      </c>
      <c r="D40">
        <v>6</v>
      </c>
      <c r="E40">
        <v>9900</v>
      </c>
      <c r="F40">
        <v>750</v>
      </c>
      <c r="G40" t="b">
        <v>0</v>
      </c>
      <c r="H40">
        <v>750</v>
      </c>
    </row>
    <row r="41" spans="1:8" x14ac:dyDescent="0.25">
      <c r="A41" t="s">
        <v>1172</v>
      </c>
      <c r="B41">
        <v>10000</v>
      </c>
      <c r="C41">
        <v>5</v>
      </c>
      <c r="D41">
        <v>6</v>
      </c>
      <c r="E41">
        <v>9500</v>
      </c>
      <c r="F41">
        <v>200</v>
      </c>
      <c r="G41" t="b">
        <v>0</v>
      </c>
      <c r="H41">
        <v>200</v>
      </c>
    </row>
    <row r="42" spans="1:8" x14ac:dyDescent="0.25">
      <c r="A42" t="s">
        <v>1173</v>
      </c>
      <c r="B42">
        <v>8800</v>
      </c>
      <c r="C42">
        <v>0</v>
      </c>
      <c r="D42">
        <v>2</v>
      </c>
      <c r="E42">
        <v>8800</v>
      </c>
      <c r="F42">
        <v>180</v>
      </c>
      <c r="G42" t="b">
        <v>0</v>
      </c>
      <c r="H42">
        <v>180</v>
      </c>
    </row>
    <row r="43" spans="1:8" x14ac:dyDescent="0.25">
      <c r="A43" t="s">
        <v>1174</v>
      </c>
      <c r="B43">
        <v>8900</v>
      </c>
      <c r="C43">
        <v>4</v>
      </c>
      <c r="D43">
        <v>6</v>
      </c>
      <c r="E43">
        <v>8500</v>
      </c>
      <c r="F43">
        <v>200</v>
      </c>
      <c r="G43" t="b">
        <v>0</v>
      </c>
      <c r="H43">
        <v>200</v>
      </c>
    </row>
    <row r="44" spans="1:8" x14ac:dyDescent="0.25">
      <c r="A44" t="s">
        <v>1175</v>
      </c>
      <c r="B44">
        <v>19900</v>
      </c>
      <c r="C44">
        <v>0</v>
      </c>
      <c r="D44">
        <v>6</v>
      </c>
      <c r="E44">
        <v>19900</v>
      </c>
      <c r="F44">
        <v>192</v>
      </c>
      <c r="G44" t="b">
        <v>0</v>
      </c>
      <c r="H44">
        <v>180</v>
      </c>
    </row>
    <row r="45" spans="1:8" x14ac:dyDescent="0.25">
      <c r="A45" t="s">
        <v>1176</v>
      </c>
      <c r="B45">
        <v>9000</v>
      </c>
      <c r="C45">
        <v>0</v>
      </c>
      <c r="D45">
        <v>5</v>
      </c>
      <c r="E45">
        <v>9000</v>
      </c>
      <c r="F45">
        <v>150</v>
      </c>
      <c r="G45" t="b">
        <v>0</v>
      </c>
      <c r="H45">
        <v>150</v>
      </c>
    </row>
    <row r="46" spans="1:8" x14ac:dyDescent="0.25">
      <c r="A46" t="s">
        <v>1177</v>
      </c>
      <c r="B46">
        <v>19500</v>
      </c>
      <c r="C46">
        <v>10</v>
      </c>
      <c r="D46">
        <v>4</v>
      </c>
      <c r="E46">
        <v>17400</v>
      </c>
      <c r="F46">
        <v>180</v>
      </c>
      <c r="G46" t="b">
        <v>0</v>
      </c>
      <c r="H46">
        <v>180</v>
      </c>
    </row>
    <row r="47" spans="1:8" x14ac:dyDescent="0.25">
      <c r="A47" t="s">
        <v>1178</v>
      </c>
      <c r="B47">
        <v>13000</v>
      </c>
      <c r="C47">
        <v>10</v>
      </c>
      <c r="D47">
        <v>2</v>
      </c>
      <c r="E47">
        <v>11700</v>
      </c>
      <c r="F47">
        <v>80</v>
      </c>
      <c r="G47" t="b">
        <v>0</v>
      </c>
      <c r="H47">
        <v>80</v>
      </c>
    </row>
    <row r="48" spans="1:8" x14ac:dyDescent="0.25">
      <c r="A48" t="s">
        <v>1179</v>
      </c>
      <c r="B48">
        <v>14000</v>
      </c>
      <c r="C48">
        <v>8</v>
      </c>
      <c r="D48">
        <v>2</v>
      </c>
      <c r="E48">
        <v>12800</v>
      </c>
      <c r="F48">
        <v>200</v>
      </c>
      <c r="G48" t="b">
        <v>0</v>
      </c>
      <c r="H48">
        <v>200</v>
      </c>
    </row>
    <row r="49" spans="1:8" x14ac:dyDescent="0.25">
      <c r="A49" t="s">
        <v>1180</v>
      </c>
      <c r="B49">
        <v>3000</v>
      </c>
      <c r="C49">
        <v>3</v>
      </c>
      <c r="D49">
        <v>6</v>
      </c>
      <c r="E49">
        <v>2900</v>
      </c>
      <c r="F49">
        <v>406</v>
      </c>
      <c r="G49" t="b">
        <v>0</v>
      </c>
      <c r="H49">
        <v>7</v>
      </c>
    </row>
    <row r="50" spans="1:8" x14ac:dyDescent="0.25">
      <c r="A50" t="s">
        <v>1181</v>
      </c>
      <c r="B50">
        <v>9900</v>
      </c>
      <c r="C50">
        <v>4</v>
      </c>
      <c r="D50">
        <v>6</v>
      </c>
      <c r="E50">
        <v>9500</v>
      </c>
      <c r="F50">
        <v>750</v>
      </c>
      <c r="G50" t="b">
        <v>0</v>
      </c>
      <c r="H50">
        <v>750</v>
      </c>
    </row>
    <row r="51" spans="1:8" x14ac:dyDescent="0.25">
      <c r="A51" t="s">
        <v>1182</v>
      </c>
      <c r="B51">
        <v>19000</v>
      </c>
      <c r="C51">
        <v>14</v>
      </c>
      <c r="D51">
        <v>6</v>
      </c>
      <c r="E51">
        <v>16200</v>
      </c>
      <c r="F51">
        <v>175</v>
      </c>
      <c r="G51" t="b">
        <v>0</v>
      </c>
      <c r="H51">
        <v>80</v>
      </c>
    </row>
    <row r="52" spans="1:8" x14ac:dyDescent="0.25">
      <c r="A52" t="s">
        <v>1183</v>
      </c>
      <c r="B52">
        <v>7500</v>
      </c>
      <c r="C52">
        <v>5</v>
      </c>
      <c r="D52">
        <v>4</v>
      </c>
      <c r="E52">
        <v>7100</v>
      </c>
      <c r="F52">
        <v>100</v>
      </c>
      <c r="G52" t="b">
        <v>0</v>
      </c>
      <c r="H52">
        <v>100</v>
      </c>
    </row>
    <row r="53" spans="1:8" x14ac:dyDescent="0.25">
      <c r="A53" t="s">
        <v>1184</v>
      </c>
      <c r="B53">
        <v>8200</v>
      </c>
      <c r="C53">
        <v>9</v>
      </c>
      <c r="D53">
        <v>6</v>
      </c>
      <c r="E53">
        <v>7400</v>
      </c>
      <c r="F53">
        <v>190</v>
      </c>
      <c r="G53" t="b">
        <v>0</v>
      </c>
      <c r="H53">
        <v>190</v>
      </c>
    </row>
    <row r="54" spans="1:8" x14ac:dyDescent="0.25">
      <c r="A54" t="s">
        <v>1185</v>
      </c>
      <c r="B54">
        <v>7900</v>
      </c>
      <c r="C54">
        <v>6</v>
      </c>
      <c r="D54">
        <v>6</v>
      </c>
      <c r="E54">
        <v>7400</v>
      </c>
      <c r="F54">
        <v>1160</v>
      </c>
      <c r="G54" t="b">
        <v>0</v>
      </c>
      <c r="H54">
        <v>20</v>
      </c>
    </row>
    <row r="55" spans="1:8" x14ac:dyDescent="0.25">
      <c r="A55" t="s">
        <v>1186</v>
      </c>
      <c r="B55">
        <v>7900</v>
      </c>
      <c r="C55">
        <v>0</v>
      </c>
      <c r="D55">
        <v>6</v>
      </c>
      <c r="E55">
        <v>7900</v>
      </c>
      <c r="F55">
        <v>200</v>
      </c>
      <c r="G55" t="b">
        <v>0</v>
      </c>
      <c r="H55">
        <v>200</v>
      </c>
    </row>
    <row r="56" spans="1:8" x14ac:dyDescent="0.25">
      <c r="A56" t="s">
        <v>1187</v>
      </c>
      <c r="B56">
        <v>7500</v>
      </c>
      <c r="C56">
        <v>9</v>
      </c>
      <c r="D56">
        <v>6</v>
      </c>
      <c r="E56">
        <v>6800</v>
      </c>
      <c r="F56">
        <v>70</v>
      </c>
      <c r="G56" t="b">
        <v>0</v>
      </c>
      <c r="H56">
        <v>70</v>
      </c>
    </row>
    <row r="57" spans="1:8" x14ac:dyDescent="0.25">
      <c r="A57" t="s">
        <v>1188</v>
      </c>
      <c r="B57">
        <v>13500</v>
      </c>
      <c r="C57">
        <v>5</v>
      </c>
      <c r="D57">
        <v>5</v>
      </c>
      <c r="E57">
        <v>12800</v>
      </c>
      <c r="F57">
        <v>50</v>
      </c>
      <c r="G57" t="b">
        <v>0</v>
      </c>
      <c r="H57">
        <v>50</v>
      </c>
    </row>
    <row r="58" spans="1:8" x14ac:dyDescent="0.25">
      <c r="A58" t="s">
        <v>1189</v>
      </c>
      <c r="B58">
        <v>26500</v>
      </c>
      <c r="C58">
        <v>0</v>
      </c>
      <c r="D58">
        <v>2</v>
      </c>
      <c r="E58">
        <v>26500</v>
      </c>
      <c r="F58">
        <v>396</v>
      </c>
      <c r="G58" t="b">
        <v>0</v>
      </c>
      <c r="H58">
        <v>360</v>
      </c>
    </row>
    <row r="59" spans="1:8" x14ac:dyDescent="0.25">
      <c r="A59" t="s">
        <v>1190</v>
      </c>
      <c r="B59">
        <v>16000</v>
      </c>
      <c r="C59">
        <v>11</v>
      </c>
      <c r="D59">
        <v>6</v>
      </c>
      <c r="E59">
        <v>14100</v>
      </c>
      <c r="F59">
        <v>375</v>
      </c>
      <c r="G59" t="b">
        <v>0</v>
      </c>
      <c r="H59">
        <v>375</v>
      </c>
    </row>
    <row r="60" spans="1:8" x14ac:dyDescent="0.25">
      <c r="A60" t="s">
        <v>1191</v>
      </c>
      <c r="B60">
        <v>14000</v>
      </c>
      <c r="C60">
        <v>15</v>
      </c>
      <c r="D60">
        <v>6</v>
      </c>
      <c r="E60">
        <v>11900</v>
      </c>
      <c r="F60">
        <v>5</v>
      </c>
      <c r="G60" t="b">
        <v>0</v>
      </c>
      <c r="H60">
        <v>4</v>
      </c>
    </row>
    <row r="61" spans="1:8" x14ac:dyDescent="0.25">
      <c r="A61" t="s">
        <v>1192</v>
      </c>
      <c r="B61">
        <v>9900</v>
      </c>
      <c r="C61">
        <v>0</v>
      </c>
      <c r="D61">
        <v>3</v>
      </c>
      <c r="E61">
        <v>9900</v>
      </c>
      <c r="F61">
        <v>232</v>
      </c>
      <c r="G61" t="b">
        <v>0</v>
      </c>
      <c r="H61">
        <v>4</v>
      </c>
    </row>
    <row r="62" spans="1:8" x14ac:dyDescent="0.25">
      <c r="A62" t="s">
        <v>1193</v>
      </c>
      <c r="B62">
        <v>25000</v>
      </c>
      <c r="C62">
        <v>10</v>
      </c>
      <c r="D62">
        <v>3</v>
      </c>
      <c r="E62">
        <v>22500</v>
      </c>
      <c r="F62">
        <v>30</v>
      </c>
      <c r="G62" t="b">
        <v>0</v>
      </c>
      <c r="H62">
        <v>30</v>
      </c>
    </row>
    <row r="63" spans="1:8" x14ac:dyDescent="0.25">
      <c r="A63" t="s">
        <v>1194</v>
      </c>
      <c r="B63">
        <v>49900</v>
      </c>
      <c r="C63">
        <v>10</v>
      </c>
      <c r="D63">
        <v>3</v>
      </c>
      <c r="E63">
        <v>44900</v>
      </c>
      <c r="F63">
        <v>650</v>
      </c>
      <c r="G63" t="b">
        <v>0</v>
      </c>
      <c r="H63">
        <v>650</v>
      </c>
    </row>
    <row r="64" spans="1:8" x14ac:dyDescent="0.25">
      <c r="A64" t="s">
        <v>1195</v>
      </c>
      <c r="B64">
        <v>9800</v>
      </c>
      <c r="C64">
        <v>0</v>
      </c>
      <c r="D64">
        <v>5</v>
      </c>
      <c r="E64">
        <v>9800</v>
      </c>
      <c r="F64">
        <v>100</v>
      </c>
      <c r="G64" t="b">
        <v>0</v>
      </c>
      <c r="H64">
        <v>100</v>
      </c>
    </row>
    <row r="65" spans="1:8" x14ac:dyDescent="0.25">
      <c r="A65" t="s">
        <v>1196</v>
      </c>
      <c r="B65">
        <v>12000</v>
      </c>
      <c r="C65">
        <v>0</v>
      </c>
      <c r="D65">
        <v>3</v>
      </c>
      <c r="E65">
        <v>12000</v>
      </c>
      <c r="F65">
        <v>348</v>
      </c>
      <c r="G65" t="b">
        <v>0</v>
      </c>
      <c r="H65">
        <v>6</v>
      </c>
    </row>
    <row r="66" spans="1:8" x14ac:dyDescent="0.25">
      <c r="A66" t="s">
        <v>1197</v>
      </c>
      <c r="B66">
        <v>18900</v>
      </c>
      <c r="C66">
        <v>0</v>
      </c>
      <c r="D66">
        <v>6</v>
      </c>
      <c r="E66">
        <v>18900</v>
      </c>
      <c r="F66">
        <v>1500</v>
      </c>
      <c r="G66" t="b">
        <v>0</v>
      </c>
      <c r="H66">
        <v>1500</v>
      </c>
    </row>
    <row r="67" spans="1:8" x14ac:dyDescent="0.25">
      <c r="A67" t="s">
        <v>1198</v>
      </c>
      <c r="B67">
        <v>7500</v>
      </c>
      <c r="C67">
        <v>0</v>
      </c>
      <c r="D67">
        <v>6</v>
      </c>
      <c r="E67">
        <v>7500</v>
      </c>
      <c r="F67">
        <v>40</v>
      </c>
      <c r="G67" t="b">
        <v>0</v>
      </c>
      <c r="H67">
        <v>40</v>
      </c>
    </row>
    <row r="68" spans="1:8" x14ac:dyDescent="0.25">
      <c r="A68" t="s">
        <v>1199</v>
      </c>
      <c r="B68">
        <v>33000</v>
      </c>
      <c r="C68">
        <v>2</v>
      </c>
      <c r="D68">
        <v>6</v>
      </c>
      <c r="E68">
        <v>32300</v>
      </c>
      <c r="F68">
        <v>30</v>
      </c>
      <c r="G68" t="b">
        <v>0</v>
      </c>
      <c r="H68">
        <v>30</v>
      </c>
    </row>
    <row r="69" spans="1:8" x14ac:dyDescent="0.25">
      <c r="A69" t="s">
        <v>1200</v>
      </c>
      <c r="B69">
        <v>8000</v>
      </c>
      <c r="C69">
        <v>0</v>
      </c>
      <c r="D69">
        <v>1</v>
      </c>
      <c r="E69">
        <v>8000</v>
      </c>
      <c r="F69">
        <v>60</v>
      </c>
      <c r="G69" t="b">
        <v>0</v>
      </c>
      <c r="H69">
        <v>60</v>
      </c>
    </row>
    <row r="70" spans="1:8" x14ac:dyDescent="0.25">
      <c r="A70" t="s">
        <v>1201</v>
      </c>
      <c r="B70">
        <v>21000</v>
      </c>
      <c r="C70">
        <v>0</v>
      </c>
      <c r="D70">
        <v>6</v>
      </c>
      <c r="E70">
        <v>21000</v>
      </c>
      <c r="F70">
        <v>150</v>
      </c>
      <c r="G70" t="b">
        <v>0</v>
      </c>
      <c r="H70">
        <v>150</v>
      </c>
    </row>
    <row r="71" spans="1:8" x14ac:dyDescent="0.25">
      <c r="A71" t="s">
        <v>1202</v>
      </c>
      <c r="B71">
        <v>9900</v>
      </c>
      <c r="C71">
        <v>0</v>
      </c>
      <c r="D71">
        <v>6</v>
      </c>
      <c r="E71">
        <v>9900</v>
      </c>
      <c r="F71">
        <v>232</v>
      </c>
      <c r="G71" t="b">
        <v>0</v>
      </c>
      <c r="H71">
        <v>4</v>
      </c>
    </row>
    <row r="72" spans="1:8" x14ac:dyDescent="0.25">
      <c r="A72" t="s">
        <v>1203</v>
      </c>
      <c r="B72">
        <v>44900</v>
      </c>
      <c r="C72">
        <v>7</v>
      </c>
      <c r="D72">
        <v>6</v>
      </c>
      <c r="E72">
        <v>41500</v>
      </c>
      <c r="F72">
        <v>44</v>
      </c>
      <c r="G72" t="b">
        <v>0</v>
      </c>
      <c r="H72">
        <v>44</v>
      </c>
    </row>
    <row r="73" spans="1:8" x14ac:dyDescent="0.25">
      <c r="A73" t="s">
        <v>1204</v>
      </c>
      <c r="B73">
        <v>9000</v>
      </c>
      <c r="C73">
        <v>0</v>
      </c>
      <c r="D73">
        <v>6</v>
      </c>
      <c r="E73">
        <v>9000</v>
      </c>
      <c r="F73">
        <v>1160</v>
      </c>
      <c r="G73" t="b">
        <v>0</v>
      </c>
      <c r="H73">
        <v>20</v>
      </c>
    </row>
    <row r="74" spans="1:8" x14ac:dyDescent="0.25">
      <c r="A74" t="s">
        <v>1205</v>
      </c>
      <c r="B74">
        <v>21000</v>
      </c>
      <c r="C74">
        <v>7</v>
      </c>
      <c r="D74">
        <v>5</v>
      </c>
      <c r="E74">
        <v>19400</v>
      </c>
      <c r="F74">
        <v>150</v>
      </c>
      <c r="G74" t="b">
        <v>0</v>
      </c>
      <c r="H74">
        <v>150</v>
      </c>
    </row>
    <row r="75" spans="1:8" x14ac:dyDescent="0.25">
      <c r="A75" t="s">
        <v>1206</v>
      </c>
      <c r="B75">
        <v>15000</v>
      </c>
      <c r="C75">
        <v>0</v>
      </c>
      <c r="D75">
        <v>4</v>
      </c>
      <c r="E75">
        <v>15000</v>
      </c>
      <c r="F75">
        <v>180</v>
      </c>
      <c r="G75" t="b">
        <v>0</v>
      </c>
      <c r="H75">
        <v>180</v>
      </c>
    </row>
    <row r="76" spans="1:8" x14ac:dyDescent="0.25">
      <c r="A76" t="s">
        <v>1207</v>
      </c>
      <c r="B76">
        <v>10500</v>
      </c>
      <c r="C76">
        <v>0</v>
      </c>
      <c r="D76">
        <v>2</v>
      </c>
      <c r="E76">
        <v>10500</v>
      </c>
      <c r="F76">
        <v>175</v>
      </c>
      <c r="G76" t="b">
        <v>0</v>
      </c>
      <c r="H76">
        <v>175</v>
      </c>
    </row>
    <row r="77" spans="1:8" x14ac:dyDescent="0.25">
      <c r="A77" t="s">
        <v>1208</v>
      </c>
      <c r="B77">
        <v>21000</v>
      </c>
      <c r="C77">
        <v>7</v>
      </c>
      <c r="D77">
        <v>6</v>
      </c>
      <c r="E77">
        <v>19400</v>
      </c>
      <c r="F77">
        <v>120</v>
      </c>
      <c r="G77" t="b">
        <v>0</v>
      </c>
      <c r="H77">
        <v>120</v>
      </c>
    </row>
    <row r="78" spans="1:8" x14ac:dyDescent="0.25">
      <c r="A78" t="s">
        <v>1209</v>
      </c>
      <c r="B78">
        <v>38000</v>
      </c>
      <c r="C78">
        <v>0</v>
      </c>
      <c r="D78">
        <v>3</v>
      </c>
      <c r="E78">
        <v>38000</v>
      </c>
      <c r="F78">
        <v>340</v>
      </c>
      <c r="G78" t="b">
        <v>0</v>
      </c>
      <c r="H78">
        <v>340</v>
      </c>
    </row>
    <row r="79" spans="1:8" x14ac:dyDescent="0.25">
      <c r="A79" t="s">
        <v>1210</v>
      </c>
      <c r="B79">
        <v>18000</v>
      </c>
      <c r="C79">
        <v>0</v>
      </c>
      <c r="D79">
        <v>1</v>
      </c>
      <c r="E79">
        <v>18000</v>
      </c>
      <c r="F79">
        <v>100</v>
      </c>
      <c r="G79" t="b">
        <v>0</v>
      </c>
      <c r="H79">
        <v>100</v>
      </c>
    </row>
    <row r="80" spans="1:8" x14ac:dyDescent="0.25">
      <c r="A80" t="s">
        <v>1211</v>
      </c>
      <c r="B80">
        <v>7500</v>
      </c>
      <c r="C80">
        <v>13</v>
      </c>
      <c r="D80">
        <v>4</v>
      </c>
      <c r="E80">
        <v>6500</v>
      </c>
      <c r="F80">
        <v>25</v>
      </c>
      <c r="G80" t="b">
        <v>0</v>
      </c>
      <c r="H80">
        <v>25</v>
      </c>
    </row>
    <row r="81" spans="1:8" x14ac:dyDescent="0.25">
      <c r="A81" t="s">
        <v>1212</v>
      </c>
      <c r="B81">
        <v>19500</v>
      </c>
      <c r="C81">
        <v>10</v>
      </c>
      <c r="D81">
        <v>6</v>
      </c>
      <c r="E81">
        <v>17400</v>
      </c>
      <c r="F81">
        <v>150</v>
      </c>
      <c r="G81" t="b">
        <v>0</v>
      </c>
      <c r="H81">
        <v>150</v>
      </c>
    </row>
    <row r="82" spans="1:8" x14ac:dyDescent="0.25">
      <c r="A82" t="s">
        <v>1213</v>
      </c>
      <c r="B82">
        <v>2000</v>
      </c>
      <c r="C82">
        <v>0</v>
      </c>
      <c r="D82">
        <v>1</v>
      </c>
      <c r="E82">
        <v>2000</v>
      </c>
      <c r="F82">
        <v>58</v>
      </c>
      <c r="G82" t="b">
        <v>0</v>
      </c>
      <c r="H82">
        <v>1</v>
      </c>
    </row>
    <row r="83" spans="1:8" x14ac:dyDescent="0.25">
      <c r="A83" t="s">
        <v>1214</v>
      </c>
      <c r="B83">
        <v>15000</v>
      </c>
      <c r="C83">
        <v>20</v>
      </c>
      <c r="D83">
        <v>5</v>
      </c>
      <c r="E83">
        <v>12000</v>
      </c>
      <c r="F83">
        <v>250</v>
      </c>
      <c r="G83" t="b">
        <v>0</v>
      </c>
      <c r="H83">
        <v>250</v>
      </c>
    </row>
    <row r="84" spans="1:8" x14ac:dyDescent="0.25">
      <c r="A84" t="s">
        <v>1215</v>
      </c>
      <c r="B84">
        <v>9900</v>
      </c>
      <c r="C84">
        <v>0</v>
      </c>
      <c r="D84">
        <v>6</v>
      </c>
      <c r="E84">
        <v>9900</v>
      </c>
      <c r="F84">
        <v>232</v>
      </c>
      <c r="G84" t="b">
        <v>0</v>
      </c>
      <c r="H84">
        <v>4</v>
      </c>
    </row>
    <row r="85" spans="1:8" x14ac:dyDescent="0.25">
      <c r="A85" t="s">
        <v>1216</v>
      </c>
      <c r="B85">
        <v>9900</v>
      </c>
      <c r="C85">
        <v>0</v>
      </c>
      <c r="D85">
        <v>3</v>
      </c>
      <c r="E85">
        <v>9900</v>
      </c>
      <c r="F85">
        <v>750</v>
      </c>
      <c r="G85" t="b">
        <v>0</v>
      </c>
      <c r="H85">
        <v>750</v>
      </c>
    </row>
    <row r="86" spans="1:8" x14ac:dyDescent="0.25">
      <c r="A86" t="s">
        <v>1217</v>
      </c>
      <c r="B86">
        <v>11000</v>
      </c>
      <c r="C86">
        <v>10</v>
      </c>
      <c r="D86">
        <v>3</v>
      </c>
      <c r="E86">
        <v>9900</v>
      </c>
      <c r="F86">
        <v>120</v>
      </c>
      <c r="G86" t="b">
        <v>0</v>
      </c>
      <c r="H86">
        <v>120</v>
      </c>
    </row>
    <row r="87" spans="1:8" x14ac:dyDescent="0.25">
      <c r="A87" t="s">
        <v>1218</v>
      </c>
      <c r="B87">
        <v>3000</v>
      </c>
      <c r="C87">
        <v>16</v>
      </c>
      <c r="D87">
        <v>6</v>
      </c>
      <c r="E87">
        <v>2500</v>
      </c>
      <c r="F87">
        <v>58</v>
      </c>
      <c r="G87" t="b">
        <v>0</v>
      </c>
      <c r="H87">
        <v>1</v>
      </c>
    </row>
    <row r="88" spans="1:8" x14ac:dyDescent="0.25">
      <c r="A88" t="s">
        <v>1219</v>
      </c>
      <c r="B88">
        <v>26000</v>
      </c>
      <c r="C88">
        <v>10</v>
      </c>
      <c r="D88">
        <v>6</v>
      </c>
      <c r="E88">
        <v>23400</v>
      </c>
      <c r="F88">
        <v>116</v>
      </c>
      <c r="G88" t="b">
        <v>0</v>
      </c>
      <c r="H88">
        <v>2</v>
      </c>
    </row>
    <row r="89" spans="1:8" x14ac:dyDescent="0.25">
      <c r="A89" t="s">
        <v>1220</v>
      </c>
      <c r="B89">
        <v>14900</v>
      </c>
      <c r="C89">
        <v>0</v>
      </c>
      <c r="D89">
        <v>2</v>
      </c>
      <c r="E89">
        <v>14900</v>
      </c>
      <c r="F89">
        <v>0</v>
      </c>
      <c r="G89" t="b">
        <v>0</v>
      </c>
      <c r="H89">
        <v>0</v>
      </c>
    </row>
    <row r="90" spans="1:8" x14ac:dyDescent="0.25">
      <c r="A90" t="s">
        <v>1221</v>
      </c>
      <c r="B90">
        <v>5500</v>
      </c>
      <c r="C90">
        <v>0</v>
      </c>
      <c r="D90">
        <v>3</v>
      </c>
      <c r="E90">
        <v>5500</v>
      </c>
      <c r="F90">
        <v>100</v>
      </c>
      <c r="G90" t="b">
        <v>0</v>
      </c>
      <c r="H90">
        <v>100</v>
      </c>
    </row>
    <row r="91" spans="1:8" x14ac:dyDescent="0.25">
      <c r="A91" t="s">
        <v>1222</v>
      </c>
      <c r="B91">
        <v>5800</v>
      </c>
      <c r="C91">
        <v>0</v>
      </c>
      <c r="D91">
        <v>6</v>
      </c>
      <c r="E91">
        <v>5800</v>
      </c>
      <c r="F91">
        <v>150</v>
      </c>
      <c r="G91" t="b">
        <v>0</v>
      </c>
      <c r="H91">
        <v>150</v>
      </c>
    </row>
    <row r="92" spans="1:8" x14ac:dyDescent="0.25">
      <c r="A92" t="s">
        <v>1223</v>
      </c>
      <c r="B92">
        <v>3300</v>
      </c>
      <c r="C92">
        <v>0</v>
      </c>
      <c r="D92">
        <v>6</v>
      </c>
      <c r="E92">
        <v>3300</v>
      </c>
      <c r="F92">
        <v>20</v>
      </c>
      <c r="G92" t="b">
        <v>0</v>
      </c>
      <c r="H92">
        <v>20</v>
      </c>
    </row>
    <row r="93" spans="1:8" x14ac:dyDescent="0.25">
      <c r="A93" t="s">
        <v>1224</v>
      </c>
      <c r="B93">
        <v>12000</v>
      </c>
      <c r="C93">
        <v>10</v>
      </c>
      <c r="D93">
        <v>4</v>
      </c>
      <c r="E93">
        <v>10800</v>
      </c>
      <c r="F93">
        <v>232</v>
      </c>
      <c r="G93" t="b">
        <v>0</v>
      </c>
      <c r="H93">
        <v>4</v>
      </c>
    </row>
    <row r="94" spans="1:8" x14ac:dyDescent="0.25">
      <c r="A94" t="s">
        <v>1225</v>
      </c>
      <c r="B94">
        <v>17500</v>
      </c>
      <c r="C94">
        <v>10</v>
      </c>
      <c r="D94">
        <v>4</v>
      </c>
      <c r="E94">
        <v>15700</v>
      </c>
      <c r="F94">
        <v>100</v>
      </c>
      <c r="G94" t="b">
        <v>0</v>
      </c>
      <c r="H94">
        <v>100</v>
      </c>
    </row>
    <row r="95" spans="1:8" x14ac:dyDescent="0.25">
      <c r="A95" t="s">
        <v>1226</v>
      </c>
      <c r="B95">
        <v>9900</v>
      </c>
      <c r="C95">
        <v>0</v>
      </c>
      <c r="D95">
        <v>1</v>
      </c>
      <c r="E95">
        <v>9900</v>
      </c>
      <c r="F95">
        <v>232</v>
      </c>
      <c r="G95" t="b">
        <v>0</v>
      </c>
      <c r="H95">
        <v>4</v>
      </c>
    </row>
    <row r="96" spans="1:8" x14ac:dyDescent="0.25">
      <c r="A96" t="s">
        <v>1227</v>
      </c>
      <c r="B96">
        <v>14900</v>
      </c>
      <c r="C96">
        <v>10</v>
      </c>
      <c r="D96">
        <v>4</v>
      </c>
      <c r="E96">
        <v>13400</v>
      </c>
      <c r="F96">
        <v>50</v>
      </c>
      <c r="G96" t="b">
        <v>0</v>
      </c>
      <c r="H96">
        <v>50</v>
      </c>
    </row>
    <row r="97" spans="1:8" x14ac:dyDescent="0.25">
      <c r="A97" t="s">
        <v>1228</v>
      </c>
      <c r="B97">
        <v>20000</v>
      </c>
      <c r="C97">
        <v>10</v>
      </c>
      <c r="D97">
        <v>3</v>
      </c>
      <c r="E97">
        <v>18000</v>
      </c>
      <c r="F97">
        <v>72</v>
      </c>
      <c r="G97" t="b">
        <v>0</v>
      </c>
      <c r="H97">
        <v>72</v>
      </c>
    </row>
    <row r="98" spans="1:8" x14ac:dyDescent="0.25">
      <c r="A98" t="s">
        <v>1229</v>
      </c>
      <c r="B98">
        <v>34000</v>
      </c>
      <c r="C98">
        <v>12</v>
      </c>
      <c r="D98">
        <v>6</v>
      </c>
      <c r="E98">
        <v>29800</v>
      </c>
      <c r="F98">
        <v>28</v>
      </c>
      <c r="G98" t="b">
        <v>0</v>
      </c>
      <c r="H98">
        <v>28</v>
      </c>
    </row>
    <row r="99" spans="1:8" x14ac:dyDescent="0.25">
      <c r="A99" t="s">
        <v>1230</v>
      </c>
      <c r="B99">
        <v>62000</v>
      </c>
      <c r="C99">
        <v>0</v>
      </c>
      <c r="D99">
        <v>1</v>
      </c>
      <c r="E99">
        <v>62000</v>
      </c>
      <c r="F99">
        <v>172</v>
      </c>
      <c r="G99" t="b">
        <v>0</v>
      </c>
      <c r="H99">
        <v>172</v>
      </c>
    </row>
    <row r="100" spans="1:8" x14ac:dyDescent="0.25">
      <c r="A100" t="s">
        <v>1231</v>
      </c>
      <c r="B100">
        <v>8500</v>
      </c>
      <c r="C100">
        <v>15</v>
      </c>
      <c r="D100">
        <v>4</v>
      </c>
      <c r="E100">
        <v>7200</v>
      </c>
      <c r="F100">
        <v>64</v>
      </c>
      <c r="G100" t="b">
        <v>0</v>
      </c>
      <c r="H100">
        <v>64</v>
      </c>
    </row>
    <row r="101" spans="1:8" x14ac:dyDescent="0.25">
      <c r="A101" t="s">
        <v>1232</v>
      </c>
      <c r="B101">
        <v>19500</v>
      </c>
      <c r="C101">
        <v>10</v>
      </c>
      <c r="D101">
        <v>5</v>
      </c>
      <c r="E101">
        <v>17400</v>
      </c>
      <c r="F101">
        <v>150</v>
      </c>
      <c r="G101" t="b">
        <v>0</v>
      </c>
      <c r="H101">
        <v>150</v>
      </c>
    </row>
    <row r="102" spans="1:8" x14ac:dyDescent="0.25">
      <c r="A102" t="s">
        <v>1233</v>
      </c>
      <c r="B102">
        <v>6000</v>
      </c>
      <c r="C102">
        <v>0</v>
      </c>
      <c r="D102">
        <v>6</v>
      </c>
      <c r="E102">
        <v>6000</v>
      </c>
      <c r="F102">
        <v>100</v>
      </c>
      <c r="G102" t="b">
        <v>0</v>
      </c>
      <c r="H102">
        <v>100</v>
      </c>
    </row>
    <row r="103" spans="1:8" x14ac:dyDescent="0.25">
      <c r="A103" t="s">
        <v>1234</v>
      </c>
      <c r="B103">
        <v>9900</v>
      </c>
      <c r="C103">
        <v>10</v>
      </c>
      <c r="D103">
        <v>4</v>
      </c>
      <c r="E103">
        <v>8900</v>
      </c>
      <c r="F103">
        <v>100</v>
      </c>
      <c r="G103" t="b">
        <v>0</v>
      </c>
      <c r="H103">
        <v>100</v>
      </c>
    </row>
    <row r="104" spans="1:8" x14ac:dyDescent="0.25">
      <c r="A104" t="s">
        <v>1235</v>
      </c>
      <c r="B104">
        <v>109900</v>
      </c>
      <c r="C104">
        <v>18</v>
      </c>
      <c r="D104">
        <v>2</v>
      </c>
      <c r="E104">
        <v>89900</v>
      </c>
      <c r="F104">
        <v>44</v>
      </c>
      <c r="G104" t="b">
        <v>0</v>
      </c>
      <c r="H104">
        <v>44</v>
      </c>
    </row>
    <row r="105" spans="1:8" x14ac:dyDescent="0.25">
      <c r="A105" t="s">
        <v>1236</v>
      </c>
      <c r="B105">
        <v>19900</v>
      </c>
      <c r="C105">
        <v>20</v>
      </c>
      <c r="D105">
        <v>2</v>
      </c>
      <c r="E105">
        <v>15900</v>
      </c>
      <c r="F105">
        <v>150</v>
      </c>
      <c r="G105" t="b">
        <v>0</v>
      </c>
      <c r="H105">
        <v>150</v>
      </c>
    </row>
    <row r="106" spans="1:8" x14ac:dyDescent="0.25">
      <c r="A106" t="s">
        <v>1237</v>
      </c>
      <c r="B106">
        <v>62000</v>
      </c>
      <c r="C106">
        <v>0</v>
      </c>
      <c r="D106">
        <v>6</v>
      </c>
      <c r="E106">
        <v>62000</v>
      </c>
      <c r="F106">
        <v>172</v>
      </c>
      <c r="G106" t="b">
        <v>0</v>
      </c>
      <c r="H106">
        <v>172</v>
      </c>
    </row>
    <row r="107" spans="1:8" x14ac:dyDescent="0.25">
      <c r="A107" t="s">
        <v>1238</v>
      </c>
      <c r="B107">
        <v>7500</v>
      </c>
      <c r="C107">
        <v>9</v>
      </c>
      <c r="D107">
        <v>4</v>
      </c>
      <c r="E107">
        <v>6800</v>
      </c>
      <c r="F107">
        <v>200</v>
      </c>
      <c r="G107" t="b">
        <v>0</v>
      </c>
      <c r="H107">
        <v>200</v>
      </c>
    </row>
    <row r="108" spans="1:8" x14ac:dyDescent="0.25">
      <c r="A108" t="s">
        <v>1239</v>
      </c>
      <c r="B108">
        <v>14900</v>
      </c>
      <c r="C108">
        <v>0</v>
      </c>
      <c r="D108">
        <v>6</v>
      </c>
      <c r="E108">
        <v>14900</v>
      </c>
      <c r="F108">
        <v>600</v>
      </c>
      <c r="G108" t="b">
        <v>0</v>
      </c>
      <c r="H108">
        <v>600</v>
      </c>
    </row>
    <row r="109" spans="1:8" x14ac:dyDescent="0.25">
      <c r="A109" t="s">
        <v>1240</v>
      </c>
      <c r="B109">
        <v>12000</v>
      </c>
      <c r="C109">
        <v>6</v>
      </c>
      <c r="D109">
        <v>5</v>
      </c>
      <c r="E109">
        <v>11200</v>
      </c>
      <c r="F109">
        <v>180</v>
      </c>
      <c r="G109" t="b">
        <v>0</v>
      </c>
      <c r="H109">
        <v>180</v>
      </c>
    </row>
    <row r="110" spans="1:8" x14ac:dyDescent="0.25">
      <c r="A110" t="s">
        <v>1241</v>
      </c>
      <c r="B110">
        <v>23500</v>
      </c>
      <c r="C110">
        <v>7</v>
      </c>
      <c r="D110">
        <v>6</v>
      </c>
      <c r="E110">
        <v>21800</v>
      </c>
      <c r="F110">
        <v>1160</v>
      </c>
      <c r="G110" t="b">
        <v>0</v>
      </c>
      <c r="H110">
        <v>20</v>
      </c>
    </row>
    <row r="111" spans="1:8" x14ac:dyDescent="0.25">
      <c r="A111" t="s">
        <v>1185</v>
      </c>
      <c r="B111">
        <v>24500</v>
      </c>
      <c r="C111">
        <v>9</v>
      </c>
      <c r="D111">
        <v>6</v>
      </c>
      <c r="E111">
        <v>22100</v>
      </c>
      <c r="F111">
        <v>72</v>
      </c>
      <c r="G111" t="b">
        <v>0</v>
      </c>
      <c r="H111">
        <v>72</v>
      </c>
    </row>
    <row r="112" spans="1:8" x14ac:dyDescent="0.25">
      <c r="A112" t="s">
        <v>1242</v>
      </c>
      <c r="B112">
        <v>19900</v>
      </c>
      <c r="C112">
        <v>11</v>
      </c>
      <c r="D112">
        <v>4</v>
      </c>
      <c r="E112">
        <v>17700</v>
      </c>
      <c r="F112">
        <v>196</v>
      </c>
      <c r="G112" t="b">
        <v>0</v>
      </c>
      <c r="H112">
        <v>196</v>
      </c>
    </row>
    <row r="113" spans="1:8" x14ac:dyDescent="0.25">
      <c r="A113" t="s">
        <v>1243</v>
      </c>
      <c r="B113">
        <v>21500</v>
      </c>
      <c r="C113">
        <v>6</v>
      </c>
      <c r="D113">
        <v>3</v>
      </c>
      <c r="E113">
        <v>20000</v>
      </c>
      <c r="F113">
        <v>100</v>
      </c>
      <c r="G113" t="b">
        <v>0</v>
      </c>
      <c r="H113">
        <v>100</v>
      </c>
    </row>
    <row r="114" spans="1:8" x14ac:dyDescent="0.25">
      <c r="A114" t="s">
        <v>1244</v>
      </c>
      <c r="B114">
        <v>31500</v>
      </c>
      <c r="C114">
        <v>0</v>
      </c>
      <c r="D114">
        <v>4</v>
      </c>
      <c r="E114">
        <v>31500</v>
      </c>
      <c r="F114">
        <v>30</v>
      </c>
      <c r="G114" t="b">
        <v>0</v>
      </c>
      <c r="H114">
        <v>30</v>
      </c>
    </row>
    <row r="115" spans="1:8" x14ac:dyDescent="0.25">
      <c r="A115" t="s">
        <v>1245</v>
      </c>
      <c r="B115">
        <v>8000</v>
      </c>
      <c r="C115">
        <v>8</v>
      </c>
      <c r="D115">
        <v>4</v>
      </c>
      <c r="E115">
        <v>7300</v>
      </c>
      <c r="F115">
        <v>100</v>
      </c>
      <c r="G115" t="b">
        <v>0</v>
      </c>
      <c r="H115">
        <v>100</v>
      </c>
    </row>
    <row r="116" spans="1:8" x14ac:dyDescent="0.25">
      <c r="A116" t="s">
        <v>1246</v>
      </c>
      <c r="B116">
        <v>22500</v>
      </c>
      <c r="C116">
        <v>20</v>
      </c>
      <c r="D116">
        <v>4</v>
      </c>
      <c r="E116">
        <v>18000</v>
      </c>
      <c r="F116">
        <v>250</v>
      </c>
      <c r="G116" t="b">
        <v>0</v>
      </c>
      <c r="H116">
        <v>250</v>
      </c>
    </row>
    <row r="117" spans="1:8" x14ac:dyDescent="0.25">
      <c r="A117" t="s">
        <v>1247</v>
      </c>
      <c r="B117">
        <v>17500</v>
      </c>
      <c r="C117">
        <v>0</v>
      </c>
      <c r="D117">
        <v>5</v>
      </c>
      <c r="E117">
        <v>17500</v>
      </c>
      <c r="F117">
        <v>870</v>
      </c>
      <c r="G117" t="b">
        <v>0</v>
      </c>
      <c r="H117">
        <v>15</v>
      </c>
    </row>
    <row r="118" spans="1:8" x14ac:dyDescent="0.25">
      <c r="A118" t="s">
        <v>1248</v>
      </c>
      <c r="B118">
        <v>14300</v>
      </c>
      <c r="C118">
        <v>0</v>
      </c>
      <c r="D118">
        <v>6</v>
      </c>
      <c r="E118">
        <v>14300</v>
      </c>
      <c r="F118">
        <v>200</v>
      </c>
      <c r="G118" t="b">
        <v>0</v>
      </c>
      <c r="H118">
        <v>200</v>
      </c>
    </row>
    <row r="119" spans="1:8" x14ac:dyDescent="0.25">
      <c r="A119" t="s">
        <v>1249</v>
      </c>
      <c r="B119">
        <v>23500</v>
      </c>
      <c r="C119">
        <v>9</v>
      </c>
      <c r="D119">
        <v>6</v>
      </c>
      <c r="E119">
        <v>21200</v>
      </c>
      <c r="F119">
        <v>125</v>
      </c>
      <c r="G119" t="b">
        <v>0</v>
      </c>
      <c r="H119">
        <v>125</v>
      </c>
    </row>
    <row r="120" spans="1:8" x14ac:dyDescent="0.25">
      <c r="A120" t="s">
        <v>1250</v>
      </c>
      <c r="B120">
        <v>9500</v>
      </c>
      <c r="C120">
        <v>0</v>
      </c>
      <c r="D120">
        <v>4</v>
      </c>
      <c r="E120">
        <v>9500</v>
      </c>
      <c r="F120">
        <v>200</v>
      </c>
      <c r="G120" t="b">
        <v>0</v>
      </c>
      <c r="H120">
        <v>200</v>
      </c>
    </row>
    <row r="121" spans="1:8" x14ac:dyDescent="0.25">
      <c r="A121" t="s">
        <v>1251</v>
      </c>
      <c r="B121">
        <v>19900</v>
      </c>
      <c r="C121">
        <v>0</v>
      </c>
      <c r="D121">
        <v>3</v>
      </c>
      <c r="E121">
        <v>19900</v>
      </c>
      <c r="F121">
        <v>192</v>
      </c>
      <c r="G121" t="b">
        <v>0</v>
      </c>
      <c r="H121">
        <v>192</v>
      </c>
    </row>
    <row r="122" spans="1:8" x14ac:dyDescent="0.25">
      <c r="A122" t="s">
        <v>1252</v>
      </c>
      <c r="B122">
        <v>19900</v>
      </c>
      <c r="C122">
        <v>4</v>
      </c>
      <c r="D122">
        <v>5</v>
      </c>
      <c r="E122">
        <v>19100</v>
      </c>
      <c r="F122">
        <v>250</v>
      </c>
      <c r="G122" t="b">
        <v>0</v>
      </c>
      <c r="H122">
        <v>250</v>
      </c>
    </row>
    <row r="123" spans="1:8" x14ac:dyDescent="0.25">
      <c r="A123" t="s">
        <v>1253</v>
      </c>
      <c r="B123">
        <v>13500</v>
      </c>
      <c r="C123">
        <v>0</v>
      </c>
      <c r="D123">
        <v>1</v>
      </c>
      <c r="E123">
        <v>13500</v>
      </c>
      <c r="F123">
        <v>192</v>
      </c>
      <c r="G123" t="b">
        <v>0</v>
      </c>
      <c r="H123">
        <v>192</v>
      </c>
    </row>
    <row r="124" spans="1:8" x14ac:dyDescent="0.25">
      <c r="A124" t="s">
        <v>1254</v>
      </c>
      <c r="B124">
        <v>2500</v>
      </c>
      <c r="C124">
        <v>0</v>
      </c>
      <c r="D124">
        <v>5</v>
      </c>
      <c r="E124">
        <v>2500</v>
      </c>
      <c r="F124">
        <v>20</v>
      </c>
      <c r="G124" t="b">
        <v>0</v>
      </c>
      <c r="H124">
        <v>20</v>
      </c>
    </row>
    <row r="125" spans="1:8" x14ac:dyDescent="0.25">
      <c r="A125" t="s">
        <v>1255</v>
      </c>
      <c r="B125">
        <v>8000</v>
      </c>
      <c r="C125">
        <v>6</v>
      </c>
      <c r="D125">
        <v>2</v>
      </c>
      <c r="E125">
        <v>7500</v>
      </c>
      <c r="F125">
        <v>250</v>
      </c>
      <c r="G125" t="b">
        <v>0</v>
      </c>
      <c r="H125">
        <v>250</v>
      </c>
    </row>
    <row r="126" spans="1:8" x14ac:dyDescent="0.25">
      <c r="A126" t="s">
        <v>1256</v>
      </c>
      <c r="B126">
        <v>17000</v>
      </c>
      <c r="C126">
        <v>10</v>
      </c>
      <c r="D126">
        <v>6</v>
      </c>
      <c r="E126">
        <v>15300</v>
      </c>
      <c r="F126">
        <v>150</v>
      </c>
      <c r="G126" t="b">
        <v>0</v>
      </c>
      <c r="H126">
        <v>150</v>
      </c>
    </row>
    <row r="127" spans="1:8" x14ac:dyDescent="0.25">
      <c r="A127" t="s">
        <v>1257</v>
      </c>
      <c r="B127">
        <v>6500</v>
      </c>
      <c r="C127">
        <v>9</v>
      </c>
      <c r="D127">
        <v>3</v>
      </c>
      <c r="E127">
        <v>5900</v>
      </c>
      <c r="F127">
        <v>24</v>
      </c>
      <c r="G127" t="b">
        <v>0</v>
      </c>
      <c r="H127">
        <v>24</v>
      </c>
    </row>
    <row r="128" spans="1:8" x14ac:dyDescent="0.25">
      <c r="A128" t="s">
        <v>1258</v>
      </c>
      <c r="B128">
        <v>13300</v>
      </c>
      <c r="C128">
        <v>2</v>
      </c>
      <c r="D128">
        <v>5</v>
      </c>
      <c r="E128">
        <v>13000</v>
      </c>
      <c r="F128">
        <v>1160</v>
      </c>
      <c r="G128" t="b">
        <v>0</v>
      </c>
      <c r="H128">
        <v>20</v>
      </c>
    </row>
    <row r="129" spans="1:8" x14ac:dyDescent="0.25">
      <c r="A129" t="s">
        <v>1259</v>
      </c>
      <c r="B129">
        <v>15800</v>
      </c>
      <c r="C129">
        <v>6</v>
      </c>
      <c r="D129">
        <v>5</v>
      </c>
      <c r="E129">
        <v>14700</v>
      </c>
      <c r="F129">
        <v>180</v>
      </c>
      <c r="G129" t="b">
        <v>0</v>
      </c>
      <c r="H129">
        <v>180</v>
      </c>
    </row>
    <row r="130" spans="1:8" x14ac:dyDescent="0.25">
      <c r="A130" t="s">
        <v>1260</v>
      </c>
      <c r="B130">
        <v>28500</v>
      </c>
      <c r="C130">
        <v>0</v>
      </c>
      <c r="D130">
        <v>5</v>
      </c>
      <c r="E130">
        <v>28500</v>
      </c>
      <c r="F130">
        <v>340</v>
      </c>
      <c r="G130" t="b">
        <v>0</v>
      </c>
      <c r="H130">
        <v>240</v>
      </c>
    </row>
    <row r="131" spans="1:8" x14ac:dyDescent="0.25">
      <c r="A131" t="s">
        <v>1261</v>
      </c>
      <c r="B131">
        <v>55000</v>
      </c>
      <c r="C131">
        <v>0</v>
      </c>
      <c r="D131">
        <v>6</v>
      </c>
      <c r="E131">
        <v>55000</v>
      </c>
      <c r="F131">
        <v>159</v>
      </c>
      <c r="G131" t="b">
        <v>0</v>
      </c>
      <c r="H131">
        <v>87</v>
      </c>
    </row>
    <row r="132" spans="1:8" x14ac:dyDescent="0.25">
      <c r="A132" t="s">
        <v>1262</v>
      </c>
      <c r="B132">
        <v>39900</v>
      </c>
      <c r="C132">
        <v>10</v>
      </c>
      <c r="D132">
        <v>6</v>
      </c>
      <c r="E132">
        <v>35900</v>
      </c>
      <c r="F132">
        <v>150</v>
      </c>
      <c r="G132" t="b">
        <v>0</v>
      </c>
      <c r="H132">
        <v>150</v>
      </c>
    </row>
    <row r="133" spans="1:8" x14ac:dyDescent="0.25">
      <c r="A133" t="s">
        <v>1263</v>
      </c>
      <c r="B133">
        <v>55000</v>
      </c>
      <c r="C133">
        <v>0</v>
      </c>
      <c r="D133">
        <v>4</v>
      </c>
      <c r="E133">
        <v>55000</v>
      </c>
      <c r="F133">
        <v>159</v>
      </c>
      <c r="G133" t="b">
        <v>0</v>
      </c>
      <c r="H133">
        <v>159</v>
      </c>
    </row>
    <row r="134" spans="1:8" x14ac:dyDescent="0.25">
      <c r="A134" t="s">
        <v>1264</v>
      </c>
      <c r="B134">
        <v>9900</v>
      </c>
      <c r="C134">
        <v>10</v>
      </c>
      <c r="D134">
        <v>6</v>
      </c>
      <c r="E134">
        <v>8900</v>
      </c>
      <c r="F134">
        <v>250</v>
      </c>
      <c r="G134" t="b">
        <v>0</v>
      </c>
      <c r="H134">
        <v>250</v>
      </c>
    </row>
    <row r="135" spans="1:8" x14ac:dyDescent="0.25">
      <c r="A135" t="s">
        <v>1265</v>
      </c>
      <c r="B135">
        <v>9800</v>
      </c>
      <c r="C135">
        <v>0</v>
      </c>
      <c r="D135">
        <v>4</v>
      </c>
      <c r="E135">
        <v>9800</v>
      </c>
      <c r="F135">
        <v>232</v>
      </c>
      <c r="G135" t="b">
        <v>0</v>
      </c>
      <c r="H135">
        <v>4</v>
      </c>
    </row>
    <row r="136" spans="1:8" x14ac:dyDescent="0.25">
      <c r="A136" t="s">
        <v>1266</v>
      </c>
      <c r="B136">
        <v>20000</v>
      </c>
      <c r="C136">
        <v>10</v>
      </c>
      <c r="D136">
        <v>3</v>
      </c>
      <c r="E136">
        <v>18000</v>
      </c>
      <c r="F136">
        <v>120</v>
      </c>
      <c r="G136" t="b">
        <v>0</v>
      </c>
      <c r="H136">
        <v>120</v>
      </c>
    </row>
    <row r="137" spans="1:8" x14ac:dyDescent="0.25">
      <c r="A137" t="s">
        <v>1267</v>
      </c>
      <c r="B137">
        <v>19900</v>
      </c>
      <c r="C137">
        <v>0</v>
      </c>
      <c r="D137">
        <v>4</v>
      </c>
      <c r="E137">
        <v>19900</v>
      </c>
      <c r="F137">
        <v>200</v>
      </c>
      <c r="G137" t="b">
        <v>0</v>
      </c>
      <c r="H137">
        <v>200</v>
      </c>
    </row>
    <row r="138" spans="1:8" x14ac:dyDescent="0.25">
      <c r="A138" t="s">
        <v>1268</v>
      </c>
      <c r="B138">
        <v>26000</v>
      </c>
      <c r="C138">
        <v>5</v>
      </c>
      <c r="D138">
        <v>6</v>
      </c>
      <c r="E138">
        <v>24700</v>
      </c>
      <c r="F138">
        <v>625</v>
      </c>
      <c r="G138" t="b">
        <v>0</v>
      </c>
      <c r="H138">
        <v>625</v>
      </c>
    </row>
    <row r="139" spans="1:8" x14ac:dyDescent="0.25">
      <c r="A139" t="s">
        <v>1269</v>
      </c>
      <c r="B139">
        <v>7500</v>
      </c>
      <c r="C139">
        <v>0</v>
      </c>
      <c r="D139">
        <v>6</v>
      </c>
      <c r="E139">
        <v>7500</v>
      </c>
      <c r="F139">
        <v>200</v>
      </c>
      <c r="G139" t="b">
        <v>0</v>
      </c>
      <c r="H139">
        <v>200</v>
      </c>
    </row>
    <row r="140" spans="1:8" x14ac:dyDescent="0.25">
      <c r="A140" t="s">
        <v>1270</v>
      </c>
      <c r="B140">
        <v>29900</v>
      </c>
      <c r="C140">
        <v>6</v>
      </c>
      <c r="D140">
        <v>5</v>
      </c>
      <c r="E140">
        <v>27900</v>
      </c>
      <c r="F140">
        <v>28</v>
      </c>
      <c r="G140" t="b">
        <v>0</v>
      </c>
      <c r="H140">
        <v>28</v>
      </c>
    </row>
    <row r="141" spans="1:8" x14ac:dyDescent="0.25">
      <c r="A141" t="s">
        <v>1271</v>
      </c>
      <c r="B141">
        <v>7000</v>
      </c>
      <c r="C141">
        <v>0</v>
      </c>
      <c r="D141">
        <v>6</v>
      </c>
      <c r="E141">
        <v>7000</v>
      </c>
      <c r="F141">
        <v>100</v>
      </c>
      <c r="G141" t="b">
        <v>0</v>
      </c>
      <c r="H141">
        <v>100</v>
      </c>
    </row>
    <row r="142" spans="1:8" x14ac:dyDescent="0.25">
      <c r="A142" t="s">
        <v>1272</v>
      </c>
      <c r="B142">
        <v>20000</v>
      </c>
      <c r="C142">
        <v>10</v>
      </c>
      <c r="D142">
        <v>6</v>
      </c>
      <c r="E142">
        <v>18000</v>
      </c>
      <c r="F142">
        <v>120</v>
      </c>
      <c r="G142" t="b">
        <v>0</v>
      </c>
      <c r="H142">
        <v>120</v>
      </c>
    </row>
    <row r="143" spans="1:8" x14ac:dyDescent="0.25">
      <c r="A143" t="s">
        <v>1273</v>
      </c>
      <c r="B143">
        <v>6500</v>
      </c>
      <c r="C143">
        <v>10</v>
      </c>
      <c r="D143">
        <v>4</v>
      </c>
      <c r="E143">
        <v>5800</v>
      </c>
      <c r="F143">
        <v>40</v>
      </c>
      <c r="G143" t="b">
        <v>0</v>
      </c>
      <c r="H143">
        <v>40</v>
      </c>
    </row>
    <row r="144" spans="1:8" x14ac:dyDescent="0.25">
      <c r="A144" t="s">
        <v>1274</v>
      </c>
      <c r="B144">
        <v>19000</v>
      </c>
      <c r="C144">
        <v>0</v>
      </c>
      <c r="D144">
        <v>4</v>
      </c>
      <c r="E144">
        <v>19000</v>
      </c>
      <c r="F144">
        <v>175</v>
      </c>
      <c r="G144" t="b">
        <v>0</v>
      </c>
      <c r="H144">
        <v>175</v>
      </c>
    </row>
    <row r="145" spans="1:8" x14ac:dyDescent="0.25">
      <c r="A145" t="s">
        <v>1275</v>
      </c>
      <c r="B145">
        <v>13000</v>
      </c>
      <c r="C145">
        <v>12</v>
      </c>
      <c r="D145">
        <v>2</v>
      </c>
      <c r="E145">
        <v>11400</v>
      </c>
      <c r="F145">
        <v>200</v>
      </c>
      <c r="G145" t="b">
        <v>0</v>
      </c>
      <c r="H145">
        <v>200</v>
      </c>
    </row>
    <row r="146" spans="1:8" x14ac:dyDescent="0.25">
      <c r="A146" t="s">
        <v>1276</v>
      </c>
      <c r="B146">
        <v>17600</v>
      </c>
      <c r="C146">
        <v>10</v>
      </c>
      <c r="D146">
        <v>3</v>
      </c>
      <c r="E146">
        <v>15800</v>
      </c>
      <c r="F146">
        <v>375</v>
      </c>
      <c r="G146" t="b">
        <v>0</v>
      </c>
      <c r="H146">
        <v>375</v>
      </c>
    </row>
    <row r="147" spans="1:8" x14ac:dyDescent="0.25">
      <c r="A147" t="s">
        <v>1277</v>
      </c>
      <c r="B147">
        <v>12500</v>
      </c>
      <c r="C147">
        <v>0</v>
      </c>
      <c r="D147">
        <v>6</v>
      </c>
      <c r="E147">
        <v>12500</v>
      </c>
      <c r="F147">
        <v>75</v>
      </c>
      <c r="G147" t="b">
        <v>0</v>
      </c>
      <c r="H147">
        <v>75</v>
      </c>
    </row>
    <row r="148" spans="1:8" x14ac:dyDescent="0.25">
      <c r="A148" t="s">
        <v>1278</v>
      </c>
      <c r="B148">
        <v>15000</v>
      </c>
      <c r="C148">
        <v>6</v>
      </c>
      <c r="D148">
        <v>3</v>
      </c>
      <c r="E148">
        <v>14000</v>
      </c>
      <c r="F148">
        <v>400</v>
      </c>
      <c r="G148" t="b">
        <v>0</v>
      </c>
      <c r="H148">
        <v>400</v>
      </c>
    </row>
    <row r="149" spans="1:8" x14ac:dyDescent="0.25">
      <c r="A149" t="s">
        <v>1279</v>
      </c>
      <c r="B149">
        <v>9900</v>
      </c>
      <c r="C149">
        <v>10</v>
      </c>
      <c r="D149">
        <v>6</v>
      </c>
      <c r="E149">
        <v>8900</v>
      </c>
      <c r="F149">
        <v>250</v>
      </c>
      <c r="G149" t="b">
        <v>0</v>
      </c>
      <c r="H149">
        <v>250</v>
      </c>
    </row>
    <row r="150" spans="1:8" x14ac:dyDescent="0.25">
      <c r="A150" t="s">
        <v>1280</v>
      </c>
      <c r="B150">
        <v>16000</v>
      </c>
      <c r="C150">
        <v>0</v>
      </c>
      <c r="D150">
        <v>5</v>
      </c>
      <c r="E150">
        <v>16000</v>
      </c>
      <c r="F150">
        <v>232</v>
      </c>
      <c r="G150" t="b">
        <v>0</v>
      </c>
      <c r="H150">
        <v>4</v>
      </c>
    </row>
    <row r="151" spans="1:8" x14ac:dyDescent="0.25">
      <c r="A151" t="s">
        <v>1281</v>
      </c>
      <c r="B151">
        <v>34900</v>
      </c>
      <c r="C151">
        <v>6</v>
      </c>
      <c r="D151">
        <v>5</v>
      </c>
      <c r="E151">
        <v>32500</v>
      </c>
      <c r="F151">
        <v>58</v>
      </c>
      <c r="G151" t="b">
        <v>0</v>
      </c>
      <c r="H151">
        <v>1</v>
      </c>
    </row>
    <row r="152" spans="1:8" x14ac:dyDescent="0.25">
      <c r="A152" t="s">
        <v>1282</v>
      </c>
      <c r="B152">
        <v>16500</v>
      </c>
      <c r="C152">
        <v>12</v>
      </c>
      <c r="D152">
        <v>3</v>
      </c>
      <c r="E152">
        <v>14500</v>
      </c>
      <c r="F152">
        <v>200</v>
      </c>
      <c r="G152" t="b">
        <v>0</v>
      </c>
      <c r="H152">
        <v>200</v>
      </c>
    </row>
    <row r="153" spans="1:8" x14ac:dyDescent="0.25">
      <c r="A153" t="s">
        <v>1283</v>
      </c>
      <c r="B153">
        <v>37500</v>
      </c>
      <c r="C153">
        <v>0</v>
      </c>
      <c r="D153">
        <v>1</v>
      </c>
      <c r="E153">
        <v>37500</v>
      </c>
      <c r="F153">
        <v>340</v>
      </c>
      <c r="G153" t="b">
        <v>0</v>
      </c>
      <c r="H153">
        <v>180</v>
      </c>
    </row>
    <row r="154" spans="1:8" x14ac:dyDescent="0.25">
      <c r="A154" t="s">
        <v>1284</v>
      </c>
      <c r="B154">
        <v>24900</v>
      </c>
      <c r="C154">
        <v>6</v>
      </c>
      <c r="D154">
        <v>6</v>
      </c>
      <c r="E154">
        <v>23400</v>
      </c>
      <c r="F154">
        <v>340</v>
      </c>
      <c r="G154" t="b">
        <v>0</v>
      </c>
      <c r="H154">
        <v>340</v>
      </c>
    </row>
    <row r="155" spans="1:8" x14ac:dyDescent="0.25">
      <c r="A155" t="s">
        <v>1285</v>
      </c>
      <c r="B155">
        <v>22500</v>
      </c>
      <c r="C155">
        <v>4</v>
      </c>
      <c r="D155">
        <v>3</v>
      </c>
      <c r="E155">
        <v>21400</v>
      </c>
      <c r="F155">
        <v>250</v>
      </c>
      <c r="G155" t="b">
        <v>0</v>
      </c>
      <c r="H155">
        <v>250</v>
      </c>
    </row>
    <row r="156" spans="1:8" x14ac:dyDescent="0.25">
      <c r="A156" t="s">
        <v>1286</v>
      </c>
      <c r="B156">
        <v>60000</v>
      </c>
      <c r="C156">
        <v>10</v>
      </c>
      <c r="D156">
        <v>2</v>
      </c>
      <c r="E156">
        <v>54000</v>
      </c>
      <c r="F156">
        <v>200</v>
      </c>
      <c r="G156" t="b">
        <v>0</v>
      </c>
      <c r="H156">
        <v>200</v>
      </c>
    </row>
    <row r="157" spans="1:8" x14ac:dyDescent="0.25">
      <c r="A157" t="s">
        <v>1287</v>
      </c>
      <c r="B157">
        <v>15000</v>
      </c>
      <c r="C157">
        <v>10</v>
      </c>
      <c r="D157">
        <v>6</v>
      </c>
      <c r="E157">
        <v>13500</v>
      </c>
      <c r="F157">
        <v>250</v>
      </c>
      <c r="G157" t="b">
        <v>0</v>
      </c>
      <c r="H157">
        <v>250</v>
      </c>
    </row>
    <row r="158" spans="1:8" x14ac:dyDescent="0.25">
      <c r="A158" t="s">
        <v>1288</v>
      </c>
      <c r="B158">
        <v>62000</v>
      </c>
      <c r="C158">
        <v>0</v>
      </c>
      <c r="D158">
        <v>6</v>
      </c>
      <c r="E158">
        <v>62000</v>
      </c>
      <c r="F158">
        <v>172</v>
      </c>
      <c r="G158" t="b">
        <v>0</v>
      </c>
      <c r="H158">
        <v>172</v>
      </c>
    </row>
    <row r="159" spans="1:8" x14ac:dyDescent="0.25">
      <c r="A159" t="s">
        <v>1289</v>
      </c>
      <c r="B159">
        <v>16500</v>
      </c>
      <c r="C159">
        <v>9</v>
      </c>
      <c r="D159">
        <v>6</v>
      </c>
      <c r="E159">
        <v>15000</v>
      </c>
      <c r="F159">
        <v>200</v>
      </c>
      <c r="G159" t="b">
        <v>0</v>
      </c>
      <c r="H159">
        <v>200</v>
      </c>
    </row>
    <row r="160" spans="1:8" x14ac:dyDescent="0.25">
      <c r="A160" t="s">
        <v>1290</v>
      </c>
      <c r="B160">
        <v>55000</v>
      </c>
      <c r="C160">
        <v>0</v>
      </c>
      <c r="D160">
        <v>4</v>
      </c>
      <c r="E160">
        <v>55000</v>
      </c>
      <c r="F160">
        <v>160</v>
      </c>
      <c r="G160" t="b">
        <v>0</v>
      </c>
      <c r="H160">
        <v>159</v>
      </c>
    </row>
    <row r="161" spans="1:8" x14ac:dyDescent="0.25">
      <c r="A161" t="s">
        <v>1291</v>
      </c>
      <c r="B161">
        <v>28200</v>
      </c>
      <c r="C161">
        <v>0</v>
      </c>
      <c r="D161">
        <v>3</v>
      </c>
      <c r="E161">
        <v>28200</v>
      </c>
      <c r="F161">
        <v>360</v>
      </c>
      <c r="G161" t="b">
        <v>0</v>
      </c>
      <c r="H161">
        <v>360</v>
      </c>
    </row>
    <row r="162" spans="1:8" x14ac:dyDescent="0.25">
      <c r="A162" t="s">
        <v>1292</v>
      </c>
      <c r="B162">
        <v>17600</v>
      </c>
      <c r="C162">
        <v>10</v>
      </c>
      <c r="D162">
        <v>6</v>
      </c>
      <c r="E162">
        <v>15800</v>
      </c>
      <c r="F162">
        <v>375</v>
      </c>
      <c r="G162" t="b">
        <v>0</v>
      </c>
      <c r="H162">
        <v>375</v>
      </c>
    </row>
    <row r="163" spans="1:8" x14ac:dyDescent="0.25">
      <c r="A163" t="s">
        <v>1293</v>
      </c>
      <c r="B163">
        <v>15000</v>
      </c>
      <c r="C163">
        <v>20</v>
      </c>
      <c r="D163">
        <v>5</v>
      </c>
      <c r="E163">
        <v>12000</v>
      </c>
      <c r="F163">
        <v>250</v>
      </c>
      <c r="G163" t="b">
        <v>0</v>
      </c>
      <c r="H163">
        <v>250</v>
      </c>
    </row>
    <row r="164" spans="1:8" x14ac:dyDescent="0.25">
      <c r="A164" t="s">
        <v>1294</v>
      </c>
      <c r="B164">
        <v>9000</v>
      </c>
      <c r="C164">
        <v>10</v>
      </c>
      <c r="D164">
        <v>1</v>
      </c>
      <c r="E164">
        <v>8100</v>
      </c>
      <c r="F164">
        <v>80</v>
      </c>
      <c r="G164" t="b">
        <v>0</v>
      </c>
      <c r="H164">
        <v>80</v>
      </c>
    </row>
    <row r="165" spans="1:8" x14ac:dyDescent="0.25">
      <c r="A165" t="s">
        <v>1295</v>
      </c>
      <c r="B165">
        <v>11000</v>
      </c>
      <c r="C165">
        <v>0</v>
      </c>
      <c r="D165">
        <v>6</v>
      </c>
      <c r="E165">
        <v>11000</v>
      </c>
      <c r="F165">
        <v>200</v>
      </c>
      <c r="G165" t="b">
        <v>0</v>
      </c>
      <c r="H165">
        <v>200</v>
      </c>
    </row>
    <row r="166" spans="1:8" x14ac:dyDescent="0.25">
      <c r="A166" t="s">
        <v>1296</v>
      </c>
      <c r="B166">
        <v>25000</v>
      </c>
      <c r="C166">
        <v>0</v>
      </c>
      <c r="D166">
        <v>1</v>
      </c>
      <c r="E166">
        <v>25000</v>
      </c>
      <c r="F166">
        <v>150</v>
      </c>
      <c r="G166" t="b">
        <v>0</v>
      </c>
      <c r="H166">
        <v>150</v>
      </c>
    </row>
    <row r="167" spans="1:8" x14ac:dyDescent="0.25">
      <c r="A167" t="s">
        <v>1168</v>
      </c>
      <c r="B167">
        <v>13700</v>
      </c>
      <c r="C167">
        <v>10</v>
      </c>
      <c r="D167">
        <v>4</v>
      </c>
      <c r="E167">
        <v>12300</v>
      </c>
      <c r="F167">
        <v>180</v>
      </c>
      <c r="G167" t="b">
        <v>0</v>
      </c>
      <c r="H167">
        <v>180</v>
      </c>
    </row>
    <row r="168" spans="1:8" x14ac:dyDescent="0.25">
      <c r="A168" t="s">
        <v>1297</v>
      </c>
      <c r="B168">
        <v>25000</v>
      </c>
      <c r="C168">
        <v>10</v>
      </c>
      <c r="D168">
        <v>6</v>
      </c>
      <c r="E168">
        <v>22500</v>
      </c>
      <c r="F168">
        <v>500</v>
      </c>
      <c r="G168" t="b">
        <v>0</v>
      </c>
      <c r="H168">
        <v>500</v>
      </c>
    </row>
    <row r="169" spans="1:8" x14ac:dyDescent="0.25">
      <c r="A169" t="s">
        <v>1298</v>
      </c>
      <c r="B169">
        <v>39900</v>
      </c>
      <c r="C169">
        <v>20</v>
      </c>
      <c r="D169">
        <v>3</v>
      </c>
      <c r="E169">
        <v>31900</v>
      </c>
      <c r="F169">
        <v>300</v>
      </c>
      <c r="G169" t="b">
        <v>0</v>
      </c>
      <c r="H169">
        <v>300</v>
      </c>
    </row>
    <row r="170" spans="1:8" x14ac:dyDescent="0.25">
      <c r="A170" t="s">
        <v>1299</v>
      </c>
      <c r="B170">
        <v>42900</v>
      </c>
      <c r="C170">
        <v>15</v>
      </c>
      <c r="D170">
        <v>1</v>
      </c>
      <c r="E170">
        <v>36400</v>
      </c>
      <c r="F170">
        <v>24</v>
      </c>
      <c r="G170" t="b">
        <v>0</v>
      </c>
      <c r="H170">
        <v>24</v>
      </c>
    </row>
    <row r="171" spans="1:8" x14ac:dyDescent="0.25">
      <c r="A171" t="s">
        <v>1300</v>
      </c>
      <c r="B171">
        <v>9900</v>
      </c>
      <c r="C171">
        <v>0</v>
      </c>
      <c r="D171">
        <v>6</v>
      </c>
      <c r="E171">
        <v>9900</v>
      </c>
      <c r="F171">
        <v>200</v>
      </c>
      <c r="G171" t="b">
        <v>0</v>
      </c>
      <c r="H171">
        <v>200</v>
      </c>
    </row>
    <row r="172" spans="1:8" x14ac:dyDescent="0.25">
      <c r="A172" t="s">
        <v>1301</v>
      </c>
      <c r="B172">
        <v>39900</v>
      </c>
      <c r="C172">
        <v>20</v>
      </c>
      <c r="D172">
        <v>6</v>
      </c>
      <c r="E172">
        <v>31900</v>
      </c>
      <c r="F172">
        <v>400</v>
      </c>
      <c r="G172" t="b">
        <v>0</v>
      </c>
      <c r="H172">
        <v>400</v>
      </c>
    </row>
    <row r="173" spans="1:8" x14ac:dyDescent="0.25">
      <c r="A173" t="s">
        <v>1302</v>
      </c>
      <c r="B173">
        <v>22500</v>
      </c>
      <c r="C173">
        <v>0</v>
      </c>
      <c r="D173">
        <v>6</v>
      </c>
      <c r="E173">
        <v>22500</v>
      </c>
      <c r="F173">
        <v>60</v>
      </c>
      <c r="G173" t="b">
        <v>0</v>
      </c>
      <c r="H173">
        <v>60</v>
      </c>
    </row>
    <row r="174" spans="1:8" x14ac:dyDescent="0.25">
      <c r="A174" t="s">
        <v>1303</v>
      </c>
      <c r="B174">
        <v>17000</v>
      </c>
      <c r="C174">
        <v>0</v>
      </c>
      <c r="D174">
        <v>6</v>
      </c>
      <c r="E174">
        <v>17000</v>
      </c>
      <c r="F174">
        <v>180</v>
      </c>
      <c r="G174" t="b">
        <v>0</v>
      </c>
      <c r="H174">
        <v>180</v>
      </c>
    </row>
    <row r="175" spans="1:8" x14ac:dyDescent="0.25">
      <c r="A175" t="s">
        <v>1304</v>
      </c>
      <c r="B175">
        <v>7500</v>
      </c>
      <c r="C175">
        <v>0</v>
      </c>
      <c r="D175">
        <v>5</v>
      </c>
      <c r="E175">
        <v>7500</v>
      </c>
      <c r="F175">
        <v>150</v>
      </c>
      <c r="G175" t="b">
        <v>0</v>
      </c>
      <c r="H175">
        <v>120</v>
      </c>
    </row>
    <row r="176" spans="1:8" x14ac:dyDescent="0.25">
      <c r="A176" t="s">
        <v>1305</v>
      </c>
      <c r="B176">
        <v>10000</v>
      </c>
      <c r="C176">
        <v>0</v>
      </c>
      <c r="D176">
        <v>4</v>
      </c>
      <c r="E176">
        <v>10000</v>
      </c>
      <c r="F176">
        <v>100</v>
      </c>
      <c r="G176" t="b">
        <v>0</v>
      </c>
      <c r="H176">
        <v>100</v>
      </c>
    </row>
    <row r="177" spans="1:8" x14ac:dyDescent="0.25">
      <c r="A177" t="s">
        <v>1179</v>
      </c>
      <c r="B177">
        <v>14000</v>
      </c>
      <c r="C177">
        <v>10</v>
      </c>
      <c r="D177">
        <v>1</v>
      </c>
      <c r="E177">
        <v>12600</v>
      </c>
      <c r="F177">
        <v>200</v>
      </c>
      <c r="G177" t="b">
        <v>0</v>
      </c>
      <c r="H177">
        <v>200</v>
      </c>
    </row>
    <row r="178" spans="1:8" x14ac:dyDescent="0.25">
      <c r="A178" t="s">
        <v>1306</v>
      </c>
      <c r="B178">
        <v>30000</v>
      </c>
      <c r="C178">
        <v>8</v>
      </c>
      <c r="D178">
        <v>3</v>
      </c>
      <c r="E178">
        <v>27500</v>
      </c>
      <c r="F178">
        <v>0</v>
      </c>
      <c r="G178" t="b">
        <v>0</v>
      </c>
      <c r="H178">
        <v>0</v>
      </c>
    </row>
    <row r="179" spans="1:8" x14ac:dyDescent="0.25">
      <c r="A179" t="s">
        <v>1307</v>
      </c>
      <c r="B179">
        <v>9000</v>
      </c>
      <c r="C179">
        <v>10</v>
      </c>
      <c r="D179">
        <v>6</v>
      </c>
      <c r="E179">
        <v>8100</v>
      </c>
      <c r="F179">
        <v>406</v>
      </c>
      <c r="G179" t="b">
        <v>0</v>
      </c>
      <c r="H179">
        <v>7</v>
      </c>
    </row>
    <row r="180" spans="1:8" x14ac:dyDescent="0.25">
      <c r="A180" t="s">
        <v>1308</v>
      </c>
      <c r="B180">
        <v>64500</v>
      </c>
      <c r="C180">
        <v>5</v>
      </c>
      <c r="D180">
        <v>3</v>
      </c>
      <c r="E180">
        <v>61200</v>
      </c>
      <c r="F180">
        <v>650</v>
      </c>
      <c r="G180" t="b">
        <v>0</v>
      </c>
      <c r="H180">
        <v>650</v>
      </c>
    </row>
    <row r="181" spans="1:8" x14ac:dyDescent="0.25">
      <c r="A181" t="s">
        <v>1309</v>
      </c>
      <c r="B181">
        <v>2900</v>
      </c>
      <c r="C181">
        <v>0</v>
      </c>
      <c r="D181">
        <v>5</v>
      </c>
      <c r="E181">
        <v>2900</v>
      </c>
      <c r="F181">
        <v>20</v>
      </c>
      <c r="G181" t="b">
        <v>0</v>
      </c>
      <c r="H181">
        <v>20</v>
      </c>
    </row>
    <row r="182" spans="1:8" x14ac:dyDescent="0.25">
      <c r="A182" t="s">
        <v>1310</v>
      </c>
      <c r="B182">
        <v>14000</v>
      </c>
      <c r="C182">
        <v>0</v>
      </c>
      <c r="D182">
        <v>6</v>
      </c>
      <c r="E182">
        <v>14000</v>
      </c>
      <c r="F182">
        <v>160</v>
      </c>
      <c r="G182" t="b">
        <v>0</v>
      </c>
      <c r="H182">
        <v>160</v>
      </c>
    </row>
    <row r="183" spans="1:8" x14ac:dyDescent="0.25">
      <c r="A183" t="s">
        <v>1311</v>
      </c>
      <c r="B183">
        <v>18200</v>
      </c>
      <c r="C183">
        <v>15</v>
      </c>
      <c r="D183">
        <v>6</v>
      </c>
      <c r="E183">
        <v>15400</v>
      </c>
      <c r="F183">
        <v>300</v>
      </c>
      <c r="G183" t="b">
        <v>0</v>
      </c>
      <c r="H183">
        <v>300</v>
      </c>
    </row>
    <row r="184" spans="1:8" x14ac:dyDescent="0.25">
      <c r="A184" t="s">
        <v>1312</v>
      </c>
      <c r="B184">
        <v>30900</v>
      </c>
      <c r="C184">
        <v>10</v>
      </c>
      <c r="D184">
        <v>6</v>
      </c>
      <c r="E184">
        <v>27800</v>
      </c>
      <c r="F184">
        <v>250</v>
      </c>
      <c r="G184" t="b">
        <v>0</v>
      </c>
      <c r="H184">
        <v>250</v>
      </c>
    </row>
    <row r="185" spans="1:8" x14ac:dyDescent="0.25">
      <c r="A185" t="s">
        <v>1313</v>
      </c>
      <c r="B185">
        <v>19500</v>
      </c>
      <c r="C185">
        <v>10</v>
      </c>
      <c r="D185">
        <v>5</v>
      </c>
      <c r="E185">
        <v>17400</v>
      </c>
      <c r="F185">
        <v>150</v>
      </c>
      <c r="G185" t="b">
        <v>0</v>
      </c>
      <c r="H185">
        <v>150</v>
      </c>
    </row>
    <row r="186" spans="1:8" x14ac:dyDescent="0.25">
      <c r="A186" t="s">
        <v>1314</v>
      </c>
      <c r="B186">
        <v>12000</v>
      </c>
      <c r="C186">
        <v>0</v>
      </c>
      <c r="D186">
        <v>5</v>
      </c>
      <c r="E186">
        <v>12000</v>
      </c>
      <c r="F186">
        <v>180</v>
      </c>
      <c r="G186" t="b">
        <v>0</v>
      </c>
      <c r="H186">
        <v>180</v>
      </c>
    </row>
    <row r="187" spans="1:8" x14ac:dyDescent="0.25">
      <c r="A187" t="s">
        <v>1315</v>
      </c>
      <c r="B187">
        <v>3000</v>
      </c>
      <c r="C187">
        <v>0</v>
      </c>
      <c r="D187">
        <v>2</v>
      </c>
      <c r="E187">
        <v>3000</v>
      </c>
      <c r="F187">
        <v>406</v>
      </c>
      <c r="G187" t="b">
        <v>0</v>
      </c>
      <c r="H187">
        <v>7</v>
      </c>
    </row>
    <row r="188" spans="1:8" x14ac:dyDescent="0.25">
      <c r="A188" t="s">
        <v>1316</v>
      </c>
      <c r="B188">
        <v>15000</v>
      </c>
      <c r="C188">
        <v>18</v>
      </c>
      <c r="D188">
        <v>4</v>
      </c>
      <c r="E188">
        <v>12300</v>
      </c>
      <c r="F188">
        <v>232</v>
      </c>
      <c r="G188" t="b">
        <v>0</v>
      </c>
      <c r="H188">
        <v>4</v>
      </c>
    </row>
    <row r="189" spans="1:8" x14ac:dyDescent="0.25">
      <c r="A189" t="s">
        <v>1317</v>
      </c>
      <c r="B189">
        <v>19900</v>
      </c>
      <c r="C189">
        <v>6</v>
      </c>
      <c r="D189">
        <v>5</v>
      </c>
      <c r="E189">
        <v>18600</v>
      </c>
      <c r="F189">
        <v>250</v>
      </c>
      <c r="G189" t="b">
        <v>0</v>
      </c>
      <c r="H189">
        <v>250</v>
      </c>
    </row>
    <row r="190" spans="1:8" x14ac:dyDescent="0.25">
      <c r="A190" t="s">
        <v>1318</v>
      </c>
      <c r="B190">
        <v>39900</v>
      </c>
      <c r="C190">
        <v>15</v>
      </c>
      <c r="D190">
        <v>4</v>
      </c>
      <c r="E190">
        <v>33900</v>
      </c>
      <c r="F190">
        <v>400</v>
      </c>
      <c r="G190" t="b">
        <v>0</v>
      </c>
      <c r="H190">
        <v>400</v>
      </c>
    </row>
    <row r="191" spans="1:8" x14ac:dyDescent="0.25">
      <c r="A191" t="s">
        <v>1319</v>
      </c>
      <c r="B191">
        <v>5500</v>
      </c>
      <c r="C191">
        <v>0</v>
      </c>
      <c r="D191">
        <v>6</v>
      </c>
      <c r="E191">
        <v>5500</v>
      </c>
      <c r="F191">
        <v>10</v>
      </c>
      <c r="G191" t="b">
        <v>0</v>
      </c>
      <c r="H191">
        <v>10</v>
      </c>
    </row>
    <row r="192" spans="1:8" x14ac:dyDescent="0.25">
      <c r="A192" t="s">
        <v>1320</v>
      </c>
      <c r="B192">
        <v>23000</v>
      </c>
      <c r="C192">
        <v>18</v>
      </c>
      <c r="D192">
        <v>1</v>
      </c>
      <c r="E192">
        <v>18800</v>
      </c>
      <c r="F192">
        <v>400</v>
      </c>
      <c r="G192" t="b">
        <v>0</v>
      </c>
      <c r="H192">
        <v>400</v>
      </c>
    </row>
    <row r="193" spans="1:8" x14ac:dyDescent="0.25">
      <c r="A193" t="s">
        <v>1298</v>
      </c>
      <c r="B193">
        <v>31000</v>
      </c>
      <c r="C193">
        <v>15</v>
      </c>
      <c r="D193">
        <v>6</v>
      </c>
      <c r="E193">
        <v>26300</v>
      </c>
      <c r="F193">
        <v>200</v>
      </c>
      <c r="G193" t="b">
        <v>0</v>
      </c>
      <c r="H193">
        <v>200</v>
      </c>
    </row>
    <row r="194" spans="1:8" x14ac:dyDescent="0.25">
      <c r="A194" t="s">
        <v>1321</v>
      </c>
      <c r="B194">
        <v>20000</v>
      </c>
      <c r="C194">
        <v>10</v>
      </c>
      <c r="D194">
        <v>6</v>
      </c>
      <c r="E194">
        <v>18000</v>
      </c>
      <c r="F194">
        <v>120</v>
      </c>
      <c r="G194" t="b">
        <v>0</v>
      </c>
      <c r="H194">
        <v>120</v>
      </c>
    </row>
    <row r="195" spans="1:8" x14ac:dyDescent="0.25">
      <c r="A195" t="s">
        <v>1287</v>
      </c>
      <c r="B195">
        <v>15000</v>
      </c>
      <c r="C195">
        <v>10</v>
      </c>
      <c r="D195">
        <v>6</v>
      </c>
      <c r="E195">
        <v>13500</v>
      </c>
      <c r="F195">
        <v>250</v>
      </c>
      <c r="G195" t="b">
        <v>0</v>
      </c>
      <c r="H195">
        <v>250</v>
      </c>
    </row>
    <row r="196" spans="1:8" x14ac:dyDescent="0.25">
      <c r="A196" t="s">
        <v>1322</v>
      </c>
      <c r="B196">
        <v>34900</v>
      </c>
      <c r="C196">
        <v>10</v>
      </c>
      <c r="D196">
        <v>1</v>
      </c>
      <c r="E196">
        <v>31400</v>
      </c>
      <c r="F196">
        <v>100</v>
      </c>
      <c r="G196" t="b">
        <v>0</v>
      </c>
      <c r="H196">
        <v>100</v>
      </c>
    </row>
    <row r="197" spans="1:8" x14ac:dyDescent="0.25">
      <c r="A197" t="s">
        <v>1323</v>
      </c>
      <c r="B197">
        <v>27000</v>
      </c>
      <c r="C197">
        <v>15</v>
      </c>
      <c r="D197">
        <v>6</v>
      </c>
      <c r="E197">
        <v>22900</v>
      </c>
      <c r="F197">
        <v>300</v>
      </c>
      <c r="G197" t="b">
        <v>0</v>
      </c>
      <c r="H197">
        <v>300</v>
      </c>
    </row>
    <row r="198" spans="1:8" x14ac:dyDescent="0.25">
      <c r="A198" t="s">
        <v>1324</v>
      </c>
      <c r="B198">
        <v>16500</v>
      </c>
      <c r="C198">
        <v>0</v>
      </c>
      <c r="D198">
        <v>4</v>
      </c>
      <c r="E198">
        <v>16500</v>
      </c>
      <c r="F198">
        <v>210</v>
      </c>
      <c r="G198" t="b">
        <v>0</v>
      </c>
      <c r="H198">
        <v>210</v>
      </c>
    </row>
    <row r="199" spans="1:8" x14ac:dyDescent="0.25">
      <c r="A199" t="s">
        <v>1325</v>
      </c>
      <c r="B199">
        <v>24900</v>
      </c>
      <c r="C199">
        <v>0</v>
      </c>
      <c r="D199">
        <v>6</v>
      </c>
      <c r="E199">
        <v>24900</v>
      </c>
      <c r="F199">
        <v>116</v>
      </c>
      <c r="G199" t="b">
        <v>0</v>
      </c>
      <c r="H199">
        <v>2</v>
      </c>
    </row>
    <row r="200" spans="1:8" x14ac:dyDescent="0.25">
      <c r="A200" t="s">
        <v>1326</v>
      </c>
      <c r="B200">
        <v>18500</v>
      </c>
      <c r="C200">
        <v>0</v>
      </c>
      <c r="D200">
        <v>2</v>
      </c>
      <c r="E200">
        <v>18500</v>
      </c>
      <c r="F200">
        <v>100</v>
      </c>
      <c r="G200" t="b">
        <v>0</v>
      </c>
      <c r="H200">
        <v>100</v>
      </c>
    </row>
    <row r="201" spans="1:8" x14ac:dyDescent="0.25">
      <c r="A201" t="s">
        <v>1327</v>
      </c>
      <c r="B201">
        <v>15000</v>
      </c>
      <c r="C201">
        <v>0</v>
      </c>
      <c r="D201">
        <v>6</v>
      </c>
      <c r="E201">
        <v>15000</v>
      </c>
      <c r="F201">
        <v>100</v>
      </c>
      <c r="G201" t="b">
        <v>0</v>
      </c>
      <c r="H201">
        <v>100</v>
      </c>
    </row>
    <row r="202" spans="1:8" x14ac:dyDescent="0.25">
      <c r="A202" t="s">
        <v>1271</v>
      </c>
      <c r="B202">
        <v>10500</v>
      </c>
      <c r="C202">
        <v>0</v>
      </c>
      <c r="D202">
        <v>6</v>
      </c>
      <c r="E202">
        <v>10500</v>
      </c>
      <c r="F202">
        <v>150</v>
      </c>
      <c r="G202" t="b">
        <v>0</v>
      </c>
      <c r="H202">
        <v>150</v>
      </c>
    </row>
    <row r="203" spans="1:8" x14ac:dyDescent="0.25">
      <c r="A203" t="s">
        <v>1328</v>
      </c>
      <c r="B203">
        <v>32000</v>
      </c>
      <c r="C203">
        <v>17</v>
      </c>
      <c r="D203">
        <v>6</v>
      </c>
      <c r="E203">
        <v>26500</v>
      </c>
      <c r="F203">
        <v>400</v>
      </c>
      <c r="G203" t="b">
        <v>0</v>
      </c>
      <c r="H203">
        <v>400</v>
      </c>
    </row>
    <row r="204" spans="1:8" x14ac:dyDescent="0.25">
      <c r="A204" t="s">
        <v>1329</v>
      </c>
      <c r="B204">
        <v>55000</v>
      </c>
      <c r="C204">
        <v>0</v>
      </c>
      <c r="D204">
        <v>3</v>
      </c>
      <c r="E204">
        <v>55000</v>
      </c>
      <c r="F204">
        <v>88</v>
      </c>
      <c r="G204" t="b">
        <v>0</v>
      </c>
      <c r="H204">
        <v>87</v>
      </c>
    </row>
    <row r="205" spans="1:8" x14ac:dyDescent="0.25">
      <c r="A205" t="s">
        <v>1330</v>
      </c>
      <c r="B205">
        <v>19000</v>
      </c>
      <c r="C205">
        <v>11</v>
      </c>
      <c r="D205">
        <v>6</v>
      </c>
      <c r="E205">
        <v>16900</v>
      </c>
      <c r="F205">
        <v>150</v>
      </c>
      <c r="G205" t="b">
        <v>0</v>
      </c>
      <c r="H205">
        <v>150</v>
      </c>
    </row>
    <row r="206" spans="1:8" x14ac:dyDescent="0.25">
      <c r="A206" t="s">
        <v>1331</v>
      </c>
      <c r="B206">
        <v>14000</v>
      </c>
      <c r="C206">
        <v>10</v>
      </c>
      <c r="D206">
        <v>4</v>
      </c>
      <c r="E206">
        <v>12600</v>
      </c>
      <c r="F206">
        <v>100</v>
      </c>
      <c r="G206" t="b">
        <v>0</v>
      </c>
      <c r="H206">
        <v>100</v>
      </c>
    </row>
    <row r="207" spans="1:8" x14ac:dyDescent="0.25">
      <c r="A207" t="s">
        <v>1332</v>
      </c>
      <c r="B207">
        <v>7500</v>
      </c>
      <c r="C207">
        <v>5</v>
      </c>
      <c r="D207">
        <v>6</v>
      </c>
      <c r="E207">
        <v>7100</v>
      </c>
      <c r="F207">
        <v>78</v>
      </c>
      <c r="G207" t="b">
        <v>0</v>
      </c>
      <c r="H207">
        <v>78</v>
      </c>
    </row>
    <row r="208" spans="1:8" x14ac:dyDescent="0.25">
      <c r="A208" t="s">
        <v>1333</v>
      </c>
      <c r="B208">
        <v>19900</v>
      </c>
      <c r="C208">
        <v>0</v>
      </c>
      <c r="D208">
        <v>4</v>
      </c>
      <c r="E208">
        <v>19900</v>
      </c>
      <c r="F208">
        <v>196</v>
      </c>
      <c r="G208" t="b">
        <v>0</v>
      </c>
      <c r="H208">
        <v>196</v>
      </c>
    </row>
    <row r="209" spans="1:8" x14ac:dyDescent="0.25">
      <c r="A209" t="s">
        <v>1294</v>
      </c>
      <c r="B209">
        <v>19000</v>
      </c>
      <c r="C209">
        <v>0</v>
      </c>
      <c r="D209">
        <v>6</v>
      </c>
      <c r="E209">
        <v>19000</v>
      </c>
      <c r="F209">
        <v>175</v>
      </c>
      <c r="G209" t="b">
        <v>0</v>
      </c>
      <c r="H209">
        <v>180</v>
      </c>
    </row>
    <row r="210" spans="1:8" x14ac:dyDescent="0.25">
      <c r="A210" t="s">
        <v>1334</v>
      </c>
      <c r="B210">
        <v>18000</v>
      </c>
      <c r="C210">
        <v>0</v>
      </c>
      <c r="D210">
        <v>6</v>
      </c>
      <c r="E210">
        <v>18000</v>
      </c>
      <c r="F210">
        <v>200</v>
      </c>
      <c r="G210" t="b">
        <v>0</v>
      </c>
      <c r="H210">
        <v>200</v>
      </c>
    </row>
    <row r="211" spans="1:8" x14ac:dyDescent="0.25">
      <c r="A211" t="s">
        <v>1335</v>
      </c>
      <c r="B211">
        <v>15500</v>
      </c>
      <c r="C211">
        <v>9</v>
      </c>
      <c r="D211">
        <v>4</v>
      </c>
      <c r="E211">
        <v>14000</v>
      </c>
      <c r="F211">
        <v>180</v>
      </c>
      <c r="G211" t="b">
        <v>0</v>
      </c>
      <c r="H211">
        <v>180</v>
      </c>
    </row>
    <row r="212" spans="1:8" x14ac:dyDescent="0.25">
      <c r="A212" t="s">
        <v>1336</v>
      </c>
      <c r="B212">
        <v>12000</v>
      </c>
      <c r="C212">
        <v>6</v>
      </c>
      <c r="D212">
        <v>6</v>
      </c>
      <c r="E212">
        <v>11200</v>
      </c>
      <c r="F212">
        <v>180</v>
      </c>
      <c r="G212" t="b">
        <v>0</v>
      </c>
      <c r="H212">
        <v>180</v>
      </c>
    </row>
    <row r="213" spans="1:8" x14ac:dyDescent="0.25">
      <c r="A213" t="s">
        <v>1337</v>
      </c>
      <c r="B213">
        <v>6500</v>
      </c>
      <c r="C213">
        <v>10</v>
      </c>
      <c r="D213">
        <v>6</v>
      </c>
      <c r="E213">
        <v>5800</v>
      </c>
      <c r="F213">
        <v>40</v>
      </c>
      <c r="G213" t="b">
        <v>0</v>
      </c>
      <c r="H213">
        <v>40</v>
      </c>
    </row>
    <row r="214" spans="1:8" x14ac:dyDescent="0.25">
      <c r="A214" t="s">
        <v>1338</v>
      </c>
      <c r="B214">
        <v>55500</v>
      </c>
      <c r="C214">
        <v>6</v>
      </c>
      <c r="D214">
        <v>6</v>
      </c>
      <c r="E214">
        <v>52100</v>
      </c>
      <c r="F214">
        <v>650</v>
      </c>
      <c r="G214" t="b">
        <v>0</v>
      </c>
      <c r="H214">
        <v>650</v>
      </c>
    </row>
    <row r="215" spans="1:8" x14ac:dyDescent="0.25">
      <c r="A215" t="s">
        <v>1144</v>
      </c>
      <c r="B215">
        <v>10000</v>
      </c>
      <c r="C215">
        <v>0</v>
      </c>
      <c r="D215">
        <v>1</v>
      </c>
      <c r="E215">
        <v>10000</v>
      </c>
      <c r="F215">
        <v>200</v>
      </c>
      <c r="G215" t="b">
        <v>0</v>
      </c>
      <c r="H215">
        <v>200</v>
      </c>
    </row>
    <row r="216" spans="1:8" x14ac:dyDescent="0.25">
      <c r="A216" t="s">
        <v>1339</v>
      </c>
      <c r="B216">
        <v>8500</v>
      </c>
      <c r="C216">
        <v>0</v>
      </c>
      <c r="D216">
        <v>5</v>
      </c>
      <c r="E216">
        <v>8500</v>
      </c>
      <c r="F216">
        <v>200</v>
      </c>
      <c r="G216" t="b">
        <v>0</v>
      </c>
      <c r="H216">
        <v>200</v>
      </c>
    </row>
    <row r="217" spans="1:8" x14ac:dyDescent="0.25">
      <c r="A217" t="s">
        <v>1340</v>
      </c>
      <c r="B217">
        <v>18500</v>
      </c>
      <c r="C217">
        <v>8</v>
      </c>
      <c r="D217">
        <v>6</v>
      </c>
      <c r="E217">
        <v>16900</v>
      </c>
      <c r="F217">
        <v>5</v>
      </c>
      <c r="G217" t="b">
        <v>0</v>
      </c>
      <c r="H217">
        <v>4</v>
      </c>
    </row>
    <row r="218" spans="1:8" x14ac:dyDescent="0.25">
      <c r="A218" t="s">
        <v>1341</v>
      </c>
      <c r="B218">
        <v>18000</v>
      </c>
      <c r="C218">
        <v>0</v>
      </c>
      <c r="D218">
        <v>6</v>
      </c>
      <c r="E218">
        <v>18000</v>
      </c>
      <c r="F218">
        <v>600</v>
      </c>
      <c r="G218" t="b">
        <v>0</v>
      </c>
      <c r="H218">
        <v>600</v>
      </c>
    </row>
    <row r="219" spans="1:8" x14ac:dyDescent="0.25">
      <c r="A219" t="s">
        <v>1342</v>
      </c>
      <c r="B219">
        <v>62000</v>
      </c>
      <c r="C219">
        <v>0</v>
      </c>
      <c r="D219">
        <v>1</v>
      </c>
      <c r="E219">
        <v>62000</v>
      </c>
      <c r="F219">
        <v>172</v>
      </c>
      <c r="G219" t="b">
        <v>0</v>
      </c>
      <c r="H219">
        <v>172</v>
      </c>
    </row>
    <row r="220" spans="1:8" x14ac:dyDescent="0.25">
      <c r="A220" t="s">
        <v>1343</v>
      </c>
      <c r="B220">
        <v>22500</v>
      </c>
      <c r="C220">
        <v>0</v>
      </c>
      <c r="D220">
        <v>6</v>
      </c>
      <c r="E220">
        <v>22500</v>
      </c>
      <c r="F220">
        <v>418</v>
      </c>
      <c r="G220" t="b">
        <v>0</v>
      </c>
      <c r="H220">
        <v>418</v>
      </c>
    </row>
    <row r="221" spans="1:8" x14ac:dyDescent="0.25">
      <c r="A221" t="s">
        <v>1344</v>
      </c>
      <c r="B221">
        <v>19900</v>
      </c>
      <c r="C221">
        <v>10</v>
      </c>
      <c r="D221">
        <v>6</v>
      </c>
      <c r="E221">
        <v>17900</v>
      </c>
      <c r="F221">
        <v>250</v>
      </c>
      <c r="G221" t="b">
        <v>0</v>
      </c>
      <c r="H221">
        <v>250</v>
      </c>
    </row>
    <row r="222" spans="1:8" x14ac:dyDescent="0.25">
      <c r="A222" t="s">
        <v>1345</v>
      </c>
      <c r="B222">
        <v>14000</v>
      </c>
      <c r="C222">
        <v>10</v>
      </c>
      <c r="D222">
        <v>4</v>
      </c>
      <c r="E222">
        <v>12600</v>
      </c>
      <c r="F222">
        <v>250</v>
      </c>
      <c r="G222" t="b">
        <v>0</v>
      </c>
      <c r="H222">
        <v>250</v>
      </c>
    </row>
    <row r="223" spans="1:8" x14ac:dyDescent="0.25">
      <c r="A223" t="s">
        <v>1346</v>
      </c>
      <c r="B223">
        <v>29900</v>
      </c>
      <c r="C223">
        <v>17</v>
      </c>
      <c r="D223">
        <v>5</v>
      </c>
      <c r="E223">
        <v>24700</v>
      </c>
      <c r="F223">
        <v>200</v>
      </c>
      <c r="G223" t="b">
        <v>0</v>
      </c>
      <c r="H223">
        <v>200</v>
      </c>
    </row>
    <row r="224" spans="1:8" x14ac:dyDescent="0.25">
      <c r="A224" t="s">
        <v>1347</v>
      </c>
      <c r="B224">
        <v>24000</v>
      </c>
      <c r="C224">
        <v>7</v>
      </c>
      <c r="D224">
        <v>2</v>
      </c>
      <c r="E224">
        <v>22100</v>
      </c>
      <c r="F224">
        <v>340</v>
      </c>
      <c r="G224" t="b">
        <v>0</v>
      </c>
      <c r="H224">
        <v>340</v>
      </c>
    </row>
    <row r="225" spans="1:8" x14ac:dyDescent="0.25">
      <c r="A225" t="s">
        <v>1348</v>
      </c>
      <c r="B225">
        <v>25000</v>
      </c>
      <c r="C225">
        <v>0</v>
      </c>
      <c r="D225">
        <v>5</v>
      </c>
      <c r="E225">
        <v>25000</v>
      </c>
      <c r="F225">
        <v>120</v>
      </c>
      <c r="G225" t="b">
        <v>0</v>
      </c>
      <c r="H225">
        <v>120</v>
      </c>
    </row>
    <row r="226" spans="1:8" x14ac:dyDescent="0.25">
      <c r="A226" t="s">
        <v>1349</v>
      </c>
      <c r="B226">
        <v>22000</v>
      </c>
      <c r="C226">
        <v>0</v>
      </c>
      <c r="D226">
        <v>5</v>
      </c>
      <c r="E226">
        <v>22000</v>
      </c>
      <c r="F226">
        <v>190</v>
      </c>
      <c r="G226" t="b">
        <v>0</v>
      </c>
      <c r="H226">
        <v>190</v>
      </c>
    </row>
    <row r="227" spans="1:8" x14ac:dyDescent="0.25">
      <c r="A227" t="s">
        <v>1247</v>
      </c>
      <c r="B227">
        <v>15500</v>
      </c>
      <c r="C227">
        <v>0</v>
      </c>
      <c r="D227">
        <v>6</v>
      </c>
      <c r="E227">
        <v>15500</v>
      </c>
      <c r="F227">
        <v>870</v>
      </c>
      <c r="G227" t="b">
        <v>0</v>
      </c>
      <c r="H227">
        <v>15</v>
      </c>
    </row>
    <row r="228" spans="1:8" x14ac:dyDescent="0.25">
      <c r="A228" t="s">
        <v>1350</v>
      </c>
      <c r="B228">
        <v>9300</v>
      </c>
      <c r="C228">
        <v>5</v>
      </c>
      <c r="D228">
        <v>6</v>
      </c>
      <c r="E228">
        <v>8800</v>
      </c>
      <c r="F228">
        <v>80</v>
      </c>
      <c r="G228" t="b">
        <v>0</v>
      </c>
      <c r="H228">
        <v>80</v>
      </c>
    </row>
    <row r="229" spans="1:8" x14ac:dyDescent="0.25">
      <c r="A229" t="s">
        <v>1351</v>
      </c>
      <c r="B229">
        <v>31000</v>
      </c>
      <c r="C229">
        <v>12</v>
      </c>
      <c r="D229">
        <v>1</v>
      </c>
      <c r="E229">
        <v>27200</v>
      </c>
      <c r="F229">
        <v>200</v>
      </c>
      <c r="G229" t="b">
        <v>0</v>
      </c>
      <c r="H229">
        <v>200</v>
      </c>
    </row>
    <row r="230" spans="1:8" x14ac:dyDescent="0.25">
      <c r="A230" t="s">
        <v>1352</v>
      </c>
      <c r="B230">
        <v>8500</v>
      </c>
      <c r="C230">
        <v>0</v>
      </c>
      <c r="D230">
        <v>5</v>
      </c>
      <c r="E230">
        <v>8500</v>
      </c>
      <c r="F230">
        <v>200</v>
      </c>
      <c r="G230" t="b">
        <v>0</v>
      </c>
      <c r="H230">
        <v>200</v>
      </c>
    </row>
    <row r="231" spans="1:8" x14ac:dyDescent="0.25">
      <c r="A231" t="s">
        <v>1353</v>
      </c>
      <c r="B231">
        <v>13000</v>
      </c>
      <c r="C231">
        <v>11</v>
      </c>
      <c r="D231">
        <v>2</v>
      </c>
      <c r="E231">
        <v>11500</v>
      </c>
      <c r="F231">
        <v>50</v>
      </c>
      <c r="G231" t="b">
        <v>0</v>
      </c>
      <c r="H231">
        <v>50</v>
      </c>
    </row>
    <row r="232" spans="1:8" x14ac:dyDescent="0.25">
      <c r="A232" t="s">
        <v>1354</v>
      </c>
      <c r="B232">
        <v>15500</v>
      </c>
      <c r="C232">
        <v>6</v>
      </c>
      <c r="D232">
        <v>6</v>
      </c>
      <c r="E232">
        <v>14500</v>
      </c>
      <c r="F232">
        <v>100</v>
      </c>
      <c r="G232" t="b">
        <v>0</v>
      </c>
      <c r="H232">
        <v>100</v>
      </c>
    </row>
    <row r="233" spans="1:8" x14ac:dyDescent="0.25">
      <c r="A233" t="s">
        <v>1355</v>
      </c>
      <c r="B233">
        <v>32000</v>
      </c>
      <c r="C233">
        <v>0</v>
      </c>
      <c r="D233">
        <v>4</v>
      </c>
      <c r="E233">
        <v>32000</v>
      </c>
      <c r="F233">
        <v>24</v>
      </c>
      <c r="G233" t="b">
        <v>0</v>
      </c>
      <c r="H233">
        <v>24</v>
      </c>
    </row>
    <row r="234" spans="1:8" x14ac:dyDescent="0.25">
      <c r="A234" t="s">
        <v>1356</v>
      </c>
      <c r="B234">
        <v>22500</v>
      </c>
      <c r="C234">
        <v>9</v>
      </c>
      <c r="D234">
        <v>6</v>
      </c>
      <c r="E234">
        <v>20300</v>
      </c>
      <c r="F234">
        <v>200</v>
      </c>
      <c r="G234" t="b">
        <v>0</v>
      </c>
      <c r="H234">
        <v>200</v>
      </c>
    </row>
    <row r="235" spans="1:8" x14ac:dyDescent="0.25">
      <c r="A235" t="s">
        <v>1357</v>
      </c>
      <c r="B235">
        <v>14900</v>
      </c>
      <c r="C235">
        <v>0</v>
      </c>
      <c r="D235">
        <v>6</v>
      </c>
      <c r="E235">
        <v>14900</v>
      </c>
      <c r="F235">
        <v>192</v>
      </c>
      <c r="G235" t="b">
        <v>0</v>
      </c>
      <c r="H235">
        <v>192</v>
      </c>
    </row>
    <row r="236" spans="1:8" x14ac:dyDescent="0.25">
      <c r="A236" t="s">
        <v>1358</v>
      </c>
      <c r="B236">
        <v>11500</v>
      </c>
      <c r="C236">
        <v>0</v>
      </c>
      <c r="D236">
        <v>4</v>
      </c>
      <c r="E236">
        <v>11500</v>
      </c>
      <c r="F236">
        <v>100</v>
      </c>
      <c r="G236" t="b">
        <v>0</v>
      </c>
      <c r="H236">
        <v>100</v>
      </c>
    </row>
    <row r="237" spans="1:8" x14ac:dyDescent="0.25">
      <c r="A237" t="s">
        <v>1359</v>
      </c>
      <c r="B237">
        <v>19500</v>
      </c>
      <c r="C237">
        <v>9</v>
      </c>
      <c r="D237">
        <v>6</v>
      </c>
      <c r="E237">
        <v>17600</v>
      </c>
      <c r="F237">
        <v>150</v>
      </c>
      <c r="G237" t="b">
        <v>0</v>
      </c>
      <c r="H237">
        <v>150</v>
      </c>
    </row>
    <row r="238" spans="1:8" x14ac:dyDescent="0.25">
      <c r="A238" t="s">
        <v>1314</v>
      </c>
      <c r="B238">
        <v>26400</v>
      </c>
      <c r="C238">
        <v>0</v>
      </c>
      <c r="D238">
        <v>6</v>
      </c>
      <c r="E238">
        <v>26400</v>
      </c>
      <c r="F238">
        <v>340</v>
      </c>
      <c r="G238" t="b">
        <v>0</v>
      </c>
      <c r="H238">
        <v>340</v>
      </c>
    </row>
    <row r="239" spans="1:8" x14ac:dyDescent="0.25">
      <c r="A239" t="s">
        <v>1360</v>
      </c>
      <c r="B239">
        <v>10500</v>
      </c>
      <c r="C239">
        <v>0</v>
      </c>
      <c r="D239">
        <v>4</v>
      </c>
      <c r="E239">
        <v>10500</v>
      </c>
      <c r="F239">
        <v>1160</v>
      </c>
      <c r="G239" t="b">
        <v>0</v>
      </c>
      <c r="H239">
        <v>20</v>
      </c>
    </row>
    <row r="240" spans="1:8" x14ac:dyDescent="0.25">
      <c r="A240" t="s">
        <v>1361</v>
      </c>
      <c r="B240">
        <v>18000</v>
      </c>
      <c r="C240">
        <v>9</v>
      </c>
      <c r="D240">
        <v>2</v>
      </c>
      <c r="E240">
        <v>16300</v>
      </c>
      <c r="F240">
        <v>100</v>
      </c>
      <c r="G240" t="b">
        <v>0</v>
      </c>
      <c r="H240">
        <v>100</v>
      </c>
    </row>
    <row r="241" spans="1:8" x14ac:dyDescent="0.25">
      <c r="A241" t="s">
        <v>1362</v>
      </c>
      <c r="B241">
        <v>19000</v>
      </c>
      <c r="C241">
        <v>0</v>
      </c>
      <c r="D241">
        <v>5</v>
      </c>
      <c r="E241">
        <v>19000</v>
      </c>
      <c r="F241">
        <v>200</v>
      </c>
      <c r="G241" t="b">
        <v>0</v>
      </c>
      <c r="H241">
        <v>200</v>
      </c>
    </row>
    <row r="242" spans="1:8" x14ac:dyDescent="0.25">
      <c r="A242" t="s">
        <v>1363</v>
      </c>
      <c r="B242">
        <v>9000</v>
      </c>
      <c r="C242">
        <v>10</v>
      </c>
      <c r="D242">
        <v>6</v>
      </c>
      <c r="E242">
        <v>8100</v>
      </c>
      <c r="F242">
        <v>100</v>
      </c>
      <c r="G242" t="b">
        <v>0</v>
      </c>
      <c r="H242">
        <v>100</v>
      </c>
    </row>
    <row r="243" spans="1:8" x14ac:dyDescent="0.25">
      <c r="A243" t="s">
        <v>1364</v>
      </c>
      <c r="B243">
        <v>19900</v>
      </c>
      <c r="C243">
        <v>0</v>
      </c>
      <c r="D243">
        <v>6</v>
      </c>
      <c r="E243">
        <v>19900</v>
      </c>
      <c r="F243">
        <v>200</v>
      </c>
      <c r="G243" t="b">
        <v>0</v>
      </c>
      <c r="H243">
        <v>200</v>
      </c>
    </row>
    <row r="244" spans="1:8" x14ac:dyDescent="0.25">
      <c r="A244" t="s">
        <v>1365</v>
      </c>
      <c r="B244">
        <v>17500</v>
      </c>
      <c r="C244">
        <v>0</v>
      </c>
      <c r="D244">
        <v>3</v>
      </c>
      <c r="E244">
        <v>17500</v>
      </c>
      <c r="F244">
        <v>812</v>
      </c>
      <c r="G244" t="b">
        <v>0</v>
      </c>
      <c r="H244">
        <v>14</v>
      </c>
    </row>
    <row r="245" spans="1:8" x14ac:dyDescent="0.25">
      <c r="A245" t="s">
        <v>1366</v>
      </c>
      <c r="B245">
        <v>109900</v>
      </c>
      <c r="C245">
        <v>18</v>
      </c>
      <c r="D245">
        <v>6</v>
      </c>
      <c r="E245">
        <v>89900</v>
      </c>
      <c r="F245">
        <v>54</v>
      </c>
      <c r="G245" t="b">
        <v>0</v>
      </c>
      <c r="H245">
        <v>54</v>
      </c>
    </row>
    <row r="246" spans="1:8" x14ac:dyDescent="0.25">
      <c r="A246" t="s">
        <v>1246</v>
      </c>
      <c r="B246">
        <v>19900</v>
      </c>
      <c r="C246">
        <v>10</v>
      </c>
      <c r="D246">
        <v>6</v>
      </c>
      <c r="E246">
        <v>17900</v>
      </c>
      <c r="F246">
        <v>250</v>
      </c>
      <c r="G246" t="b">
        <v>0</v>
      </c>
      <c r="H246">
        <v>250</v>
      </c>
    </row>
    <row r="247" spans="1:8" x14ac:dyDescent="0.25">
      <c r="A247" t="s">
        <v>1367</v>
      </c>
      <c r="B247">
        <v>12500</v>
      </c>
      <c r="C247">
        <v>10</v>
      </c>
      <c r="D247">
        <v>6</v>
      </c>
      <c r="E247">
        <v>11200</v>
      </c>
      <c r="F247">
        <v>100</v>
      </c>
      <c r="G247" t="b">
        <v>0</v>
      </c>
      <c r="H247">
        <v>100</v>
      </c>
    </row>
    <row r="248" spans="1:8" x14ac:dyDescent="0.25">
      <c r="A248" t="s">
        <v>1331</v>
      </c>
      <c r="B248">
        <v>18000</v>
      </c>
      <c r="C248">
        <v>10</v>
      </c>
      <c r="D248">
        <v>6</v>
      </c>
      <c r="E248">
        <v>16200</v>
      </c>
      <c r="F248">
        <v>150</v>
      </c>
      <c r="G248" t="b">
        <v>0</v>
      </c>
      <c r="H248">
        <v>150</v>
      </c>
    </row>
    <row r="249" spans="1:8" x14ac:dyDescent="0.25">
      <c r="A249" t="s">
        <v>1368</v>
      </c>
      <c r="B249">
        <v>22500</v>
      </c>
      <c r="C249">
        <v>20</v>
      </c>
      <c r="D249">
        <v>6</v>
      </c>
      <c r="E249">
        <v>18000</v>
      </c>
      <c r="F249">
        <v>250</v>
      </c>
      <c r="G249" t="b">
        <v>0</v>
      </c>
      <c r="H249">
        <v>250</v>
      </c>
    </row>
    <row r="250" spans="1:8" x14ac:dyDescent="0.25">
      <c r="A250" t="s">
        <v>1369</v>
      </c>
      <c r="B250">
        <v>18000</v>
      </c>
      <c r="C250">
        <v>0</v>
      </c>
      <c r="D250">
        <v>1</v>
      </c>
      <c r="E250">
        <v>18000</v>
      </c>
      <c r="F250">
        <v>174</v>
      </c>
      <c r="G250" t="b">
        <v>0</v>
      </c>
      <c r="H250">
        <v>3</v>
      </c>
    </row>
    <row r="251" spans="1:8" x14ac:dyDescent="0.25">
      <c r="A251" t="s">
        <v>1345</v>
      </c>
      <c r="B251">
        <v>28500</v>
      </c>
      <c r="C251">
        <v>7</v>
      </c>
      <c r="D251">
        <v>6</v>
      </c>
      <c r="E251">
        <v>26300</v>
      </c>
      <c r="F251">
        <v>500</v>
      </c>
      <c r="G251" t="b">
        <v>0</v>
      </c>
      <c r="H251">
        <v>500</v>
      </c>
    </row>
    <row r="252" spans="1:8" x14ac:dyDescent="0.25">
      <c r="A252" t="s">
        <v>1370</v>
      </c>
      <c r="B252">
        <v>23500</v>
      </c>
      <c r="C252">
        <v>7</v>
      </c>
      <c r="D252">
        <v>6</v>
      </c>
      <c r="E252">
        <v>21800</v>
      </c>
      <c r="F252">
        <v>1160</v>
      </c>
      <c r="G252" t="b">
        <v>0</v>
      </c>
      <c r="H252">
        <v>20</v>
      </c>
    </row>
    <row r="253" spans="1:8" x14ac:dyDescent="0.25">
      <c r="A253" t="s">
        <v>1371</v>
      </c>
      <c r="B253">
        <v>5500</v>
      </c>
      <c r="C253">
        <v>9</v>
      </c>
      <c r="D253">
        <v>6</v>
      </c>
      <c r="E253">
        <v>5000</v>
      </c>
      <c r="F253">
        <v>80</v>
      </c>
      <c r="G253" t="b">
        <v>0</v>
      </c>
      <c r="H253">
        <v>80</v>
      </c>
    </row>
    <row r="254" spans="1:8" x14ac:dyDescent="0.25">
      <c r="A254" t="s">
        <v>1372</v>
      </c>
      <c r="B254">
        <v>18000</v>
      </c>
      <c r="C254">
        <v>0</v>
      </c>
      <c r="D254">
        <v>2</v>
      </c>
      <c r="E254">
        <v>18000</v>
      </c>
      <c r="F254">
        <v>625</v>
      </c>
      <c r="G254" t="b">
        <v>0</v>
      </c>
      <c r="H254">
        <v>625</v>
      </c>
    </row>
    <row r="255" spans="1:8" x14ac:dyDescent="0.25">
      <c r="A255" t="s">
        <v>1373</v>
      </c>
      <c r="B255">
        <v>42500</v>
      </c>
      <c r="C255">
        <v>20</v>
      </c>
      <c r="D255">
        <v>5</v>
      </c>
      <c r="E255">
        <v>34000</v>
      </c>
      <c r="F255">
        <v>400</v>
      </c>
      <c r="G255" t="b">
        <v>0</v>
      </c>
      <c r="H255">
        <v>9</v>
      </c>
    </row>
    <row r="256" spans="1:8" x14ac:dyDescent="0.25">
      <c r="A256" t="s">
        <v>1374</v>
      </c>
      <c r="B256">
        <v>13000</v>
      </c>
      <c r="C256">
        <v>0</v>
      </c>
      <c r="D256">
        <v>4</v>
      </c>
      <c r="E256">
        <v>13000</v>
      </c>
      <c r="F256">
        <v>50</v>
      </c>
      <c r="G256" t="b">
        <v>0</v>
      </c>
      <c r="H256">
        <v>50</v>
      </c>
    </row>
    <row r="257" spans="1:8" x14ac:dyDescent="0.25">
      <c r="A257" t="s">
        <v>1375</v>
      </c>
      <c r="B257">
        <v>55000</v>
      </c>
      <c r="C257">
        <v>0</v>
      </c>
      <c r="D257">
        <v>3</v>
      </c>
      <c r="E257">
        <v>55000</v>
      </c>
      <c r="F257">
        <v>159</v>
      </c>
      <c r="G257" t="b">
        <v>0</v>
      </c>
      <c r="H257">
        <v>172</v>
      </c>
    </row>
    <row r="258" spans="1:8" x14ac:dyDescent="0.25">
      <c r="A258" t="s">
        <v>1248</v>
      </c>
      <c r="B258">
        <v>23500</v>
      </c>
      <c r="C258">
        <v>0</v>
      </c>
      <c r="D258">
        <v>6</v>
      </c>
      <c r="E258">
        <v>23500</v>
      </c>
      <c r="F258">
        <v>400</v>
      </c>
      <c r="G258" t="b">
        <v>0</v>
      </c>
      <c r="H258">
        <v>400</v>
      </c>
    </row>
    <row r="259" spans="1:8" x14ac:dyDescent="0.25">
      <c r="A259" t="s">
        <v>1376</v>
      </c>
      <c r="B259">
        <v>24900</v>
      </c>
      <c r="C259">
        <v>0</v>
      </c>
      <c r="D259">
        <v>4</v>
      </c>
      <c r="E259">
        <v>24900</v>
      </c>
      <c r="F259">
        <v>100</v>
      </c>
      <c r="G259" t="b">
        <v>0</v>
      </c>
      <c r="H259">
        <v>100</v>
      </c>
    </row>
    <row r="260" spans="1:8" x14ac:dyDescent="0.25">
      <c r="A260" t="s">
        <v>1377</v>
      </c>
      <c r="B260">
        <v>2000</v>
      </c>
      <c r="C260">
        <v>0</v>
      </c>
      <c r="D260">
        <v>3</v>
      </c>
      <c r="E260">
        <v>2000</v>
      </c>
      <c r="F260">
        <v>58</v>
      </c>
      <c r="G260" t="b">
        <v>0</v>
      </c>
      <c r="H260">
        <v>1</v>
      </c>
    </row>
    <row r="261" spans="1:8" x14ac:dyDescent="0.25">
      <c r="A261" t="s">
        <v>1378</v>
      </c>
      <c r="B261">
        <v>13500</v>
      </c>
      <c r="C261">
        <v>5</v>
      </c>
      <c r="D261">
        <v>6</v>
      </c>
      <c r="E261">
        <v>12800</v>
      </c>
      <c r="F261">
        <v>50</v>
      </c>
      <c r="G261" t="b">
        <v>0</v>
      </c>
      <c r="H261">
        <v>50</v>
      </c>
    </row>
    <row r="262" spans="1:8" x14ac:dyDescent="0.25">
      <c r="A262" t="s">
        <v>1308</v>
      </c>
      <c r="B262">
        <v>24000</v>
      </c>
      <c r="C262">
        <v>0</v>
      </c>
      <c r="D262">
        <v>4</v>
      </c>
      <c r="E262">
        <v>24000</v>
      </c>
      <c r="F262">
        <v>340</v>
      </c>
      <c r="G262" t="b">
        <v>0</v>
      </c>
      <c r="H262">
        <v>340</v>
      </c>
    </row>
    <row r="263" spans="1:8" x14ac:dyDescent="0.25">
      <c r="A263" t="s">
        <v>1379</v>
      </c>
      <c r="B263">
        <v>19900</v>
      </c>
      <c r="C263">
        <v>0</v>
      </c>
      <c r="D263">
        <v>6</v>
      </c>
      <c r="E263">
        <v>19900</v>
      </c>
      <c r="F263">
        <v>192</v>
      </c>
      <c r="G263" t="b">
        <v>0</v>
      </c>
      <c r="H263">
        <v>192</v>
      </c>
    </row>
    <row r="264" spans="1:8" x14ac:dyDescent="0.25">
      <c r="A264" t="s">
        <v>1380</v>
      </c>
      <c r="B264">
        <v>27500</v>
      </c>
      <c r="C264">
        <v>10</v>
      </c>
      <c r="D264">
        <v>6</v>
      </c>
      <c r="E264">
        <v>24700</v>
      </c>
      <c r="F264">
        <v>200</v>
      </c>
      <c r="G264" t="b">
        <v>0</v>
      </c>
      <c r="H264">
        <v>200</v>
      </c>
    </row>
    <row r="265" spans="1:8" x14ac:dyDescent="0.25">
      <c r="A265" t="s">
        <v>1381</v>
      </c>
      <c r="B265">
        <v>154900</v>
      </c>
      <c r="C265">
        <v>45</v>
      </c>
      <c r="D265">
        <v>3</v>
      </c>
      <c r="E265">
        <v>84900</v>
      </c>
      <c r="F265">
        <v>82</v>
      </c>
      <c r="G265" t="b">
        <v>0</v>
      </c>
      <c r="H265">
        <v>82</v>
      </c>
    </row>
    <row r="266" spans="1:8" x14ac:dyDescent="0.25">
      <c r="A266" t="s">
        <v>1382</v>
      </c>
      <c r="B266">
        <v>19500</v>
      </c>
      <c r="C266">
        <v>10</v>
      </c>
      <c r="D266">
        <v>6</v>
      </c>
      <c r="E266">
        <v>17400</v>
      </c>
      <c r="F266">
        <v>150</v>
      </c>
      <c r="G266" t="b">
        <v>0</v>
      </c>
      <c r="H266">
        <v>150</v>
      </c>
    </row>
    <row r="267" spans="1:8" x14ac:dyDescent="0.25">
      <c r="A267" t="s">
        <v>1383</v>
      </c>
      <c r="B267">
        <v>37500</v>
      </c>
      <c r="C267">
        <v>10</v>
      </c>
      <c r="D267">
        <v>6</v>
      </c>
      <c r="E267">
        <v>33400</v>
      </c>
      <c r="F267">
        <v>340</v>
      </c>
      <c r="G267" t="b">
        <v>0</v>
      </c>
      <c r="H267">
        <v>340</v>
      </c>
    </row>
    <row r="268" spans="1:8" x14ac:dyDescent="0.25">
      <c r="A268" t="s">
        <v>1384</v>
      </c>
      <c r="B268">
        <v>8500</v>
      </c>
      <c r="C268">
        <v>7</v>
      </c>
      <c r="D268">
        <v>4</v>
      </c>
      <c r="E268">
        <v>7900</v>
      </c>
      <c r="F268">
        <v>64</v>
      </c>
      <c r="G268" t="b">
        <v>0</v>
      </c>
      <c r="H268">
        <v>64</v>
      </c>
    </row>
    <row r="269" spans="1:8" x14ac:dyDescent="0.25">
      <c r="A269" t="s">
        <v>1385</v>
      </c>
      <c r="B269">
        <v>19500</v>
      </c>
      <c r="C269">
        <v>9</v>
      </c>
      <c r="D269">
        <v>6</v>
      </c>
      <c r="E269">
        <v>17600</v>
      </c>
      <c r="F269">
        <v>150</v>
      </c>
      <c r="G269" t="b">
        <v>0</v>
      </c>
      <c r="H269">
        <v>150</v>
      </c>
    </row>
    <row r="270" spans="1:8" x14ac:dyDescent="0.25">
      <c r="A270" t="s">
        <v>1386</v>
      </c>
      <c r="B270">
        <v>11500</v>
      </c>
      <c r="C270">
        <v>0</v>
      </c>
      <c r="D270">
        <v>5</v>
      </c>
      <c r="E270">
        <v>11500</v>
      </c>
      <c r="F270">
        <v>1160</v>
      </c>
      <c r="G270" t="b">
        <v>0</v>
      </c>
      <c r="H270">
        <v>20</v>
      </c>
    </row>
    <row r="271" spans="1:8" x14ac:dyDescent="0.25">
      <c r="A271" t="s">
        <v>1387</v>
      </c>
      <c r="B271">
        <v>69900</v>
      </c>
      <c r="C271">
        <v>21</v>
      </c>
      <c r="D271">
        <v>1</v>
      </c>
      <c r="E271">
        <v>54900</v>
      </c>
      <c r="F271">
        <v>50</v>
      </c>
      <c r="G271" t="b">
        <v>0</v>
      </c>
      <c r="H271">
        <v>50</v>
      </c>
    </row>
    <row r="272" spans="1:8" x14ac:dyDescent="0.25">
      <c r="A272" t="s">
        <v>1388</v>
      </c>
      <c r="B272">
        <v>109900</v>
      </c>
      <c r="C272">
        <v>22</v>
      </c>
      <c r="D272">
        <v>3</v>
      </c>
      <c r="E272">
        <v>84900</v>
      </c>
      <c r="F272">
        <v>72</v>
      </c>
      <c r="G272" t="b">
        <v>0</v>
      </c>
      <c r="H272">
        <v>72</v>
      </c>
    </row>
    <row r="273" spans="1:8" x14ac:dyDescent="0.25">
      <c r="A273" t="s">
        <v>1389</v>
      </c>
      <c r="B273">
        <v>17500</v>
      </c>
      <c r="C273">
        <v>9</v>
      </c>
      <c r="D273">
        <v>6</v>
      </c>
      <c r="E273">
        <v>15800</v>
      </c>
      <c r="F273">
        <v>100</v>
      </c>
      <c r="G273" t="b">
        <v>0</v>
      </c>
      <c r="H273">
        <v>100</v>
      </c>
    </row>
    <row r="274" spans="1:8" x14ac:dyDescent="0.25">
      <c r="A274" t="s">
        <v>1390</v>
      </c>
      <c r="B274">
        <v>5000</v>
      </c>
      <c r="C274">
        <v>0</v>
      </c>
      <c r="D274">
        <v>4</v>
      </c>
      <c r="E274">
        <v>5000</v>
      </c>
      <c r="F274">
        <v>130</v>
      </c>
      <c r="G274" t="b">
        <v>0</v>
      </c>
      <c r="H274">
        <v>130</v>
      </c>
    </row>
    <row r="275" spans="1:8" x14ac:dyDescent="0.25">
      <c r="A275" t="s">
        <v>1391</v>
      </c>
      <c r="B275">
        <v>14500</v>
      </c>
      <c r="C275">
        <v>9</v>
      </c>
      <c r="D275">
        <v>5</v>
      </c>
      <c r="E275">
        <v>13100</v>
      </c>
      <c r="F275">
        <v>100</v>
      </c>
      <c r="G275" t="b">
        <v>0</v>
      </c>
      <c r="H275">
        <v>100</v>
      </c>
    </row>
    <row r="276" spans="1:8" x14ac:dyDescent="0.25">
      <c r="A276" t="s">
        <v>1284</v>
      </c>
      <c r="B276">
        <v>55500</v>
      </c>
      <c r="C276">
        <v>6</v>
      </c>
      <c r="D276">
        <v>6</v>
      </c>
      <c r="E276">
        <v>52100</v>
      </c>
      <c r="F276">
        <v>650</v>
      </c>
      <c r="G276" t="b">
        <v>0</v>
      </c>
      <c r="H276">
        <v>650</v>
      </c>
    </row>
    <row r="277" spans="1:8" x14ac:dyDescent="0.25">
      <c r="A277" t="s">
        <v>1392</v>
      </c>
      <c r="B277">
        <v>59900</v>
      </c>
      <c r="C277">
        <v>15</v>
      </c>
      <c r="D277">
        <v>1</v>
      </c>
      <c r="E277">
        <v>50900</v>
      </c>
      <c r="F277">
        <v>30</v>
      </c>
      <c r="G277" t="b">
        <v>0</v>
      </c>
      <c r="H277">
        <v>30</v>
      </c>
    </row>
    <row r="278" spans="1:8" x14ac:dyDescent="0.25">
      <c r="A278" t="s">
        <v>1393</v>
      </c>
      <c r="B278">
        <v>17800</v>
      </c>
      <c r="C278">
        <v>0</v>
      </c>
      <c r="D278">
        <v>6</v>
      </c>
      <c r="E278">
        <v>17800</v>
      </c>
      <c r="F278">
        <v>340</v>
      </c>
      <c r="G278" t="b">
        <v>0</v>
      </c>
      <c r="H278">
        <v>340</v>
      </c>
    </row>
    <row r="279" spans="1:8" x14ac:dyDescent="0.25">
      <c r="A279" t="s">
        <v>1394</v>
      </c>
      <c r="B279">
        <v>22500</v>
      </c>
      <c r="C279">
        <v>6</v>
      </c>
      <c r="D279">
        <v>3</v>
      </c>
      <c r="E279">
        <v>21000</v>
      </c>
      <c r="F279">
        <v>340</v>
      </c>
      <c r="G279" t="b">
        <v>0</v>
      </c>
      <c r="H279">
        <v>340</v>
      </c>
    </row>
    <row r="280" spans="1:8" x14ac:dyDescent="0.25">
      <c r="A280" t="s">
        <v>1395</v>
      </c>
      <c r="B280">
        <v>19900</v>
      </c>
      <c r="C280">
        <v>5</v>
      </c>
      <c r="D280">
        <v>4</v>
      </c>
      <c r="E280">
        <v>18900</v>
      </c>
      <c r="F280">
        <v>125</v>
      </c>
      <c r="G280" t="b">
        <v>0</v>
      </c>
      <c r="H280">
        <v>125</v>
      </c>
    </row>
    <row r="281" spans="1:8" x14ac:dyDescent="0.25">
      <c r="A281" t="s">
        <v>1396</v>
      </c>
      <c r="B281">
        <v>19900</v>
      </c>
      <c r="C281">
        <v>0</v>
      </c>
      <c r="D281">
        <v>1</v>
      </c>
      <c r="E281">
        <v>19900</v>
      </c>
      <c r="F281">
        <v>150</v>
      </c>
      <c r="G281" t="b">
        <v>0</v>
      </c>
      <c r="H281">
        <v>150</v>
      </c>
    </row>
    <row r="282" spans="1:8" x14ac:dyDescent="0.25">
      <c r="A282" t="s">
        <v>1397</v>
      </c>
      <c r="B282">
        <v>69900</v>
      </c>
      <c r="C282">
        <v>17</v>
      </c>
      <c r="D282">
        <v>6</v>
      </c>
      <c r="E282">
        <v>57500</v>
      </c>
      <c r="F282">
        <v>50</v>
      </c>
      <c r="G282" t="b">
        <v>0</v>
      </c>
      <c r="H282">
        <v>50</v>
      </c>
    </row>
    <row r="283" spans="1:8" x14ac:dyDescent="0.25">
      <c r="A283" t="s">
        <v>1398</v>
      </c>
      <c r="B283">
        <v>19900</v>
      </c>
      <c r="C283">
        <v>0</v>
      </c>
      <c r="D283">
        <v>1</v>
      </c>
      <c r="E283">
        <v>19900</v>
      </c>
      <c r="F283">
        <v>150</v>
      </c>
      <c r="G283" t="b">
        <v>0</v>
      </c>
      <c r="H283">
        <v>150</v>
      </c>
    </row>
    <row r="284" spans="1:8" x14ac:dyDescent="0.25">
      <c r="A284" t="s">
        <v>1399</v>
      </c>
      <c r="B284">
        <v>19900</v>
      </c>
      <c r="C284">
        <v>0</v>
      </c>
      <c r="D284">
        <v>6</v>
      </c>
      <c r="E284">
        <v>19900</v>
      </c>
      <c r="F284">
        <v>500</v>
      </c>
      <c r="G284" t="b">
        <v>0</v>
      </c>
      <c r="H284">
        <v>500</v>
      </c>
    </row>
    <row r="285" spans="1:8" x14ac:dyDescent="0.25">
      <c r="A285" t="s">
        <v>1400</v>
      </c>
      <c r="B285">
        <v>37500</v>
      </c>
      <c r="C285">
        <v>9</v>
      </c>
      <c r="D285">
        <v>6</v>
      </c>
      <c r="E285">
        <v>33800</v>
      </c>
      <c r="F285">
        <v>340</v>
      </c>
      <c r="G285" t="b">
        <v>0</v>
      </c>
      <c r="H285">
        <v>340</v>
      </c>
    </row>
    <row r="286" spans="1:8" x14ac:dyDescent="0.25">
      <c r="A286" t="s">
        <v>1401</v>
      </c>
      <c r="B286">
        <v>64900</v>
      </c>
      <c r="C286">
        <v>10</v>
      </c>
      <c r="D286">
        <v>6</v>
      </c>
      <c r="E286">
        <v>57800</v>
      </c>
      <c r="F286">
        <v>232</v>
      </c>
      <c r="G286" t="b">
        <v>0</v>
      </c>
      <c r="H286">
        <v>4</v>
      </c>
    </row>
    <row r="287" spans="1:8" x14ac:dyDescent="0.25">
      <c r="A287" t="s">
        <v>1349</v>
      </c>
      <c r="B287">
        <v>21000</v>
      </c>
      <c r="C287">
        <v>13</v>
      </c>
      <c r="D287">
        <v>1</v>
      </c>
      <c r="E287">
        <v>18200</v>
      </c>
      <c r="F287">
        <v>190</v>
      </c>
      <c r="G287" t="b">
        <v>0</v>
      </c>
      <c r="H287">
        <v>190</v>
      </c>
    </row>
    <row r="288" spans="1:8" x14ac:dyDescent="0.25">
      <c r="A288" t="s">
        <v>1402</v>
      </c>
      <c r="B288">
        <v>37500</v>
      </c>
      <c r="C288">
        <v>0</v>
      </c>
      <c r="D288">
        <v>2</v>
      </c>
      <c r="E288">
        <v>37500</v>
      </c>
      <c r="F288">
        <v>116</v>
      </c>
      <c r="G288" t="b">
        <v>0</v>
      </c>
      <c r="H288">
        <v>2</v>
      </c>
    </row>
    <row r="289" spans="1:8" x14ac:dyDescent="0.25">
      <c r="A289" t="s">
        <v>1282</v>
      </c>
      <c r="B289">
        <v>30000</v>
      </c>
      <c r="C289">
        <v>12</v>
      </c>
      <c r="D289">
        <v>1</v>
      </c>
      <c r="E289">
        <v>26400</v>
      </c>
      <c r="F289">
        <v>400</v>
      </c>
      <c r="G289" t="b">
        <v>0</v>
      </c>
      <c r="H289">
        <v>400</v>
      </c>
    </row>
    <row r="290" spans="1:8" x14ac:dyDescent="0.25">
      <c r="A290" t="s">
        <v>1403</v>
      </c>
      <c r="B290">
        <v>7500</v>
      </c>
      <c r="C290">
        <v>0</v>
      </c>
      <c r="D290">
        <v>6</v>
      </c>
      <c r="E290">
        <v>7500</v>
      </c>
      <c r="F290">
        <v>70</v>
      </c>
      <c r="G290" t="b">
        <v>0</v>
      </c>
      <c r="H290">
        <v>70</v>
      </c>
    </row>
    <row r="291" spans="1:8" x14ac:dyDescent="0.25">
      <c r="A291" t="s">
        <v>1404</v>
      </c>
      <c r="B291">
        <v>14000</v>
      </c>
      <c r="C291">
        <v>10</v>
      </c>
      <c r="D291">
        <v>6</v>
      </c>
      <c r="E291">
        <v>12600</v>
      </c>
      <c r="F291">
        <v>70</v>
      </c>
      <c r="G291" t="b">
        <v>0</v>
      </c>
      <c r="H291">
        <v>70</v>
      </c>
    </row>
    <row r="292" spans="1:8" x14ac:dyDescent="0.25">
      <c r="A292" t="s">
        <v>1405</v>
      </c>
      <c r="B292">
        <v>9300</v>
      </c>
      <c r="C292">
        <v>0</v>
      </c>
      <c r="D292">
        <v>6</v>
      </c>
      <c r="E292">
        <v>9300</v>
      </c>
      <c r="F292">
        <v>80</v>
      </c>
      <c r="G292" t="b">
        <v>0</v>
      </c>
      <c r="H292">
        <v>80</v>
      </c>
    </row>
    <row r="293" spans="1:8" x14ac:dyDescent="0.25">
      <c r="A293" t="s">
        <v>1406</v>
      </c>
      <c r="B293">
        <v>12000</v>
      </c>
      <c r="C293">
        <v>0</v>
      </c>
      <c r="D293">
        <v>6</v>
      </c>
      <c r="E293">
        <v>12000</v>
      </c>
      <c r="F293">
        <v>180</v>
      </c>
      <c r="G293" t="b">
        <v>0</v>
      </c>
      <c r="H293">
        <v>180</v>
      </c>
    </row>
    <row r="294" spans="1:8" x14ac:dyDescent="0.25">
      <c r="A294" t="s">
        <v>1407</v>
      </c>
      <c r="B294">
        <v>10000</v>
      </c>
      <c r="C294">
        <v>10</v>
      </c>
      <c r="D294">
        <v>6</v>
      </c>
      <c r="E294">
        <v>9000</v>
      </c>
      <c r="F294">
        <v>25</v>
      </c>
      <c r="G294" t="b">
        <v>0</v>
      </c>
      <c r="H294">
        <v>25</v>
      </c>
    </row>
    <row r="295" spans="1:8" x14ac:dyDescent="0.25">
      <c r="A295" t="s">
        <v>1181</v>
      </c>
      <c r="B295">
        <v>6900</v>
      </c>
      <c r="C295">
        <v>0</v>
      </c>
      <c r="D295">
        <v>5</v>
      </c>
      <c r="E295">
        <v>6900</v>
      </c>
      <c r="F295">
        <v>200</v>
      </c>
      <c r="G295" t="b">
        <v>0</v>
      </c>
      <c r="H295">
        <v>200</v>
      </c>
    </row>
    <row r="296" spans="1:8" x14ac:dyDescent="0.25">
      <c r="A296" t="s">
        <v>1408</v>
      </c>
      <c r="B296">
        <v>36000</v>
      </c>
      <c r="C296">
        <v>10</v>
      </c>
      <c r="D296">
        <v>6</v>
      </c>
      <c r="E296">
        <v>32400</v>
      </c>
      <c r="F296">
        <v>24</v>
      </c>
      <c r="G296" t="b">
        <v>0</v>
      </c>
      <c r="H296">
        <v>24</v>
      </c>
    </row>
    <row r="297" spans="1:8" x14ac:dyDescent="0.25">
      <c r="A297" t="s">
        <v>1179</v>
      </c>
      <c r="B297">
        <v>26000</v>
      </c>
      <c r="C297">
        <v>18</v>
      </c>
      <c r="D297">
        <v>1</v>
      </c>
      <c r="E297">
        <v>21300</v>
      </c>
      <c r="F297">
        <v>400</v>
      </c>
      <c r="G297" t="b">
        <v>0</v>
      </c>
      <c r="H297">
        <v>400</v>
      </c>
    </row>
    <row r="298" spans="1:8" x14ac:dyDescent="0.25">
      <c r="A298" t="s">
        <v>1275</v>
      </c>
      <c r="B298">
        <v>49000</v>
      </c>
      <c r="C298">
        <v>25</v>
      </c>
      <c r="D298">
        <v>4</v>
      </c>
      <c r="E298">
        <v>36700</v>
      </c>
      <c r="F298">
        <v>700</v>
      </c>
      <c r="G298" t="b">
        <v>0</v>
      </c>
      <c r="H298">
        <v>700</v>
      </c>
    </row>
    <row r="299" spans="1:8" x14ac:dyDescent="0.25">
      <c r="A299" t="s">
        <v>1358</v>
      </c>
      <c r="B299">
        <v>20000</v>
      </c>
      <c r="C299">
        <v>0</v>
      </c>
      <c r="D299">
        <v>6</v>
      </c>
      <c r="E299">
        <v>20000</v>
      </c>
      <c r="F299">
        <v>200</v>
      </c>
      <c r="G299" t="b">
        <v>0</v>
      </c>
      <c r="H299">
        <v>200</v>
      </c>
    </row>
    <row r="300" spans="1:8" x14ac:dyDescent="0.25">
      <c r="A300" t="s">
        <v>1409</v>
      </c>
      <c r="B300">
        <v>32500</v>
      </c>
      <c r="C300">
        <v>0</v>
      </c>
      <c r="D300">
        <v>4</v>
      </c>
      <c r="E300">
        <v>32500</v>
      </c>
      <c r="F300">
        <v>400</v>
      </c>
      <c r="G300" t="b">
        <v>0</v>
      </c>
      <c r="H300">
        <v>400</v>
      </c>
    </row>
    <row r="301" spans="1:8" x14ac:dyDescent="0.25">
      <c r="A301" t="s">
        <v>1410</v>
      </c>
      <c r="B301">
        <v>19900</v>
      </c>
      <c r="C301">
        <v>0</v>
      </c>
      <c r="D301">
        <v>1</v>
      </c>
      <c r="E301">
        <v>19900</v>
      </c>
      <c r="F301">
        <v>193</v>
      </c>
      <c r="G301" t="b">
        <v>0</v>
      </c>
      <c r="H301">
        <v>193</v>
      </c>
    </row>
    <row r="302" spans="1:8" x14ac:dyDescent="0.25">
      <c r="A302" t="s">
        <v>1411</v>
      </c>
      <c r="B302">
        <v>18500</v>
      </c>
      <c r="C302">
        <v>15</v>
      </c>
      <c r="D302">
        <v>6</v>
      </c>
      <c r="E302">
        <v>15700</v>
      </c>
      <c r="F302">
        <v>100</v>
      </c>
      <c r="G302" t="b">
        <v>0</v>
      </c>
      <c r="H302">
        <v>100</v>
      </c>
    </row>
    <row r="303" spans="1:8" x14ac:dyDescent="0.25">
      <c r="A303" t="s">
        <v>1199</v>
      </c>
      <c r="B303">
        <v>55500</v>
      </c>
      <c r="C303">
        <v>0</v>
      </c>
      <c r="D303">
        <v>1</v>
      </c>
      <c r="E303">
        <v>55500</v>
      </c>
      <c r="F303">
        <v>60</v>
      </c>
      <c r="G303" t="b">
        <v>0</v>
      </c>
      <c r="H303">
        <v>60</v>
      </c>
    </row>
    <row r="304" spans="1:8" x14ac:dyDescent="0.25">
      <c r="A304" t="s">
        <v>1412</v>
      </c>
      <c r="B304">
        <v>24900</v>
      </c>
      <c r="C304">
        <v>20</v>
      </c>
      <c r="D304">
        <v>6</v>
      </c>
      <c r="E304">
        <v>19900</v>
      </c>
      <c r="F304">
        <v>250</v>
      </c>
      <c r="G304" t="b">
        <v>0</v>
      </c>
      <c r="H304">
        <v>250</v>
      </c>
    </row>
    <row r="305" spans="1:8" x14ac:dyDescent="0.25">
      <c r="A305" t="s">
        <v>1410</v>
      </c>
      <c r="B305">
        <v>20900</v>
      </c>
      <c r="C305">
        <v>0</v>
      </c>
      <c r="D305">
        <v>3</v>
      </c>
      <c r="E305">
        <v>20900</v>
      </c>
      <c r="F305">
        <v>193</v>
      </c>
      <c r="G305" t="b">
        <v>0</v>
      </c>
      <c r="H305">
        <v>193</v>
      </c>
    </row>
    <row r="306" spans="1:8" x14ac:dyDescent="0.25">
      <c r="A306" t="s">
        <v>1206</v>
      </c>
      <c r="B306">
        <v>28500</v>
      </c>
      <c r="C306">
        <v>6</v>
      </c>
      <c r="D306">
        <v>6</v>
      </c>
      <c r="E306">
        <v>26600</v>
      </c>
      <c r="F306">
        <v>340</v>
      </c>
      <c r="G306" t="b">
        <v>0</v>
      </c>
      <c r="H306">
        <v>340</v>
      </c>
    </row>
    <row r="307" spans="1:8" x14ac:dyDescent="0.25">
      <c r="A307" t="s">
        <v>1413</v>
      </c>
      <c r="B307">
        <v>24900</v>
      </c>
      <c r="C307">
        <v>0</v>
      </c>
      <c r="D307">
        <v>4</v>
      </c>
      <c r="E307">
        <v>24900</v>
      </c>
      <c r="F307">
        <v>150</v>
      </c>
      <c r="G307" t="b">
        <v>0</v>
      </c>
      <c r="H307">
        <v>150</v>
      </c>
    </row>
    <row r="308" spans="1:8" x14ac:dyDescent="0.25">
      <c r="A308" t="s">
        <v>1371</v>
      </c>
      <c r="B308">
        <v>15000</v>
      </c>
      <c r="C308">
        <v>10</v>
      </c>
      <c r="D308">
        <v>6</v>
      </c>
      <c r="E308">
        <v>13500</v>
      </c>
      <c r="F308">
        <v>250</v>
      </c>
      <c r="G308" t="b">
        <v>0</v>
      </c>
      <c r="H308">
        <v>250</v>
      </c>
    </row>
    <row r="309" spans="1:8" x14ac:dyDescent="0.25">
      <c r="A309" t="s">
        <v>1328</v>
      </c>
      <c r="B309">
        <v>17000</v>
      </c>
      <c r="C309">
        <v>14</v>
      </c>
      <c r="D309">
        <v>6</v>
      </c>
      <c r="E309">
        <v>14600</v>
      </c>
      <c r="F309">
        <v>200</v>
      </c>
      <c r="G309" t="b">
        <v>0</v>
      </c>
      <c r="H309">
        <v>200</v>
      </c>
    </row>
    <row r="310" spans="1:8" x14ac:dyDescent="0.25">
      <c r="A310" t="s">
        <v>1414</v>
      </c>
      <c r="B310">
        <v>26800</v>
      </c>
      <c r="C310">
        <v>5</v>
      </c>
      <c r="D310">
        <v>1</v>
      </c>
      <c r="E310">
        <v>25200</v>
      </c>
      <c r="F310">
        <v>340</v>
      </c>
      <c r="G310" t="b">
        <v>0</v>
      </c>
      <c r="H310">
        <v>340</v>
      </c>
    </row>
    <row r="311" spans="1:8" x14ac:dyDescent="0.25">
      <c r="A311" t="s">
        <v>1168</v>
      </c>
      <c r="B311">
        <v>28000</v>
      </c>
      <c r="C311">
        <v>15</v>
      </c>
      <c r="D311">
        <v>6</v>
      </c>
      <c r="E311">
        <v>23600</v>
      </c>
      <c r="F311">
        <v>340</v>
      </c>
      <c r="G311" t="b">
        <v>0</v>
      </c>
      <c r="H311">
        <v>340</v>
      </c>
    </row>
    <row r="312" spans="1:8" x14ac:dyDescent="0.25">
      <c r="A312" t="s">
        <v>1415</v>
      </c>
      <c r="B312">
        <v>29500</v>
      </c>
      <c r="C312">
        <v>9</v>
      </c>
      <c r="D312">
        <v>6</v>
      </c>
      <c r="E312">
        <v>26600</v>
      </c>
      <c r="F312">
        <v>340</v>
      </c>
      <c r="G312" t="b">
        <v>0</v>
      </c>
      <c r="H312">
        <v>340</v>
      </c>
    </row>
    <row r="313" spans="1:8" x14ac:dyDescent="0.25">
      <c r="A313" t="s">
        <v>1416</v>
      </c>
      <c r="B313">
        <v>34500</v>
      </c>
      <c r="C313">
        <v>0</v>
      </c>
      <c r="D313">
        <v>6</v>
      </c>
      <c r="E313">
        <v>34500</v>
      </c>
      <c r="F313">
        <v>58</v>
      </c>
      <c r="G313" t="b">
        <v>0</v>
      </c>
      <c r="H313">
        <v>1</v>
      </c>
    </row>
    <row r="314" spans="1:8" x14ac:dyDescent="0.25">
      <c r="A314" t="s">
        <v>1417</v>
      </c>
      <c r="B314">
        <v>36500</v>
      </c>
      <c r="C314">
        <v>0</v>
      </c>
      <c r="D314">
        <v>1</v>
      </c>
      <c r="E314">
        <v>36500</v>
      </c>
      <c r="F314">
        <v>340</v>
      </c>
      <c r="G314" t="b">
        <v>0</v>
      </c>
      <c r="H314">
        <v>340</v>
      </c>
    </row>
    <row r="315" spans="1:8" x14ac:dyDescent="0.25">
      <c r="A315" t="s">
        <v>1418</v>
      </c>
      <c r="B315">
        <v>20000</v>
      </c>
      <c r="C315">
        <v>20</v>
      </c>
      <c r="D315">
        <v>2</v>
      </c>
      <c r="E315">
        <v>16000</v>
      </c>
      <c r="F315">
        <v>200</v>
      </c>
      <c r="G315" t="b">
        <v>0</v>
      </c>
      <c r="H315">
        <v>250</v>
      </c>
    </row>
    <row r="316" spans="1:8" x14ac:dyDescent="0.25">
      <c r="A316" t="s">
        <v>1245</v>
      </c>
      <c r="B316">
        <v>23500</v>
      </c>
      <c r="C316">
        <v>20</v>
      </c>
      <c r="D316">
        <v>6</v>
      </c>
      <c r="E316">
        <v>18800</v>
      </c>
      <c r="F316">
        <v>400</v>
      </c>
      <c r="G316" t="b">
        <v>0</v>
      </c>
      <c r="H316">
        <v>400</v>
      </c>
    </row>
    <row r="317" spans="1:8" x14ac:dyDescent="0.25">
      <c r="A317" t="s">
        <v>1419</v>
      </c>
      <c r="B317">
        <v>25000</v>
      </c>
      <c r="C317">
        <v>0</v>
      </c>
      <c r="D317">
        <v>6</v>
      </c>
      <c r="E317">
        <v>25000</v>
      </c>
      <c r="F317">
        <v>150</v>
      </c>
      <c r="G317" t="b">
        <v>0</v>
      </c>
      <c r="H317">
        <v>150</v>
      </c>
    </row>
    <row r="318" spans="1:8" x14ac:dyDescent="0.25">
      <c r="A318" t="s">
        <v>1420</v>
      </c>
      <c r="B318">
        <v>7100</v>
      </c>
      <c r="C318">
        <v>0</v>
      </c>
      <c r="D318">
        <v>6</v>
      </c>
      <c r="E318">
        <v>7100</v>
      </c>
      <c r="F318">
        <v>200</v>
      </c>
      <c r="G318" t="b">
        <v>0</v>
      </c>
      <c r="H318">
        <v>200</v>
      </c>
    </row>
    <row r="319" spans="1:8" x14ac:dyDescent="0.25">
      <c r="A319" t="s">
        <v>1421</v>
      </c>
      <c r="B319">
        <v>19000</v>
      </c>
      <c r="C319">
        <v>6</v>
      </c>
      <c r="D319">
        <v>6</v>
      </c>
      <c r="E319">
        <v>17800</v>
      </c>
      <c r="F319">
        <v>200</v>
      </c>
      <c r="G319" t="b">
        <v>0</v>
      </c>
      <c r="H319">
        <v>200</v>
      </c>
    </row>
    <row r="320" spans="1:8" x14ac:dyDescent="0.25">
      <c r="A320" t="s">
        <v>1422</v>
      </c>
      <c r="B320">
        <v>39900</v>
      </c>
      <c r="C320">
        <v>0</v>
      </c>
      <c r="D320">
        <v>1</v>
      </c>
      <c r="E320">
        <v>39900</v>
      </c>
      <c r="F320">
        <v>200</v>
      </c>
      <c r="G320" t="b">
        <v>0</v>
      </c>
      <c r="H320">
        <v>200</v>
      </c>
    </row>
    <row r="321" spans="1:8" x14ac:dyDescent="0.25">
      <c r="A321" t="s">
        <v>1423</v>
      </c>
      <c r="B321">
        <v>8000</v>
      </c>
      <c r="C321">
        <v>10</v>
      </c>
      <c r="D321">
        <v>2</v>
      </c>
      <c r="E321">
        <v>7200</v>
      </c>
      <c r="F321">
        <v>20</v>
      </c>
      <c r="G321" t="b">
        <v>0</v>
      </c>
      <c r="H321">
        <v>20</v>
      </c>
    </row>
    <row r="322" spans="1:8" x14ac:dyDescent="0.25">
      <c r="A322" t="s">
        <v>1424</v>
      </c>
      <c r="B322">
        <v>23000</v>
      </c>
      <c r="C322">
        <v>0</v>
      </c>
      <c r="D322">
        <v>4</v>
      </c>
      <c r="E322">
        <v>23000</v>
      </c>
      <c r="F322">
        <v>150</v>
      </c>
      <c r="G322" t="b">
        <v>0</v>
      </c>
      <c r="H322">
        <v>120</v>
      </c>
    </row>
    <row r="323" spans="1:8" x14ac:dyDescent="0.25">
      <c r="A323" t="s">
        <v>1425</v>
      </c>
      <c r="B323">
        <v>24500</v>
      </c>
      <c r="C323">
        <v>9</v>
      </c>
      <c r="D323">
        <v>6</v>
      </c>
      <c r="E323">
        <v>22100</v>
      </c>
      <c r="F323">
        <v>100</v>
      </c>
      <c r="G323" t="b">
        <v>0</v>
      </c>
      <c r="H323">
        <v>100</v>
      </c>
    </row>
    <row r="324" spans="1:8" x14ac:dyDescent="0.25">
      <c r="A324" t="s">
        <v>1426</v>
      </c>
      <c r="B324">
        <v>9000</v>
      </c>
      <c r="C324">
        <v>6</v>
      </c>
      <c r="D324">
        <v>4</v>
      </c>
      <c r="E324">
        <v>8400</v>
      </c>
      <c r="F324">
        <v>80</v>
      </c>
      <c r="G324" t="b">
        <v>0</v>
      </c>
      <c r="H324">
        <v>80</v>
      </c>
    </row>
    <row r="325" spans="1:8" x14ac:dyDescent="0.25">
      <c r="A325" t="s">
        <v>1427</v>
      </c>
      <c r="B325">
        <v>10900</v>
      </c>
      <c r="C325">
        <v>3</v>
      </c>
      <c r="D325">
        <v>0</v>
      </c>
      <c r="E325">
        <v>10500</v>
      </c>
      <c r="F325">
        <v>750</v>
      </c>
      <c r="G325" t="b">
        <v>1</v>
      </c>
      <c r="H325">
        <v>750</v>
      </c>
    </row>
    <row r="326" spans="1:8" x14ac:dyDescent="0.25">
      <c r="A326" t="s">
        <v>1428</v>
      </c>
      <c r="B326">
        <v>12300</v>
      </c>
      <c r="C326">
        <v>0</v>
      </c>
      <c r="D326">
        <v>0</v>
      </c>
      <c r="E326">
        <v>12300</v>
      </c>
      <c r="F326">
        <v>300</v>
      </c>
      <c r="G326" t="b">
        <v>1</v>
      </c>
      <c r="H326">
        <v>300</v>
      </c>
    </row>
    <row r="327" spans="1:8" x14ac:dyDescent="0.25">
      <c r="A327" t="s">
        <v>1429</v>
      </c>
      <c r="B327">
        <v>3000</v>
      </c>
      <c r="C327">
        <v>3</v>
      </c>
      <c r="D327">
        <v>0</v>
      </c>
      <c r="E327">
        <v>2900</v>
      </c>
      <c r="F327">
        <v>406</v>
      </c>
      <c r="G327" t="b">
        <v>1</v>
      </c>
      <c r="H327">
        <v>7</v>
      </c>
    </row>
    <row r="328" spans="1:8" x14ac:dyDescent="0.25">
      <c r="A328" t="s">
        <v>1430</v>
      </c>
      <c r="B328">
        <v>4800</v>
      </c>
      <c r="C328">
        <v>2</v>
      </c>
      <c r="D328">
        <v>0</v>
      </c>
      <c r="E328">
        <v>4700</v>
      </c>
      <c r="F328">
        <v>120</v>
      </c>
      <c r="G328" t="b">
        <v>1</v>
      </c>
      <c r="H328">
        <v>120</v>
      </c>
    </row>
    <row r="329" spans="1:8" x14ac:dyDescent="0.25">
      <c r="A329" t="s">
        <v>1431</v>
      </c>
      <c r="B329">
        <v>21500</v>
      </c>
      <c r="C329">
        <v>9</v>
      </c>
      <c r="D329">
        <v>0</v>
      </c>
      <c r="E329">
        <v>19400</v>
      </c>
      <c r="F329">
        <v>400</v>
      </c>
      <c r="G329" t="b">
        <v>1</v>
      </c>
      <c r="H329">
        <v>400</v>
      </c>
    </row>
    <row r="330" spans="1:8" x14ac:dyDescent="0.25">
      <c r="A330" t="s">
        <v>1161</v>
      </c>
      <c r="B330">
        <v>9000</v>
      </c>
      <c r="C330">
        <v>10</v>
      </c>
      <c r="D330">
        <v>0</v>
      </c>
      <c r="E330">
        <v>8100</v>
      </c>
      <c r="F330">
        <v>150</v>
      </c>
      <c r="G330" t="b">
        <v>1</v>
      </c>
      <c r="H330">
        <v>150</v>
      </c>
    </row>
    <row r="331" spans="1:8" x14ac:dyDescent="0.25">
      <c r="A331" t="s">
        <v>1239</v>
      </c>
      <c r="B331">
        <v>10000</v>
      </c>
      <c r="C331">
        <v>16</v>
      </c>
      <c r="D331">
        <v>0</v>
      </c>
      <c r="E331">
        <v>8400</v>
      </c>
      <c r="F331">
        <v>500</v>
      </c>
      <c r="G331" t="b">
        <v>1</v>
      </c>
      <c r="H331">
        <v>100</v>
      </c>
    </row>
    <row r="332" spans="1:8" x14ac:dyDescent="0.25">
      <c r="A332" t="s">
        <v>1432</v>
      </c>
      <c r="B332">
        <v>11500</v>
      </c>
      <c r="C332">
        <v>7</v>
      </c>
      <c r="D332">
        <v>0</v>
      </c>
      <c r="E332">
        <v>10600</v>
      </c>
      <c r="F332">
        <v>75</v>
      </c>
      <c r="G332" t="b">
        <v>1</v>
      </c>
      <c r="H332">
        <v>75</v>
      </c>
    </row>
    <row r="333" spans="1:8" x14ac:dyDescent="0.25">
      <c r="A333" t="s">
        <v>1433</v>
      </c>
      <c r="B333">
        <v>9000</v>
      </c>
      <c r="C333">
        <v>0</v>
      </c>
      <c r="D333">
        <v>0</v>
      </c>
      <c r="E333">
        <v>9000</v>
      </c>
      <c r="F333">
        <v>406</v>
      </c>
      <c r="G333" t="b">
        <v>1</v>
      </c>
      <c r="H333">
        <v>7</v>
      </c>
    </row>
    <row r="334" spans="1:8" x14ac:dyDescent="0.25">
      <c r="A334" t="s">
        <v>1434</v>
      </c>
      <c r="B334">
        <v>3200</v>
      </c>
      <c r="C334">
        <v>9</v>
      </c>
      <c r="D334">
        <v>0</v>
      </c>
      <c r="E334">
        <v>2900</v>
      </c>
      <c r="F334">
        <v>406</v>
      </c>
      <c r="G334" t="b">
        <v>1</v>
      </c>
      <c r="H334">
        <v>7</v>
      </c>
    </row>
    <row r="335" spans="1:8" x14ac:dyDescent="0.25">
      <c r="A335" t="s">
        <v>1435</v>
      </c>
      <c r="B335">
        <v>8400</v>
      </c>
      <c r="C335">
        <v>0</v>
      </c>
      <c r="D335">
        <v>0</v>
      </c>
      <c r="E335">
        <v>8400</v>
      </c>
      <c r="F335">
        <v>400</v>
      </c>
      <c r="G335" t="b">
        <v>1</v>
      </c>
      <c r="H335">
        <v>100</v>
      </c>
    </row>
    <row r="336" spans="1:8" x14ac:dyDescent="0.25">
      <c r="A336" t="s">
        <v>1436</v>
      </c>
      <c r="B336">
        <v>24900</v>
      </c>
      <c r="C336">
        <v>7</v>
      </c>
      <c r="D336">
        <v>0</v>
      </c>
      <c r="E336">
        <v>23000</v>
      </c>
      <c r="F336">
        <v>58</v>
      </c>
      <c r="G336" t="b">
        <v>1</v>
      </c>
      <c r="H336">
        <v>1</v>
      </c>
    </row>
    <row r="337" spans="1:8" x14ac:dyDescent="0.25">
      <c r="A337" t="s">
        <v>1204</v>
      </c>
      <c r="B337">
        <v>9000</v>
      </c>
      <c r="C337">
        <v>3</v>
      </c>
      <c r="D337">
        <v>0</v>
      </c>
      <c r="E337">
        <v>8700</v>
      </c>
      <c r="F337">
        <v>58</v>
      </c>
      <c r="G337" t="b">
        <v>1</v>
      </c>
      <c r="H337">
        <v>20</v>
      </c>
    </row>
    <row r="338" spans="1:8" x14ac:dyDescent="0.25">
      <c r="A338" t="s">
        <v>1437</v>
      </c>
      <c r="B338">
        <v>4200</v>
      </c>
      <c r="C338">
        <v>2</v>
      </c>
      <c r="D338">
        <v>0</v>
      </c>
      <c r="E338">
        <v>4100</v>
      </c>
      <c r="F338">
        <v>406</v>
      </c>
      <c r="G338" t="b">
        <v>1</v>
      </c>
      <c r="H338">
        <v>7</v>
      </c>
    </row>
    <row r="339" spans="1:8" x14ac:dyDescent="0.25">
      <c r="A339" t="s">
        <v>1438</v>
      </c>
      <c r="B339">
        <v>8200</v>
      </c>
      <c r="C339">
        <v>9</v>
      </c>
      <c r="D339">
        <v>0</v>
      </c>
      <c r="E339">
        <v>7400</v>
      </c>
      <c r="F339">
        <v>27</v>
      </c>
      <c r="G339" t="b">
        <v>1</v>
      </c>
      <c r="H339">
        <v>27</v>
      </c>
    </row>
    <row r="340" spans="1:8" x14ac:dyDescent="0.25">
      <c r="A340" t="s">
        <v>1439</v>
      </c>
      <c r="B340">
        <v>14500</v>
      </c>
      <c r="C340">
        <v>9</v>
      </c>
      <c r="D340">
        <v>0</v>
      </c>
      <c r="E340">
        <v>13100</v>
      </c>
      <c r="F340">
        <v>100</v>
      </c>
      <c r="G340" t="b">
        <v>1</v>
      </c>
      <c r="H340">
        <v>100</v>
      </c>
    </row>
    <row r="341" spans="1:8" x14ac:dyDescent="0.25">
      <c r="A341" t="s">
        <v>1440</v>
      </c>
      <c r="B341">
        <v>6700</v>
      </c>
      <c r="C341">
        <v>10</v>
      </c>
      <c r="D341">
        <v>0</v>
      </c>
      <c r="E341">
        <v>6000</v>
      </c>
      <c r="F341">
        <v>100</v>
      </c>
      <c r="G341" t="b">
        <v>1</v>
      </c>
      <c r="H341">
        <v>100</v>
      </c>
    </row>
    <row r="342" spans="1:8" x14ac:dyDescent="0.25">
      <c r="A342" t="s">
        <v>1441</v>
      </c>
      <c r="B342">
        <v>13000</v>
      </c>
      <c r="C342">
        <v>7</v>
      </c>
      <c r="D342">
        <v>0</v>
      </c>
      <c r="E342">
        <v>12000</v>
      </c>
      <c r="F342">
        <v>200</v>
      </c>
      <c r="G342" t="b">
        <v>1</v>
      </c>
      <c r="H342">
        <v>200</v>
      </c>
    </row>
    <row r="343" spans="1:8" x14ac:dyDescent="0.25">
      <c r="A343" t="s">
        <v>1442</v>
      </c>
      <c r="B343">
        <v>18500</v>
      </c>
      <c r="C343">
        <v>0</v>
      </c>
      <c r="D343">
        <v>0</v>
      </c>
      <c r="E343">
        <v>18500</v>
      </c>
      <c r="F343">
        <v>870</v>
      </c>
      <c r="G343" t="b">
        <v>1</v>
      </c>
      <c r="H343">
        <v>15</v>
      </c>
    </row>
    <row r="344" spans="1:8" x14ac:dyDescent="0.25">
      <c r="A344" t="s">
        <v>1443</v>
      </c>
      <c r="B344">
        <v>11600</v>
      </c>
      <c r="C344">
        <v>0</v>
      </c>
      <c r="D344">
        <v>0</v>
      </c>
      <c r="E344">
        <v>11600</v>
      </c>
      <c r="F344">
        <v>400</v>
      </c>
      <c r="G344" t="b">
        <v>1</v>
      </c>
      <c r="H344">
        <v>400</v>
      </c>
    </row>
    <row r="345" spans="1:8" x14ac:dyDescent="0.25">
      <c r="A345" t="s">
        <v>1444</v>
      </c>
      <c r="B345">
        <v>39900</v>
      </c>
      <c r="C345">
        <v>7</v>
      </c>
      <c r="D345">
        <v>0</v>
      </c>
      <c r="E345">
        <v>36900</v>
      </c>
      <c r="F345">
        <v>26</v>
      </c>
      <c r="G345" t="b">
        <v>1</v>
      </c>
      <c r="H345">
        <v>26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H195"/>
  <sheetViews>
    <sheetView topLeftCell="A180"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1445</v>
      </c>
      <c r="B2">
        <v>1800</v>
      </c>
      <c r="C2">
        <v>0</v>
      </c>
      <c r="D2">
        <v>1</v>
      </c>
      <c r="E2">
        <v>1800</v>
      </c>
      <c r="F2">
        <v>150</v>
      </c>
      <c r="G2" t="b">
        <v>0</v>
      </c>
      <c r="H2">
        <v>150</v>
      </c>
    </row>
    <row r="3" spans="1:8" x14ac:dyDescent="0.25">
      <c r="A3" t="s">
        <v>1446</v>
      </c>
      <c r="B3">
        <v>9600</v>
      </c>
      <c r="C3">
        <v>7</v>
      </c>
      <c r="D3">
        <v>6</v>
      </c>
      <c r="E3">
        <v>8900</v>
      </c>
      <c r="F3">
        <v>500</v>
      </c>
      <c r="G3" t="b">
        <v>0</v>
      </c>
      <c r="H3">
        <v>500</v>
      </c>
    </row>
    <row r="4" spans="1:8" x14ac:dyDescent="0.25">
      <c r="A4" t="s">
        <v>1447</v>
      </c>
      <c r="B4">
        <v>6900</v>
      </c>
      <c r="C4">
        <v>0</v>
      </c>
      <c r="D4">
        <v>6</v>
      </c>
      <c r="E4">
        <v>6900</v>
      </c>
      <c r="F4">
        <v>30</v>
      </c>
      <c r="G4" t="b">
        <v>0</v>
      </c>
      <c r="H4">
        <v>30</v>
      </c>
    </row>
    <row r="5" spans="1:8" x14ac:dyDescent="0.25">
      <c r="A5" t="s">
        <v>1448</v>
      </c>
      <c r="B5">
        <v>18900</v>
      </c>
      <c r="C5">
        <v>5</v>
      </c>
      <c r="D5">
        <v>2</v>
      </c>
      <c r="E5">
        <v>17900</v>
      </c>
      <c r="F5">
        <v>425</v>
      </c>
      <c r="G5" t="b">
        <v>0</v>
      </c>
      <c r="H5">
        <v>425</v>
      </c>
    </row>
    <row r="6" spans="1:8" x14ac:dyDescent="0.25">
      <c r="A6" t="s">
        <v>1449</v>
      </c>
      <c r="B6">
        <v>19000</v>
      </c>
      <c r="C6">
        <v>7</v>
      </c>
      <c r="D6">
        <v>4</v>
      </c>
      <c r="E6">
        <v>17500</v>
      </c>
      <c r="F6">
        <v>750</v>
      </c>
      <c r="G6" t="b">
        <v>0</v>
      </c>
      <c r="H6">
        <v>750</v>
      </c>
    </row>
    <row r="7" spans="1:8" x14ac:dyDescent="0.25">
      <c r="A7" t="s">
        <v>1450</v>
      </c>
      <c r="B7">
        <v>6600</v>
      </c>
      <c r="C7">
        <v>0</v>
      </c>
      <c r="D7">
        <v>6</v>
      </c>
      <c r="E7">
        <v>6600</v>
      </c>
      <c r="F7">
        <v>125</v>
      </c>
      <c r="G7" t="b">
        <v>0</v>
      </c>
      <c r="H7">
        <v>125</v>
      </c>
    </row>
    <row r="8" spans="1:8" x14ac:dyDescent="0.25">
      <c r="A8" t="s">
        <v>1451</v>
      </c>
      <c r="B8">
        <v>5500</v>
      </c>
      <c r="C8">
        <v>0</v>
      </c>
      <c r="D8">
        <v>3</v>
      </c>
      <c r="E8">
        <v>5500</v>
      </c>
      <c r="F8">
        <v>10</v>
      </c>
      <c r="G8" t="b">
        <v>0</v>
      </c>
      <c r="H8">
        <v>10</v>
      </c>
    </row>
    <row r="9" spans="1:8" x14ac:dyDescent="0.25">
      <c r="A9" t="s">
        <v>1452</v>
      </c>
      <c r="B9">
        <v>10100</v>
      </c>
      <c r="C9">
        <v>2</v>
      </c>
      <c r="D9">
        <v>4</v>
      </c>
      <c r="E9">
        <v>9800</v>
      </c>
      <c r="F9">
        <v>200</v>
      </c>
      <c r="G9" t="b">
        <v>0</v>
      </c>
      <c r="H9">
        <v>200</v>
      </c>
    </row>
    <row r="10" spans="1:8" x14ac:dyDescent="0.25">
      <c r="A10" t="s">
        <v>1453</v>
      </c>
      <c r="B10">
        <v>18500</v>
      </c>
      <c r="C10">
        <v>5</v>
      </c>
      <c r="D10">
        <v>1</v>
      </c>
      <c r="E10">
        <v>17500</v>
      </c>
      <c r="F10">
        <v>750</v>
      </c>
      <c r="G10" t="b">
        <v>0</v>
      </c>
      <c r="H10">
        <v>750</v>
      </c>
    </row>
    <row r="11" spans="1:8" x14ac:dyDescent="0.25">
      <c r="A11" t="s">
        <v>1454</v>
      </c>
      <c r="B11">
        <v>17800</v>
      </c>
      <c r="C11">
        <v>0</v>
      </c>
      <c r="D11">
        <v>6</v>
      </c>
      <c r="E11">
        <v>17800</v>
      </c>
      <c r="F11">
        <v>1000</v>
      </c>
      <c r="G11" t="b">
        <v>0</v>
      </c>
      <c r="H11">
        <v>1</v>
      </c>
    </row>
    <row r="12" spans="1:8" x14ac:dyDescent="0.25">
      <c r="A12" t="s">
        <v>1455</v>
      </c>
      <c r="B12">
        <v>5000</v>
      </c>
      <c r="C12">
        <v>8</v>
      </c>
      <c r="D12">
        <v>6</v>
      </c>
      <c r="E12">
        <v>4600</v>
      </c>
      <c r="F12">
        <v>50</v>
      </c>
      <c r="G12" t="b">
        <v>0</v>
      </c>
      <c r="H12">
        <v>50</v>
      </c>
    </row>
    <row r="13" spans="1:8" x14ac:dyDescent="0.25">
      <c r="A13" t="s">
        <v>1456</v>
      </c>
      <c r="B13">
        <v>18900</v>
      </c>
      <c r="C13">
        <v>5</v>
      </c>
      <c r="D13">
        <v>6</v>
      </c>
      <c r="E13">
        <v>17900</v>
      </c>
      <c r="F13">
        <v>1000</v>
      </c>
      <c r="G13" t="b">
        <v>0</v>
      </c>
      <c r="H13">
        <v>1</v>
      </c>
    </row>
    <row r="14" spans="1:8" x14ac:dyDescent="0.25">
      <c r="A14" t="s">
        <v>1457</v>
      </c>
      <c r="B14">
        <v>15000</v>
      </c>
      <c r="C14">
        <v>4</v>
      </c>
      <c r="D14">
        <v>6</v>
      </c>
      <c r="E14">
        <v>14300</v>
      </c>
      <c r="F14">
        <v>580</v>
      </c>
      <c r="G14" t="b">
        <v>0</v>
      </c>
      <c r="H14">
        <v>10</v>
      </c>
    </row>
    <row r="15" spans="1:8" x14ac:dyDescent="0.25">
      <c r="A15" t="s">
        <v>1458</v>
      </c>
      <c r="B15">
        <v>9800</v>
      </c>
      <c r="C15">
        <v>5</v>
      </c>
      <c r="D15">
        <v>6</v>
      </c>
      <c r="E15">
        <v>9300</v>
      </c>
      <c r="F15">
        <v>75</v>
      </c>
      <c r="G15" t="b">
        <v>0</v>
      </c>
      <c r="H15">
        <v>75</v>
      </c>
    </row>
    <row r="16" spans="1:8" x14ac:dyDescent="0.25">
      <c r="A16" t="s">
        <v>1459</v>
      </c>
      <c r="B16">
        <v>3500</v>
      </c>
      <c r="C16">
        <v>2</v>
      </c>
      <c r="D16">
        <v>6</v>
      </c>
      <c r="E16">
        <v>3400</v>
      </c>
      <c r="F16">
        <v>58</v>
      </c>
      <c r="G16" t="b">
        <v>0</v>
      </c>
      <c r="H16">
        <v>1</v>
      </c>
    </row>
    <row r="17" spans="1:8" x14ac:dyDescent="0.25">
      <c r="A17" t="s">
        <v>1460</v>
      </c>
      <c r="B17">
        <v>18200</v>
      </c>
      <c r="C17">
        <v>3</v>
      </c>
      <c r="D17">
        <v>6</v>
      </c>
      <c r="E17">
        <v>17600</v>
      </c>
      <c r="F17">
        <v>400</v>
      </c>
      <c r="G17" t="b">
        <v>0</v>
      </c>
      <c r="H17">
        <v>400</v>
      </c>
    </row>
    <row r="18" spans="1:8" x14ac:dyDescent="0.25">
      <c r="A18" t="s">
        <v>1461</v>
      </c>
      <c r="B18">
        <v>8200</v>
      </c>
      <c r="C18">
        <v>6</v>
      </c>
      <c r="D18">
        <v>4</v>
      </c>
      <c r="E18">
        <v>7700</v>
      </c>
      <c r="F18">
        <v>26</v>
      </c>
      <c r="G18" t="b">
        <v>0</v>
      </c>
      <c r="H18">
        <v>26</v>
      </c>
    </row>
    <row r="19" spans="1:8" x14ac:dyDescent="0.25">
      <c r="A19" t="s">
        <v>1462</v>
      </c>
      <c r="B19">
        <v>19900</v>
      </c>
      <c r="C19">
        <v>10</v>
      </c>
      <c r="D19">
        <v>6</v>
      </c>
      <c r="E19">
        <v>17900</v>
      </c>
      <c r="F19">
        <v>1000</v>
      </c>
      <c r="G19" t="b">
        <v>0</v>
      </c>
      <c r="H19">
        <v>1</v>
      </c>
    </row>
    <row r="20" spans="1:8" x14ac:dyDescent="0.25">
      <c r="A20" t="s">
        <v>1463</v>
      </c>
      <c r="B20">
        <v>13500</v>
      </c>
      <c r="C20">
        <v>0</v>
      </c>
      <c r="D20">
        <v>6</v>
      </c>
      <c r="E20">
        <v>13500</v>
      </c>
      <c r="F20">
        <v>500</v>
      </c>
      <c r="G20" t="b">
        <v>0</v>
      </c>
      <c r="H20">
        <v>500</v>
      </c>
    </row>
    <row r="21" spans="1:8" x14ac:dyDescent="0.25">
      <c r="A21" t="s">
        <v>1464</v>
      </c>
      <c r="B21">
        <v>20000</v>
      </c>
      <c r="C21">
        <v>6</v>
      </c>
      <c r="D21">
        <v>1</v>
      </c>
      <c r="E21">
        <v>18800</v>
      </c>
      <c r="F21">
        <v>1000</v>
      </c>
      <c r="G21" t="b">
        <v>0</v>
      </c>
      <c r="H21">
        <v>1</v>
      </c>
    </row>
    <row r="22" spans="1:8" x14ac:dyDescent="0.25">
      <c r="A22" t="s">
        <v>1465</v>
      </c>
      <c r="B22">
        <v>15400</v>
      </c>
      <c r="C22">
        <v>7</v>
      </c>
      <c r="D22">
        <v>4</v>
      </c>
      <c r="E22">
        <v>14300</v>
      </c>
      <c r="F22">
        <v>100</v>
      </c>
      <c r="G22" t="b">
        <v>0</v>
      </c>
      <c r="H22">
        <v>100</v>
      </c>
    </row>
    <row r="23" spans="1:8" x14ac:dyDescent="0.25">
      <c r="A23" t="s">
        <v>1466</v>
      </c>
      <c r="B23">
        <v>15000</v>
      </c>
      <c r="C23">
        <v>4</v>
      </c>
      <c r="D23">
        <v>2</v>
      </c>
      <c r="E23">
        <v>14300</v>
      </c>
      <c r="F23">
        <v>580</v>
      </c>
      <c r="G23" t="b">
        <v>0</v>
      </c>
      <c r="H23">
        <v>10</v>
      </c>
    </row>
    <row r="24" spans="1:8" x14ac:dyDescent="0.25">
      <c r="A24" t="s">
        <v>1467</v>
      </c>
      <c r="B24">
        <v>22500</v>
      </c>
      <c r="C24">
        <v>1</v>
      </c>
      <c r="D24">
        <v>6</v>
      </c>
      <c r="E24">
        <v>22100</v>
      </c>
      <c r="F24">
        <v>1000</v>
      </c>
      <c r="G24" t="b">
        <v>0</v>
      </c>
      <c r="H24">
        <v>1</v>
      </c>
    </row>
    <row r="25" spans="1:8" x14ac:dyDescent="0.25">
      <c r="A25" t="s">
        <v>1468</v>
      </c>
      <c r="B25">
        <v>14000</v>
      </c>
      <c r="C25">
        <v>10</v>
      </c>
      <c r="D25">
        <v>6</v>
      </c>
      <c r="E25">
        <v>12600</v>
      </c>
      <c r="F25">
        <v>116</v>
      </c>
      <c r="G25" t="b">
        <v>0</v>
      </c>
      <c r="H25">
        <v>2</v>
      </c>
    </row>
    <row r="26" spans="1:8" x14ac:dyDescent="0.25">
      <c r="A26" t="s">
        <v>1469</v>
      </c>
      <c r="B26">
        <v>8200</v>
      </c>
      <c r="C26">
        <v>9</v>
      </c>
      <c r="D26">
        <v>6</v>
      </c>
      <c r="E26">
        <v>7400</v>
      </c>
      <c r="F26">
        <v>1000</v>
      </c>
      <c r="G26" t="b">
        <v>0</v>
      </c>
      <c r="H26">
        <v>1</v>
      </c>
    </row>
    <row r="27" spans="1:8" x14ac:dyDescent="0.25">
      <c r="A27" t="s">
        <v>1470</v>
      </c>
      <c r="B27">
        <v>17000</v>
      </c>
      <c r="C27">
        <v>0</v>
      </c>
      <c r="D27">
        <v>6</v>
      </c>
      <c r="E27">
        <v>16900</v>
      </c>
      <c r="F27">
        <v>1000</v>
      </c>
      <c r="G27" t="b">
        <v>0</v>
      </c>
      <c r="H27">
        <v>1</v>
      </c>
    </row>
    <row r="28" spans="1:8" x14ac:dyDescent="0.25">
      <c r="A28" t="s">
        <v>1471</v>
      </c>
      <c r="B28">
        <v>14900</v>
      </c>
      <c r="C28">
        <v>9</v>
      </c>
      <c r="D28">
        <v>2</v>
      </c>
      <c r="E28">
        <v>13500</v>
      </c>
      <c r="F28">
        <v>58</v>
      </c>
      <c r="G28" t="b">
        <v>0</v>
      </c>
      <c r="H28">
        <v>1</v>
      </c>
    </row>
    <row r="29" spans="1:8" x14ac:dyDescent="0.25">
      <c r="A29" t="s">
        <v>1472</v>
      </c>
      <c r="B29">
        <v>4000</v>
      </c>
      <c r="C29">
        <v>2</v>
      </c>
      <c r="D29">
        <v>1</v>
      </c>
      <c r="E29">
        <v>3900</v>
      </c>
      <c r="F29">
        <v>58</v>
      </c>
      <c r="G29" t="b">
        <v>0</v>
      </c>
      <c r="H29">
        <v>1</v>
      </c>
    </row>
    <row r="30" spans="1:8" x14ac:dyDescent="0.25">
      <c r="A30" t="s">
        <v>1473</v>
      </c>
      <c r="B30">
        <v>3500</v>
      </c>
      <c r="C30">
        <v>2</v>
      </c>
      <c r="D30">
        <v>2</v>
      </c>
      <c r="E30">
        <v>3400</v>
      </c>
      <c r="F30">
        <v>174</v>
      </c>
      <c r="G30" t="b">
        <v>0</v>
      </c>
      <c r="H30">
        <v>3</v>
      </c>
    </row>
    <row r="31" spans="1:8" x14ac:dyDescent="0.25">
      <c r="A31" t="s">
        <v>1474</v>
      </c>
      <c r="B31">
        <v>6200</v>
      </c>
      <c r="C31">
        <v>6</v>
      </c>
      <c r="D31">
        <v>5</v>
      </c>
      <c r="E31">
        <v>5800</v>
      </c>
      <c r="F31">
        <v>250</v>
      </c>
      <c r="G31" t="b">
        <v>0</v>
      </c>
      <c r="H31">
        <v>250</v>
      </c>
    </row>
    <row r="32" spans="1:8" x14ac:dyDescent="0.25">
      <c r="A32" t="s">
        <v>1475</v>
      </c>
      <c r="B32">
        <v>1600</v>
      </c>
      <c r="C32">
        <v>0</v>
      </c>
      <c r="D32">
        <v>6</v>
      </c>
      <c r="E32">
        <v>1600</v>
      </c>
      <c r="F32">
        <v>290</v>
      </c>
      <c r="G32" t="b">
        <v>0</v>
      </c>
      <c r="H32">
        <v>5</v>
      </c>
    </row>
    <row r="33" spans="1:8" x14ac:dyDescent="0.25">
      <c r="A33" t="s">
        <v>1476</v>
      </c>
      <c r="B33">
        <v>3300</v>
      </c>
      <c r="C33">
        <v>0</v>
      </c>
      <c r="D33">
        <v>4</v>
      </c>
      <c r="E33">
        <v>3300</v>
      </c>
      <c r="F33">
        <v>60</v>
      </c>
      <c r="G33" t="b">
        <v>0</v>
      </c>
      <c r="H33">
        <v>60</v>
      </c>
    </row>
    <row r="34" spans="1:8" x14ac:dyDescent="0.25">
      <c r="A34" t="s">
        <v>1477</v>
      </c>
      <c r="B34">
        <v>8200</v>
      </c>
      <c r="C34">
        <v>6</v>
      </c>
      <c r="D34">
        <v>6</v>
      </c>
      <c r="E34">
        <v>7700</v>
      </c>
      <c r="F34">
        <v>26</v>
      </c>
      <c r="G34" t="b">
        <v>0</v>
      </c>
      <c r="H34">
        <v>26</v>
      </c>
    </row>
    <row r="35" spans="1:8" x14ac:dyDescent="0.25">
      <c r="A35" t="s">
        <v>1478</v>
      </c>
      <c r="B35">
        <v>21000</v>
      </c>
      <c r="C35">
        <v>10</v>
      </c>
      <c r="D35">
        <v>6</v>
      </c>
      <c r="E35">
        <v>18900</v>
      </c>
      <c r="F35">
        <v>348</v>
      </c>
      <c r="G35" t="b">
        <v>0</v>
      </c>
      <c r="H35">
        <v>6</v>
      </c>
    </row>
    <row r="36" spans="1:8" x14ac:dyDescent="0.25">
      <c r="A36" t="s">
        <v>1479</v>
      </c>
      <c r="B36">
        <v>6500</v>
      </c>
      <c r="C36">
        <v>9</v>
      </c>
      <c r="D36">
        <v>4</v>
      </c>
      <c r="E36">
        <v>5900</v>
      </c>
      <c r="F36">
        <v>120</v>
      </c>
      <c r="G36" t="b">
        <v>0</v>
      </c>
      <c r="H36">
        <v>120</v>
      </c>
    </row>
    <row r="37" spans="1:8" x14ac:dyDescent="0.25">
      <c r="A37" t="s">
        <v>1480</v>
      </c>
      <c r="B37">
        <v>22500</v>
      </c>
      <c r="C37">
        <v>0</v>
      </c>
      <c r="D37">
        <v>6</v>
      </c>
      <c r="E37">
        <v>22500</v>
      </c>
      <c r="F37">
        <v>1000</v>
      </c>
      <c r="G37" t="b">
        <v>0</v>
      </c>
      <c r="H37">
        <v>1</v>
      </c>
    </row>
    <row r="38" spans="1:8" x14ac:dyDescent="0.25">
      <c r="A38" t="s">
        <v>1481</v>
      </c>
      <c r="B38">
        <v>12500</v>
      </c>
      <c r="C38">
        <v>9</v>
      </c>
      <c r="D38">
        <v>6</v>
      </c>
      <c r="E38">
        <v>11300</v>
      </c>
      <c r="F38">
        <v>58</v>
      </c>
      <c r="G38" t="b">
        <v>0</v>
      </c>
      <c r="H38">
        <v>1</v>
      </c>
    </row>
    <row r="39" spans="1:8" x14ac:dyDescent="0.25">
      <c r="A39" t="s">
        <v>1482</v>
      </c>
      <c r="B39">
        <v>5000</v>
      </c>
      <c r="C39">
        <v>2</v>
      </c>
      <c r="D39">
        <v>6</v>
      </c>
      <c r="E39">
        <v>4900</v>
      </c>
      <c r="F39">
        <v>58</v>
      </c>
      <c r="G39" t="b">
        <v>0</v>
      </c>
      <c r="H39">
        <v>1</v>
      </c>
    </row>
    <row r="40" spans="1:8" x14ac:dyDescent="0.25">
      <c r="A40" t="s">
        <v>1483</v>
      </c>
      <c r="B40">
        <v>17900</v>
      </c>
      <c r="C40">
        <v>10</v>
      </c>
      <c r="D40">
        <v>6</v>
      </c>
      <c r="E40">
        <v>16100</v>
      </c>
      <c r="F40">
        <v>1000</v>
      </c>
      <c r="G40" t="b">
        <v>0</v>
      </c>
      <c r="H40">
        <v>1</v>
      </c>
    </row>
    <row r="41" spans="1:8" x14ac:dyDescent="0.25">
      <c r="A41" t="s">
        <v>1484</v>
      </c>
      <c r="B41">
        <v>16000</v>
      </c>
      <c r="C41">
        <v>0</v>
      </c>
      <c r="D41">
        <v>6</v>
      </c>
      <c r="E41">
        <v>16000</v>
      </c>
      <c r="F41">
        <v>30</v>
      </c>
      <c r="G41" t="b">
        <v>0</v>
      </c>
      <c r="H41">
        <v>30</v>
      </c>
    </row>
    <row r="42" spans="1:8" x14ac:dyDescent="0.25">
      <c r="A42" t="s">
        <v>1485</v>
      </c>
      <c r="B42">
        <v>28000</v>
      </c>
      <c r="C42">
        <v>6</v>
      </c>
      <c r="D42">
        <v>6</v>
      </c>
      <c r="E42">
        <v>26300</v>
      </c>
      <c r="F42">
        <v>1500</v>
      </c>
      <c r="G42" t="b">
        <v>0</v>
      </c>
      <c r="H42">
        <v>1</v>
      </c>
    </row>
    <row r="43" spans="1:8" x14ac:dyDescent="0.25">
      <c r="A43" t="s">
        <v>1486</v>
      </c>
      <c r="B43">
        <v>4500</v>
      </c>
      <c r="C43">
        <v>2</v>
      </c>
      <c r="D43">
        <v>6</v>
      </c>
      <c r="E43">
        <v>4400</v>
      </c>
      <c r="F43">
        <v>116</v>
      </c>
      <c r="G43" t="b">
        <v>0</v>
      </c>
      <c r="H43">
        <v>2</v>
      </c>
    </row>
    <row r="44" spans="1:8" x14ac:dyDescent="0.25">
      <c r="A44" t="s">
        <v>1487</v>
      </c>
      <c r="B44">
        <v>10300</v>
      </c>
      <c r="C44">
        <v>5</v>
      </c>
      <c r="D44">
        <v>6</v>
      </c>
      <c r="E44">
        <v>9700</v>
      </c>
      <c r="F44">
        <v>500</v>
      </c>
      <c r="G44" t="b">
        <v>0</v>
      </c>
      <c r="H44">
        <v>500</v>
      </c>
    </row>
    <row r="45" spans="1:8" x14ac:dyDescent="0.25">
      <c r="A45" t="s">
        <v>1488</v>
      </c>
      <c r="B45">
        <v>14800</v>
      </c>
      <c r="C45">
        <v>7</v>
      </c>
      <c r="D45">
        <v>6</v>
      </c>
      <c r="E45">
        <v>13700</v>
      </c>
      <c r="F45">
        <v>750</v>
      </c>
      <c r="G45" t="b">
        <v>0</v>
      </c>
      <c r="H45">
        <v>750</v>
      </c>
    </row>
    <row r="46" spans="1:8" x14ac:dyDescent="0.25">
      <c r="A46" t="s">
        <v>1489</v>
      </c>
      <c r="B46">
        <v>26900</v>
      </c>
      <c r="C46">
        <v>0</v>
      </c>
      <c r="D46">
        <v>6</v>
      </c>
      <c r="E46">
        <v>26900</v>
      </c>
      <c r="F46">
        <v>385</v>
      </c>
      <c r="G46" t="b">
        <v>0</v>
      </c>
      <c r="H46">
        <v>385</v>
      </c>
    </row>
    <row r="47" spans="1:8" x14ac:dyDescent="0.25">
      <c r="A47" t="s">
        <v>1490</v>
      </c>
      <c r="B47">
        <v>4000</v>
      </c>
      <c r="C47">
        <v>2</v>
      </c>
      <c r="D47">
        <v>6</v>
      </c>
      <c r="E47">
        <v>3900</v>
      </c>
      <c r="F47">
        <v>15</v>
      </c>
      <c r="G47" t="b">
        <v>0</v>
      </c>
      <c r="H47">
        <v>15</v>
      </c>
    </row>
    <row r="48" spans="1:8" x14ac:dyDescent="0.25">
      <c r="A48" t="s">
        <v>1491</v>
      </c>
      <c r="B48">
        <v>17500</v>
      </c>
      <c r="C48">
        <v>0</v>
      </c>
      <c r="D48">
        <v>6</v>
      </c>
      <c r="E48">
        <v>17500</v>
      </c>
      <c r="F48">
        <v>1000</v>
      </c>
      <c r="G48" t="b">
        <v>0</v>
      </c>
      <c r="H48">
        <v>1</v>
      </c>
    </row>
    <row r="49" spans="1:8" x14ac:dyDescent="0.25">
      <c r="A49" t="s">
        <v>1492</v>
      </c>
      <c r="B49">
        <v>22500</v>
      </c>
      <c r="C49">
        <v>5</v>
      </c>
      <c r="D49">
        <v>3</v>
      </c>
      <c r="E49">
        <v>21300</v>
      </c>
      <c r="F49">
        <v>300</v>
      </c>
      <c r="G49" t="b">
        <v>0</v>
      </c>
      <c r="H49">
        <v>300</v>
      </c>
    </row>
    <row r="50" spans="1:8" x14ac:dyDescent="0.25">
      <c r="A50" t="s">
        <v>1493</v>
      </c>
      <c r="B50">
        <v>5500</v>
      </c>
      <c r="C50">
        <v>0</v>
      </c>
      <c r="D50">
        <v>6</v>
      </c>
      <c r="E50">
        <v>5500</v>
      </c>
      <c r="F50">
        <v>10</v>
      </c>
      <c r="G50" t="b">
        <v>0</v>
      </c>
      <c r="H50">
        <v>10</v>
      </c>
    </row>
    <row r="51" spans="1:8" x14ac:dyDescent="0.25">
      <c r="A51" t="s">
        <v>1494</v>
      </c>
      <c r="B51">
        <v>32000</v>
      </c>
      <c r="C51">
        <v>0</v>
      </c>
      <c r="D51">
        <v>6</v>
      </c>
      <c r="E51">
        <v>32000</v>
      </c>
      <c r="F51">
        <v>2000</v>
      </c>
      <c r="G51" t="b">
        <v>0</v>
      </c>
      <c r="H51">
        <v>2</v>
      </c>
    </row>
    <row r="52" spans="1:8" x14ac:dyDescent="0.25">
      <c r="A52" t="s">
        <v>1495</v>
      </c>
      <c r="B52">
        <v>7500</v>
      </c>
      <c r="C52">
        <v>9</v>
      </c>
      <c r="D52">
        <v>6</v>
      </c>
      <c r="E52">
        <v>6800</v>
      </c>
      <c r="F52">
        <v>290</v>
      </c>
      <c r="G52" t="b">
        <v>0</v>
      </c>
      <c r="H52">
        <v>5</v>
      </c>
    </row>
    <row r="53" spans="1:8" x14ac:dyDescent="0.25">
      <c r="A53" t="s">
        <v>1496</v>
      </c>
      <c r="B53">
        <v>6500</v>
      </c>
      <c r="C53">
        <v>13</v>
      </c>
      <c r="D53">
        <v>5</v>
      </c>
      <c r="E53">
        <v>5600</v>
      </c>
      <c r="F53">
        <v>100</v>
      </c>
      <c r="G53" t="b">
        <v>0</v>
      </c>
      <c r="H53">
        <v>100</v>
      </c>
    </row>
    <row r="54" spans="1:8" x14ac:dyDescent="0.25">
      <c r="A54" t="s">
        <v>1497</v>
      </c>
      <c r="B54">
        <v>60000</v>
      </c>
      <c r="C54">
        <v>8</v>
      </c>
      <c r="D54">
        <v>1</v>
      </c>
      <c r="E54">
        <v>54900</v>
      </c>
      <c r="F54">
        <v>4000</v>
      </c>
      <c r="G54" t="b">
        <v>0</v>
      </c>
      <c r="H54">
        <v>4</v>
      </c>
    </row>
    <row r="55" spans="1:8" x14ac:dyDescent="0.25">
      <c r="A55" t="s">
        <v>1498</v>
      </c>
      <c r="B55">
        <v>8500</v>
      </c>
      <c r="C55">
        <v>7</v>
      </c>
      <c r="D55">
        <v>1</v>
      </c>
      <c r="E55">
        <v>7900</v>
      </c>
      <c r="F55">
        <v>50</v>
      </c>
      <c r="G55" t="b">
        <v>0</v>
      </c>
      <c r="H55">
        <v>50</v>
      </c>
    </row>
    <row r="56" spans="1:8" x14ac:dyDescent="0.25">
      <c r="A56" t="s">
        <v>1499</v>
      </c>
      <c r="B56">
        <v>14900</v>
      </c>
      <c r="C56">
        <v>5</v>
      </c>
      <c r="D56">
        <v>4</v>
      </c>
      <c r="E56">
        <v>14100</v>
      </c>
      <c r="F56">
        <v>240</v>
      </c>
      <c r="G56" t="b">
        <v>0</v>
      </c>
      <c r="H56">
        <v>240</v>
      </c>
    </row>
    <row r="57" spans="1:8" x14ac:dyDescent="0.25">
      <c r="A57" t="s">
        <v>1500</v>
      </c>
      <c r="B57">
        <v>11000</v>
      </c>
      <c r="C57">
        <v>2</v>
      </c>
      <c r="D57">
        <v>4</v>
      </c>
      <c r="E57">
        <v>10700</v>
      </c>
      <c r="F57">
        <v>58</v>
      </c>
      <c r="G57" t="b">
        <v>0</v>
      </c>
      <c r="H57">
        <v>1</v>
      </c>
    </row>
    <row r="58" spans="1:8" x14ac:dyDescent="0.25">
      <c r="A58" t="s">
        <v>1501</v>
      </c>
      <c r="B58">
        <v>1900</v>
      </c>
      <c r="C58">
        <v>0</v>
      </c>
      <c r="D58">
        <v>4</v>
      </c>
      <c r="E58">
        <v>1900</v>
      </c>
      <c r="F58">
        <v>50</v>
      </c>
      <c r="G58" t="b">
        <v>0</v>
      </c>
      <c r="H58">
        <v>50</v>
      </c>
    </row>
    <row r="59" spans="1:8" x14ac:dyDescent="0.25">
      <c r="A59" t="s">
        <v>1502</v>
      </c>
      <c r="B59">
        <v>19000</v>
      </c>
      <c r="C59">
        <v>14</v>
      </c>
      <c r="D59">
        <v>4</v>
      </c>
      <c r="E59">
        <v>16200</v>
      </c>
      <c r="F59">
        <v>80</v>
      </c>
      <c r="G59" t="b">
        <v>0</v>
      </c>
      <c r="H59">
        <v>80</v>
      </c>
    </row>
    <row r="60" spans="1:8" x14ac:dyDescent="0.25">
      <c r="A60" t="s">
        <v>1503</v>
      </c>
      <c r="B60">
        <v>6500</v>
      </c>
      <c r="C60">
        <v>13</v>
      </c>
      <c r="D60">
        <v>6</v>
      </c>
      <c r="E60">
        <v>5600</v>
      </c>
      <c r="F60">
        <v>150</v>
      </c>
      <c r="G60" t="b">
        <v>0</v>
      </c>
      <c r="H60">
        <v>150</v>
      </c>
    </row>
    <row r="61" spans="1:8" x14ac:dyDescent="0.25">
      <c r="A61" t="s">
        <v>1504</v>
      </c>
      <c r="B61">
        <v>9500</v>
      </c>
      <c r="C61">
        <v>9</v>
      </c>
      <c r="D61">
        <v>6</v>
      </c>
      <c r="E61">
        <v>8600</v>
      </c>
      <c r="F61">
        <v>500</v>
      </c>
      <c r="G61" t="b">
        <v>0</v>
      </c>
      <c r="H61">
        <v>500</v>
      </c>
    </row>
    <row r="62" spans="1:8" x14ac:dyDescent="0.25">
      <c r="A62" t="s">
        <v>1505</v>
      </c>
      <c r="B62">
        <v>20000</v>
      </c>
      <c r="C62">
        <v>0</v>
      </c>
      <c r="D62">
        <v>2</v>
      </c>
      <c r="E62">
        <v>20000</v>
      </c>
      <c r="F62">
        <v>174</v>
      </c>
      <c r="G62" t="b">
        <v>0</v>
      </c>
      <c r="H62">
        <v>3</v>
      </c>
    </row>
    <row r="63" spans="1:8" x14ac:dyDescent="0.25">
      <c r="A63" t="s">
        <v>1506</v>
      </c>
      <c r="B63">
        <v>15000</v>
      </c>
      <c r="C63">
        <v>16</v>
      </c>
      <c r="D63">
        <v>2</v>
      </c>
      <c r="E63">
        <v>12600</v>
      </c>
      <c r="F63">
        <v>240</v>
      </c>
      <c r="G63" t="b">
        <v>0</v>
      </c>
      <c r="H63">
        <v>240</v>
      </c>
    </row>
    <row r="64" spans="1:8" x14ac:dyDescent="0.25">
      <c r="A64" t="s">
        <v>1507</v>
      </c>
      <c r="B64">
        <v>20000</v>
      </c>
      <c r="C64">
        <v>10</v>
      </c>
      <c r="D64">
        <v>6</v>
      </c>
      <c r="E64">
        <v>18000</v>
      </c>
      <c r="F64">
        <v>1000</v>
      </c>
      <c r="G64" t="b">
        <v>0</v>
      </c>
      <c r="H64">
        <v>1</v>
      </c>
    </row>
    <row r="65" spans="1:8" x14ac:dyDescent="0.25">
      <c r="A65" t="s">
        <v>1508</v>
      </c>
      <c r="B65">
        <v>10700</v>
      </c>
      <c r="C65">
        <v>10</v>
      </c>
      <c r="D65">
        <v>3</v>
      </c>
      <c r="E65">
        <v>9600</v>
      </c>
      <c r="F65">
        <v>500</v>
      </c>
      <c r="G65" t="b">
        <v>0</v>
      </c>
      <c r="H65">
        <v>500</v>
      </c>
    </row>
    <row r="66" spans="1:8" x14ac:dyDescent="0.25">
      <c r="A66" t="s">
        <v>1509</v>
      </c>
      <c r="B66">
        <v>15000</v>
      </c>
      <c r="C66">
        <v>0</v>
      </c>
      <c r="D66">
        <v>4</v>
      </c>
      <c r="E66">
        <v>14900</v>
      </c>
      <c r="F66">
        <v>240</v>
      </c>
      <c r="G66" t="b">
        <v>0</v>
      </c>
      <c r="H66">
        <v>240</v>
      </c>
    </row>
    <row r="67" spans="1:8" x14ac:dyDescent="0.25">
      <c r="A67" t="s">
        <v>1510</v>
      </c>
      <c r="B67">
        <v>13500</v>
      </c>
      <c r="C67">
        <v>9</v>
      </c>
      <c r="D67">
        <v>1</v>
      </c>
      <c r="E67">
        <v>12200</v>
      </c>
      <c r="F67">
        <v>348</v>
      </c>
      <c r="G67" t="b">
        <v>0</v>
      </c>
      <c r="H67">
        <v>6</v>
      </c>
    </row>
    <row r="68" spans="1:8" x14ac:dyDescent="0.25">
      <c r="A68" t="s">
        <v>1511</v>
      </c>
      <c r="B68">
        <v>8000</v>
      </c>
      <c r="C68">
        <v>10</v>
      </c>
      <c r="D68">
        <v>3</v>
      </c>
      <c r="E68">
        <v>7200</v>
      </c>
      <c r="F68">
        <v>1160</v>
      </c>
      <c r="G68" t="b">
        <v>0</v>
      </c>
      <c r="H68">
        <v>20</v>
      </c>
    </row>
    <row r="69" spans="1:8" x14ac:dyDescent="0.25">
      <c r="A69" t="s">
        <v>1512</v>
      </c>
      <c r="B69">
        <v>5500</v>
      </c>
      <c r="C69">
        <v>0</v>
      </c>
      <c r="D69">
        <v>1</v>
      </c>
      <c r="E69">
        <v>5500</v>
      </c>
      <c r="F69">
        <v>500</v>
      </c>
      <c r="G69" t="b">
        <v>0</v>
      </c>
      <c r="H69">
        <v>500</v>
      </c>
    </row>
    <row r="70" spans="1:8" x14ac:dyDescent="0.25">
      <c r="A70" t="s">
        <v>1513</v>
      </c>
      <c r="B70">
        <v>1900</v>
      </c>
      <c r="C70">
        <v>0</v>
      </c>
      <c r="D70">
        <v>4</v>
      </c>
      <c r="E70">
        <v>1900</v>
      </c>
      <c r="F70">
        <v>60</v>
      </c>
      <c r="G70" t="b">
        <v>0</v>
      </c>
      <c r="H70">
        <v>60</v>
      </c>
    </row>
    <row r="71" spans="1:8" x14ac:dyDescent="0.25">
      <c r="A71" t="s">
        <v>1514</v>
      </c>
      <c r="B71">
        <v>6800</v>
      </c>
      <c r="C71">
        <v>2</v>
      </c>
      <c r="D71">
        <v>3</v>
      </c>
      <c r="E71">
        <v>6600</v>
      </c>
      <c r="F71">
        <v>58</v>
      </c>
      <c r="G71" t="b">
        <v>0</v>
      </c>
      <c r="H71">
        <v>1</v>
      </c>
    </row>
    <row r="72" spans="1:8" x14ac:dyDescent="0.25">
      <c r="A72" t="s">
        <v>1515</v>
      </c>
      <c r="B72">
        <v>20500</v>
      </c>
      <c r="C72">
        <v>8</v>
      </c>
      <c r="D72">
        <v>3</v>
      </c>
      <c r="E72">
        <v>18800</v>
      </c>
      <c r="F72">
        <v>975</v>
      </c>
      <c r="G72" t="b">
        <v>0</v>
      </c>
      <c r="H72">
        <v>975</v>
      </c>
    </row>
    <row r="73" spans="1:8" x14ac:dyDescent="0.25">
      <c r="A73" t="s">
        <v>1516</v>
      </c>
      <c r="B73">
        <v>15000</v>
      </c>
      <c r="C73">
        <v>18</v>
      </c>
      <c r="D73">
        <v>3</v>
      </c>
      <c r="E73">
        <v>12300</v>
      </c>
      <c r="F73">
        <v>174</v>
      </c>
      <c r="G73" t="b">
        <v>0</v>
      </c>
      <c r="H73">
        <v>1</v>
      </c>
    </row>
    <row r="74" spans="1:8" x14ac:dyDescent="0.25">
      <c r="A74" t="s">
        <v>1517</v>
      </c>
      <c r="B74">
        <v>21000</v>
      </c>
      <c r="C74">
        <v>10</v>
      </c>
      <c r="D74">
        <v>2</v>
      </c>
      <c r="E74">
        <v>18900</v>
      </c>
      <c r="F74">
        <v>400</v>
      </c>
      <c r="G74" t="b">
        <v>0</v>
      </c>
      <c r="H74">
        <v>400</v>
      </c>
    </row>
    <row r="75" spans="1:8" x14ac:dyDescent="0.25">
      <c r="A75" t="s">
        <v>1518</v>
      </c>
      <c r="B75">
        <v>7500</v>
      </c>
      <c r="C75">
        <v>0</v>
      </c>
      <c r="D75">
        <v>3</v>
      </c>
      <c r="E75">
        <v>7500</v>
      </c>
      <c r="F75">
        <v>8</v>
      </c>
      <c r="G75" t="b">
        <v>0</v>
      </c>
      <c r="H75">
        <v>8</v>
      </c>
    </row>
    <row r="76" spans="1:8" x14ac:dyDescent="0.25">
      <c r="A76" t="s">
        <v>1519</v>
      </c>
      <c r="B76">
        <v>14000</v>
      </c>
      <c r="C76">
        <v>10</v>
      </c>
      <c r="D76">
        <v>6</v>
      </c>
      <c r="E76">
        <v>12600</v>
      </c>
      <c r="F76">
        <v>174</v>
      </c>
      <c r="G76" t="b">
        <v>0</v>
      </c>
      <c r="H76">
        <v>3</v>
      </c>
    </row>
    <row r="77" spans="1:8" x14ac:dyDescent="0.25">
      <c r="A77" t="s">
        <v>1520</v>
      </c>
      <c r="B77">
        <v>21500</v>
      </c>
      <c r="C77">
        <v>1</v>
      </c>
      <c r="D77">
        <v>6</v>
      </c>
      <c r="E77">
        <v>21100</v>
      </c>
      <c r="F77">
        <v>2000</v>
      </c>
      <c r="G77" t="b">
        <v>0</v>
      </c>
      <c r="H77">
        <v>2</v>
      </c>
    </row>
    <row r="78" spans="1:8" x14ac:dyDescent="0.25">
      <c r="A78" t="s">
        <v>1521</v>
      </c>
      <c r="B78">
        <v>7000</v>
      </c>
      <c r="C78">
        <v>2</v>
      </c>
      <c r="D78">
        <v>5</v>
      </c>
      <c r="E78">
        <v>6800</v>
      </c>
      <c r="F78">
        <v>58</v>
      </c>
      <c r="G78" t="b">
        <v>0</v>
      </c>
      <c r="H78">
        <v>1</v>
      </c>
    </row>
    <row r="79" spans="1:8" x14ac:dyDescent="0.25">
      <c r="A79" t="s">
        <v>1522</v>
      </c>
      <c r="B79">
        <v>6400</v>
      </c>
      <c r="C79">
        <v>6</v>
      </c>
      <c r="D79">
        <v>6</v>
      </c>
      <c r="E79">
        <v>6000</v>
      </c>
      <c r="F79">
        <v>100</v>
      </c>
      <c r="G79" t="b">
        <v>0</v>
      </c>
      <c r="H79">
        <v>100</v>
      </c>
    </row>
    <row r="80" spans="1:8" x14ac:dyDescent="0.25">
      <c r="A80" t="s">
        <v>1523</v>
      </c>
      <c r="B80">
        <v>2500</v>
      </c>
      <c r="C80">
        <v>0</v>
      </c>
      <c r="D80">
        <v>1</v>
      </c>
      <c r="E80">
        <v>2500</v>
      </c>
      <c r="F80">
        <v>23</v>
      </c>
      <c r="G80" t="b">
        <v>0</v>
      </c>
      <c r="H80">
        <v>25</v>
      </c>
    </row>
    <row r="81" spans="1:8" x14ac:dyDescent="0.25">
      <c r="A81" t="s">
        <v>1524</v>
      </c>
      <c r="B81">
        <v>6500</v>
      </c>
      <c r="C81">
        <v>13</v>
      </c>
      <c r="D81">
        <v>6</v>
      </c>
      <c r="E81">
        <v>5600</v>
      </c>
      <c r="F81">
        <v>100</v>
      </c>
      <c r="G81" t="b">
        <v>0</v>
      </c>
      <c r="H81">
        <v>100</v>
      </c>
    </row>
    <row r="82" spans="1:8" x14ac:dyDescent="0.25">
      <c r="A82" t="s">
        <v>1525</v>
      </c>
      <c r="B82">
        <v>6800</v>
      </c>
      <c r="C82">
        <v>5</v>
      </c>
      <c r="D82">
        <v>6</v>
      </c>
      <c r="E82">
        <v>6400</v>
      </c>
      <c r="F82">
        <v>40</v>
      </c>
      <c r="G82" t="b">
        <v>0</v>
      </c>
      <c r="H82">
        <v>40</v>
      </c>
    </row>
    <row r="83" spans="1:8" x14ac:dyDescent="0.25">
      <c r="A83" t="s">
        <v>1526</v>
      </c>
      <c r="B83">
        <v>24000</v>
      </c>
      <c r="C83">
        <v>15</v>
      </c>
      <c r="D83">
        <v>5</v>
      </c>
      <c r="E83">
        <v>20400</v>
      </c>
      <c r="F83">
        <v>50</v>
      </c>
      <c r="G83" t="b">
        <v>0</v>
      </c>
      <c r="H83">
        <v>50</v>
      </c>
    </row>
    <row r="84" spans="1:8" x14ac:dyDescent="0.25">
      <c r="A84" t="s">
        <v>1527</v>
      </c>
      <c r="B84">
        <v>17500</v>
      </c>
      <c r="C84">
        <v>9</v>
      </c>
      <c r="D84">
        <v>6</v>
      </c>
      <c r="E84">
        <v>15800</v>
      </c>
      <c r="F84">
        <v>58</v>
      </c>
      <c r="G84" t="b">
        <v>0</v>
      </c>
      <c r="H84">
        <v>1</v>
      </c>
    </row>
    <row r="85" spans="1:8" x14ac:dyDescent="0.25">
      <c r="A85" t="s">
        <v>1528</v>
      </c>
      <c r="B85">
        <v>16000</v>
      </c>
      <c r="C85">
        <v>6</v>
      </c>
      <c r="D85">
        <v>4</v>
      </c>
      <c r="E85">
        <v>14900</v>
      </c>
      <c r="F85">
        <v>375</v>
      </c>
      <c r="G85" t="b">
        <v>0</v>
      </c>
      <c r="H85">
        <v>375</v>
      </c>
    </row>
    <row r="86" spans="1:8" x14ac:dyDescent="0.25">
      <c r="A86" t="s">
        <v>1529</v>
      </c>
      <c r="B86">
        <v>10300</v>
      </c>
      <c r="C86">
        <v>5</v>
      </c>
      <c r="D86">
        <v>6</v>
      </c>
      <c r="E86">
        <v>9700</v>
      </c>
      <c r="F86">
        <v>500</v>
      </c>
      <c r="G86" t="b">
        <v>0</v>
      </c>
      <c r="H86">
        <v>500</v>
      </c>
    </row>
    <row r="87" spans="1:8" x14ac:dyDescent="0.25">
      <c r="A87" t="s">
        <v>1530</v>
      </c>
      <c r="B87">
        <v>15000</v>
      </c>
      <c r="C87">
        <v>12</v>
      </c>
      <c r="D87">
        <v>4</v>
      </c>
      <c r="E87">
        <v>13200</v>
      </c>
      <c r="F87">
        <v>137</v>
      </c>
      <c r="G87" t="b">
        <v>0</v>
      </c>
      <c r="H87">
        <v>137</v>
      </c>
    </row>
    <row r="88" spans="1:8" x14ac:dyDescent="0.25">
      <c r="A88" t="s">
        <v>1531</v>
      </c>
      <c r="B88">
        <v>5000</v>
      </c>
      <c r="C88">
        <v>2</v>
      </c>
      <c r="D88">
        <v>6</v>
      </c>
      <c r="E88">
        <v>4900</v>
      </c>
      <c r="F88">
        <v>58</v>
      </c>
      <c r="G88" t="b">
        <v>0</v>
      </c>
      <c r="H88">
        <v>1</v>
      </c>
    </row>
    <row r="89" spans="1:8" x14ac:dyDescent="0.25">
      <c r="A89" t="s">
        <v>1532</v>
      </c>
      <c r="B89">
        <v>27500</v>
      </c>
      <c r="C89">
        <v>14</v>
      </c>
      <c r="D89">
        <v>6</v>
      </c>
      <c r="E89">
        <v>23400</v>
      </c>
      <c r="F89">
        <v>232</v>
      </c>
      <c r="G89" t="b">
        <v>0</v>
      </c>
      <c r="H89">
        <v>1</v>
      </c>
    </row>
    <row r="90" spans="1:8" x14ac:dyDescent="0.25">
      <c r="A90" t="s">
        <v>1533</v>
      </c>
      <c r="B90">
        <v>8000</v>
      </c>
      <c r="C90">
        <v>6</v>
      </c>
      <c r="D90">
        <v>4</v>
      </c>
      <c r="E90">
        <v>7500</v>
      </c>
      <c r="F90">
        <v>696</v>
      </c>
      <c r="G90" t="b">
        <v>0</v>
      </c>
      <c r="H90">
        <v>12</v>
      </c>
    </row>
    <row r="91" spans="1:8" x14ac:dyDescent="0.25">
      <c r="A91" t="s">
        <v>1534</v>
      </c>
      <c r="B91">
        <v>7500</v>
      </c>
      <c r="C91">
        <v>9</v>
      </c>
      <c r="D91">
        <v>5</v>
      </c>
      <c r="E91">
        <v>6800</v>
      </c>
      <c r="F91">
        <v>290</v>
      </c>
      <c r="G91" t="b">
        <v>0</v>
      </c>
      <c r="H91">
        <v>5</v>
      </c>
    </row>
    <row r="92" spans="1:8" x14ac:dyDescent="0.25">
      <c r="A92" t="s">
        <v>1535</v>
      </c>
      <c r="B92">
        <v>8000</v>
      </c>
      <c r="C92">
        <v>0</v>
      </c>
      <c r="D92">
        <v>1</v>
      </c>
      <c r="E92">
        <v>8000</v>
      </c>
      <c r="F92">
        <v>58</v>
      </c>
      <c r="G92" t="b">
        <v>0</v>
      </c>
      <c r="H92">
        <v>1</v>
      </c>
    </row>
    <row r="93" spans="1:8" x14ac:dyDescent="0.25">
      <c r="A93" t="s">
        <v>1536</v>
      </c>
      <c r="B93">
        <v>9000</v>
      </c>
      <c r="C93">
        <v>8</v>
      </c>
      <c r="D93">
        <v>6</v>
      </c>
      <c r="E93">
        <v>8200</v>
      </c>
      <c r="F93">
        <v>120</v>
      </c>
      <c r="G93" t="b">
        <v>0</v>
      </c>
      <c r="H93">
        <v>120</v>
      </c>
    </row>
    <row r="94" spans="1:8" x14ac:dyDescent="0.25">
      <c r="A94" t="s">
        <v>1537</v>
      </c>
      <c r="B94">
        <v>53000</v>
      </c>
      <c r="C94">
        <v>4</v>
      </c>
      <c r="D94">
        <v>6</v>
      </c>
      <c r="E94">
        <v>50700</v>
      </c>
      <c r="F94">
        <v>2000</v>
      </c>
      <c r="G94" t="b">
        <v>0</v>
      </c>
      <c r="H94">
        <v>2</v>
      </c>
    </row>
    <row r="95" spans="1:8" x14ac:dyDescent="0.25">
      <c r="A95" t="s">
        <v>1538</v>
      </c>
      <c r="B95">
        <v>5000</v>
      </c>
      <c r="C95">
        <v>2</v>
      </c>
      <c r="D95">
        <v>6</v>
      </c>
      <c r="E95">
        <v>4900</v>
      </c>
      <c r="F95">
        <v>105</v>
      </c>
      <c r="G95" t="b">
        <v>0</v>
      </c>
      <c r="H95">
        <v>100</v>
      </c>
    </row>
    <row r="96" spans="1:8" x14ac:dyDescent="0.25">
      <c r="A96" t="s">
        <v>1539</v>
      </c>
      <c r="B96">
        <v>7500</v>
      </c>
      <c r="C96">
        <v>9</v>
      </c>
      <c r="D96">
        <v>3</v>
      </c>
      <c r="E96">
        <v>6800</v>
      </c>
      <c r="F96">
        <v>25</v>
      </c>
      <c r="G96" t="b">
        <v>0</v>
      </c>
      <c r="H96">
        <v>25</v>
      </c>
    </row>
    <row r="97" spans="1:8" x14ac:dyDescent="0.25">
      <c r="A97" t="s">
        <v>1540</v>
      </c>
      <c r="B97">
        <v>18800</v>
      </c>
      <c r="C97">
        <v>10</v>
      </c>
      <c r="D97">
        <v>6</v>
      </c>
      <c r="E97">
        <v>16900</v>
      </c>
      <c r="F97">
        <v>35</v>
      </c>
      <c r="G97" t="b">
        <v>0</v>
      </c>
      <c r="H97">
        <v>35</v>
      </c>
    </row>
    <row r="98" spans="1:8" x14ac:dyDescent="0.25">
      <c r="A98" t="s">
        <v>1541</v>
      </c>
      <c r="B98">
        <v>39000</v>
      </c>
      <c r="C98">
        <v>11</v>
      </c>
      <c r="D98">
        <v>6</v>
      </c>
      <c r="E98">
        <v>34700</v>
      </c>
      <c r="F98">
        <v>696</v>
      </c>
      <c r="G98" t="b">
        <v>0</v>
      </c>
      <c r="H98">
        <v>12</v>
      </c>
    </row>
    <row r="99" spans="1:8" x14ac:dyDescent="0.25">
      <c r="A99" t="s">
        <v>1542</v>
      </c>
      <c r="B99">
        <v>80000</v>
      </c>
      <c r="C99">
        <v>15</v>
      </c>
      <c r="D99">
        <v>6</v>
      </c>
      <c r="E99">
        <v>68000</v>
      </c>
      <c r="F99">
        <v>3000</v>
      </c>
      <c r="G99" t="b">
        <v>0</v>
      </c>
      <c r="H99">
        <v>3</v>
      </c>
    </row>
    <row r="100" spans="1:8" x14ac:dyDescent="0.25">
      <c r="A100" t="s">
        <v>1543</v>
      </c>
      <c r="B100">
        <v>15000</v>
      </c>
      <c r="C100">
        <v>10</v>
      </c>
      <c r="D100">
        <v>6</v>
      </c>
      <c r="E100">
        <v>13500</v>
      </c>
      <c r="F100">
        <v>58</v>
      </c>
      <c r="G100" t="b">
        <v>0</v>
      </c>
      <c r="H100">
        <v>1</v>
      </c>
    </row>
    <row r="101" spans="1:8" x14ac:dyDescent="0.25">
      <c r="A101" t="s">
        <v>1544</v>
      </c>
      <c r="B101">
        <v>11400</v>
      </c>
      <c r="C101">
        <v>0</v>
      </c>
      <c r="D101">
        <v>6</v>
      </c>
      <c r="E101">
        <v>11400</v>
      </c>
      <c r="F101">
        <v>800</v>
      </c>
      <c r="G101" t="b">
        <v>0</v>
      </c>
      <c r="H101">
        <v>800</v>
      </c>
    </row>
    <row r="102" spans="1:8" x14ac:dyDescent="0.25">
      <c r="A102" t="s">
        <v>1545</v>
      </c>
      <c r="B102">
        <v>5500</v>
      </c>
      <c r="C102">
        <v>0</v>
      </c>
      <c r="D102">
        <v>1</v>
      </c>
      <c r="E102">
        <v>5500</v>
      </c>
      <c r="F102">
        <v>10</v>
      </c>
      <c r="G102" t="b">
        <v>0</v>
      </c>
      <c r="H102">
        <v>10</v>
      </c>
    </row>
    <row r="103" spans="1:8" x14ac:dyDescent="0.25">
      <c r="A103" t="s">
        <v>1546</v>
      </c>
      <c r="B103">
        <v>15000</v>
      </c>
      <c r="C103">
        <v>0</v>
      </c>
      <c r="D103">
        <v>2</v>
      </c>
      <c r="E103">
        <v>15000</v>
      </c>
      <c r="F103">
        <v>58</v>
      </c>
      <c r="G103" t="b">
        <v>0</v>
      </c>
      <c r="H103">
        <v>1</v>
      </c>
    </row>
    <row r="104" spans="1:8" x14ac:dyDescent="0.25">
      <c r="A104" t="s">
        <v>1547</v>
      </c>
      <c r="B104">
        <v>33000</v>
      </c>
      <c r="C104">
        <v>10</v>
      </c>
      <c r="D104">
        <v>6</v>
      </c>
      <c r="E104">
        <v>29700</v>
      </c>
      <c r="F104">
        <v>290</v>
      </c>
      <c r="G104" t="b">
        <v>0</v>
      </c>
      <c r="H104">
        <v>5</v>
      </c>
    </row>
    <row r="105" spans="1:8" x14ac:dyDescent="0.25">
      <c r="A105" t="s">
        <v>1548</v>
      </c>
      <c r="B105">
        <v>18000</v>
      </c>
      <c r="C105">
        <v>5</v>
      </c>
      <c r="D105">
        <v>6</v>
      </c>
      <c r="E105">
        <v>17000</v>
      </c>
      <c r="F105">
        <v>1000</v>
      </c>
      <c r="G105" t="b">
        <v>0</v>
      </c>
      <c r="H105">
        <v>1</v>
      </c>
    </row>
    <row r="106" spans="1:8" x14ac:dyDescent="0.25">
      <c r="A106" t="s">
        <v>1549</v>
      </c>
      <c r="B106">
        <v>81000</v>
      </c>
      <c r="C106">
        <v>7</v>
      </c>
      <c r="D106">
        <v>2</v>
      </c>
      <c r="E106">
        <v>75000</v>
      </c>
      <c r="F106">
        <v>4000</v>
      </c>
      <c r="G106" t="b">
        <v>0</v>
      </c>
      <c r="H106">
        <v>4</v>
      </c>
    </row>
    <row r="107" spans="1:8" x14ac:dyDescent="0.25">
      <c r="A107" t="s">
        <v>1550</v>
      </c>
      <c r="B107">
        <v>9000</v>
      </c>
      <c r="C107">
        <v>10</v>
      </c>
      <c r="D107">
        <v>6</v>
      </c>
      <c r="E107">
        <v>8100</v>
      </c>
      <c r="F107">
        <v>348</v>
      </c>
      <c r="G107" t="b">
        <v>0</v>
      </c>
      <c r="H107">
        <v>3</v>
      </c>
    </row>
    <row r="108" spans="1:8" x14ac:dyDescent="0.25">
      <c r="A108" t="s">
        <v>1551</v>
      </c>
      <c r="B108">
        <v>16100</v>
      </c>
      <c r="C108">
        <v>5</v>
      </c>
      <c r="D108">
        <v>6</v>
      </c>
      <c r="E108">
        <v>15200</v>
      </c>
      <c r="F108">
        <v>245</v>
      </c>
      <c r="G108" t="b">
        <v>0</v>
      </c>
      <c r="H108">
        <v>245</v>
      </c>
    </row>
    <row r="109" spans="1:8" x14ac:dyDescent="0.25">
      <c r="A109" t="s">
        <v>1552</v>
      </c>
      <c r="B109">
        <v>9500</v>
      </c>
      <c r="C109">
        <v>9</v>
      </c>
      <c r="D109">
        <v>6</v>
      </c>
      <c r="E109">
        <v>8600</v>
      </c>
      <c r="F109">
        <v>50</v>
      </c>
      <c r="G109" t="b">
        <v>0</v>
      </c>
      <c r="H109">
        <v>50</v>
      </c>
    </row>
    <row r="110" spans="1:8" x14ac:dyDescent="0.25">
      <c r="A110" t="s">
        <v>1553</v>
      </c>
      <c r="B110">
        <v>10200</v>
      </c>
      <c r="C110">
        <v>0</v>
      </c>
      <c r="D110">
        <v>1</v>
      </c>
      <c r="E110">
        <v>10200</v>
      </c>
      <c r="F110">
        <v>400</v>
      </c>
      <c r="G110" t="b">
        <v>0</v>
      </c>
      <c r="H110">
        <v>400</v>
      </c>
    </row>
    <row r="111" spans="1:8" x14ac:dyDescent="0.25">
      <c r="A111" t="s">
        <v>1554</v>
      </c>
      <c r="B111">
        <v>15000</v>
      </c>
      <c r="C111">
        <v>6</v>
      </c>
      <c r="D111">
        <v>6</v>
      </c>
      <c r="E111">
        <v>14000</v>
      </c>
      <c r="F111">
        <v>58</v>
      </c>
      <c r="G111" t="b">
        <v>0</v>
      </c>
      <c r="H111">
        <v>1</v>
      </c>
    </row>
    <row r="112" spans="1:8" x14ac:dyDescent="0.25">
      <c r="A112" t="s">
        <v>1555</v>
      </c>
      <c r="B112">
        <v>28000</v>
      </c>
      <c r="C112">
        <v>10</v>
      </c>
      <c r="D112">
        <v>6</v>
      </c>
      <c r="E112">
        <v>25200</v>
      </c>
      <c r="F112">
        <v>600</v>
      </c>
      <c r="G112" t="b">
        <v>0</v>
      </c>
      <c r="H112">
        <v>600</v>
      </c>
    </row>
    <row r="113" spans="1:8" x14ac:dyDescent="0.25">
      <c r="A113" t="s">
        <v>1556</v>
      </c>
      <c r="B113">
        <v>32500</v>
      </c>
      <c r="C113">
        <v>10</v>
      </c>
      <c r="D113">
        <v>6</v>
      </c>
      <c r="E113">
        <v>29200</v>
      </c>
      <c r="F113">
        <v>900</v>
      </c>
      <c r="G113" t="b">
        <v>0</v>
      </c>
      <c r="H113">
        <v>900</v>
      </c>
    </row>
    <row r="114" spans="1:8" x14ac:dyDescent="0.25">
      <c r="A114" t="s">
        <v>1557</v>
      </c>
      <c r="B114">
        <v>6800</v>
      </c>
      <c r="C114">
        <v>0</v>
      </c>
      <c r="D114">
        <v>6</v>
      </c>
      <c r="E114">
        <v>6800</v>
      </c>
      <c r="F114">
        <v>116</v>
      </c>
      <c r="G114" t="b">
        <v>0</v>
      </c>
      <c r="H114">
        <v>2</v>
      </c>
    </row>
    <row r="115" spans="1:8" x14ac:dyDescent="0.25">
      <c r="A115" t="s">
        <v>1558</v>
      </c>
      <c r="B115">
        <v>3000</v>
      </c>
      <c r="C115">
        <v>6</v>
      </c>
      <c r="D115">
        <v>6</v>
      </c>
      <c r="E115">
        <v>2800</v>
      </c>
      <c r="F115">
        <v>1000</v>
      </c>
      <c r="G115" t="b">
        <v>0</v>
      </c>
      <c r="H115">
        <v>1000</v>
      </c>
    </row>
    <row r="116" spans="1:8" x14ac:dyDescent="0.25">
      <c r="A116" t="s">
        <v>1559</v>
      </c>
      <c r="B116">
        <v>65000</v>
      </c>
      <c r="C116">
        <v>8</v>
      </c>
      <c r="D116">
        <v>6</v>
      </c>
      <c r="E116">
        <v>59800</v>
      </c>
      <c r="F116">
        <v>1900</v>
      </c>
      <c r="G116" t="b">
        <v>0</v>
      </c>
      <c r="H116">
        <v>1</v>
      </c>
    </row>
    <row r="117" spans="1:8" x14ac:dyDescent="0.25">
      <c r="A117" t="s">
        <v>1560</v>
      </c>
      <c r="B117">
        <v>72000</v>
      </c>
      <c r="C117">
        <v>9</v>
      </c>
      <c r="D117">
        <v>4</v>
      </c>
      <c r="E117">
        <v>64900</v>
      </c>
      <c r="F117">
        <v>4000</v>
      </c>
      <c r="G117" t="b">
        <v>0</v>
      </c>
      <c r="H117">
        <v>4</v>
      </c>
    </row>
    <row r="118" spans="1:8" x14ac:dyDescent="0.25">
      <c r="A118" t="s">
        <v>1561</v>
      </c>
      <c r="B118">
        <v>10500</v>
      </c>
      <c r="C118">
        <v>6</v>
      </c>
      <c r="D118">
        <v>6</v>
      </c>
      <c r="E118">
        <v>9800</v>
      </c>
      <c r="F118">
        <v>500</v>
      </c>
      <c r="G118" t="b">
        <v>0</v>
      </c>
      <c r="H118">
        <v>500</v>
      </c>
    </row>
    <row r="119" spans="1:8" x14ac:dyDescent="0.25">
      <c r="A119" t="s">
        <v>1562</v>
      </c>
      <c r="B119">
        <v>10000</v>
      </c>
      <c r="C119">
        <v>10</v>
      </c>
      <c r="D119">
        <v>6</v>
      </c>
      <c r="E119">
        <v>9000</v>
      </c>
      <c r="F119">
        <v>50</v>
      </c>
      <c r="G119" t="b">
        <v>0</v>
      </c>
      <c r="H119">
        <v>50</v>
      </c>
    </row>
    <row r="120" spans="1:8" x14ac:dyDescent="0.25">
      <c r="A120" t="s">
        <v>1563</v>
      </c>
      <c r="B120">
        <v>9800</v>
      </c>
      <c r="C120">
        <v>5</v>
      </c>
      <c r="D120">
        <v>6</v>
      </c>
      <c r="E120">
        <v>9300</v>
      </c>
      <c r="F120">
        <v>75</v>
      </c>
      <c r="G120" t="b">
        <v>0</v>
      </c>
      <c r="H120">
        <v>75</v>
      </c>
    </row>
    <row r="121" spans="1:8" x14ac:dyDescent="0.25">
      <c r="A121" t="s">
        <v>1564</v>
      </c>
      <c r="B121">
        <v>15000</v>
      </c>
      <c r="C121">
        <v>10</v>
      </c>
      <c r="D121">
        <v>6</v>
      </c>
      <c r="E121">
        <v>13500</v>
      </c>
      <c r="F121">
        <v>58</v>
      </c>
      <c r="G121" t="b">
        <v>0</v>
      </c>
      <c r="H121">
        <v>1</v>
      </c>
    </row>
    <row r="122" spans="1:8" x14ac:dyDescent="0.25">
      <c r="A122" t="s">
        <v>1565</v>
      </c>
      <c r="B122">
        <v>20500</v>
      </c>
      <c r="C122">
        <v>8</v>
      </c>
      <c r="D122">
        <v>6</v>
      </c>
      <c r="E122">
        <v>18800</v>
      </c>
      <c r="F122">
        <v>975</v>
      </c>
      <c r="G122" t="b">
        <v>0</v>
      </c>
      <c r="H122">
        <v>975</v>
      </c>
    </row>
    <row r="123" spans="1:8" x14ac:dyDescent="0.25">
      <c r="A123" t="s">
        <v>1566</v>
      </c>
      <c r="B123">
        <v>39000</v>
      </c>
      <c r="C123">
        <v>16</v>
      </c>
      <c r="D123">
        <v>6</v>
      </c>
      <c r="E123">
        <v>32400</v>
      </c>
      <c r="F123">
        <v>58</v>
      </c>
      <c r="G123" t="b">
        <v>0</v>
      </c>
      <c r="H123">
        <v>1</v>
      </c>
    </row>
    <row r="124" spans="1:8" x14ac:dyDescent="0.25">
      <c r="A124" t="s">
        <v>1567</v>
      </c>
      <c r="B124">
        <v>7000</v>
      </c>
      <c r="C124">
        <v>10</v>
      </c>
      <c r="D124">
        <v>6</v>
      </c>
      <c r="E124">
        <v>6300</v>
      </c>
      <c r="F124">
        <v>50</v>
      </c>
      <c r="G124" t="b">
        <v>0</v>
      </c>
      <c r="H124">
        <v>50</v>
      </c>
    </row>
    <row r="125" spans="1:8" x14ac:dyDescent="0.25">
      <c r="A125" t="s">
        <v>1568</v>
      </c>
      <c r="B125">
        <v>15500</v>
      </c>
      <c r="C125">
        <v>14</v>
      </c>
      <c r="D125">
        <v>5</v>
      </c>
      <c r="E125">
        <v>13200</v>
      </c>
      <c r="F125">
        <v>100</v>
      </c>
      <c r="G125" t="b">
        <v>0</v>
      </c>
      <c r="H125">
        <v>100</v>
      </c>
    </row>
    <row r="126" spans="1:8" x14ac:dyDescent="0.25">
      <c r="A126" t="s">
        <v>1569</v>
      </c>
      <c r="B126">
        <v>7000</v>
      </c>
      <c r="C126">
        <v>10</v>
      </c>
      <c r="D126">
        <v>6</v>
      </c>
      <c r="E126">
        <v>6300</v>
      </c>
      <c r="F126">
        <v>50</v>
      </c>
      <c r="G126" t="b">
        <v>0</v>
      </c>
      <c r="H126">
        <v>50</v>
      </c>
    </row>
    <row r="127" spans="1:8" x14ac:dyDescent="0.25">
      <c r="A127" t="s">
        <v>1570</v>
      </c>
      <c r="B127">
        <v>25000</v>
      </c>
      <c r="C127">
        <v>0</v>
      </c>
      <c r="D127">
        <v>6</v>
      </c>
      <c r="E127">
        <v>25000</v>
      </c>
      <c r="F127">
        <v>1000</v>
      </c>
      <c r="G127" t="b">
        <v>0</v>
      </c>
      <c r="H127">
        <v>1</v>
      </c>
    </row>
    <row r="128" spans="1:8" x14ac:dyDescent="0.25">
      <c r="A128" t="s">
        <v>1571</v>
      </c>
      <c r="B128">
        <v>3000</v>
      </c>
      <c r="C128">
        <v>3</v>
      </c>
      <c r="D128">
        <v>6</v>
      </c>
      <c r="E128">
        <v>2900</v>
      </c>
      <c r="F128">
        <v>220</v>
      </c>
      <c r="G128" t="b">
        <v>0</v>
      </c>
      <c r="H128">
        <v>220</v>
      </c>
    </row>
    <row r="129" spans="1:8" x14ac:dyDescent="0.25">
      <c r="A129" t="s">
        <v>1572</v>
      </c>
      <c r="B129">
        <v>7500</v>
      </c>
      <c r="C129">
        <v>5</v>
      </c>
      <c r="D129">
        <v>4</v>
      </c>
      <c r="E129">
        <v>7100</v>
      </c>
      <c r="F129">
        <v>75</v>
      </c>
      <c r="G129" t="b">
        <v>0</v>
      </c>
      <c r="H129">
        <v>75</v>
      </c>
    </row>
    <row r="130" spans="1:8" x14ac:dyDescent="0.25">
      <c r="A130" t="s">
        <v>1573</v>
      </c>
      <c r="B130">
        <v>1200</v>
      </c>
      <c r="C130">
        <v>0</v>
      </c>
      <c r="D130">
        <v>4</v>
      </c>
      <c r="E130">
        <v>1200</v>
      </c>
      <c r="F130">
        <v>15</v>
      </c>
      <c r="G130" t="b">
        <v>0</v>
      </c>
      <c r="H130">
        <v>15</v>
      </c>
    </row>
    <row r="131" spans="1:8" x14ac:dyDescent="0.25">
      <c r="A131" t="s">
        <v>1574</v>
      </c>
      <c r="B131">
        <v>6800</v>
      </c>
      <c r="C131">
        <v>5</v>
      </c>
      <c r="D131">
        <v>6</v>
      </c>
      <c r="E131">
        <v>6400</v>
      </c>
      <c r="F131">
        <v>40</v>
      </c>
      <c r="G131" t="b">
        <v>0</v>
      </c>
      <c r="H131">
        <v>40</v>
      </c>
    </row>
    <row r="132" spans="1:8" x14ac:dyDescent="0.25">
      <c r="A132" t="s">
        <v>1575</v>
      </c>
      <c r="B132">
        <v>7500</v>
      </c>
      <c r="C132">
        <v>8</v>
      </c>
      <c r="D132">
        <v>4</v>
      </c>
      <c r="E132">
        <v>6900</v>
      </c>
      <c r="F132">
        <v>80</v>
      </c>
      <c r="G132" t="b">
        <v>0</v>
      </c>
      <c r="H132">
        <v>80</v>
      </c>
    </row>
    <row r="133" spans="1:8" x14ac:dyDescent="0.25">
      <c r="A133" t="s">
        <v>1576</v>
      </c>
      <c r="B133">
        <v>3000</v>
      </c>
      <c r="C133">
        <v>6</v>
      </c>
      <c r="D133">
        <v>6</v>
      </c>
      <c r="E133">
        <v>2800</v>
      </c>
      <c r="F133">
        <v>1160</v>
      </c>
      <c r="G133" t="b">
        <v>0</v>
      </c>
      <c r="H133">
        <v>20</v>
      </c>
    </row>
    <row r="134" spans="1:8" x14ac:dyDescent="0.25">
      <c r="A134" t="s">
        <v>1487</v>
      </c>
      <c r="B134">
        <v>20500</v>
      </c>
      <c r="C134">
        <v>8</v>
      </c>
      <c r="D134">
        <v>6</v>
      </c>
      <c r="E134">
        <v>18800</v>
      </c>
      <c r="F134">
        <v>975</v>
      </c>
      <c r="G134" t="b">
        <v>0</v>
      </c>
      <c r="H134">
        <v>975</v>
      </c>
    </row>
    <row r="135" spans="1:8" x14ac:dyDescent="0.25">
      <c r="A135" t="s">
        <v>1577</v>
      </c>
      <c r="B135">
        <v>18900</v>
      </c>
      <c r="C135">
        <v>10</v>
      </c>
      <c r="D135">
        <v>6</v>
      </c>
      <c r="E135">
        <v>17000</v>
      </c>
      <c r="F135">
        <v>30</v>
      </c>
      <c r="G135" t="b">
        <v>0</v>
      </c>
      <c r="H135">
        <v>30</v>
      </c>
    </row>
    <row r="136" spans="1:8" x14ac:dyDescent="0.25">
      <c r="A136" t="s">
        <v>1578</v>
      </c>
      <c r="B136">
        <v>16100</v>
      </c>
      <c r="C136">
        <v>5</v>
      </c>
      <c r="D136">
        <v>6</v>
      </c>
      <c r="E136">
        <v>15200</v>
      </c>
      <c r="F136">
        <v>245</v>
      </c>
      <c r="G136" t="b">
        <v>0</v>
      </c>
      <c r="H136">
        <v>245</v>
      </c>
    </row>
    <row r="137" spans="1:8" x14ac:dyDescent="0.25">
      <c r="A137" t="s">
        <v>1579</v>
      </c>
      <c r="B137">
        <v>13500</v>
      </c>
      <c r="C137">
        <v>9</v>
      </c>
      <c r="D137">
        <v>5</v>
      </c>
      <c r="E137">
        <v>12200</v>
      </c>
      <c r="F137">
        <v>58</v>
      </c>
      <c r="G137" t="b">
        <v>0</v>
      </c>
      <c r="H137">
        <v>1</v>
      </c>
    </row>
    <row r="138" spans="1:8" x14ac:dyDescent="0.25">
      <c r="A138" t="s">
        <v>1580</v>
      </c>
      <c r="B138">
        <v>15000</v>
      </c>
      <c r="C138">
        <v>12</v>
      </c>
      <c r="D138">
        <v>1</v>
      </c>
      <c r="E138">
        <v>13200</v>
      </c>
      <c r="F138">
        <v>137</v>
      </c>
      <c r="G138" t="b">
        <v>0</v>
      </c>
      <c r="H138">
        <v>137</v>
      </c>
    </row>
    <row r="139" spans="1:8" x14ac:dyDescent="0.25">
      <c r="A139" t="s">
        <v>1581</v>
      </c>
      <c r="B139">
        <v>5500</v>
      </c>
      <c r="C139">
        <v>0</v>
      </c>
      <c r="D139">
        <v>4</v>
      </c>
      <c r="E139">
        <v>5500</v>
      </c>
      <c r="F139">
        <v>10</v>
      </c>
      <c r="G139" t="b">
        <v>0</v>
      </c>
      <c r="H139">
        <v>10</v>
      </c>
    </row>
    <row r="140" spans="1:8" x14ac:dyDescent="0.25">
      <c r="A140" t="s">
        <v>1582</v>
      </c>
      <c r="B140">
        <v>8000</v>
      </c>
      <c r="C140">
        <v>10</v>
      </c>
      <c r="D140">
        <v>6</v>
      </c>
      <c r="E140">
        <v>7200</v>
      </c>
      <c r="F140">
        <v>50</v>
      </c>
      <c r="G140" t="b">
        <v>0</v>
      </c>
      <c r="H140">
        <v>50</v>
      </c>
    </row>
    <row r="141" spans="1:8" x14ac:dyDescent="0.25">
      <c r="A141" t="s">
        <v>1583</v>
      </c>
      <c r="B141">
        <v>11500</v>
      </c>
      <c r="C141">
        <v>14</v>
      </c>
      <c r="D141">
        <v>6</v>
      </c>
      <c r="E141">
        <v>9800</v>
      </c>
      <c r="F141">
        <v>58</v>
      </c>
      <c r="G141" t="b">
        <v>0</v>
      </c>
      <c r="H141">
        <v>1</v>
      </c>
    </row>
    <row r="142" spans="1:8" x14ac:dyDescent="0.25">
      <c r="A142" t="s">
        <v>1584</v>
      </c>
      <c r="B142">
        <v>29900</v>
      </c>
      <c r="C142">
        <v>10</v>
      </c>
      <c r="D142">
        <v>2</v>
      </c>
      <c r="E142">
        <v>26900</v>
      </c>
      <c r="F142">
        <v>75</v>
      </c>
      <c r="G142" t="b">
        <v>0</v>
      </c>
      <c r="H142">
        <v>75</v>
      </c>
    </row>
    <row r="143" spans="1:8" x14ac:dyDescent="0.25">
      <c r="A143" t="s">
        <v>1585</v>
      </c>
      <c r="B143">
        <v>26500</v>
      </c>
      <c r="C143">
        <v>0</v>
      </c>
      <c r="D143">
        <v>6</v>
      </c>
      <c r="E143">
        <v>26500</v>
      </c>
      <c r="F143">
        <v>58</v>
      </c>
      <c r="G143" t="b">
        <v>0</v>
      </c>
      <c r="H143">
        <v>1</v>
      </c>
    </row>
    <row r="144" spans="1:8" x14ac:dyDescent="0.25">
      <c r="A144" t="s">
        <v>1570</v>
      </c>
      <c r="B144">
        <v>22500</v>
      </c>
      <c r="C144">
        <v>0</v>
      </c>
      <c r="D144">
        <v>6</v>
      </c>
      <c r="E144">
        <v>22500</v>
      </c>
      <c r="F144">
        <v>1000</v>
      </c>
      <c r="G144" t="b">
        <v>0</v>
      </c>
      <c r="H144">
        <v>1</v>
      </c>
    </row>
    <row r="145" spans="1:8" x14ac:dyDescent="0.25">
      <c r="A145" t="s">
        <v>1586</v>
      </c>
      <c r="B145">
        <v>13900</v>
      </c>
      <c r="C145">
        <v>10</v>
      </c>
      <c r="D145">
        <v>6</v>
      </c>
      <c r="E145">
        <v>12500</v>
      </c>
      <c r="F145">
        <v>30</v>
      </c>
      <c r="G145" t="b">
        <v>0</v>
      </c>
      <c r="H145">
        <v>30</v>
      </c>
    </row>
    <row r="146" spans="1:8" x14ac:dyDescent="0.25">
      <c r="A146" t="s">
        <v>1587</v>
      </c>
      <c r="B146">
        <v>2900</v>
      </c>
      <c r="C146">
        <v>3</v>
      </c>
      <c r="D146">
        <v>5</v>
      </c>
      <c r="E146">
        <v>2800</v>
      </c>
      <c r="F146">
        <v>58</v>
      </c>
      <c r="G146" t="b">
        <v>0</v>
      </c>
      <c r="H146">
        <v>1</v>
      </c>
    </row>
    <row r="147" spans="1:8" x14ac:dyDescent="0.25">
      <c r="A147" t="s">
        <v>1588</v>
      </c>
      <c r="B147">
        <v>16500</v>
      </c>
      <c r="C147">
        <v>5</v>
      </c>
      <c r="D147">
        <v>5</v>
      </c>
      <c r="E147">
        <v>15600</v>
      </c>
      <c r="F147">
        <v>975</v>
      </c>
      <c r="G147" t="b">
        <v>0</v>
      </c>
      <c r="H147">
        <v>975</v>
      </c>
    </row>
    <row r="148" spans="1:8" x14ac:dyDescent="0.25">
      <c r="A148" t="s">
        <v>1589</v>
      </c>
      <c r="B148">
        <v>17900</v>
      </c>
      <c r="C148">
        <v>10</v>
      </c>
      <c r="D148">
        <v>6</v>
      </c>
      <c r="E148">
        <v>16100</v>
      </c>
      <c r="F148">
        <v>1000</v>
      </c>
      <c r="G148" t="b">
        <v>0</v>
      </c>
      <c r="H148">
        <v>1</v>
      </c>
    </row>
    <row r="149" spans="1:8" x14ac:dyDescent="0.25">
      <c r="A149" t="s">
        <v>1590</v>
      </c>
      <c r="B149">
        <v>16100</v>
      </c>
      <c r="C149">
        <v>5</v>
      </c>
      <c r="D149">
        <v>5</v>
      </c>
      <c r="E149">
        <v>15200</v>
      </c>
      <c r="F149">
        <v>245</v>
      </c>
      <c r="G149" t="b">
        <v>0</v>
      </c>
      <c r="H149">
        <v>245</v>
      </c>
    </row>
    <row r="150" spans="1:8" x14ac:dyDescent="0.25">
      <c r="A150" t="s">
        <v>1591</v>
      </c>
      <c r="B150">
        <v>32000</v>
      </c>
      <c r="C150">
        <v>0</v>
      </c>
      <c r="D150">
        <v>2</v>
      </c>
      <c r="E150">
        <v>32000</v>
      </c>
      <c r="F150">
        <v>58</v>
      </c>
      <c r="G150" t="b">
        <v>0</v>
      </c>
      <c r="H150">
        <v>1</v>
      </c>
    </row>
    <row r="151" spans="1:8" x14ac:dyDescent="0.25">
      <c r="A151" t="s">
        <v>1592</v>
      </c>
      <c r="B151">
        <v>22000</v>
      </c>
      <c r="C151">
        <v>10</v>
      </c>
      <c r="D151">
        <v>6</v>
      </c>
      <c r="E151">
        <v>19800</v>
      </c>
      <c r="F151">
        <v>58</v>
      </c>
      <c r="G151" t="b">
        <v>0</v>
      </c>
      <c r="H151">
        <v>1</v>
      </c>
    </row>
    <row r="152" spans="1:8" x14ac:dyDescent="0.25">
      <c r="A152" t="s">
        <v>1593</v>
      </c>
      <c r="B152">
        <v>28000</v>
      </c>
      <c r="C152">
        <v>10</v>
      </c>
      <c r="D152">
        <v>6</v>
      </c>
      <c r="E152">
        <v>25200</v>
      </c>
      <c r="F152">
        <v>100</v>
      </c>
      <c r="G152" t="b">
        <v>0</v>
      </c>
      <c r="H152">
        <v>100</v>
      </c>
    </row>
    <row r="153" spans="1:8" x14ac:dyDescent="0.25">
      <c r="A153" t="s">
        <v>1594</v>
      </c>
      <c r="B153">
        <v>14000</v>
      </c>
      <c r="C153">
        <v>0</v>
      </c>
      <c r="D153">
        <v>6</v>
      </c>
      <c r="E153">
        <v>14000</v>
      </c>
      <c r="F153">
        <v>174</v>
      </c>
      <c r="G153" t="b">
        <v>0</v>
      </c>
      <c r="H153">
        <v>3</v>
      </c>
    </row>
    <row r="154" spans="1:8" x14ac:dyDescent="0.25">
      <c r="A154" t="s">
        <v>1595</v>
      </c>
      <c r="B154">
        <v>7800</v>
      </c>
      <c r="C154">
        <v>10</v>
      </c>
      <c r="D154">
        <v>6</v>
      </c>
      <c r="E154">
        <v>7000</v>
      </c>
      <c r="F154">
        <v>58</v>
      </c>
      <c r="G154" t="b">
        <v>0</v>
      </c>
      <c r="H154">
        <v>1</v>
      </c>
    </row>
    <row r="155" spans="1:8" x14ac:dyDescent="0.25">
      <c r="A155" t="s">
        <v>1596</v>
      </c>
      <c r="B155">
        <v>7400</v>
      </c>
      <c r="C155">
        <v>5</v>
      </c>
      <c r="D155">
        <v>6</v>
      </c>
      <c r="E155">
        <v>7000</v>
      </c>
      <c r="F155">
        <v>200</v>
      </c>
      <c r="G155" t="b">
        <v>0</v>
      </c>
      <c r="H155">
        <v>200</v>
      </c>
    </row>
    <row r="156" spans="1:8" x14ac:dyDescent="0.25">
      <c r="A156" t="s">
        <v>1597</v>
      </c>
      <c r="B156">
        <v>11900</v>
      </c>
      <c r="C156">
        <v>10</v>
      </c>
      <c r="D156">
        <v>6</v>
      </c>
      <c r="E156">
        <v>10700</v>
      </c>
      <c r="F156">
        <v>40</v>
      </c>
      <c r="G156" t="b">
        <v>0</v>
      </c>
      <c r="H156">
        <v>40</v>
      </c>
    </row>
    <row r="157" spans="1:8" x14ac:dyDescent="0.25">
      <c r="A157" t="s">
        <v>1501</v>
      </c>
      <c r="B157">
        <v>2000</v>
      </c>
      <c r="C157">
        <v>0</v>
      </c>
      <c r="D157">
        <v>6</v>
      </c>
      <c r="E157">
        <v>2000</v>
      </c>
      <c r="F157">
        <v>75</v>
      </c>
      <c r="G157" t="b">
        <v>0</v>
      </c>
      <c r="H157">
        <v>75</v>
      </c>
    </row>
    <row r="158" spans="1:8" x14ac:dyDescent="0.25">
      <c r="A158" t="s">
        <v>1598</v>
      </c>
      <c r="B158">
        <v>7900</v>
      </c>
      <c r="C158">
        <v>10</v>
      </c>
      <c r="D158">
        <v>6</v>
      </c>
      <c r="E158">
        <v>7100</v>
      </c>
      <c r="F158">
        <v>25</v>
      </c>
      <c r="G158" t="b">
        <v>0</v>
      </c>
      <c r="H158">
        <v>25</v>
      </c>
    </row>
    <row r="159" spans="1:8" x14ac:dyDescent="0.25">
      <c r="A159" t="s">
        <v>1480</v>
      </c>
      <c r="B159">
        <v>49900</v>
      </c>
      <c r="C159">
        <v>0</v>
      </c>
      <c r="D159">
        <v>1</v>
      </c>
      <c r="E159">
        <v>49900</v>
      </c>
      <c r="F159">
        <v>2000</v>
      </c>
      <c r="G159" t="b">
        <v>0</v>
      </c>
      <c r="H159">
        <v>2</v>
      </c>
    </row>
    <row r="160" spans="1:8" x14ac:dyDescent="0.25">
      <c r="A160" t="s">
        <v>1599</v>
      </c>
      <c r="B160">
        <v>70000</v>
      </c>
      <c r="C160">
        <v>17</v>
      </c>
      <c r="D160">
        <v>6</v>
      </c>
      <c r="E160">
        <v>58100</v>
      </c>
      <c r="F160">
        <v>580</v>
      </c>
      <c r="G160" t="b">
        <v>0</v>
      </c>
      <c r="H160">
        <v>10</v>
      </c>
    </row>
    <row r="161" spans="1:8" x14ac:dyDescent="0.25">
      <c r="A161" t="s">
        <v>1600</v>
      </c>
      <c r="B161">
        <v>5000</v>
      </c>
      <c r="C161">
        <v>2</v>
      </c>
      <c r="D161">
        <v>6</v>
      </c>
      <c r="E161">
        <v>4900</v>
      </c>
      <c r="F161">
        <v>25</v>
      </c>
      <c r="G161" t="b">
        <v>0</v>
      </c>
      <c r="H161">
        <v>25</v>
      </c>
    </row>
    <row r="162" spans="1:8" x14ac:dyDescent="0.25">
      <c r="A162" t="s">
        <v>1559</v>
      </c>
      <c r="B162">
        <v>32500</v>
      </c>
      <c r="C162">
        <v>5</v>
      </c>
      <c r="D162">
        <v>6</v>
      </c>
      <c r="E162">
        <v>30800</v>
      </c>
      <c r="F162">
        <v>900</v>
      </c>
      <c r="G162" t="b">
        <v>0</v>
      </c>
      <c r="H162">
        <v>900</v>
      </c>
    </row>
    <row r="163" spans="1:8" x14ac:dyDescent="0.25">
      <c r="A163" t="s">
        <v>1601</v>
      </c>
      <c r="B163">
        <v>5000</v>
      </c>
      <c r="C163">
        <v>0</v>
      </c>
      <c r="D163">
        <v>1</v>
      </c>
      <c r="E163">
        <v>5000</v>
      </c>
      <c r="F163">
        <v>58</v>
      </c>
      <c r="G163" t="b">
        <v>0</v>
      </c>
      <c r="H163">
        <v>1</v>
      </c>
    </row>
    <row r="164" spans="1:8" x14ac:dyDescent="0.25">
      <c r="A164" t="s">
        <v>1602</v>
      </c>
      <c r="B164">
        <v>22000</v>
      </c>
      <c r="C164">
        <v>0</v>
      </c>
      <c r="D164">
        <v>4</v>
      </c>
      <c r="E164">
        <v>22000</v>
      </c>
      <c r="F164">
        <v>1000</v>
      </c>
      <c r="G164" t="b">
        <v>0</v>
      </c>
      <c r="H164">
        <v>1</v>
      </c>
    </row>
    <row r="165" spans="1:8" x14ac:dyDescent="0.25">
      <c r="A165" t="s">
        <v>1603</v>
      </c>
      <c r="B165">
        <v>18800</v>
      </c>
      <c r="C165">
        <v>10</v>
      </c>
      <c r="D165">
        <v>4</v>
      </c>
      <c r="E165">
        <v>16900</v>
      </c>
      <c r="F165">
        <v>35</v>
      </c>
      <c r="G165" t="b">
        <v>0</v>
      </c>
      <c r="H165">
        <v>35</v>
      </c>
    </row>
    <row r="166" spans="1:8" x14ac:dyDescent="0.25">
      <c r="A166" t="s">
        <v>1604</v>
      </c>
      <c r="B166">
        <v>18000</v>
      </c>
      <c r="C166">
        <v>2</v>
      </c>
      <c r="D166">
        <v>6</v>
      </c>
      <c r="E166">
        <v>17500</v>
      </c>
      <c r="F166">
        <v>58</v>
      </c>
      <c r="G166" t="b">
        <v>0</v>
      </c>
      <c r="H166">
        <v>1</v>
      </c>
    </row>
    <row r="167" spans="1:8" x14ac:dyDescent="0.25">
      <c r="A167" t="s">
        <v>1605</v>
      </c>
      <c r="B167">
        <v>0</v>
      </c>
      <c r="C167">
        <v>0</v>
      </c>
      <c r="D167">
        <v>1</v>
      </c>
      <c r="E167">
        <v>0</v>
      </c>
      <c r="F167">
        <v>75</v>
      </c>
      <c r="G167" t="b">
        <v>0</v>
      </c>
      <c r="H167">
        <v>75</v>
      </c>
    </row>
    <row r="168" spans="1:8" x14ac:dyDescent="0.25">
      <c r="A168" t="s">
        <v>1606</v>
      </c>
      <c r="B168">
        <v>1200</v>
      </c>
      <c r="C168">
        <v>0</v>
      </c>
      <c r="D168">
        <v>6</v>
      </c>
      <c r="E168">
        <v>1200</v>
      </c>
      <c r="F168">
        <v>15</v>
      </c>
      <c r="G168" t="b">
        <v>0</v>
      </c>
      <c r="H168">
        <v>15</v>
      </c>
    </row>
    <row r="169" spans="1:8" x14ac:dyDescent="0.25">
      <c r="A169" t="s">
        <v>1607</v>
      </c>
      <c r="B169">
        <v>6000</v>
      </c>
      <c r="C169">
        <v>10</v>
      </c>
      <c r="D169">
        <v>5</v>
      </c>
      <c r="E169">
        <v>5400</v>
      </c>
      <c r="F169">
        <v>1160</v>
      </c>
      <c r="G169" t="b">
        <v>0</v>
      </c>
      <c r="H169">
        <v>20</v>
      </c>
    </row>
    <row r="170" spans="1:8" x14ac:dyDescent="0.25">
      <c r="A170" t="s">
        <v>1608</v>
      </c>
      <c r="B170">
        <v>4200</v>
      </c>
      <c r="C170">
        <v>2</v>
      </c>
      <c r="D170">
        <v>6</v>
      </c>
      <c r="E170">
        <v>4100</v>
      </c>
      <c r="F170">
        <v>116</v>
      </c>
      <c r="G170" t="b">
        <v>0</v>
      </c>
      <c r="H170">
        <v>2</v>
      </c>
    </row>
    <row r="171" spans="1:8" x14ac:dyDescent="0.25">
      <c r="A171" t="s">
        <v>1609</v>
      </c>
      <c r="B171">
        <v>6900</v>
      </c>
      <c r="C171">
        <v>11</v>
      </c>
      <c r="D171">
        <v>6</v>
      </c>
      <c r="E171">
        <v>6100</v>
      </c>
      <c r="F171">
        <v>30</v>
      </c>
      <c r="G171" t="b">
        <v>0</v>
      </c>
      <c r="H171">
        <v>30</v>
      </c>
    </row>
    <row r="172" spans="1:8" x14ac:dyDescent="0.25">
      <c r="A172" t="s">
        <v>1610</v>
      </c>
      <c r="B172">
        <v>25000</v>
      </c>
      <c r="C172">
        <v>10</v>
      </c>
      <c r="D172">
        <v>3</v>
      </c>
      <c r="E172">
        <v>22500</v>
      </c>
      <c r="F172">
        <v>85</v>
      </c>
      <c r="G172" t="b">
        <v>0</v>
      </c>
      <c r="H172">
        <v>1</v>
      </c>
    </row>
    <row r="173" spans="1:8" x14ac:dyDescent="0.25">
      <c r="A173" t="s">
        <v>1611</v>
      </c>
      <c r="B173">
        <v>24000</v>
      </c>
      <c r="C173">
        <v>0</v>
      </c>
      <c r="D173">
        <v>6</v>
      </c>
      <c r="E173">
        <v>24000</v>
      </c>
      <c r="F173">
        <v>580</v>
      </c>
      <c r="G173" t="b">
        <v>0</v>
      </c>
      <c r="H173">
        <v>50</v>
      </c>
    </row>
    <row r="174" spans="1:8" x14ac:dyDescent="0.25">
      <c r="A174" t="s">
        <v>1612</v>
      </c>
      <c r="B174">
        <v>14000</v>
      </c>
      <c r="C174">
        <v>7</v>
      </c>
      <c r="D174">
        <v>6</v>
      </c>
      <c r="E174">
        <v>12900</v>
      </c>
      <c r="F174">
        <v>58</v>
      </c>
      <c r="G174" t="b">
        <v>0</v>
      </c>
      <c r="H174">
        <v>1</v>
      </c>
    </row>
    <row r="175" spans="1:8" x14ac:dyDescent="0.25">
      <c r="A175" t="s">
        <v>1613</v>
      </c>
      <c r="B175">
        <v>26000</v>
      </c>
      <c r="C175">
        <v>0</v>
      </c>
      <c r="D175">
        <v>6</v>
      </c>
      <c r="E175">
        <v>26000</v>
      </c>
      <c r="F175">
        <v>1000</v>
      </c>
      <c r="G175" t="b">
        <v>0</v>
      </c>
      <c r="H175">
        <v>1</v>
      </c>
    </row>
    <row r="176" spans="1:8" x14ac:dyDescent="0.25">
      <c r="A176" t="s">
        <v>1570</v>
      </c>
      <c r="B176">
        <v>25000</v>
      </c>
      <c r="C176">
        <v>0</v>
      </c>
      <c r="D176">
        <v>4</v>
      </c>
      <c r="E176">
        <v>25000</v>
      </c>
      <c r="F176">
        <v>1000</v>
      </c>
      <c r="G176" t="b">
        <v>0</v>
      </c>
      <c r="H176">
        <v>1</v>
      </c>
    </row>
    <row r="177" spans="1:8" x14ac:dyDescent="0.25">
      <c r="A177" t="s">
        <v>1614</v>
      </c>
      <c r="B177">
        <v>2300</v>
      </c>
      <c r="C177">
        <v>4</v>
      </c>
      <c r="D177">
        <v>0</v>
      </c>
      <c r="E177">
        <v>2200</v>
      </c>
      <c r="F177">
        <v>300</v>
      </c>
      <c r="G177" t="b">
        <v>1</v>
      </c>
      <c r="H177">
        <v>300</v>
      </c>
    </row>
    <row r="178" spans="1:8" x14ac:dyDescent="0.25">
      <c r="A178" t="s">
        <v>1615</v>
      </c>
      <c r="B178">
        <v>11600</v>
      </c>
      <c r="C178">
        <v>0</v>
      </c>
      <c r="D178">
        <v>0</v>
      </c>
      <c r="E178">
        <v>11600</v>
      </c>
      <c r="F178">
        <v>250</v>
      </c>
      <c r="G178" t="b">
        <v>1</v>
      </c>
      <c r="H178">
        <v>250</v>
      </c>
    </row>
    <row r="179" spans="1:8" x14ac:dyDescent="0.25">
      <c r="A179" t="s">
        <v>1616</v>
      </c>
      <c r="B179">
        <v>8900</v>
      </c>
      <c r="C179">
        <v>0</v>
      </c>
      <c r="D179">
        <v>0</v>
      </c>
      <c r="E179">
        <v>8900</v>
      </c>
      <c r="F179">
        <v>60</v>
      </c>
      <c r="G179" t="b">
        <v>1</v>
      </c>
      <c r="H179">
        <v>60</v>
      </c>
    </row>
    <row r="180" spans="1:8" x14ac:dyDescent="0.25">
      <c r="A180" t="s">
        <v>1617</v>
      </c>
      <c r="B180">
        <v>8600</v>
      </c>
      <c r="C180">
        <v>2</v>
      </c>
      <c r="D180">
        <v>0</v>
      </c>
      <c r="E180">
        <v>8400</v>
      </c>
      <c r="F180">
        <v>1000</v>
      </c>
      <c r="G180" t="b">
        <v>1</v>
      </c>
      <c r="H180">
        <v>1</v>
      </c>
    </row>
    <row r="181" spans="1:8" x14ac:dyDescent="0.25">
      <c r="A181" t="s">
        <v>1618</v>
      </c>
      <c r="B181">
        <v>13600</v>
      </c>
      <c r="C181">
        <v>3</v>
      </c>
      <c r="D181">
        <v>0</v>
      </c>
      <c r="E181">
        <v>13100</v>
      </c>
      <c r="F181">
        <v>1000</v>
      </c>
      <c r="G181" t="b">
        <v>1</v>
      </c>
      <c r="H181">
        <v>1</v>
      </c>
    </row>
    <row r="182" spans="1:8" x14ac:dyDescent="0.25">
      <c r="A182" t="s">
        <v>1619</v>
      </c>
      <c r="B182">
        <v>1000</v>
      </c>
      <c r="C182">
        <v>0</v>
      </c>
      <c r="D182">
        <v>0</v>
      </c>
      <c r="E182">
        <v>1000</v>
      </c>
      <c r="F182">
        <v>140</v>
      </c>
      <c r="G182" t="b">
        <v>1</v>
      </c>
      <c r="H182">
        <v>140</v>
      </c>
    </row>
    <row r="183" spans="1:8" x14ac:dyDescent="0.25">
      <c r="A183" t="s">
        <v>1620</v>
      </c>
      <c r="B183">
        <v>9000</v>
      </c>
      <c r="C183">
        <v>8</v>
      </c>
      <c r="D183">
        <v>0</v>
      </c>
      <c r="E183">
        <v>8200</v>
      </c>
      <c r="F183">
        <v>100</v>
      </c>
      <c r="G183" t="b">
        <v>1</v>
      </c>
      <c r="H183">
        <v>100</v>
      </c>
    </row>
    <row r="184" spans="1:8" x14ac:dyDescent="0.25">
      <c r="A184" t="s">
        <v>1621</v>
      </c>
      <c r="B184">
        <v>1200</v>
      </c>
      <c r="C184">
        <v>8</v>
      </c>
      <c r="D184">
        <v>0</v>
      </c>
      <c r="E184">
        <v>1100</v>
      </c>
      <c r="F184">
        <v>58</v>
      </c>
      <c r="G184" t="b">
        <v>1</v>
      </c>
      <c r="H184">
        <v>1</v>
      </c>
    </row>
    <row r="185" spans="1:8" x14ac:dyDescent="0.25">
      <c r="A185" t="s">
        <v>1622</v>
      </c>
      <c r="B185">
        <v>6500</v>
      </c>
      <c r="C185">
        <v>9</v>
      </c>
      <c r="D185">
        <v>0</v>
      </c>
      <c r="E185">
        <v>5900</v>
      </c>
      <c r="F185">
        <v>116</v>
      </c>
      <c r="G185" t="b">
        <v>1</v>
      </c>
      <c r="H185">
        <v>2</v>
      </c>
    </row>
    <row r="186" spans="1:8" x14ac:dyDescent="0.25">
      <c r="A186" t="s">
        <v>1623</v>
      </c>
      <c r="B186">
        <v>19000</v>
      </c>
      <c r="C186">
        <v>7</v>
      </c>
      <c r="D186">
        <v>0</v>
      </c>
      <c r="E186">
        <v>17500</v>
      </c>
      <c r="F186">
        <v>58</v>
      </c>
      <c r="G186" t="b">
        <v>1</v>
      </c>
      <c r="H186">
        <v>1</v>
      </c>
    </row>
    <row r="187" spans="1:8" x14ac:dyDescent="0.25">
      <c r="A187" t="s">
        <v>1624</v>
      </c>
      <c r="B187">
        <v>10500</v>
      </c>
      <c r="C187">
        <v>2</v>
      </c>
      <c r="D187">
        <v>0</v>
      </c>
      <c r="E187">
        <v>10200</v>
      </c>
      <c r="F187">
        <v>58</v>
      </c>
      <c r="G187" t="b">
        <v>1</v>
      </c>
      <c r="H187">
        <v>1</v>
      </c>
    </row>
    <row r="188" spans="1:8" x14ac:dyDescent="0.25">
      <c r="A188" t="s">
        <v>1614</v>
      </c>
      <c r="B188">
        <v>4500</v>
      </c>
      <c r="C188">
        <v>0</v>
      </c>
      <c r="D188">
        <v>0</v>
      </c>
      <c r="E188">
        <v>4500</v>
      </c>
      <c r="F188">
        <v>600</v>
      </c>
      <c r="G188" t="b">
        <v>1</v>
      </c>
      <c r="H188">
        <v>600</v>
      </c>
    </row>
    <row r="189" spans="1:8" x14ac:dyDescent="0.25">
      <c r="A189" t="s">
        <v>1625</v>
      </c>
      <c r="B189">
        <v>6900</v>
      </c>
      <c r="C189">
        <v>10</v>
      </c>
      <c r="D189">
        <v>0</v>
      </c>
      <c r="E189">
        <v>6200</v>
      </c>
      <c r="F189">
        <v>500</v>
      </c>
      <c r="G189" t="b">
        <v>1</v>
      </c>
      <c r="H189">
        <v>500</v>
      </c>
    </row>
    <row r="190" spans="1:8" x14ac:dyDescent="0.25">
      <c r="A190" t="s">
        <v>1626</v>
      </c>
      <c r="B190">
        <v>23500</v>
      </c>
      <c r="C190">
        <v>9</v>
      </c>
      <c r="D190">
        <v>0</v>
      </c>
      <c r="E190">
        <v>21200</v>
      </c>
      <c r="F190">
        <v>860</v>
      </c>
      <c r="G190" t="b">
        <v>1</v>
      </c>
      <c r="H190">
        <v>860</v>
      </c>
    </row>
    <row r="191" spans="1:8" x14ac:dyDescent="0.25">
      <c r="A191" t="s">
        <v>1627</v>
      </c>
      <c r="B191">
        <v>2500</v>
      </c>
      <c r="C191">
        <v>0</v>
      </c>
      <c r="D191">
        <v>0</v>
      </c>
      <c r="E191">
        <v>2500</v>
      </c>
      <c r="F191">
        <v>75</v>
      </c>
      <c r="G191" t="b">
        <v>1</v>
      </c>
      <c r="H191">
        <v>75</v>
      </c>
    </row>
    <row r="192" spans="1:8" x14ac:dyDescent="0.25">
      <c r="A192" t="s">
        <v>1497</v>
      </c>
      <c r="B192">
        <v>20800</v>
      </c>
      <c r="C192">
        <v>6</v>
      </c>
      <c r="D192">
        <v>0</v>
      </c>
      <c r="E192">
        <v>19500</v>
      </c>
      <c r="F192">
        <v>1000</v>
      </c>
      <c r="G192" t="b">
        <v>1</v>
      </c>
      <c r="H192">
        <v>1</v>
      </c>
    </row>
    <row r="193" spans="1:8" x14ac:dyDescent="0.25">
      <c r="A193" t="s">
        <v>1628</v>
      </c>
      <c r="B193">
        <v>8000</v>
      </c>
      <c r="C193">
        <v>15</v>
      </c>
      <c r="D193">
        <v>0</v>
      </c>
      <c r="E193">
        <v>6800</v>
      </c>
      <c r="F193">
        <v>58</v>
      </c>
      <c r="G193" t="b">
        <v>1</v>
      </c>
      <c r="H193">
        <v>1</v>
      </c>
    </row>
    <row r="194" spans="1:8" x14ac:dyDescent="0.25">
      <c r="A194" t="s">
        <v>1629</v>
      </c>
      <c r="B194">
        <v>25000</v>
      </c>
      <c r="C194">
        <v>10</v>
      </c>
      <c r="D194">
        <v>0</v>
      </c>
      <c r="E194">
        <v>22500</v>
      </c>
      <c r="F194">
        <v>100</v>
      </c>
      <c r="G194" t="b">
        <v>1</v>
      </c>
      <c r="H194">
        <v>100</v>
      </c>
    </row>
    <row r="195" spans="1:8" x14ac:dyDescent="0.25">
      <c r="A195" t="s">
        <v>1476</v>
      </c>
      <c r="B195">
        <v>3000</v>
      </c>
      <c r="C195">
        <v>0</v>
      </c>
      <c r="D195">
        <v>0</v>
      </c>
      <c r="E195">
        <v>3000</v>
      </c>
      <c r="F195">
        <v>60</v>
      </c>
      <c r="G195" t="b">
        <v>1</v>
      </c>
      <c r="H195">
        <v>60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H98"/>
  <sheetViews>
    <sheetView topLeftCell="A77" workbookViewId="0">
      <selection activeCell="A2" sqref="A2:H130"/>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1630</v>
      </c>
      <c r="B2">
        <v>4000</v>
      </c>
      <c r="C2">
        <v>50</v>
      </c>
      <c r="D2">
        <v>6</v>
      </c>
      <c r="E2">
        <v>2000</v>
      </c>
      <c r="F2">
        <v>75</v>
      </c>
      <c r="G2" t="b">
        <v>0</v>
      </c>
      <c r="H2">
        <v>75</v>
      </c>
    </row>
    <row r="3" spans="1:8" x14ac:dyDescent="0.25">
      <c r="A3" t="s">
        <v>1631</v>
      </c>
      <c r="B3">
        <v>4000</v>
      </c>
      <c r="C3">
        <v>50</v>
      </c>
      <c r="D3">
        <v>6</v>
      </c>
      <c r="E3">
        <v>2000</v>
      </c>
      <c r="F3">
        <v>75</v>
      </c>
      <c r="G3" t="b">
        <v>0</v>
      </c>
      <c r="H3">
        <v>75</v>
      </c>
    </row>
    <row r="4" spans="1:8" x14ac:dyDescent="0.25">
      <c r="A4" t="s">
        <v>603</v>
      </c>
      <c r="B4">
        <v>7800</v>
      </c>
      <c r="C4">
        <v>3</v>
      </c>
      <c r="D4">
        <v>5</v>
      </c>
      <c r="E4">
        <v>7500</v>
      </c>
      <c r="F4">
        <v>400</v>
      </c>
      <c r="G4" t="b">
        <v>0</v>
      </c>
      <c r="H4">
        <v>400</v>
      </c>
    </row>
    <row r="5" spans="1:8" x14ac:dyDescent="0.25">
      <c r="A5" t="s">
        <v>1136</v>
      </c>
      <c r="B5">
        <v>2500</v>
      </c>
      <c r="C5">
        <v>0</v>
      </c>
      <c r="D5">
        <v>6</v>
      </c>
      <c r="E5">
        <v>2500</v>
      </c>
      <c r="F5">
        <v>50</v>
      </c>
      <c r="G5" t="b">
        <v>0</v>
      </c>
      <c r="H5">
        <v>50</v>
      </c>
    </row>
    <row r="6" spans="1:8" x14ac:dyDescent="0.25">
      <c r="A6" t="s">
        <v>1450</v>
      </c>
      <c r="B6">
        <v>6600</v>
      </c>
      <c r="C6">
        <v>0</v>
      </c>
      <c r="D6">
        <v>6</v>
      </c>
      <c r="E6">
        <v>6600</v>
      </c>
      <c r="F6">
        <v>125</v>
      </c>
      <c r="G6" t="b">
        <v>0</v>
      </c>
      <c r="H6">
        <v>125</v>
      </c>
    </row>
    <row r="7" spans="1:8" x14ac:dyDescent="0.25">
      <c r="A7" t="s">
        <v>1632</v>
      </c>
      <c r="B7">
        <v>8200</v>
      </c>
      <c r="C7">
        <v>0</v>
      </c>
      <c r="D7">
        <v>6</v>
      </c>
      <c r="E7">
        <v>8200</v>
      </c>
      <c r="F7">
        <v>174</v>
      </c>
      <c r="G7" t="b">
        <v>0</v>
      </c>
      <c r="H7">
        <v>3</v>
      </c>
    </row>
    <row r="8" spans="1:8" x14ac:dyDescent="0.25">
      <c r="A8" t="s">
        <v>1633</v>
      </c>
      <c r="B8">
        <v>24500</v>
      </c>
      <c r="C8">
        <v>10</v>
      </c>
      <c r="D8">
        <v>6</v>
      </c>
      <c r="E8">
        <v>22000</v>
      </c>
      <c r="F8">
        <v>580</v>
      </c>
      <c r="G8" t="b">
        <v>0</v>
      </c>
      <c r="H8">
        <v>10</v>
      </c>
    </row>
    <row r="9" spans="1:8" x14ac:dyDescent="0.25">
      <c r="A9" t="s">
        <v>1634</v>
      </c>
      <c r="B9">
        <v>4500</v>
      </c>
      <c r="C9">
        <v>6</v>
      </c>
      <c r="D9">
        <v>6</v>
      </c>
      <c r="E9">
        <v>4200</v>
      </c>
      <c r="F9">
        <v>120</v>
      </c>
      <c r="G9" t="b">
        <v>0</v>
      </c>
      <c r="H9">
        <v>120</v>
      </c>
    </row>
    <row r="10" spans="1:8" x14ac:dyDescent="0.25">
      <c r="A10" t="s">
        <v>1635</v>
      </c>
      <c r="B10">
        <v>4500</v>
      </c>
      <c r="C10">
        <v>6</v>
      </c>
      <c r="D10">
        <v>2</v>
      </c>
      <c r="E10">
        <v>4200</v>
      </c>
      <c r="F10">
        <v>120</v>
      </c>
      <c r="G10" t="b">
        <v>0</v>
      </c>
      <c r="H10">
        <v>180</v>
      </c>
    </row>
    <row r="11" spans="1:8" x14ac:dyDescent="0.25">
      <c r="A11" t="s">
        <v>1636</v>
      </c>
      <c r="B11">
        <v>4000</v>
      </c>
      <c r="C11">
        <v>10</v>
      </c>
      <c r="D11">
        <v>4</v>
      </c>
      <c r="E11">
        <v>3600</v>
      </c>
      <c r="F11">
        <v>8</v>
      </c>
      <c r="G11" t="b">
        <v>0</v>
      </c>
      <c r="H11">
        <v>8</v>
      </c>
    </row>
    <row r="12" spans="1:8" x14ac:dyDescent="0.25">
      <c r="A12" t="s">
        <v>1637</v>
      </c>
      <c r="B12">
        <v>2000</v>
      </c>
      <c r="C12">
        <v>0</v>
      </c>
      <c r="D12">
        <v>6</v>
      </c>
      <c r="E12">
        <v>2000</v>
      </c>
      <c r="F12">
        <v>1160</v>
      </c>
      <c r="G12" t="b">
        <v>0</v>
      </c>
      <c r="H12">
        <v>20</v>
      </c>
    </row>
    <row r="13" spans="1:8" x14ac:dyDescent="0.25">
      <c r="A13" t="s">
        <v>1638</v>
      </c>
      <c r="B13">
        <v>22800</v>
      </c>
      <c r="C13">
        <v>10</v>
      </c>
      <c r="D13">
        <v>6</v>
      </c>
      <c r="E13">
        <v>20500</v>
      </c>
      <c r="F13">
        <v>580</v>
      </c>
      <c r="G13" t="b">
        <v>0</v>
      </c>
      <c r="H13">
        <v>10</v>
      </c>
    </row>
    <row r="14" spans="1:8" x14ac:dyDescent="0.25">
      <c r="A14" t="s">
        <v>1639</v>
      </c>
      <c r="B14">
        <v>8500</v>
      </c>
      <c r="C14">
        <v>9</v>
      </c>
      <c r="D14">
        <v>6</v>
      </c>
      <c r="E14">
        <v>7700</v>
      </c>
      <c r="F14">
        <v>25</v>
      </c>
      <c r="G14" t="b">
        <v>0</v>
      </c>
      <c r="H14">
        <v>25</v>
      </c>
    </row>
    <row r="15" spans="1:8" x14ac:dyDescent="0.25">
      <c r="A15" t="s">
        <v>1476</v>
      </c>
      <c r="B15">
        <v>3300</v>
      </c>
      <c r="C15">
        <v>0</v>
      </c>
      <c r="D15">
        <v>4</v>
      </c>
      <c r="E15">
        <v>3300</v>
      </c>
      <c r="F15">
        <v>60</v>
      </c>
      <c r="G15" t="b">
        <v>0</v>
      </c>
      <c r="H15">
        <v>60</v>
      </c>
    </row>
    <row r="16" spans="1:8" x14ac:dyDescent="0.25">
      <c r="A16" t="s">
        <v>1160</v>
      </c>
      <c r="B16">
        <v>13500</v>
      </c>
      <c r="C16">
        <v>5</v>
      </c>
      <c r="D16">
        <v>6</v>
      </c>
      <c r="E16">
        <v>12800</v>
      </c>
      <c r="F16">
        <v>50</v>
      </c>
      <c r="G16" t="b">
        <v>0</v>
      </c>
      <c r="H16">
        <v>50</v>
      </c>
    </row>
    <row r="17" spans="1:8" x14ac:dyDescent="0.25">
      <c r="A17" t="s">
        <v>1640</v>
      </c>
      <c r="B17">
        <v>14500</v>
      </c>
      <c r="C17">
        <v>11</v>
      </c>
      <c r="D17">
        <v>2</v>
      </c>
      <c r="E17">
        <v>12900</v>
      </c>
      <c r="F17">
        <v>50</v>
      </c>
      <c r="G17" t="b">
        <v>0</v>
      </c>
      <c r="H17">
        <v>50</v>
      </c>
    </row>
    <row r="18" spans="1:8" x14ac:dyDescent="0.25">
      <c r="A18" t="s">
        <v>1641</v>
      </c>
      <c r="B18">
        <v>4500</v>
      </c>
      <c r="C18">
        <v>6</v>
      </c>
      <c r="D18">
        <v>6</v>
      </c>
      <c r="E18">
        <v>4200</v>
      </c>
      <c r="F18">
        <v>120</v>
      </c>
      <c r="G18" t="b">
        <v>0</v>
      </c>
      <c r="H18">
        <v>120</v>
      </c>
    </row>
    <row r="19" spans="1:8" x14ac:dyDescent="0.25">
      <c r="A19" t="s">
        <v>1642</v>
      </c>
      <c r="B19">
        <v>15900</v>
      </c>
      <c r="C19">
        <v>10</v>
      </c>
      <c r="D19">
        <v>6</v>
      </c>
      <c r="E19">
        <v>14300</v>
      </c>
      <c r="F19">
        <v>225</v>
      </c>
      <c r="G19" t="b">
        <v>0</v>
      </c>
      <c r="H19">
        <v>225</v>
      </c>
    </row>
    <row r="20" spans="1:8" x14ac:dyDescent="0.25">
      <c r="A20" t="s">
        <v>1643</v>
      </c>
      <c r="B20">
        <v>4000</v>
      </c>
      <c r="C20">
        <v>2</v>
      </c>
      <c r="D20">
        <v>6</v>
      </c>
      <c r="E20">
        <v>3900</v>
      </c>
      <c r="F20">
        <v>8</v>
      </c>
      <c r="G20" t="b">
        <v>0</v>
      </c>
      <c r="H20">
        <v>8</v>
      </c>
    </row>
    <row r="21" spans="1:8" x14ac:dyDescent="0.25">
      <c r="A21" t="s">
        <v>1644</v>
      </c>
      <c r="B21">
        <v>6500</v>
      </c>
      <c r="C21">
        <v>10</v>
      </c>
      <c r="D21">
        <v>4</v>
      </c>
      <c r="E21">
        <v>5800</v>
      </c>
      <c r="F21">
        <v>100</v>
      </c>
      <c r="G21" t="b">
        <v>0</v>
      </c>
      <c r="H21">
        <v>100</v>
      </c>
    </row>
    <row r="22" spans="1:8" x14ac:dyDescent="0.25">
      <c r="A22" t="s">
        <v>1645</v>
      </c>
      <c r="B22">
        <v>18900</v>
      </c>
      <c r="C22">
        <v>15</v>
      </c>
      <c r="D22">
        <v>6</v>
      </c>
      <c r="E22">
        <v>16000</v>
      </c>
      <c r="F22">
        <v>50</v>
      </c>
      <c r="G22" t="b">
        <v>0</v>
      </c>
      <c r="H22">
        <v>50</v>
      </c>
    </row>
    <row r="23" spans="1:8" x14ac:dyDescent="0.25">
      <c r="A23" t="s">
        <v>1172</v>
      </c>
      <c r="B23">
        <v>10000</v>
      </c>
      <c r="C23">
        <v>5</v>
      </c>
      <c r="D23">
        <v>6</v>
      </c>
      <c r="E23">
        <v>9500</v>
      </c>
      <c r="F23">
        <v>200</v>
      </c>
      <c r="G23" t="b">
        <v>0</v>
      </c>
      <c r="H23">
        <v>200</v>
      </c>
    </row>
    <row r="24" spans="1:8" x14ac:dyDescent="0.25">
      <c r="A24" t="s">
        <v>1199</v>
      </c>
      <c r="B24">
        <v>33000</v>
      </c>
      <c r="C24">
        <v>2</v>
      </c>
      <c r="D24">
        <v>6</v>
      </c>
      <c r="E24">
        <v>32300</v>
      </c>
      <c r="F24">
        <v>30</v>
      </c>
      <c r="G24" t="b">
        <v>0</v>
      </c>
      <c r="H24">
        <v>30</v>
      </c>
    </row>
    <row r="25" spans="1:8" x14ac:dyDescent="0.25">
      <c r="A25" t="s">
        <v>1315</v>
      </c>
      <c r="B25">
        <v>3000</v>
      </c>
      <c r="C25">
        <v>0</v>
      </c>
      <c r="D25">
        <v>2</v>
      </c>
      <c r="E25">
        <v>3000</v>
      </c>
      <c r="F25">
        <v>406</v>
      </c>
      <c r="G25" t="b">
        <v>0</v>
      </c>
      <c r="H25">
        <v>7</v>
      </c>
    </row>
    <row r="26" spans="1:8" x14ac:dyDescent="0.25">
      <c r="A26" t="s">
        <v>1646</v>
      </c>
      <c r="B26">
        <v>16500</v>
      </c>
      <c r="C26">
        <v>10</v>
      </c>
      <c r="D26">
        <v>6</v>
      </c>
      <c r="E26">
        <v>14800</v>
      </c>
      <c r="F26">
        <v>170</v>
      </c>
      <c r="G26" t="b">
        <v>0</v>
      </c>
      <c r="H26">
        <v>170</v>
      </c>
    </row>
    <row r="27" spans="1:8" x14ac:dyDescent="0.25">
      <c r="A27" t="s">
        <v>1647</v>
      </c>
      <c r="B27">
        <v>22800</v>
      </c>
      <c r="C27">
        <v>10</v>
      </c>
      <c r="D27">
        <v>6</v>
      </c>
      <c r="E27">
        <v>20500</v>
      </c>
      <c r="F27">
        <v>580</v>
      </c>
      <c r="G27" t="b">
        <v>0</v>
      </c>
      <c r="H27">
        <v>10</v>
      </c>
    </row>
    <row r="28" spans="1:8" x14ac:dyDescent="0.25">
      <c r="A28" t="s">
        <v>1180</v>
      </c>
      <c r="B28">
        <v>3000</v>
      </c>
      <c r="C28">
        <v>3</v>
      </c>
      <c r="D28">
        <v>6</v>
      </c>
      <c r="E28">
        <v>2900</v>
      </c>
      <c r="F28">
        <v>406</v>
      </c>
      <c r="G28" t="b">
        <v>0</v>
      </c>
      <c r="H28">
        <v>7</v>
      </c>
    </row>
    <row r="29" spans="1:8" x14ac:dyDescent="0.25">
      <c r="A29" t="s">
        <v>1648</v>
      </c>
      <c r="B29">
        <v>13000</v>
      </c>
      <c r="C29">
        <v>10</v>
      </c>
      <c r="D29">
        <v>6</v>
      </c>
      <c r="E29">
        <v>11700</v>
      </c>
      <c r="F29">
        <v>100</v>
      </c>
      <c r="G29" t="b">
        <v>0</v>
      </c>
      <c r="H29">
        <v>100</v>
      </c>
    </row>
    <row r="30" spans="1:8" x14ac:dyDescent="0.25">
      <c r="A30" t="s">
        <v>1649</v>
      </c>
      <c r="B30">
        <v>14900</v>
      </c>
      <c r="C30">
        <v>5</v>
      </c>
      <c r="D30">
        <v>5</v>
      </c>
      <c r="E30">
        <v>14100</v>
      </c>
      <c r="F30">
        <v>35</v>
      </c>
      <c r="G30" t="b">
        <v>0</v>
      </c>
      <c r="H30">
        <v>35</v>
      </c>
    </row>
    <row r="31" spans="1:8" x14ac:dyDescent="0.25">
      <c r="A31" t="s">
        <v>1650</v>
      </c>
      <c r="B31">
        <v>18900</v>
      </c>
      <c r="C31">
        <v>10</v>
      </c>
      <c r="D31">
        <v>6</v>
      </c>
      <c r="E31">
        <v>17000</v>
      </c>
      <c r="F31">
        <v>72</v>
      </c>
      <c r="G31" t="b">
        <v>0</v>
      </c>
      <c r="H31">
        <v>72</v>
      </c>
    </row>
    <row r="32" spans="1:8" x14ac:dyDescent="0.25">
      <c r="A32" t="s">
        <v>1188</v>
      </c>
      <c r="B32">
        <v>13500</v>
      </c>
      <c r="C32">
        <v>5</v>
      </c>
      <c r="D32">
        <v>5</v>
      </c>
      <c r="E32">
        <v>12800</v>
      </c>
      <c r="F32">
        <v>50</v>
      </c>
      <c r="G32" t="b">
        <v>0</v>
      </c>
      <c r="H32">
        <v>50</v>
      </c>
    </row>
    <row r="33" spans="1:8" x14ac:dyDescent="0.25">
      <c r="A33" t="s">
        <v>1244</v>
      </c>
      <c r="B33">
        <v>31500</v>
      </c>
      <c r="C33">
        <v>0</v>
      </c>
      <c r="D33">
        <v>4</v>
      </c>
      <c r="E33">
        <v>31500</v>
      </c>
      <c r="F33">
        <v>30</v>
      </c>
      <c r="G33" t="b">
        <v>0</v>
      </c>
      <c r="H33">
        <v>30</v>
      </c>
    </row>
    <row r="34" spans="1:8" x14ac:dyDescent="0.25">
      <c r="A34" t="s">
        <v>1204</v>
      </c>
      <c r="B34">
        <v>9000</v>
      </c>
      <c r="C34">
        <v>0</v>
      </c>
      <c r="D34">
        <v>6</v>
      </c>
      <c r="E34">
        <v>9000</v>
      </c>
      <c r="F34">
        <v>1160</v>
      </c>
      <c r="G34" t="b">
        <v>0</v>
      </c>
      <c r="H34">
        <v>20</v>
      </c>
    </row>
    <row r="35" spans="1:8" x14ac:dyDescent="0.25">
      <c r="A35" t="s">
        <v>1203</v>
      </c>
      <c r="B35">
        <v>44900</v>
      </c>
      <c r="C35">
        <v>7</v>
      </c>
      <c r="D35">
        <v>6</v>
      </c>
      <c r="E35">
        <v>41500</v>
      </c>
      <c r="F35">
        <v>44</v>
      </c>
      <c r="G35" t="b">
        <v>0</v>
      </c>
      <c r="H35">
        <v>44</v>
      </c>
    </row>
    <row r="36" spans="1:8" x14ac:dyDescent="0.25">
      <c r="A36" t="s">
        <v>1651</v>
      </c>
      <c r="B36">
        <v>24500</v>
      </c>
      <c r="C36">
        <v>10</v>
      </c>
      <c r="D36">
        <v>2</v>
      </c>
      <c r="E36">
        <v>22000</v>
      </c>
      <c r="F36">
        <v>580</v>
      </c>
      <c r="G36" t="b">
        <v>0</v>
      </c>
      <c r="H36">
        <v>10</v>
      </c>
    </row>
    <row r="37" spans="1:8" x14ac:dyDescent="0.25">
      <c r="A37" t="s">
        <v>1652</v>
      </c>
      <c r="B37">
        <v>13000</v>
      </c>
      <c r="C37">
        <v>0</v>
      </c>
      <c r="D37">
        <v>6</v>
      </c>
      <c r="E37">
        <v>13000</v>
      </c>
      <c r="F37">
        <v>100</v>
      </c>
      <c r="G37" t="b">
        <v>0</v>
      </c>
      <c r="H37">
        <v>100</v>
      </c>
    </row>
    <row r="38" spans="1:8" x14ac:dyDescent="0.25">
      <c r="A38" t="s">
        <v>1653</v>
      </c>
      <c r="B38">
        <v>15000</v>
      </c>
      <c r="C38">
        <v>10</v>
      </c>
      <c r="D38">
        <v>6</v>
      </c>
      <c r="E38">
        <v>13500</v>
      </c>
      <c r="F38">
        <v>580</v>
      </c>
      <c r="G38" t="b">
        <v>0</v>
      </c>
      <c r="H38">
        <v>10</v>
      </c>
    </row>
    <row r="39" spans="1:8" x14ac:dyDescent="0.25">
      <c r="A39" t="s">
        <v>1654</v>
      </c>
      <c r="B39">
        <v>4500</v>
      </c>
      <c r="C39">
        <v>6</v>
      </c>
      <c r="D39">
        <v>6</v>
      </c>
      <c r="E39">
        <v>4200</v>
      </c>
      <c r="F39">
        <v>120</v>
      </c>
      <c r="G39" t="b">
        <v>0</v>
      </c>
      <c r="H39">
        <v>120</v>
      </c>
    </row>
    <row r="40" spans="1:8" x14ac:dyDescent="0.25">
      <c r="A40" t="s">
        <v>1655</v>
      </c>
      <c r="B40">
        <v>11000</v>
      </c>
      <c r="C40">
        <v>22</v>
      </c>
      <c r="D40">
        <v>3</v>
      </c>
      <c r="E40">
        <v>8500</v>
      </c>
      <c r="F40">
        <v>100</v>
      </c>
      <c r="G40" t="b">
        <v>0</v>
      </c>
      <c r="H40">
        <v>100</v>
      </c>
    </row>
    <row r="41" spans="1:8" x14ac:dyDescent="0.25">
      <c r="A41" t="s">
        <v>1656</v>
      </c>
      <c r="B41">
        <v>29900</v>
      </c>
      <c r="C41">
        <v>15</v>
      </c>
      <c r="D41">
        <v>6</v>
      </c>
      <c r="E41">
        <v>25400</v>
      </c>
      <c r="F41">
        <v>1000</v>
      </c>
      <c r="G41" t="b">
        <v>0</v>
      </c>
      <c r="H41">
        <v>1</v>
      </c>
    </row>
    <row r="42" spans="1:8" x14ac:dyDescent="0.25">
      <c r="A42" t="s">
        <v>1657</v>
      </c>
      <c r="B42">
        <v>11000</v>
      </c>
      <c r="C42">
        <v>10</v>
      </c>
      <c r="D42">
        <v>6</v>
      </c>
      <c r="E42">
        <v>9900</v>
      </c>
      <c r="F42">
        <v>100</v>
      </c>
      <c r="G42" t="b">
        <v>0</v>
      </c>
      <c r="H42">
        <v>100</v>
      </c>
    </row>
    <row r="43" spans="1:8" x14ac:dyDescent="0.25">
      <c r="A43" t="s">
        <v>1229</v>
      </c>
      <c r="B43">
        <v>34000</v>
      </c>
      <c r="C43">
        <v>12</v>
      </c>
      <c r="D43">
        <v>6</v>
      </c>
      <c r="E43">
        <v>29800</v>
      </c>
      <c r="F43">
        <v>28</v>
      </c>
      <c r="G43" t="b">
        <v>0</v>
      </c>
      <c r="H43">
        <v>28</v>
      </c>
    </row>
    <row r="44" spans="1:8" x14ac:dyDescent="0.25">
      <c r="A44" t="s">
        <v>1658</v>
      </c>
      <c r="B44">
        <v>29000</v>
      </c>
      <c r="C44">
        <v>15</v>
      </c>
      <c r="D44">
        <v>6</v>
      </c>
      <c r="E44">
        <v>24600</v>
      </c>
      <c r="F44">
        <v>80</v>
      </c>
      <c r="G44" t="b">
        <v>0</v>
      </c>
      <c r="H44">
        <v>80</v>
      </c>
    </row>
    <row r="45" spans="1:8" x14ac:dyDescent="0.25">
      <c r="A45" t="s">
        <v>1247</v>
      </c>
      <c r="B45">
        <v>17500</v>
      </c>
      <c r="C45">
        <v>0</v>
      </c>
      <c r="D45">
        <v>5</v>
      </c>
      <c r="E45">
        <v>17500</v>
      </c>
      <c r="F45">
        <v>870</v>
      </c>
      <c r="G45" t="b">
        <v>0</v>
      </c>
      <c r="H45">
        <v>15</v>
      </c>
    </row>
    <row r="46" spans="1:8" x14ac:dyDescent="0.25">
      <c r="A46" t="s">
        <v>1659</v>
      </c>
      <c r="B46">
        <v>12000</v>
      </c>
      <c r="C46">
        <v>0</v>
      </c>
      <c r="D46">
        <v>6</v>
      </c>
      <c r="E46">
        <v>12000</v>
      </c>
      <c r="F46">
        <v>174</v>
      </c>
      <c r="G46" t="b">
        <v>0</v>
      </c>
      <c r="H46">
        <v>3</v>
      </c>
    </row>
    <row r="47" spans="1:8" x14ac:dyDescent="0.25">
      <c r="A47" t="s">
        <v>1660</v>
      </c>
      <c r="B47">
        <v>22800</v>
      </c>
      <c r="C47">
        <v>10</v>
      </c>
      <c r="D47">
        <v>6</v>
      </c>
      <c r="E47">
        <v>20500</v>
      </c>
      <c r="F47">
        <v>580</v>
      </c>
      <c r="G47" t="b">
        <v>0</v>
      </c>
      <c r="H47">
        <v>10</v>
      </c>
    </row>
    <row r="48" spans="1:8" x14ac:dyDescent="0.25">
      <c r="A48" t="s">
        <v>1661</v>
      </c>
      <c r="B48">
        <v>4500</v>
      </c>
      <c r="C48">
        <v>8</v>
      </c>
      <c r="D48">
        <v>6</v>
      </c>
      <c r="E48">
        <v>4100</v>
      </c>
      <c r="F48">
        <v>8</v>
      </c>
      <c r="G48" t="b">
        <v>0</v>
      </c>
      <c r="H48">
        <v>8</v>
      </c>
    </row>
    <row r="49" spans="1:8" x14ac:dyDescent="0.25">
      <c r="A49" t="s">
        <v>1662</v>
      </c>
      <c r="B49">
        <v>13000</v>
      </c>
      <c r="C49">
        <v>5</v>
      </c>
      <c r="D49">
        <v>1</v>
      </c>
      <c r="E49">
        <v>12300</v>
      </c>
      <c r="F49">
        <v>130</v>
      </c>
      <c r="G49" t="b">
        <v>0</v>
      </c>
      <c r="H49">
        <v>130</v>
      </c>
    </row>
    <row r="50" spans="1:8" x14ac:dyDescent="0.25">
      <c r="A50" t="s">
        <v>1258</v>
      </c>
      <c r="B50">
        <v>13300</v>
      </c>
      <c r="C50">
        <v>2</v>
      </c>
      <c r="D50">
        <v>5</v>
      </c>
      <c r="E50">
        <v>13000</v>
      </c>
      <c r="F50">
        <v>1160</v>
      </c>
      <c r="G50" t="b">
        <v>0</v>
      </c>
      <c r="H50">
        <v>20</v>
      </c>
    </row>
    <row r="51" spans="1:8" x14ac:dyDescent="0.25">
      <c r="A51" t="s">
        <v>1241</v>
      </c>
      <c r="B51">
        <v>23500</v>
      </c>
      <c r="C51">
        <v>7</v>
      </c>
      <c r="D51">
        <v>6</v>
      </c>
      <c r="E51">
        <v>21800</v>
      </c>
      <c r="F51">
        <v>1160</v>
      </c>
      <c r="G51" t="b">
        <v>0</v>
      </c>
      <c r="H51">
        <v>20</v>
      </c>
    </row>
    <row r="52" spans="1:8" x14ac:dyDescent="0.25">
      <c r="A52" t="s">
        <v>1663</v>
      </c>
      <c r="B52">
        <v>41500</v>
      </c>
      <c r="C52">
        <v>7</v>
      </c>
      <c r="D52">
        <v>6</v>
      </c>
      <c r="E52">
        <v>38500</v>
      </c>
      <c r="F52">
        <v>900</v>
      </c>
      <c r="G52" t="b">
        <v>0</v>
      </c>
      <c r="H52">
        <v>900</v>
      </c>
    </row>
    <row r="53" spans="1:8" x14ac:dyDescent="0.25">
      <c r="A53" t="s">
        <v>1636</v>
      </c>
      <c r="B53">
        <v>8500</v>
      </c>
      <c r="C53">
        <v>10</v>
      </c>
      <c r="D53">
        <v>5</v>
      </c>
      <c r="E53">
        <v>7600</v>
      </c>
      <c r="F53">
        <v>25</v>
      </c>
      <c r="G53" t="b">
        <v>0</v>
      </c>
      <c r="H53">
        <v>25</v>
      </c>
    </row>
    <row r="54" spans="1:8" x14ac:dyDescent="0.25">
      <c r="A54" t="s">
        <v>1664</v>
      </c>
      <c r="B54">
        <v>12500</v>
      </c>
      <c r="C54">
        <v>9</v>
      </c>
      <c r="D54">
        <v>6</v>
      </c>
      <c r="E54">
        <v>11300</v>
      </c>
      <c r="F54">
        <v>45</v>
      </c>
      <c r="G54" t="b">
        <v>0</v>
      </c>
      <c r="H54">
        <v>45</v>
      </c>
    </row>
    <row r="55" spans="1:8" x14ac:dyDescent="0.25">
      <c r="A55" t="s">
        <v>1297</v>
      </c>
      <c r="B55">
        <v>25000</v>
      </c>
      <c r="C55">
        <v>10</v>
      </c>
      <c r="D55">
        <v>6</v>
      </c>
      <c r="E55">
        <v>22500</v>
      </c>
      <c r="F55">
        <v>500</v>
      </c>
      <c r="G55" t="b">
        <v>0</v>
      </c>
      <c r="H55">
        <v>500</v>
      </c>
    </row>
    <row r="56" spans="1:8" x14ac:dyDescent="0.25">
      <c r="A56" t="s">
        <v>1665</v>
      </c>
      <c r="B56">
        <v>24900</v>
      </c>
      <c r="C56">
        <v>14</v>
      </c>
      <c r="D56">
        <v>6</v>
      </c>
      <c r="E56">
        <v>21200</v>
      </c>
      <c r="F56">
        <v>1000</v>
      </c>
      <c r="G56" t="b">
        <v>0</v>
      </c>
      <c r="H56">
        <v>1</v>
      </c>
    </row>
    <row r="57" spans="1:8" x14ac:dyDescent="0.25">
      <c r="A57" t="s">
        <v>1666</v>
      </c>
      <c r="B57">
        <v>34900</v>
      </c>
      <c r="C57">
        <v>3</v>
      </c>
      <c r="D57">
        <v>6</v>
      </c>
      <c r="E57">
        <v>33800</v>
      </c>
      <c r="F57">
        <v>950</v>
      </c>
      <c r="G57" t="b">
        <v>0</v>
      </c>
      <c r="H57">
        <v>1</v>
      </c>
    </row>
    <row r="58" spans="1:8" x14ac:dyDescent="0.25">
      <c r="A58" t="s">
        <v>1667</v>
      </c>
      <c r="B58">
        <v>10000</v>
      </c>
      <c r="C58">
        <v>11</v>
      </c>
      <c r="D58">
        <v>6</v>
      </c>
      <c r="E58">
        <v>8900</v>
      </c>
      <c r="F58">
        <v>28</v>
      </c>
      <c r="G58" t="b">
        <v>0</v>
      </c>
      <c r="H58">
        <v>27</v>
      </c>
    </row>
    <row r="59" spans="1:8" x14ac:dyDescent="0.25">
      <c r="A59" t="s">
        <v>1307</v>
      </c>
      <c r="B59">
        <v>9000</v>
      </c>
      <c r="C59">
        <v>10</v>
      </c>
      <c r="D59">
        <v>6</v>
      </c>
      <c r="E59">
        <v>8100</v>
      </c>
      <c r="F59">
        <v>406</v>
      </c>
      <c r="G59" t="b">
        <v>0</v>
      </c>
      <c r="H59">
        <v>7</v>
      </c>
    </row>
    <row r="60" spans="1:8" x14ac:dyDescent="0.25">
      <c r="A60" t="s">
        <v>1247</v>
      </c>
      <c r="B60">
        <v>15500</v>
      </c>
      <c r="C60">
        <v>0</v>
      </c>
      <c r="D60">
        <v>6</v>
      </c>
      <c r="E60">
        <v>15500</v>
      </c>
      <c r="F60">
        <v>870</v>
      </c>
      <c r="G60" t="b">
        <v>0</v>
      </c>
      <c r="H60">
        <v>15</v>
      </c>
    </row>
    <row r="61" spans="1:8" x14ac:dyDescent="0.25">
      <c r="A61" t="s">
        <v>1668</v>
      </c>
      <c r="B61">
        <v>36000</v>
      </c>
      <c r="C61">
        <v>15</v>
      </c>
      <c r="D61">
        <v>6</v>
      </c>
      <c r="E61">
        <v>30600</v>
      </c>
      <c r="F61">
        <v>580</v>
      </c>
      <c r="G61" t="b">
        <v>0</v>
      </c>
      <c r="H61">
        <v>10</v>
      </c>
    </row>
    <row r="62" spans="1:8" x14ac:dyDescent="0.25">
      <c r="A62" t="s">
        <v>1360</v>
      </c>
      <c r="B62">
        <v>10500</v>
      </c>
      <c r="C62">
        <v>0</v>
      </c>
      <c r="D62">
        <v>4</v>
      </c>
      <c r="E62">
        <v>10500</v>
      </c>
      <c r="F62">
        <v>1160</v>
      </c>
      <c r="G62" t="b">
        <v>0</v>
      </c>
      <c r="H62">
        <v>20</v>
      </c>
    </row>
    <row r="63" spans="1:8" x14ac:dyDescent="0.25">
      <c r="A63" t="s">
        <v>1669</v>
      </c>
      <c r="B63">
        <v>5000</v>
      </c>
      <c r="C63">
        <v>6</v>
      </c>
      <c r="D63">
        <v>4</v>
      </c>
      <c r="E63">
        <v>4700</v>
      </c>
      <c r="F63">
        <v>10</v>
      </c>
      <c r="G63" t="b">
        <v>0</v>
      </c>
      <c r="H63">
        <v>10</v>
      </c>
    </row>
    <row r="64" spans="1:8" x14ac:dyDescent="0.25">
      <c r="A64" t="s">
        <v>1670</v>
      </c>
      <c r="B64">
        <v>7500</v>
      </c>
      <c r="C64">
        <v>5</v>
      </c>
      <c r="D64">
        <v>6</v>
      </c>
      <c r="E64">
        <v>7100</v>
      </c>
      <c r="F64">
        <v>15</v>
      </c>
      <c r="G64" t="b">
        <v>0</v>
      </c>
      <c r="H64">
        <v>15</v>
      </c>
    </row>
    <row r="65" spans="1:8" x14ac:dyDescent="0.25">
      <c r="A65" t="s">
        <v>1671</v>
      </c>
      <c r="B65">
        <v>23500</v>
      </c>
      <c r="C65">
        <v>5</v>
      </c>
      <c r="D65">
        <v>6</v>
      </c>
      <c r="E65">
        <v>22300</v>
      </c>
      <c r="F65">
        <v>500</v>
      </c>
      <c r="G65" t="b">
        <v>0</v>
      </c>
      <c r="H65">
        <v>500</v>
      </c>
    </row>
    <row r="66" spans="1:8" x14ac:dyDescent="0.25">
      <c r="A66" t="s">
        <v>1655</v>
      </c>
      <c r="B66">
        <v>11000</v>
      </c>
      <c r="C66">
        <v>22</v>
      </c>
      <c r="D66">
        <v>5</v>
      </c>
      <c r="E66">
        <v>8500</v>
      </c>
      <c r="F66">
        <v>100</v>
      </c>
      <c r="G66" t="b">
        <v>0</v>
      </c>
      <c r="H66">
        <v>100</v>
      </c>
    </row>
    <row r="67" spans="1:8" x14ac:dyDescent="0.25">
      <c r="A67" t="s">
        <v>1378</v>
      </c>
      <c r="B67">
        <v>13500</v>
      </c>
      <c r="C67">
        <v>5</v>
      </c>
      <c r="D67">
        <v>6</v>
      </c>
      <c r="E67">
        <v>12800</v>
      </c>
      <c r="F67">
        <v>50</v>
      </c>
      <c r="G67" t="b">
        <v>0</v>
      </c>
      <c r="H67">
        <v>50</v>
      </c>
    </row>
    <row r="68" spans="1:8" x14ac:dyDescent="0.25">
      <c r="A68" t="s">
        <v>1365</v>
      </c>
      <c r="B68">
        <v>17500</v>
      </c>
      <c r="C68">
        <v>0</v>
      </c>
      <c r="D68">
        <v>3</v>
      </c>
      <c r="E68">
        <v>17500</v>
      </c>
      <c r="F68">
        <v>812</v>
      </c>
      <c r="G68" t="b">
        <v>0</v>
      </c>
      <c r="H68">
        <v>14</v>
      </c>
    </row>
    <row r="69" spans="1:8" x14ac:dyDescent="0.25">
      <c r="A69" t="s">
        <v>1672</v>
      </c>
      <c r="B69">
        <v>17500</v>
      </c>
      <c r="C69">
        <v>10</v>
      </c>
      <c r="D69">
        <v>6</v>
      </c>
      <c r="E69">
        <v>15700</v>
      </c>
      <c r="F69">
        <v>230</v>
      </c>
      <c r="G69" t="b">
        <v>0</v>
      </c>
      <c r="H69">
        <v>230</v>
      </c>
    </row>
    <row r="70" spans="1:8" x14ac:dyDescent="0.25">
      <c r="A70" t="s">
        <v>1673</v>
      </c>
      <c r="B70">
        <v>19000</v>
      </c>
      <c r="C70">
        <v>6</v>
      </c>
      <c r="D70">
        <v>6</v>
      </c>
      <c r="E70">
        <v>17700</v>
      </c>
      <c r="F70">
        <v>500</v>
      </c>
      <c r="G70" t="b">
        <v>0</v>
      </c>
      <c r="H70">
        <v>500</v>
      </c>
    </row>
    <row r="71" spans="1:8" x14ac:dyDescent="0.25">
      <c r="A71" t="s">
        <v>1674</v>
      </c>
      <c r="B71">
        <v>10500</v>
      </c>
      <c r="C71">
        <v>9</v>
      </c>
      <c r="D71">
        <v>4</v>
      </c>
      <c r="E71">
        <v>9500</v>
      </c>
      <c r="F71">
        <v>116</v>
      </c>
      <c r="G71" t="b">
        <v>0</v>
      </c>
      <c r="H71">
        <v>2</v>
      </c>
    </row>
    <row r="72" spans="1:8" x14ac:dyDescent="0.25">
      <c r="A72" t="s">
        <v>1386</v>
      </c>
      <c r="B72">
        <v>11500</v>
      </c>
      <c r="C72">
        <v>0</v>
      </c>
      <c r="D72">
        <v>5</v>
      </c>
      <c r="E72">
        <v>11500</v>
      </c>
      <c r="F72">
        <v>1160</v>
      </c>
      <c r="G72" t="b">
        <v>0</v>
      </c>
      <c r="H72">
        <v>20</v>
      </c>
    </row>
    <row r="73" spans="1:8" x14ac:dyDescent="0.25">
      <c r="A73" t="s">
        <v>1675</v>
      </c>
      <c r="B73">
        <v>19500</v>
      </c>
      <c r="C73">
        <v>6</v>
      </c>
      <c r="D73">
        <v>6</v>
      </c>
      <c r="E73">
        <v>18200</v>
      </c>
      <c r="F73">
        <v>30</v>
      </c>
      <c r="G73" t="b">
        <v>0</v>
      </c>
      <c r="H73">
        <v>30</v>
      </c>
    </row>
    <row r="74" spans="1:8" x14ac:dyDescent="0.25">
      <c r="A74" t="s">
        <v>1676</v>
      </c>
      <c r="B74">
        <v>39500</v>
      </c>
      <c r="C74">
        <v>20</v>
      </c>
      <c r="D74">
        <v>4</v>
      </c>
      <c r="E74">
        <v>31600</v>
      </c>
      <c r="F74">
        <v>100</v>
      </c>
      <c r="G74" t="b">
        <v>0</v>
      </c>
      <c r="H74">
        <v>100</v>
      </c>
    </row>
    <row r="75" spans="1:8" x14ac:dyDescent="0.25">
      <c r="A75" t="s">
        <v>1677</v>
      </c>
      <c r="B75">
        <v>49500</v>
      </c>
      <c r="C75">
        <v>20</v>
      </c>
      <c r="D75">
        <v>6</v>
      </c>
      <c r="E75">
        <v>39600</v>
      </c>
      <c r="F75">
        <v>500</v>
      </c>
      <c r="G75" t="b">
        <v>0</v>
      </c>
      <c r="H75">
        <v>500</v>
      </c>
    </row>
    <row r="76" spans="1:8" x14ac:dyDescent="0.25">
      <c r="A76" t="s">
        <v>1678</v>
      </c>
      <c r="B76">
        <v>22500</v>
      </c>
      <c r="C76">
        <v>0</v>
      </c>
      <c r="D76">
        <v>6</v>
      </c>
      <c r="E76">
        <v>22500</v>
      </c>
      <c r="F76">
        <v>60</v>
      </c>
      <c r="G76" t="b">
        <v>0</v>
      </c>
      <c r="H76">
        <v>60</v>
      </c>
    </row>
    <row r="77" spans="1:8" x14ac:dyDescent="0.25">
      <c r="A77" t="s">
        <v>1199</v>
      </c>
      <c r="B77">
        <v>55500</v>
      </c>
      <c r="C77">
        <v>0</v>
      </c>
      <c r="D77">
        <v>1</v>
      </c>
      <c r="E77">
        <v>55500</v>
      </c>
      <c r="F77">
        <v>60</v>
      </c>
      <c r="G77" t="b">
        <v>0</v>
      </c>
      <c r="H77">
        <v>60</v>
      </c>
    </row>
    <row r="78" spans="1:8" x14ac:dyDescent="0.25">
      <c r="A78" t="s">
        <v>1679</v>
      </c>
      <c r="B78">
        <v>9900</v>
      </c>
      <c r="C78">
        <v>0</v>
      </c>
      <c r="D78">
        <v>1</v>
      </c>
      <c r="E78">
        <v>9900</v>
      </c>
      <c r="F78">
        <v>250</v>
      </c>
      <c r="G78" t="b">
        <v>0</v>
      </c>
      <c r="H78">
        <v>25</v>
      </c>
    </row>
    <row r="79" spans="1:8" x14ac:dyDescent="0.25">
      <c r="A79" t="s">
        <v>1680</v>
      </c>
      <c r="B79">
        <v>10500</v>
      </c>
      <c r="C79">
        <v>11</v>
      </c>
      <c r="D79">
        <v>6</v>
      </c>
      <c r="E79">
        <v>9300</v>
      </c>
      <c r="F79">
        <v>25</v>
      </c>
      <c r="G79" t="b">
        <v>0</v>
      </c>
      <c r="H79">
        <v>25</v>
      </c>
    </row>
    <row r="80" spans="1:8" x14ac:dyDescent="0.25">
      <c r="A80" t="s">
        <v>1402</v>
      </c>
      <c r="B80">
        <v>37500</v>
      </c>
      <c r="C80">
        <v>0</v>
      </c>
      <c r="D80">
        <v>2</v>
      </c>
      <c r="E80">
        <v>37500</v>
      </c>
      <c r="F80">
        <v>116</v>
      </c>
      <c r="G80" t="b">
        <v>0</v>
      </c>
      <c r="H80">
        <v>2</v>
      </c>
    </row>
    <row r="81" spans="1:8" x14ac:dyDescent="0.25">
      <c r="A81" t="s">
        <v>1681</v>
      </c>
      <c r="B81">
        <v>20500</v>
      </c>
      <c r="C81">
        <v>20</v>
      </c>
      <c r="D81">
        <v>1</v>
      </c>
      <c r="E81">
        <v>16400</v>
      </c>
      <c r="F81">
        <v>60</v>
      </c>
      <c r="G81" t="b">
        <v>0</v>
      </c>
      <c r="H81">
        <v>60</v>
      </c>
    </row>
    <row r="82" spans="1:8" x14ac:dyDescent="0.25">
      <c r="A82" t="s">
        <v>1682</v>
      </c>
      <c r="B82">
        <v>27000</v>
      </c>
      <c r="C82">
        <v>0</v>
      </c>
      <c r="D82">
        <v>2</v>
      </c>
      <c r="E82">
        <v>27000</v>
      </c>
      <c r="F82">
        <v>200</v>
      </c>
      <c r="G82" t="b">
        <v>0</v>
      </c>
      <c r="H82">
        <v>200</v>
      </c>
    </row>
    <row r="83" spans="1:8" x14ac:dyDescent="0.25">
      <c r="A83" t="s">
        <v>1683</v>
      </c>
      <c r="B83">
        <v>14000</v>
      </c>
      <c r="C83">
        <v>5</v>
      </c>
      <c r="D83">
        <v>6</v>
      </c>
      <c r="E83">
        <v>13300</v>
      </c>
      <c r="F83">
        <v>100</v>
      </c>
      <c r="G83" t="b">
        <v>0</v>
      </c>
      <c r="H83">
        <v>100</v>
      </c>
    </row>
    <row r="84" spans="1:8" x14ac:dyDescent="0.25">
      <c r="A84" t="s">
        <v>1684</v>
      </c>
      <c r="B84">
        <v>40000</v>
      </c>
      <c r="C84">
        <v>15</v>
      </c>
      <c r="D84">
        <v>1</v>
      </c>
      <c r="E84">
        <v>34000</v>
      </c>
      <c r="F84">
        <v>1000</v>
      </c>
      <c r="G84" t="b">
        <v>0</v>
      </c>
      <c r="H84">
        <v>1</v>
      </c>
    </row>
    <row r="85" spans="1:8" x14ac:dyDescent="0.25">
      <c r="A85" t="s">
        <v>1685</v>
      </c>
      <c r="B85">
        <v>23500</v>
      </c>
      <c r="C85">
        <v>15</v>
      </c>
      <c r="D85">
        <v>6</v>
      </c>
      <c r="E85">
        <v>19900</v>
      </c>
      <c r="F85">
        <v>1000</v>
      </c>
      <c r="G85" t="b">
        <v>0</v>
      </c>
      <c r="H85">
        <v>1</v>
      </c>
    </row>
    <row r="86" spans="1:8" x14ac:dyDescent="0.25">
      <c r="A86" t="s">
        <v>1686</v>
      </c>
      <c r="B86">
        <v>4000</v>
      </c>
      <c r="C86">
        <v>50</v>
      </c>
      <c r="D86">
        <v>0</v>
      </c>
      <c r="E86">
        <v>2000</v>
      </c>
      <c r="F86">
        <v>75</v>
      </c>
      <c r="G86" t="b">
        <v>1</v>
      </c>
      <c r="H86">
        <v>75</v>
      </c>
    </row>
    <row r="87" spans="1:8" x14ac:dyDescent="0.25">
      <c r="A87" t="s">
        <v>1615</v>
      </c>
      <c r="B87">
        <v>11600</v>
      </c>
      <c r="C87">
        <v>0</v>
      </c>
      <c r="D87">
        <v>0</v>
      </c>
      <c r="E87">
        <v>11600</v>
      </c>
      <c r="F87">
        <v>250</v>
      </c>
      <c r="G87" t="b">
        <v>1</v>
      </c>
      <c r="H87">
        <v>250</v>
      </c>
    </row>
    <row r="88" spans="1:8" x14ac:dyDescent="0.25">
      <c r="A88" t="s">
        <v>1429</v>
      </c>
      <c r="B88">
        <v>3000</v>
      </c>
      <c r="C88">
        <v>3</v>
      </c>
      <c r="D88">
        <v>0</v>
      </c>
      <c r="E88">
        <v>2900</v>
      </c>
      <c r="F88">
        <v>406</v>
      </c>
      <c r="G88" t="b">
        <v>1</v>
      </c>
      <c r="H88">
        <v>7</v>
      </c>
    </row>
    <row r="89" spans="1:8" x14ac:dyDescent="0.25">
      <c r="A89" t="s">
        <v>1687</v>
      </c>
      <c r="B89">
        <v>5400</v>
      </c>
      <c r="C89">
        <v>11</v>
      </c>
      <c r="D89">
        <v>0</v>
      </c>
      <c r="E89">
        <v>4800</v>
      </c>
      <c r="F89">
        <v>5</v>
      </c>
      <c r="G89" t="b">
        <v>1</v>
      </c>
      <c r="H89">
        <v>5</v>
      </c>
    </row>
    <row r="90" spans="1:8" x14ac:dyDescent="0.25">
      <c r="A90" t="s">
        <v>1434</v>
      </c>
      <c r="B90">
        <v>3200</v>
      </c>
      <c r="C90">
        <v>9</v>
      </c>
      <c r="D90">
        <v>0</v>
      </c>
      <c r="E90">
        <v>2900</v>
      </c>
      <c r="F90">
        <v>406</v>
      </c>
      <c r="G90" t="b">
        <v>1</v>
      </c>
      <c r="H90">
        <v>7</v>
      </c>
    </row>
    <row r="91" spans="1:8" x14ac:dyDescent="0.25">
      <c r="A91" t="s">
        <v>1433</v>
      </c>
      <c r="B91">
        <v>9000</v>
      </c>
      <c r="C91">
        <v>0</v>
      </c>
      <c r="D91">
        <v>0</v>
      </c>
      <c r="E91">
        <v>9000</v>
      </c>
      <c r="F91">
        <v>406</v>
      </c>
      <c r="G91" t="b">
        <v>1</v>
      </c>
      <c r="H91">
        <v>7</v>
      </c>
    </row>
    <row r="92" spans="1:8" x14ac:dyDescent="0.25">
      <c r="A92" t="s">
        <v>1436</v>
      </c>
      <c r="B92">
        <v>24900</v>
      </c>
      <c r="C92">
        <v>7</v>
      </c>
      <c r="D92">
        <v>0</v>
      </c>
      <c r="E92">
        <v>23000</v>
      </c>
      <c r="F92">
        <v>58</v>
      </c>
      <c r="G92" t="b">
        <v>1</v>
      </c>
      <c r="H92">
        <v>1</v>
      </c>
    </row>
    <row r="93" spans="1:8" x14ac:dyDescent="0.25">
      <c r="A93" t="s">
        <v>1204</v>
      </c>
      <c r="B93">
        <v>9000</v>
      </c>
      <c r="C93">
        <v>3</v>
      </c>
      <c r="D93">
        <v>0</v>
      </c>
      <c r="E93">
        <v>8700</v>
      </c>
      <c r="F93">
        <v>58</v>
      </c>
      <c r="G93" t="b">
        <v>1</v>
      </c>
      <c r="H93">
        <v>20</v>
      </c>
    </row>
    <row r="94" spans="1:8" x14ac:dyDescent="0.25">
      <c r="A94" t="s">
        <v>1437</v>
      </c>
      <c r="B94">
        <v>4200</v>
      </c>
      <c r="C94">
        <v>2</v>
      </c>
      <c r="D94">
        <v>0</v>
      </c>
      <c r="E94">
        <v>4100</v>
      </c>
      <c r="F94">
        <v>406</v>
      </c>
      <c r="G94" t="b">
        <v>1</v>
      </c>
      <c r="H94">
        <v>7</v>
      </c>
    </row>
    <row r="95" spans="1:8" x14ac:dyDescent="0.25">
      <c r="A95" t="s">
        <v>1688</v>
      </c>
      <c r="B95">
        <v>10500</v>
      </c>
      <c r="C95">
        <v>15</v>
      </c>
      <c r="D95">
        <v>0</v>
      </c>
      <c r="E95">
        <v>8900</v>
      </c>
      <c r="F95">
        <v>100</v>
      </c>
      <c r="G95" t="b">
        <v>1</v>
      </c>
      <c r="H95">
        <v>100</v>
      </c>
    </row>
    <row r="96" spans="1:8" x14ac:dyDescent="0.25">
      <c r="A96" t="s">
        <v>1442</v>
      </c>
      <c r="B96">
        <v>18500</v>
      </c>
      <c r="C96">
        <v>0</v>
      </c>
      <c r="D96">
        <v>0</v>
      </c>
      <c r="E96">
        <v>18500</v>
      </c>
      <c r="F96">
        <v>870</v>
      </c>
      <c r="G96" t="b">
        <v>1</v>
      </c>
      <c r="H96">
        <v>15</v>
      </c>
    </row>
    <row r="97" spans="1:8" x14ac:dyDescent="0.25">
      <c r="A97" t="s">
        <v>1657</v>
      </c>
      <c r="B97">
        <v>6000</v>
      </c>
      <c r="C97">
        <v>0</v>
      </c>
      <c r="D97">
        <v>0</v>
      </c>
      <c r="E97">
        <v>6000</v>
      </c>
      <c r="F97">
        <v>50</v>
      </c>
      <c r="G97" t="b">
        <v>1</v>
      </c>
      <c r="H97">
        <v>50</v>
      </c>
    </row>
    <row r="98" spans="1:8" x14ac:dyDescent="0.25">
      <c r="A98" t="s">
        <v>1476</v>
      </c>
      <c r="B98">
        <v>3000</v>
      </c>
      <c r="C98">
        <v>0</v>
      </c>
      <c r="D98">
        <v>0</v>
      </c>
      <c r="E98">
        <v>3000</v>
      </c>
      <c r="F98">
        <v>60</v>
      </c>
      <c r="G98" t="b">
        <v>1</v>
      </c>
      <c r="H98">
        <v>60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H47"/>
  <sheetViews>
    <sheetView topLeftCell="A26" workbookViewId="0">
      <selection activeCell="A2" sqref="A2:H47"/>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1689</v>
      </c>
      <c r="B2">
        <v>5000</v>
      </c>
      <c r="C2">
        <v>2</v>
      </c>
      <c r="D2">
        <v>1</v>
      </c>
      <c r="E2">
        <v>4900</v>
      </c>
      <c r="F2">
        <v>300</v>
      </c>
      <c r="G2" t="b">
        <v>0</v>
      </c>
      <c r="H2">
        <v>300</v>
      </c>
    </row>
    <row r="3" spans="1:8" x14ac:dyDescent="0.25">
      <c r="A3" t="s">
        <v>1690</v>
      </c>
      <c r="B3">
        <v>7900</v>
      </c>
      <c r="C3">
        <v>25</v>
      </c>
      <c r="D3">
        <v>6</v>
      </c>
      <c r="E3">
        <v>5900</v>
      </c>
      <c r="F3">
        <v>330</v>
      </c>
      <c r="G3" t="b">
        <v>0</v>
      </c>
      <c r="H3">
        <v>330</v>
      </c>
    </row>
    <row r="4" spans="1:8" x14ac:dyDescent="0.25">
      <c r="A4" t="s">
        <v>1691</v>
      </c>
      <c r="B4">
        <v>5000</v>
      </c>
      <c r="C4">
        <v>2</v>
      </c>
      <c r="D4">
        <v>6</v>
      </c>
      <c r="E4">
        <v>4900</v>
      </c>
      <c r="F4">
        <v>300</v>
      </c>
      <c r="G4" t="b">
        <v>0</v>
      </c>
      <c r="H4">
        <v>300</v>
      </c>
    </row>
    <row r="5" spans="1:8" x14ac:dyDescent="0.25">
      <c r="A5" t="s">
        <v>1692</v>
      </c>
      <c r="B5">
        <v>7900</v>
      </c>
      <c r="C5">
        <v>25</v>
      </c>
      <c r="D5">
        <v>6</v>
      </c>
      <c r="E5">
        <v>5900</v>
      </c>
      <c r="F5">
        <v>330</v>
      </c>
      <c r="G5" t="b">
        <v>0</v>
      </c>
      <c r="H5">
        <v>330</v>
      </c>
    </row>
    <row r="6" spans="1:8" x14ac:dyDescent="0.25">
      <c r="A6" t="s">
        <v>1693</v>
      </c>
      <c r="B6">
        <v>10900</v>
      </c>
      <c r="C6">
        <v>5</v>
      </c>
      <c r="D6">
        <v>3</v>
      </c>
      <c r="E6">
        <v>10300</v>
      </c>
      <c r="F6">
        <v>107</v>
      </c>
      <c r="G6" t="b">
        <v>0</v>
      </c>
      <c r="H6">
        <v>110</v>
      </c>
    </row>
    <row r="7" spans="1:8" x14ac:dyDescent="0.25">
      <c r="A7" t="s">
        <v>1694</v>
      </c>
      <c r="B7">
        <v>7900</v>
      </c>
      <c r="C7">
        <v>25</v>
      </c>
      <c r="D7">
        <v>6</v>
      </c>
      <c r="E7">
        <v>5900</v>
      </c>
      <c r="F7">
        <v>330</v>
      </c>
      <c r="G7" t="b">
        <v>0</v>
      </c>
      <c r="H7">
        <v>330</v>
      </c>
    </row>
    <row r="8" spans="1:8" x14ac:dyDescent="0.25">
      <c r="A8" t="s">
        <v>1695</v>
      </c>
      <c r="B8">
        <v>7900</v>
      </c>
      <c r="C8">
        <v>25</v>
      </c>
      <c r="D8">
        <v>6</v>
      </c>
      <c r="E8">
        <v>5900</v>
      </c>
      <c r="F8">
        <v>330</v>
      </c>
      <c r="G8" t="b">
        <v>0</v>
      </c>
      <c r="H8">
        <v>330</v>
      </c>
    </row>
    <row r="9" spans="1:8" x14ac:dyDescent="0.25">
      <c r="A9" t="s">
        <v>1696</v>
      </c>
      <c r="B9">
        <v>7900</v>
      </c>
      <c r="C9">
        <v>25</v>
      </c>
      <c r="D9">
        <v>6</v>
      </c>
      <c r="E9">
        <v>5900</v>
      </c>
      <c r="F9">
        <v>330</v>
      </c>
      <c r="G9" t="b">
        <v>0</v>
      </c>
      <c r="H9">
        <v>330</v>
      </c>
    </row>
    <row r="10" spans="1:8" x14ac:dyDescent="0.25">
      <c r="A10" t="s">
        <v>1697</v>
      </c>
      <c r="B10">
        <v>4900</v>
      </c>
      <c r="C10">
        <v>2</v>
      </c>
      <c r="D10">
        <v>6</v>
      </c>
      <c r="E10">
        <v>4800</v>
      </c>
      <c r="F10">
        <v>60</v>
      </c>
      <c r="G10" t="b">
        <v>0</v>
      </c>
      <c r="H10">
        <v>60</v>
      </c>
    </row>
    <row r="11" spans="1:8" x14ac:dyDescent="0.25">
      <c r="A11" t="s">
        <v>1698</v>
      </c>
      <c r="B11">
        <v>7900</v>
      </c>
      <c r="C11">
        <v>25</v>
      </c>
      <c r="D11">
        <v>6</v>
      </c>
      <c r="E11">
        <v>5900</v>
      </c>
      <c r="F11">
        <v>330</v>
      </c>
      <c r="G11" t="b">
        <v>0</v>
      </c>
      <c r="H11">
        <v>330</v>
      </c>
    </row>
    <row r="12" spans="1:8" x14ac:dyDescent="0.25">
      <c r="A12" t="s">
        <v>1699</v>
      </c>
      <c r="B12">
        <v>10900</v>
      </c>
      <c r="C12">
        <v>5</v>
      </c>
      <c r="D12">
        <v>6</v>
      </c>
      <c r="E12">
        <v>10300</v>
      </c>
      <c r="F12">
        <v>107</v>
      </c>
      <c r="G12" t="b">
        <v>0</v>
      </c>
      <c r="H12">
        <v>110</v>
      </c>
    </row>
    <row r="13" spans="1:8" x14ac:dyDescent="0.25">
      <c r="A13" t="s">
        <v>1700</v>
      </c>
      <c r="B13">
        <v>9900</v>
      </c>
      <c r="C13">
        <v>5</v>
      </c>
      <c r="D13">
        <v>6</v>
      </c>
      <c r="E13">
        <v>9400</v>
      </c>
      <c r="F13">
        <v>250</v>
      </c>
      <c r="G13" t="b">
        <v>0</v>
      </c>
      <c r="H13">
        <v>250</v>
      </c>
    </row>
    <row r="14" spans="1:8" x14ac:dyDescent="0.25">
      <c r="A14" t="s">
        <v>1701</v>
      </c>
      <c r="B14">
        <v>3900</v>
      </c>
      <c r="C14">
        <v>2</v>
      </c>
      <c r="D14">
        <v>6</v>
      </c>
      <c r="E14">
        <v>3800</v>
      </c>
      <c r="F14">
        <v>35</v>
      </c>
      <c r="G14" t="b">
        <v>0</v>
      </c>
      <c r="H14">
        <v>35</v>
      </c>
    </row>
    <row r="15" spans="1:8" x14ac:dyDescent="0.25">
      <c r="A15" t="s">
        <v>1702</v>
      </c>
      <c r="B15">
        <v>8000</v>
      </c>
      <c r="C15">
        <v>10</v>
      </c>
      <c r="D15">
        <v>2</v>
      </c>
      <c r="E15">
        <v>7200</v>
      </c>
      <c r="F15">
        <v>94</v>
      </c>
      <c r="G15" t="b">
        <v>0</v>
      </c>
      <c r="H15">
        <v>94</v>
      </c>
    </row>
    <row r="16" spans="1:8" x14ac:dyDescent="0.25">
      <c r="A16" t="s">
        <v>1703</v>
      </c>
      <c r="B16">
        <v>3900</v>
      </c>
      <c r="C16">
        <v>15</v>
      </c>
      <c r="D16">
        <v>6</v>
      </c>
      <c r="E16">
        <v>3300</v>
      </c>
      <c r="F16">
        <v>35</v>
      </c>
      <c r="G16" t="b">
        <v>0</v>
      </c>
      <c r="H16">
        <v>35</v>
      </c>
    </row>
    <row r="17" spans="1:8" x14ac:dyDescent="0.25">
      <c r="A17" t="s">
        <v>1704</v>
      </c>
      <c r="B17">
        <v>7500</v>
      </c>
      <c r="C17">
        <v>9</v>
      </c>
      <c r="D17">
        <v>6</v>
      </c>
      <c r="E17">
        <v>6800</v>
      </c>
      <c r="F17">
        <v>85</v>
      </c>
      <c r="G17" t="b">
        <v>0</v>
      </c>
      <c r="H17">
        <v>85</v>
      </c>
    </row>
    <row r="18" spans="1:8" x14ac:dyDescent="0.25">
      <c r="A18" t="s">
        <v>713</v>
      </c>
      <c r="B18">
        <v>10000</v>
      </c>
      <c r="C18">
        <v>10</v>
      </c>
      <c r="D18">
        <v>6</v>
      </c>
      <c r="E18">
        <v>9000</v>
      </c>
      <c r="F18">
        <v>52</v>
      </c>
      <c r="G18" t="b">
        <v>0</v>
      </c>
      <c r="H18">
        <v>52</v>
      </c>
    </row>
    <row r="19" spans="1:8" x14ac:dyDescent="0.25">
      <c r="A19" t="s">
        <v>718</v>
      </c>
      <c r="B19">
        <v>5000</v>
      </c>
      <c r="C19">
        <v>12</v>
      </c>
      <c r="D19">
        <v>1</v>
      </c>
      <c r="E19">
        <v>4400</v>
      </c>
      <c r="F19">
        <v>50</v>
      </c>
      <c r="G19" t="b">
        <v>0</v>
      </c>
      <c r="H19">
        <v>50</v>
      </c>
    </row>
    <row r="20" spans="1:8" x14ac:dyDescent="0.25">
      <c r="A20" t="s">
        <v>719</v>
      </c>
      <c r="B20">
        <v>5500</v>
      </c>
      <c r="C20">
        <v>25</v>
      </c>
      <c r="D20">
        <v>6</v>
      </c>
      <c r="E20">
        <v>4100</v>
      </c>
      <c r="F20">
        <v>27</v>
      </c>
      <c r="G20" t="b">
        <v>0</v>
      </c>
      <c r="H20">
        <v>27</v>
      </c>
    </row>
    <row r="21" spans="1:8" x14ac:dyDescent="0.25">
      <c r="A21" t="s">
        <v>726</v>
      </c>
      <c r="B21">
        <v>5500</v>
      </c>
      <c r="C21">
        <v>20</v>
      </c>
      <c r="D21">
        <v>6</v>
      </c>
      <c r="E21">
        <v>4400</v>
      </c>
      <c r="F21">
        <v>27</v>
      </c>
      <c r="G21" t="b">
        <v>0</v>
      </c>
      <c r="H21">
        <v>27</v>
      </c>
    </row>
    <row r="22" spans="1:8" x14ac:dyDescent="0.25">
      <c r="A22" t="s">
        <v>727</v>
      </c>
      <c r="B22">
        <v>5500</v>
      </c>
      <c r="C22">
        <v>20</v>
      </c>
      <c r="D22">
        <v>6</v>
      </c>
      <c r="E22">
        <v>4400</v>
      </c>
      <c r="F22">
        <v>27</v>
      </c>
      <c r="G22" t="b">
        <v>0</v>
      </c>
      <c r="H22">
        <v>27</v>
      </c>
    </row>
    <row r="23" spans="1:8" x14ac:dyDescent="0.25">
      <c r="A23" t="s">
        <v>1705</v>
      </c>
      <c r="B23">
        <v>8000</v>
      </c>
      <c r="C23">
        <v>15</v>
      </c>
      <c r="D23">
        <v>6</v>
      </c>
      <c r="E23">
        <v>6800</v>
      </c>
      <c r="F23">
        <v>92</v>
      </c>
      <c r="G23" t="b">
        <v>0</v>
      </c>
      <c r="H23">
        <v>92</v>
      </c>
    </row>
    <row r="24" spans="1:8" x14ac:dyDescent="0.25">
      <c r="A24" t="s">
        <v>731</v>
      </c>
      <c r="B24">
        <v>5500</v>
      </c>
      <c r="C24">
        <v>25</v>
      </c>
      <c r="D24">
        <v>6</v>
      </c>
      <c r="E24">
        <v>4100</v>
      </c>
      <c r="F24">
        <v>27</v>
      </c>
      <c r="G24" t="b">
        <v>0</v>
      </c>
      <c r="H24">
        <v>27</v>
      </c>
    </row>
    <row r="25" spans="1:8" x14ac:dyDescent="0.25">
      <c r="A25" t="s">
        <v>1706</v>
      </c>
      <c r="B25">
        <v>9900</v>
      </c>
      <c r="C25">
        <v>20</v>
      </c>
      <c r="D25">
        <v>6</v>
      </c>
      <c r="E25">
        <v>7900</v>
      </c>
      <c r="F25">
        <v>125</v>
      </c>
      <c r="G25" t="b">
        <v>0</v>
      </c>
      <c r="H25">
        <v>125</v>
      </c>
    </row>
    <row r="26" spans="1:8" x14ac:dyDescent="0.25">
      <c r="A26" t="s">
        <v>735</v>
      </c>
      <c r="B26">
        <v>4000</v>
      </c>
      <c r="C26">
        <v>12</v>
      </c>
      <c r="D26">
        <v>4</v>
      </c>
      <c r="E26">
        <v>3500</v>
      </c>
      <c r="F26">
        <v>38</v>
      </c>
      <c r="G26" t="b">
        <v>0</v>
      </c>
      <c r="H26">
        <v>38</v>
      </c>
    </row>
    <row r="27" spans="1:8" x14ac:dyDescent="0.25">
      <c r="A27" t="s">
        <v>740</v>
      </c>
      <c r="B27">
        <v>5500</v>
      </c>
      <c r="C27">
        <v>20</v>
      </c>
      <c r="D27">
        <v>5</v>
      </c>
      <c r="E27">
        <v>4400</v>
      </c>
      <c r="F27">
        <v>27</v>
      </c>
      <c r="G27" t="b">
        <v>0</v>
      </c>
      <c r="H27">
        <v>27</v>
      </c>
    </row>
    <row r="28" spans="1:8" x14ac:dyDescent="0.25">
      <c r="A28" t="s">
        <v>1707</v>
      </c>
      <c r="B28">
        <v>6500</v>
      </c>
      <c r="C28">
        <v>7</v>
      </c>
      <c r="D28">
        <v>6</v>
      </c>
      <c r="E28">
        <v>6000</v>
      </c>
      <c r="F28">
        <v>200</v>
      </c>
      <c r="G28" t="b">
        <v>0</v>
      </c>
      <c r="H28">
        <v>200</v>
      </c>
    </row>
    <row r="29" spans="1:8" x14ac:dyDescent="0.25">
      <c r="A29" t="s">
        <v>1708</v>
      </c>
      <c r="B29">
        <v>17500</v>
      </c>
      <c r="C29">
        <v>14</v>
      </c>
      <c r="D29">
        <v>6</v>
      </c>
      <c r="E29">
        <v>14900</v>
      </c>
      <c r="F29">
        <v>125</v>
      </c>
      <c r="G29" t="b">
        <v>0</v>
      </c>
      <c r="H29">
        <v>125</v>
      </c>
    </row>
    <row r="30" spans="1:8" x14ac:dyDescent="0.25">
      <c r="A30" t="s">
        <v>745</v>
      </c>
      <c r="B30">
        <v>6000</v>
      </c>
      <c r="C30">
        <v>20</v>
      </c>
      <c r="D30">
        <v>6</v>
      </c>
      <c r="E30">
        <v>4800</v>
      </c>
      <c r="F30">
        <v>40</v>
      </c>
      <c r="G30" t="b">
        <v>0</v>
      </c>
      <c r="H30">
        <v>40</v>
      </c>
    </row>
    <row r="31" spans="1:8" x14ac:dyDescent="0.25">
      <c r="A31" t="s">
        <v>748</v>
      </c>
      <c r="B31">
        <v>10000</v>
      </c>
      <c r="C31">
        <v>26</v>
      </c>
      <c r="D31">
        <v>6</v>
      </c>
      <c r="E31">
        <v>7400</v>
      </c>
      <c r="F31">
        <v>52</v>
      </c>
      <c r="G31" t="b">
        <v>0</v>
      </c>
      <c r="H31">
        <v>52</v>
      </c>
    </row>
    <row r="32" spans="1:8" x14ac:dyDescent="0.25">
      <c r="A32" t="s">
        <v>751</v>
      </c>
      <c r="B32">
        <v>5500</v>
      </c>
      <c r="C32">
        <v>25</v>
      </c>
      <c r="D32">
        <v>6</v>
      </c>
      <c r="E32">
        <v>4100</v>
      </c>
      <c r="F32">
        <v>27</v>
      </c>
      <c r="G32" t="b">
        <v>0</v>
      </c>
      <c r="H32">
        <v>27</v>
      </c>
    </row>
    <row r="33" spans="1:8" x14ac:dyDescent="0.25">
      <c r="A33" t="s">
        <v>1709</v>
      </c>
      <c r="B33">
        <v>7500</v>
      </c>
      <c r="C33">
        <v>13</v>
      </c>
      <c r="D33">
        <v>6</v>
      </c>
      <c r="E33">
        <v>6500</v>
      </c>
      <c r="F33">
        <v>85</v>
      </c>
      <c r="G33" t="b">
        <v>0</v>
      </c>
      <c r="H33">
        <v>85</v>
      </c>
    </row>
    <row r="34" spans="1:8" x14ac:dyDescent="0.25">
      <c r="A34" t="s">
        <v>1710</v>
      </c>
      <c r="B34">
        <v>2500</v>
      </c>
      <c r="C34">
        <v>0</v>
      </c>
      <c r="D34">
        <v>6</v>
      </c>
      <c r="E34">
        <v>2500</v>
      </c>
      <c r="F34">
        <v>100</v>
      </c>
      <c r="G34" t="b">
        <v>0</v>
      </c>
      <c r="H34">
        <v>100</v>
      </c>
    </row>
    <row r="35" spans="1:8" x14ac:dyDescent="0.25">
      <c r="A35" t="s">
        <v>758</v>
      </c>
      <c r="B35">
        <v>6000</v>
      </c>
      <c r="C35">
        <v>26</v>
      </c>
      <c r="D35">
        <v>6</v>
      </c>
      <c r="E35">
        <v>4400</v>
      </c>
      <c r="F35">
        <v>40</v>
      </c>
      <c r="G35" t="b">
        <v>0</v>
      </c>
      <c r="H35">
        <v>40</v>
      </c>
    </row>
    <row r="36" spans="1:8" x14ac:dyDescent="0.25">
      <c r="A36" t="s">
        <v>1711</v>
      </c>
      <c r="B36">
        <v>9900</v>
      </c>
      <c r="C36">
        <v>15</v>
      </c>
      <c r="D36">
        <v>6</v>
      </c>
      <c r="E36">
        <v>8400</v>
      </c>
      <c r="F36">
        <v>125</v>
      </c>
      <c r="G36" t="b">
        <v>0</v>
      </c>
      <c r="H36">
        <v>150</v>
      </c>
    </row>
    <row r="37" spans="1:8" x14ac:dyDescent="0.25">
      <c r="A37" t="s">
        <v>761</v>
      </c>
      <c r="B37">
        <v>10000</v>
      </c>
      <c r="C37">
        <v>26</v>
      </c>
      <c r="D37">
        <v>6</v>
      </c>
      <c r="E37">
        <v>7400</v>
      </c>
      <c r="F37">
        <v>52</v>
      </c>
      <c r="G37" t="b">
        <v>0</v>
      </c>
      <c r="H37">
        <v>52</v>
      </c>
    </row>
    <row r="38" spans="1:8" x14ac:dyDescent="0.25">
      <c r="A38" t="s">
        <v>764</v>
      </c>
      <c r="B38">
        <v>12500</v>
      </c>
      <c r="C38">
        <v>15</v>
      </c>
      <c r="D38">
        <v>4</v>
      </c>
      <c r="E38">
        <v>10600</v>
      </c>
      <c r="F38">
        <v>60</v>
      </c>
      <c r="G38" t="b">
        <v>0</v>
      </c>
      <c r="H38">
        <v>60</v>
      </c>
    </row>
    <row r="39" spans="1:8" x14ac:dyDescent="0.25">
      <c r="A39" t="s">
        <v>780</v>
      </c>
      <c r="B39">
        <v>6000</v>
      </c>
      <c r="C39">
        <v>20</v>
      </c>
      <c r="D39">
        <v>6</v>
      </c>
      <c r="E39">
        <v>4800</v>
      </c>
      <c r="F39">
        <v>40</v>
      </c>
      <c r="G39" t="b">
        <v>0</v>
      </c>
      <c r="H39">
        <v>40</v>
      </c>
    </row>
    <row r="40" spans="1:8" x14ac:dyDescent="0.25">
      <c r="A40" t="s">
        <v>1712</v>
      </c>
      <c r="B40">
        <v>9500</v>
      </c>
      <c r="C40">
        <v>0</v>
      </c>
      <c r="D40">
        <v>6</v>
      </c>
      <c r="E40">
        <v>9500</v>
      </c>
      <c r="F40">
        <v>200</v>
      </c>
      <c r="G40" t="b">
        <v>0</v>
      </c>
      <c r="H40">
        <v>200</v>
      </c>
    </row>
    <row r="41" spans="1:8" x14ac:dyDescent="0.25">
      <c r="A41" t="s">
        <v>1713</v>
      </c>
      <c r="B41">
        <v>5000</v>
      </c>
      <c r="C41">
        <v>30</v>
      </c>
      <c r="D41">
        <v>6</v>
      </c>
      <c r="E41">
        <v>3500</v>
      </c>
      <c r="F41">
        <v>125</v>
      </c>
      <c r="G41" t="b">
        <v>0</v>
      </c>
      <c r="H41">
        <v>125</v>
      </c>
    </row>
    <row r="42" spans="1:8" x14ac:dyDescent="0.25">
      <c r="A42" t="s">
        <v>810</v>
      </c>
      <c r="B42">
        <v>6000</v>
      </c>
      <c r="C42">
        <v>20</v>
      </c>
      <c r="D42">
        <v>6</v>
      </c>
      <c r="E42">
        <v>4800</v>
      </c>
      <c r="F42">
        <v>40</v>
      </c>
      <c r="G42" t="b">
        <v>0</v>
      </c>
      <c r="H42">
        <v>40</v>
      </c>
    </row>
    <row r="43" spans="1:8" x14ac:dyDescent="0.25">
      <c r="A43" t="s">
        <v>1714</v>
      </c>
      <c r="B43">
        <v>5000</v>
      </c>
      <c r="C43">
        <v>2</v>
      </c>
      <c r="D43">
        <v>6</v>
      </c>
      <c r="E43">
        <v>4900</v>
      </c>
      <c r="F43">
        <v>30</v>
      </c>
      <c r="G43" t="b">
        <v>0</v>
      </c>
      <c r="H43">
        <v>30</v>
      </c>
    </row>
    <row r="44" spans="1:8" x14ac:dyDescent="0.25">
      <c r="A44" t="s">
        <v>353</v>
      </c>
      <c r="B44">
        <v>14000</v>
      </c>
      <c r="C44">
        <v>15</v>
      </c>
      <c r="D44">
        <v>6</v>
      </c>
      <c r="E44">
        <v>11800</v>
      </c>
      <c r="F44">
        <v>250</v>
      </c>
      <c r="G44" t="b">
        <v>0</v>
      </c>
      <c r="H44">
        <v>250</v>
      </c>
    </row>
    <row r="45" spans="1:8" x14ac:dyDescent="0.25">
      <c r="A45" t="s">
        <v>1715</v>
      </c>
      <c r="B45">
        <v>5000</v>
      </c>
      <c r="C45">
        <v>30</v>
      </c>
      <c r="D45">
        <v>6</v>
      </c>
      <c r="E45">
        <v>3500</v>
      </c>
      <c r="F45">
        <v>125</v>
      </c>
      <c r="G45" t="b">
        <v>0</v>
      </c>
      <c r="H45">
        <v>125</v>
      </c>
    </row>
    <row r="46" spans="1:8" x14ac:dyDescent="0.25">
      <c r="A46" t="s">
        <v>1716</v>
      </c>
      <c r="B46">
        <v>30000</v>
      </c>
      <c r="C46">
        <v>11</v>
      </c>
      <c r="D46">
        <v>6</v>
      </c>
      <c r="E46">
        <v>26700</v>
      </c>
      <c r="F46">
        <v>580</v>
      </c>
      <c r="G46" t="b">
        <v>0</v>
      </c>
      <c r="H46">
        <v>10</v>
      </c>
    </row>
    <row r="47" spans="1:8" x14ac:dyDescent="0.25">
      <c r="A47" t="s">
        <v>1717</v>
      </c>
      <c r="B47">
        <v>5000</v>
      </c>
      <c r="C47">
        <v>30</v>
      </c>
      <c r="D47">
        <v>0</v>
      </c>
      <c r="E47">
        <v>3500</v>
      </c>
      <c r="F47">
        <v>125</v>
      </c>
      <c r="G47" t="b">
        <v>1</v>
      </c>
      <c r="H47">
        <v>125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7A56E9-4F70-42EF-9CEC-A45F9878FF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Full_Data</vt:lpstr>
      <vt:lpstr>Analysis</vt:lpstr>
      <vt:lpstr>Data Findings</vt:lpstr>
      <vt:lpstr>Dashboard</vt:lpstr>
      <vt:lpstr>Cooking Essentials</vt:lpstr>
      <vt:lpstr>Munchies</vt:lpstr>
      <vt:lpstr>Fruits &amp; Vegetables</vt:lpstr>
      <vt:lpstr>Dairy, Bread &amp; Batter</vt:lpstr>
      <vt:lpstr>Beverages</vt:lpstr>
      <vt:lpstr>Packaged Food</vt:lpstr>
      <vt:lpstr>Ice Cream &amp; Desserts</vt:lpstr>
      <vt:lpstr>Chocolates &amp; Candies</vt:lpstr>
      <vt:lpstr>Meats, Fish &amp; Eggs</vt:lpstr>
      <vt:lpstr>Biscuits</vt:lpstr>
      <vt:lpstr>Personal Care</vt:lpstr>
      <vt:lpstr>Paan Corner</vt:lpstr>
      <vt:lpstr>Home &amp; Cleaning</vt:lpstr>
      <vt:lpstr>Health &amp; Hygiene</vt:lpstr>
      <vt:lpstr>Curated For You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noor khan</cp:lastModifiedBy>
  <dcterms:created xsi:type="dcterms:W3CDTF">2022-04-07T06:34:54Z</dcterms:created>
  <dcterms:modified xsi:type="dcterms:W3CDTF">2026-10-13T17:36:59Z</dcterms:modified>
</cp:coreProperties>
</file>